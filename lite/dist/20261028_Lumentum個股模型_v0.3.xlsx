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mp" vbProcedure="false">In!$E$81</definedName>
    <definedName function="false" hidden="false" name="a25_eps" vbProcedure="false">Q!$B$13</definedName>
    <definedName function="false" hidden="false" name="a25_eps_in" vbProcedure="false">In!$E$79</definedName>
    <definedName function="false" hidden="false" name="a25_gm" vbProcedure="false">Q!$B$5</definedName>
    <definedName function="false" hidden="false" name="a25_gm_in" vbProcedure="false">In!$E$76</definedName>
    <definedName function="false" hidden="false" name="a25_ni" vbProcedure="false">Q!$B$10</definedName>
    <definedName function="false" hidden="false" name="a25_ni_in" vbProcedure="false">In!$E$78</definedName>
    <definedName function="false" hidden="false" name="a25_opx" vbProcedure="false">Q!$B$7</definedName>
    <definedName function="false" hidden="false" name="a25_opx_in" vbProcedure="false">In!$E$77</definedName>
    <definedName function="false" hidden="false" name="a25_rev" vbProcedure="false">Q!$B$4</definedName>
    <definedName function="false" hidden="false" name="a25_rev_in" vbProcedure="false">In!$E$75</definedName>
    <definedName function="false" hidden="false" name="a25_sh" vbProcedure="false">Q!$B$12</definedName>
    <definedName function="false" hidden="false" name="a25_sys" vbProcedure="false">In!$E$82</definedName>
    <definedName function="false" hidden="false" name="a26_cmp" vbProcedure="false">In!$E$83</definedName>
    <definedName function="false" hidden="false" name="a26_eps" vbProcedure="false">Q!$C$13</definedName>
    <definedName function="false" hidden="false" name="a26_eps_in" vbProcedure="false">In!$E$88</definedName>
    <definedName function="false" hidden="false" name="a26_gm" vbProcedure="false">Q!$C$5</definedName>
    <definedName function="false" hidden="false" name="a26_gm_in" vbProcedure="false">In!$E$85</definedName>
    <definedName function="false" hidden="false" name="a26_ni" vbProcedure="false">Q!$C$10</definedName>
    <definedName function="false" hidden="false" name="a26_ni_in" vbProcedure="false">In!$E$87</definedName>
    <definedName function="false" hidden="false" name="a26_opx" vbProcedure="false">Q!$C$7</definedName>
    <definedName function="false" hidden="false" name="a26_opx_in" vbProcedure="false">In!$E$86</definedName>
    <definedName function="false" hidden="false" name="a26_rev" vbProcedure="false">Q!$C$4</definedName>
    <definedName function="false" hidden="false" name="a26_rev_in" vbProcedure="false">In!$E$80</definedName>
    <definedName function="false" hidden="false" name="a26_sh" vbProcedure="false">Q!$C$12</definedName>
    <definedName function="false" hidden="false" name="a26_sys" vbProcedure="false">In!$E$84</definedName>
    <definedName function="false" hidden="false" name="ASHI_27" vbProcedure="false">In!$F$29</definedName>
    <definedName function="false" hidden="false" name="ASHI_28" vbProcedure="false">In!$F$30</definedName>
    <definedName function="false" hidden="false" name="ASHI_29" vbProcedure="false">In!$F$31</definedName>
    <definedName function="false" hidden="false" name="asp_26" vbProcedure="false">In!$E$28</definedName>
    <definedName function="false" hidden="false" name="asp_26_hi" vbProcedure="false">In!$F$28</definedName>
    <definedName function="false" hidden="false" name="asp_26_lo" vbProcedure="false">In!$D$28</definedName>
    <definedName function="false" hidden="false" name="asp_27" vbProcedure="false">In!$E$29</definedName>
    <definedName function="false" hidden="false" name="asp_27_hi" vbProcedure="false">In!$F$29</definedName>
    <definedName function="false" hidden="false" name="asp_27_lo" vbProcedure="false">In!$D$29</definedName>
    <definedName function="false" hidden="false" name="asp_28" vbProcedure="false">In!$E$30</definedName>
    <definedName function="false" hidden="false" name="asp_28_hi" vbProcedure="false">In!$F$30</definedName>
    <definedName function="false" hidden="false" name="asp_28_lo" vbProcedure="false">In!$D$30</definedName>
    <definedName function="false" hidden="false" name="asp_29" vbProcedure="false">In!$E$31</definedName>
    <definedName function="false" hidden="false" name="asp_29_hi" vbProcedure="false">In!$F$31</definedName>
    <definedName function="false" hidden="false" name="asp_29_lo" vbProcedure="false">In!$D$31</definedName>
    <definedName function="false" hidden="false" name="c26_cpo" vbProcedure="false">Q!$H$15</definedName>
    <definedName function="false" hidden="false" name="c26_ind" vbProcedure="false">Q!$H$17</definedName>
    <definedName function="false" hidden="false" name="c26_las" vbProcedure="false">Q!$H$19</definedName>
    <definedName function="false" hidden="false" name="c26_ocs" vbProcedure="false">Q!$H$14</definedName>
    <definedName function="false" hidden="false" name="c26_rev" vbProcedure="false">Q!$H$4</definedName>
    <definedName function="false" hidden="false" name="c26_tel" vbProcedure="false">Q!$H$16</definedName>
    <definedName function="false" hidden="false" name="c26_xcvr" vbProcedure="false">Q!$H$18</definedName>
    <definedName function="false" hidden="false" name="cons_eps27" vbProcedure="false">In!$E$100</definedName>
    <definedName function="false" hidden="false" name="cons_eps28" vbProcedure="false">In!$E$101</definedName>
    <definedName function="false" hidden="false" name="cons_feps" vbProcedure="false">In!$E$128</definedName>
    <definedName function="false" hidden="false" name="cons_ni28" vbProcedure="false">In!$E$102</definedName>
    <definedName function="false" hidden="false" name="cons_rev27" vbProcedure="false">In!$E$99</definedName>
    <definedName function="false" hidden="false" name="cons_tp" vbProcedure="false">In!$E$127</definedName>
    <definedName function="false" hidden="false" name="CPHI_27" vbProcedure="false">In!$F$50</definedName>
    <definedName function="false" hidden="false" name="CPHI_28" vbProcedure="false">In!$F$51</definedName>
    <definedName function="false" hidden="false" name="CPHI_29" vbProcedure="false">In!$F$52</definedName>
    <definedName function="false" hidden="false" name="CPLO_27" vbProcedure="false">In!$D$50</definedName>
    <definedName function="false" hidden="false" name="CPLO_28" vbProcedure="false">In!$D$51</definedName>
    <definedName function="false" hidden="false" name="CPLO_29" vbProcedure="false">In!$D$52</definedName>
    <definedName function="false" hidden="false" name="cpo_27" vbProcedure="false">In!$E$50</definedName>
    <definedName function="false" hidden="false" name="cpo_27_hi" vbProcedure="false">In!$F$50</definedName>
    <definedName function="false" hidden="false" name="cpo_27_lo" vbProcedure="false">In!$D$50</definedName>
    <definedName function="false" hidden="false" name="cpo_28" vbProcedure="false">In!$E$51</definedName>
    <definedName function="false" hidden="false" name="cpo_28_hi" vbProcedure="false">In!$F$51</definedName>
    <definedName function="false" hidden="false" name="cpo_28_lo" vbProcedure="false">In!$D$51</definedName>
    <definedName function="false" hidden="false" name="cpo_29" vbProcedure="false">In!$E$52</definedName>
    <definedName function="false" hidden="false" name="cpo_29_hi" vbProcedure="false">In!$F$52</definedName>
    <definedName function="false" hidden="false" name="cpo_29_lo" vbProcedure="false">In!$D$52</definedName>
    <definedName function="false" hidden="false" name="cpo_a26" vbProcedure="false">In!$E$56</definedName>
    <definedName function="false" hidden="false" name="cpo_a26_hi" vbProcedure="false">In!$F$56</definedName>
    <definedName function="false" hidden="false" name="cpo_a26_lo" vbProcedure="false">In!$D$56</definedName>
    <definedName function="false" hidden="false" name="cust_a" vbProcedure="false">In!$E$107</definedName>
    <definedName function="false" hidden="false" name="eps_g" vbProcedure="false">In!$E$70</definedName>
    <definedName function="false" hidden="false" name="fade_gA" vbProcedure="false">In!$E$121</definedName>
    <definedName function="false" hidden="false" name="fade_gB" vbProcedure="false">In!$E$122</definedName>
    <definedName function="false" hidden="false" name="fade_gC" vbProcedure="false">In!$E$123</definedName>
    <definedName function="false" hidden="false" name="fade_mA" vbProcedure="false">In!$E$124</definedName>
    <definedName function="false" hidden="false" name="fade_mB" vbProcedure="false">In!$E$125</definedName>
    <definedName function="false" hidden="false" name="fade_mC" vbProcedure="false">In!$E$126</definedName>
    <definedName function="false" hidden="false" name="GMHI_27" vbProcedure="false">In!$F$90</definedName>
    <definedName function="false" hidden="false" name="GMHI_28" vbProcedure="false">In!$F$91</definedName>
    <definedName function="false" hidden="false" name="GMHI_29" vbProcedure="false">In!$F$92</definedName>
    <definedName function="false" hidden="false" name="GMLO_27" vbProcedure="false">In!$D$90</definedName>
    <definedName function="false" hidden="false" name="GMLO_28" vbProcedure="false">In!$D$91</definedName>
    <definedName function="false" hidden="false" name="GMLO_29" vbProcedure="false">In!$D$92</definedName>
    <definedName function="false" hidden="false" name="gm_27" vbProcedure="false">In!$E$90</definedName>
    <definedName function="false" hidden="false" name="gm_27_hi" vbProcedure="false">In!$F$90</definedName>
    <definedName function="false" hidden="false" name="gm_27_lo" vbProcedure="false">In!$D$90</definedName>
    <definedName function="false" hidden="false" name="gm_28" vbProcedure="false">In!$E$91</definedName>
    <definedName function="false" hidden="false" name="gm_28_hi" vbProcedure="false">In!$F$91</definedName>
    <definedName function="false" hidden="false" name="gm_28_lo" vbProcedure="false">In!$D$91</definedName>
    <definedName function="false" hidden="false" name="gm_29" vbProcedure="false">In!$E$92</definedName>
    <definedName function="false" hidden="false" name="gm_29_hi" vbProcedure="false">In!$F$92</definedName>
    <definedName function="false" hidden="false" name="gm_29_lo" vbProcedure="false">In!$D$92</definedName>
    <definedName function="false" hidden="false" name="g_ind" vbProcedure="false">In!$E$63</definedName>
    <definedName function="false" hidden="false" name="g_ind_hi" vbProcedure="false">In!$F$63</definedName>
    <definedName function="false" hidden="false" name="g_ind_lo" vbProcedure="false">In!$D$63</definedName>
    <definedName function="false" hidden="false" name="g_tel_27" vbProcedure="false">In!$E$60</definedName>
    <definedName function="false" hidden="false" name="g_tel_27_hi" vbProcedure="false">In!$F$60</definedName>
    <definedName function="false" hidden="false" name="g_tel_27_lo" vbProcedure="false">In!$D$60</definedName>
    <definedName function="false" hidden="false" name="g_tel_28" vbProcedure="false">In!$E$61</definedName>
    <definedName function="false" hidden="false" name="g_tel_28_hi" vbProcedure="false">In!$F$61</definedName>
    <definedName function="false" hidden="false" name="g_tel_28_lo" vbProcedure="false">In!$D$61</definedName>
    <definedName function="false" hidden="false" name="g_tel_29" vbProcedure="false">In!$E$62</definedName>
    <definedName function="false" hidden="false" name="g_tel_29_hi" vbProcedure="false">In!$F$62</definedName>
    <definedName function="false" hidden="false" name="g_tel_29_lo" vbProcedure="false">In!$D$62</definedName>
    <definedName function="false" hidden="false" name="h_1h" vbProcedure="false">In!$E$73</definedName>
    <definedName function="false" hidden="false" name="h_1h_hi" vbProcedure="false">In!$F$73</definedName>
    <definedName function="false" hidden="false" name="h_1h_lo" vbProcedure="false">In!$D$73</definedName>
    <definedName function="false" hidden="false" name="ind_a26" vbProcedure="false">In!$E$58</definedName>
    <definedName function="false" hidden="false" name="ind_a26_hi" vbProcedure="false">In!$F$58</definedName>
    <definedName function="false" hidden="false" name="ind_a26_lo" vbProcedure="false">In!$D$58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kgi_m26" vbProcedure="false">In!$E$103</definedName>
    <definedName function="false" hidden="false" name="kgi_m27" vbProcedure="false">In!$E$104</definedName>
    <definedName function="false" hidden="false" name="kgi_m28" vbProcedure="false">In!$E$105</definedName>
    <definedName function="false" hidden="false" name="kgi_pe" vbProcedure="false">In!$E$108</definedName>
    <definedName function="false" hidden="false" name="LAHI_27" vbProcedure="false">In!$F$37</definedName>
    <definedName function="false" hidden="false" name="LAHI_28" vbProcedure="false">In!$F$38</definedName>
    <definedName function="false" hidden="false" name="LAHI_29" vbProcedure="false">In!$F$39</definedName>
    <definedName function="false" hidden="false" name="LALO_27" vbProcedure="false">In!$D$37</definedName>
    <definedName function="false" hidden="false" name="LALO_28" vbProcedure="false">In!$D$38</definedName>
    <definedName function="false" hidden="false" name="LALO_29" vbProcedure="false">In!$D$39</definedName>
    <definedName function="false" hidden="false" name="lasp_26" vbProcedure="false">In!$E$36</definedName>
    <definedName function="false" hidden="false" name="lasp_27" vbProcedure="false">In!$E$37</definedName>
    <definedName function="false" hidden="false" name="lasp_27_hi" vbProcedure="false">In!$F$37</definedName>
    <definedName function="false" hidden="false" name="lasp_27_lo" vbProcedure="false">In!$D$37</definedName>
    <definedName function="false" hidden="false" name="lasp_28" vbProcedure="false">In!$E$38</definedName>
    <definedName function="false" hidden="false" name="lasp_28_hi" vbProcedure="false">In!$F$38</definedName>
    <definedName function="false" hidden="false" name="lasp_28_lo" vbProcedure="false">In!$D$38</definedName>
    <definedName function="false" hidden="false" name="lasp_29" vbProcedure="false">In!$E$39</definedName>
    <definedName function="false" hidden="false" name="lasp_29_hi" vbProcedure="false">In!$F$39</definedName>
    <definedName function="false" hidden="false" name="lasp_29_lo" vbProcedure="false">In!$D$39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lpm_26" vbProcedure="false">In!$E$32</definedName>
    <definedName function="false" hidden="false" name="lpm_27" vbProcedure="false">In!$E$33</definedName>
    <definedName function="false" hidden="false" name="lpm_27_hi" vbProcedure="false">In!$F$33</definedName>
    <definedName function="false" hidden="false" name="lpm_27_lo" vbProcedure="false">In!$D$33</definedName>
    <definedName function="false" hidden="false" name="lpm_28" vbProcedure="false">In!$E$34</definedName>
    <definedName function="false" hidden="false" name="lpm_28_hi" vbProcedure="false">In!$F$34</definedName>
    <definedName function="false" hidden="false" name="lpm_28_lo" vbProcedure="false">In!$D$34</definedName>
    <definedName function="false" hidden="false" name="lpm_29" vbProcedure="false">In!$E$35</definedName>
    <definedName function="false" hidden="false" name="lpm_29_hi" vbProcedure="false">In!$F$35</definedName>
    <definedName function="false" hidden="false" name="lpm_29_lo" vbProcedure="false">In!$D$35</definedName>
    <definedName function="false" hidden="false" name="lrel_27" vbProcedure="false">In!$E$40</definedName>
    <definedName function="false" hidden="false" name="lrel_27_hi" vbProcedure="false">In!$F$40</definedName>
    <definedName function="false" hidden="false" name="lrel_27_lo" vbProcedure="false">In!$D$40</definedName>
    <definedName function="false" hidden="false" name="lrel_28" vbProcedure="false">In!$E$41</definedName>
    <definedName function="false" hidden="false" name="lrel_28_hi" vbProcedure="false">In!$F$41</definedName>
    <definedName function="false" hidden="false" name="lrel_28_lo" vbProcedure="false">In!$D$41</definedName>
    <definedName function="false" hidden="false" name="lrel_29" vbProcedure="false">In!$E$42</definedName>
    <definedName function="false" hidden="false" name="lrel_29_hi" vbProcedure="false">In!$F$42</definedName>
    <definedName function="false" hidden="false" name="lrel_29_lo" vbProcedure="false">In!$D$42</definedName>
    <definedName function="false" hidden="false" name="LRHI_27" vbProcedure="false">In!$F$40</definedName>
    <definedName function="false" hidden="false" name="LRHI_28" vbProcedure="false">In!$F$41</definedName>
    <definedName function="false" hidden="false" name="LRHI_29" vbProcedure="false">In!$F$42</definedName>
    <definedName function="false" hidden="false" name="LRLO_27" vbProcedure="false">In!$D$40</definedName>
    <definedName function="false" hidden="false" name="LRLO_28" vbProcedure="false">In!$D$41</definedName>
    <definedName function="false" hidden="false" name="LRLO_29" vbProcedure="false">In!$D$42</definedName>
    <definedName function="false" hidden="false" name="mcpB_26" vbProcedure="false">In!$E$139</definedName>
    <definedName function="false" hidden="false" name="mcpB_27" vbProcedure="false">In!$E$140</definedName>
    <definedName function="false" hidden="false" name="mcpB_28" vbProcedure="false">In!$E$141</definedName>
    <definedName function="false" hidden="false" name="mcpB_29" vbProcedure="false">In!$E$142</definedName>
    <definedName function="false" hidden="false" name="mcpC_26" vbProcedure="false">In!$E$143</definedName>
    <definedName function="false" hidden="false" name="mcpC_27" vbProcedure="false">In!$E$144</definedName>
    <definedName function="false" hidden="false" name="mcpC_28" vbProcedure="false">In!$E$145</definedName>
    <definedName function="false" hidden="false" name="mcpC_29" vbProcedure="false">In!$E$146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In!$E$97</definedName>
    <definedName function="false" hidden="false" name="mf_hi" vbProcedure="false">In!$F$97</definedName>
    <definedName function="false" hidden="false" name="mf_lo" vbProcedure="false">In!$D$97</definedName>
    <definedName function="false" hidden="false" name="mplB_26" vbProcedure="false">In!$E$131</definedName>
    <definedName function="false" hidden="false" name="mplB_27" vbProcedure="false">In!$E$132</definedName>
    <definedName function="false" hidden="false" name="mplB_28" vbProcedure="false">In!$E$133</definedName>
    <definedName function="false" hidden="false" name="mplB_29" vbProcedure="false">In!$E$134</definedName>
    <definedName function="false" hidden="false" name="mplC_26" vbProcedure="false">In!$E$135</definedName>
    <definedName function="false" hidden="false" name="mplC_27" vbProcedure="false">In!$E$136</definedName>
    <definedName function="false" hidden="false" name="mplC_28" vbProcedure="false">In!$E$137</definedName>
    <definedName function="false" hidden="false" name="mplC_29" vbProcedure="false">In!$E$138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mrel_27" vbProcedure="false">In!$E$44</definedName>
    <definedName function="false" hidden="false" name="mrel_27_hi" vbProcedure="false">In!$F$44</definedName>
    <definedName function="false" hidden="false" name="mrel_27_lo" vbProcedure="false">In!$D$44</definedName>
    <definedName function="false" hidden="false" name="mrel_28" vbProcedure="false">In!$E$45</definedName>
    <definedName function="false" hidden="false" name="mrel_28_hi" vbProcedure="false">In!$F$45</definedName>
    <definedName function="false" hidden="false" name="mrel_28_lo" vbProcedure="false">In!$D$45</definedName>
    <definedName function="false" hidden="false" name="mrel_29" vbProcedure="false">In!$E$46</definedName>
    <definedName function="false" hidden="false" name="mrel_29_hi" vbProcedure="false">In!$F$46</definedName>
    <definedName function="false" hidden="false" name="mrel_29_lo" vbProcedure="false">In!$D$46</definedName>
    <definedName function="false" hidden="false" name="MRHI_27" vbProcedure="false">In!$F$44</definedName>
    <definedName function="false" hidden="false" name="MRHI_28" vbProcedure="false">In!$F$45</definedName>
    <definedName function="false" hidden="false" name="MRHI_29" vbProcedure="false">In!$F$46</definedName>
    <definedName function="false" hidden="false" name="MRLO_27" vbProcedure="false">In!$D$44</definedName>
    <definedName function="false" hidden="false" name="MRLO_28" vbProcedure="false">In!$D$45</definedName>
    <definedName function="false" hidden="false" name="MRLO_29" vbProcedure="false">In!$D$46</definedName>
    <definedName function="false" hidden="false" name="ocsk_27" vbProcedure="false">In!$E$47</definedName>
    <definedName function="false" hidden="false" name="ocsk_27_hi" vbProcedure="false">In!$F$47</definedName>
    <definedName function="false" hidden="false" name="ocsk_27_lo" vbProcedure="false">In!$D$47</definedName>
    <definedName function="false" hidden="false" name="ocsk_28" vbProcedure="false">In!$E$48</definedName>
    <definedName function="false" hidden="false" name="ocsk_28_hi" vbProcedure="false">In!$F$48</definedName>
    <definedName function="false" hidden="false" name="ocsk_28_lo" vbProcedure="false">In!$D$48</definedName>
    <definedName function="false" hidden="false" name="ocsk_29" vbProcedure="false">In!$E$49</definedName>
    <definedName function="false" hidden="false" name="ocsk_29_hi" vbProcedure="false">In!$F$49</definedName>
    <definedName function="false" hidden="false" name="ocsk_29_lo" vbProcedure="false">In!$D$49</definedName>
    <definedName function="false" hidden="false" name="ocs_1h" vbProcedure="false">In!$E$54</definedName>
    <definedName function="false" hidden="false" name="ocs_1h_hi" vbProcedure="false">In!$F$54</definedName>
    <definedName function="false" hidden="false" name="ocs_1h_lo" vbProcedure="false">In!$D$54</definedName>
    <definedName function="false" hidden="false" name="ocs_2h" vbProcedure="false">In!$E$55</definedName>
    <definedName function="false" hidden="false" name="oi_oth" vbProcedure="false">In!$E$95</definedName>
    <definedName function="false" hidden="false" name="oi_oth_hi" vbProcedure="false">In!$F$95</definedName>
    <definedName function="false" hidden="false" name="oi_oth_lo" vbProcedure="false">In!$D$95</definedName>
    <definedName function="false" hidden="false" name="OKHI_27" vbProcedure="false">In!$F$47</definedName>
    <definedName function="false" hidden="false" name="OKHI_28" vbProcedure="false">In!$F$48</definedName>
    <definedName function="false" hidden="false" name="OKHI_29" vbProcedure="false">In!$F$49</definedName>
    <definedName function="false" hidden="false" name="OKLO_27" vbProcedure="false">In!$D$47</definedName>
    <definedName function="false" hidden="false" name="OKLO_28" vbProcedure="false">In!$D$48</definedName>
    <definedName function="false" hidden="false" name="OKLO_29" vbProcedure="false">In!$D$49</definedName>
    <definedName function="false" hidden="false" name="om_g" vbProcedure="false">In!$E$69</definedName>
    <definedName function="false" hidden="false" name="opx_adj" vbProcedure="false">In!$E$94</definedName>
    <definedName function="false" hidden="false" name="opx_adj_hi" vbProcedure="false">In!$F$94</definedName>
    <definedName function="false" hidden="false" name="opx_adj_lo" vbProcedure="false">In!$D$94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hi" vbProcedure="false">In!$E$93</definedName>
    <definedName function="false" hidden="false" name="phi_hi" vbProcedure="false">In!$F$93</definedName>
    <definedName function="false" hidden="false" name="phi_lo" vbProcedure="false">In!$D$93</definedName>
    <definedName function="false" hidden="false" name="px" vbProcedure="false">In!$E$110</definedName>
    <definedName function="false" hidden="false" name="px_hi" vbProcedure="false">In!$E$111</definedName>
    <definedName function="false" hidden="false" name="q1g" vbProcedure="false">In!$E$67</definedName>
    <definedName function="false" hidden="false" name="q3_26" vbProcedure="false">In!$E$65</definedName>
    <definedName function="false" hidden="false" name="q4_26" vbProcedure="false">In!$E$66</definedName>
    <definedName function="false" hidden="false" name="q_g" vbProcedure="false">In!$E$68</definedName>
    <definedName function="false" hidden="false" name="q_g_hi" vbProcedure="false">In!$F$68</definedName>
    <definedName function="false" hidden="false" name="q_g_lo" vbProcedure="false">In!$D$68</definedName>
    <definedName function="false" hidden="false" name="sh_basic" vbProcedure="false">In!$E$112</definedName>
    <definedName function="false" hidden="false" name="sh_g" vbProcedure="false">In!$E$96</definedName>
    <definedName function="false" hidden="false" name="sh_g_hi" vbProcedure="false">In!$F$96</definedName>
    <definedName function="false" hidden="false" name="sh_g_lo" vbProcedure="false">In!$D$96</definedName>
    <definedName function="false" hidden="false" name="sh_q1" vbProcedure="false">In!$E$71</definedName>
    <definedName function="false" hidden="false" name="tel_a26" vbProcedure="false">In!$E$57</definedName>
    <definedName function="false" hidden="false" name="tel_a26_hi" vbProcedure="false">In!$F$57</definedName>
    <definedName function="false" hidden="false" name="tel_a26_lo" vbProcedure="false">In!$D$57</definedName>
    <definedName function="false" hidden="false" name="tf_eml3" vbProcedure="false">In!$E$106</definedName>
    <definedName function="false" hidden="false" name="tpu_26" vbProcedure="false">In!$E$13</definedName>
    <definedName function="false" hidden="false" name="tpu_27" vbProcedure="false">In!$E$14</definedName>
    <definedName function="false" hidden="false" name="tpu_28" vbProcedure="false">In!$E$15</definedName>
    <definedName function="false" hidden="false" name="tpu_29" vbProcedure="false">In!$E$16</definedName>
    <definedName function="false" hidden="false" name="tp_g" vbProcedure="false">In!$E$118</definedName>
    <definedName function="false" hidden="false" name="tp_r" vbProcedure="false">In!$E$117</definedName>
    <definedName function="false" hidden="false" name="tp_roe" vbProcedure="false">In!$E$119</definedName>
    <definedName function="false" hidden="false" name="tp_wA" vbProcedure="false">In!$E$113</definedName>
    <definedName function="false" hidden="false" name="tp_wB" vbProcedure="false">In!$E$114</definedName>
    <definedName function="false" hidden="false" name="tp_wC" vbProcedure="false">In!$E$115</definedName>
    <definedName function="false" hidden="false" name="tp_w_dcf" vbProcedure="false">In!$E$120</definedName>
    <definedName function="false" hidden="false" name="tx" vbProcedure="false">In!$E$72</definedName>
    <definedName function="false" hidden="false" name="tx_hi" vbProcedure="false">In!$F$72</definedName>
    <definedName function="false" hidden="false" name="tx_lo" vbProcedure="false">In!$D$72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2h_26" vbProcedure="false">Q!$B$25</definedName>
    <definedName function="false" hidden="false" name="xcvr_a26" vbProcedure="false">In!$E$59</definedName>
    <definedName function="false" hidden="false" name="xcvr_a26_hi" vbProcedure="false">In!$F$59</definedName>
    <definedName function="false" hidden="false" name="xcvr_a26_lo" vbProcedure="false">In!$D$59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<sst xmlns="http://schemas.openxmlformats.org/spreadsheetml/2006/main" count="3769" uniqueCount="939">
  <si>
    <r>
      <rPr>
        <b val="true"/>
        <sz val="11"/>
        <rFont val="Cambria"/>
        <family val="0"/>
        <charset val="1"/>
      </rPr>
      <t xml:space="preserve">Lumentum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：網通次產業內複製——雷射與光元件）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</si>
  <si>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的雷射有效份額（上游元件口徑）在本模型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頁建立；不可與中際旭創等光模組廠份額相加。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</si>
  <si>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的雷射晶片營收＝高速光模組數量（本專案網通模型金額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Lumentum </t>
    </r>
    <r>
      <rPr>
        <sz val="11"/>
        <rFont val="Noto Sans CJK SC"/>
        <family val="2"/>
      </rPr>
      <t xml:space="preserve">份額；光模組、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Google TPU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外部光源另推；電信與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感測依成長率推。股價約 </t>
    </r>
    <r>
      <rPr>
        <sz val="11"/>
        <rFont val="Cambria"/>
        <family val="0"/>
        <charset val="1"/>
      </rPr>
      <t xml:space="preserve">35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，遠高於十年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</si>
  <si>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供給缺口收斂、矽光以較少 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雷射替代、</t>
    </r>
    <r>
      <rPr>
        <sz val="11"/>
        <rFont val="Cambria"/>
        <family val="0"/>
        <charset val="1"/>
      </rPr>
      <t xml:space="preserve">OCS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放量時程——哪一條路徑決定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獲利，現價隱含的倍數與獲利要多少才合理？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</si>
  <si>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月底結束：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後半年在日曆年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）。市場層為日曆年，先算 </t>
    </r>
    <r>
      <rPr>
        <sz val="11"/>
        <rFont val="Cambria"/>
        <family val="0"/>
        <charset val="1"/>
      </rPr>
      <t xml:space="preserve">CY2026–CY2029 </t>
    </r>
    <r>
      <rPr>
        <sz val="11"/>
        <rFont val="Noto Sans CJK SC"/>
        <family val="2"/>
      </rPr>
      <t xml:space="preserve">產品營收，再換成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下半年＋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上半年，上半年占比 </t>
    </r>
    <r>
      <rPr>
        <sz val="11"/>
        <rFont val="Cambria"/>
        <family val="0"/>
        <charset val="1"/>
      </rPr>
      <t xml:space="preserve">h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稀釋股數（含可轉債假設轉換）。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</si>
  <si>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</si>
  <si>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雷射晶片：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以產品拆分殘差校準）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份額相對值。光模組：可插拔市場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顆數（網通模型 </t>
    </r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營收。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</si>
  <si>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第三、四季實績＋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第一季指引中點＋第二季季增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）。產品拆分（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感測、光模組）為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／公司展望，雷射晶片＝殘差。毛利率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起為輸入路徑；營業費用彈性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；營業外淨收入由第一季指引推導。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</si>
  <si>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）。舊法規則值情境加權保留參考（不是目標價）；規則值＝</t>
    </r>
    <r>
      <rPr>
        <sz val="11"/>
        <rFont val="Cambria"/>
        <family val="0"/>
        <charset val="1"/>
      </rPr>
      <t xml:space="preserve">FY2027 EPS ×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依循環位置取分位（年底股價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，推導）。本版未做先驗，無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</si>
  <si>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未使用。公司不揭露產品別營收；法說內容多經第三方轉述。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</si>
  <si>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產品拆分、雷射單價、每模組雷射數皆為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，雷射份額由殘差推得；</t>
    </r>
    <r>
      <rPr>
        <sz val="11"/>
        <rFont val="Cambria"/>
        <family val="0"/>
        <charset val="1"/>
      </rPr>
      <t xml:space="preserve">(2) CY2026 </t>
    </r>
    <r>
      <rPr>
        <sz val="11"/>
        <rFont val="Noto Sans CJK SC"/>
        <family val="2"/>
      </rPr>
      <t xml:space="preserve">下半年第二季為假設，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第一季財報約 </t>
    </r>
    <r>
      <rPr>
        <sz val="11"/>
        <rFont val="Cambria"/>
        <family val="0"/>
        <charset val="1"/>
      </rPr>
      <t xml:space="preserve">11-05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可插拔光模組只 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，比券商出貨預測保守；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未設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產能上限（公司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出貨年增約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為推導序列、多數年份在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前，規則值偏低；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</si>
  <si>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</si>
  <si>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</si>
  <si>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US$623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860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17.6%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拉低：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 −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），而本模型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29.30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23.60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24.2%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只有單一來源）；共識目標價 </t>
    </r>
    <r>
      <rPr>
        <sz val="11"/>
        <color theme="1"/>
        <rFont val="Calibri"/>
        <family val="2"/>
        <charset val="1"/>
      </rPr>
      <t xml:space="preserve">1,165.03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49.4 </t>
    </r>
    <r>
      <rPr>
        <sz val="11"/>
        <color theme="1"/>
        <rFont val="Noto Sans CJK SC"/>
        <family val="2"/>
      </rPr>
      <t xml:space="preserve">倍，比同業中位數 </t>
    </r>
    <r>
      <rPr>
        <sz val="11"/>
        <color theme="1"/>
        <rFont val="Calibri"/>
        <family val="2"/>
        <charset val="1"/>
      </rPr>
      <t xml:space="preserve">29.3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68.3%</t>
    </r>
    <r>
      <rPr>
        <sz val="11"/>
        <color theme="1"/>
        <rFont val="Noto Sans CJK SC"/>
        <family val="2"/>
      </rPr>
      <t xml:space="preserve">，市場給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雷射供給缺口的溢價，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</si>
  <si>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市場與毛利率：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−12.7%</t>
    </r>
    <r>
      <rPr>
        <sz val="11"/>
        <color theme="1"/>
        <rFont val="Noto Sans CJK SC"/>
        <family val="2"/>
      </rPr>
      <t xml:space="preserve">、毛利率低（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11.3%</t>
    </r>
    <r>
      <rPr>
        <sz val="11"/>
        <color theme="1"/>
        <rFont val="Noto Sans CJK SC"/>
        <family val="2"/>
      </rPr>
      <t xml:space="preserve">、雷射單價低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、每模組雷射數低（矽光替代）−</t>
    </r>
    <r>
      <rPr>
        <sz val="11"/>
        <color theme="1"/>
        <rFont val="Calibri"/>
        <family val="2"/>
        <charset val="1"/>
      </rPr>
      <t xml:space="preserve">7.9%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25.04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32.73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。現價 </t>
    </r>
    <r>
      <rPr>
        <sz val="11"/>
        <color theme="1"/>
        <rFont val="Calibri"/>
        <family val="2"/>
        <charset val="1"/>
      </rPr>
      <t xml:space="preserve">÷ FY2028 EPS 23.1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倍，在十年分位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</si>
  <si>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）公司不揭露，本版為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外部光源是加分，情境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31.43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32.73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+4.1%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25.45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25.04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外部光源份額低／高時 </t>
    </r>
    <r>
      <rPr>
        <sz val="11"/>
        <color theme="1"/>
        <rFont val="Calibri"/>
        <family val="2"/>
        <charset val="1"/>
      </rPr>
      <t xml:space="preserve">FY2028 EPS −8.2%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</si>
  <si>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</si>
  <si>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頁百萬美元）；比例：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</si>
  <si>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未使用。公司不揭露產品別營收（只有元件／系統兩個部門），產品拆分為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；口徑為公司 </t>
    </r>
    <r>
      <rPr>
        <sz val="11"/>
        <color theme="1"/>
        <rFont val="Calibri"/>
        <family val="2"/>
        <charset val="1"/>
      </rPr>
      <t xml:space="preserve">non-GAAP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</si>
  <si>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</si>
  <si>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</si>
  <si>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</si>
  <si>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</si>
  <si>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</si>
  <si>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</si>
  <si>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</si>
  <si>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</si>
  <si>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</si>
  <si>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光學市場與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</si>
  <si>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</si>
  <si>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</si>
  <si>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</si>
  <si>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</si>
  <si>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</si>
  <si>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 −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（網通模型；日曆年）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</si>
  <si>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</si>
  <si>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</si>
  <si>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</si>
  <si>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</si>
  <si>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</si>
  <si>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</si>
  <si>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</si>
  <si>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</si>
  <si>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</si>
  <si>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</si>
  <si>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共同封裝光學；外部光源（</t>
    </r>
    <r>
      <rPr>
        <sz val="11"/>
        <color theme="1"/>
        <rFont val="Calibri"/>
        <family val="2"/>
        <charset val="1"/>
      </rPr>
      <t xml:space="preserve">ELS</t>
    </r>
    <r>
      <rPr>
        <sz val="11"/>
        <color theme="1"/>
        <rFont val="Noto Sans CJK SC"/>
        <family val="2"/>
      </rPr>
      <t xml:space="preserve">）與超高功率雷射屬此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</si>
  <si>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</si>
  <si>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</si>
  <si>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</si>
  <si>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</si>
  <si>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</si>
  <si>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</si>
  <si>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</si>
  <si>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</si>
  <si>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</si>
  <si>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</si>
  <si>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（光路交換）的主要用戶是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叢集</t>
    </r>
  </si>
  <si>
    <t xml:space="preserve">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</si>
  <si>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</si>
  <si>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</si>
  <si>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</si>
  <si>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t xml:space="preserve">tpu_29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</si>
  <si>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</si>
  <si>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</si>
  <si>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</si>
  <si>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</si>
  <si>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</si>
  <si>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</si>
  <si>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</si>
  <si>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</si>
  <si>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</si>
  <si>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</si>
  <si>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</si>
  <si>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</si>
  <si>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</si>
  <si>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</si>
  <si>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</si>
  <si>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</si>
  <si>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</si>
  <si>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</si>
  <si>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</si>
  <si>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</si>
  <si>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</si>
  <si>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</si>
  <si>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</si>
  <si>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</si>
  <si>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</si>
  <si>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</si>
  <si>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</si>
  <si>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</si>
  <si>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</si>
  <si>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</si>
  <si>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</si>
  <si>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</si>
  <si>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雷射晶片（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</t>
    </r>
    <r>
      <rPr>
        <b val="true"/>
        <sz val="11"/>
        <rFont val="Noto Sans CJK SC"/>
        <family val="2"/>
      </rPr>
      <t xml:space="preserve">）：高速光模組數量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每模組雷射數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雷射單價 </t>
    </r>
    <r>
      <rPr>
        <b val="true"/>
        <sz val="11"/>
        <rFont val="Cambria"/>
        <family val="0"/>
        <charset val="1"/>
      </rPr>
      <t xml:space="preserve">× Lumentum </t>
    </r>
    <r>
      <rPr>
        <b val="true"/>
        <sz val="11"/>
        <rFont val="Noto Sans CJK SC"/>
        <family val="2"/>
      </rPr>
      <t xml:space="preserve">份額（上游元件口徑，不可與光模組廠份額相加）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</si>
  <si>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</si>
  <si>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（把網通模型金額換成模組數）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</si>
  <si>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個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</si>
  <si>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比重上升（每個模組單價上升）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</si>
  <si>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107.5M</t>
    </r>
    <r>
      <rPr>
        <sz val="11"/>
        <color theme="1"/>
        <rFont val="Noto Sans CJK SC"/>
        <family val="2"/>
      </rPr>
      <t xml:space="preserve">（凱基；只在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</si>
  <si>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</si>
  <si>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</si>
  <si>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—</t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</si>
  <si>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</si>
  <si>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</si>
  <si>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</si>
  <si>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</si>
  <si>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lpm_26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</si>
  <si>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</si>
  <si>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</si>
  <si>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方案（</t>
    </r>
    <r>
      <rPr>
        <sz val="11"/>
        <color theme="1"/>
        <rFont val="Calibri"/>
        <family val="2"/>
        <charset val="1"/>
      </rPr>
      <t xml:space="preserve">DR8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2×FR4</t>
    </r>
    <r>
      <rPr>
        <sz val="11"/>
        <color theme="1"/>
        <rFont val="Noto Sans CJK SC"/>
        <family val="2"/>
      </rPr>
      <t xml:space="preserve">）每模組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顆；矽光方案每模組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顆高功率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（業界常識，未找到第一手來源）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</si>
  <si>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光模組改用自製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</t>
    </r>
  </si>
  <si>
    <t xml:space="preserve">lpm_27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</si>
  <si>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</si>
  <si>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矽光比重上升使每模組雷射數下降</t>
  </si>
  <si>
    <t xml:space="preserve">lpm_28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</si>
  <si>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</si>
  <si>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lpm_29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</si>
  <si>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</si>
  <si>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lasp_26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</si>
  <si>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</si>
  <si>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</si>
  <si>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）：光學元件與雷射約占光模組成本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（次級來源）</t>
    </r>
  </si>
  <si>
    <r>
      <rPr>
        <sz val="11"/>
        <color theme="1"/>
        <rFont val="Noto Sans CJK SC"/>
        <family val="2"/>
      </rPr>
      <t xml:space="preserve">雷射單價：未找到；本列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每模組雷射數＝每模組雷射內容（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約占模組單價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</t>
    </r>
  </si>
  <si>
    <t xml:space="preserve">lasp_27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</si>
  <si>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</si>
  <si>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比重上升（公司：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年中占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以上）</t>
    </r>
  </si>
  <si>
    <t xml:space="preserve">lasp_28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</si>
  <si>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</si>
  <si>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lasp_29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</si>
  <si>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</si>
  <si>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lrel_27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</si>
  <si>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</si>
  <si>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https://www.trendforce.com/presscenter/news/20260603-13077.html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、三菱電機）合計約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、住友電工領先（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</si>
  <si>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是唯一量產 </t>
    </r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的供應商；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供需缺口約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（凱基）</t>
    </r>
  </si>
  <si>
    <t xml:space="preserve">lrel_28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</si>
  <si>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</si>
  <si>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Greensboro</t>
    </r>
    <r>
      <rPr>
        <sz val="11"/>
        <color theme="1"/>
        <rFont val="Noto Sans CJK SC"/>
        <family val="2"/>
      </rPr>
      <t xml:space="preserve">（第五座 </t>
    </r>
    <r>
      <rPr>
        <sz val="11"/>
        <color theme="1"/>
        <rFont val="Calibri"/>
        <family val="2"/>
        <charset val="1"/>
      </rPr>
      <t xml:space="preserve">InP </t>
    </r>
    <r>
      <rPr>
        <sz val="11"/>
        <color theme="1"/>
        <rFont val="Noto Sans CJK SC"/>
        <family val="2"/>
      </rPr>
      <t xml:space="preserve">廠）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年初量產（公司）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</si>
  <si>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吋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廠追趕（下壓）</t>
    </r>
  </si>
  <si>
    <t xml:space="preserve">lrel_29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</si>
  <si>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</si>
  <si>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光模組、</t>
    </r>
    <r>
      <rPr>
        <b val="true"/>
        <sz val="11"/>
        <rFont val="Cambria"/>
        <family val="0"/>
        <charset val="1"/>
      </rPr>
      <t xml:space="preserve">OCS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</t>
    </r>
    <r>
      <rPr>
        <b val="true"/>
        <sz val="11"/>
        <rFont val="Noto Sans CJK SC"/>
        <family val="2"/>
      </rPr>
      <t xml:space="preserve">（另推）</t>
    </r>
  </si>
  <si>
    <t xml:space="preserve">mrel_27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</si>
  <si>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</si>
  <si>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出貨創新高、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開始量產（公司）</t>
    </r>
  </si>
  <si>
    <r>
      <rPr>
        <sz val="11"/>
        <color theme="1"/>
        <rFont val="Noto Sans CJK SC"/>
        <family val="2"/>
      </rPr>
      <t xml:space="preserve">公司估光模組供給缺口約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轉述法說，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</si>
  <si>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mrel_28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</si>
  <si>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</si>
  <si>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中際旭創、新易盛、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為主要競爭者</t>
    </r>
  </si>
  <si>
    <t xml:space="preserve">mrel_29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</si>
  <si>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</si>
  <si>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ocsk_27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</si>
  <si>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</si>
  <si>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 CY2026 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億美元（追上原展望、未超前）；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第一季首度超過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</si>
  <si>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：多年期、數十億美元的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採購協議（公司）</t>
    </r>
  </si>
  <si>
    <t xml:space="preserve">ocsk_28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</si>
  <si>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</si>
  <si>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 ≈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</si>
  <si>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市場規模由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億上調到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</si>
  <si>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ocsk_29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</si>
  <si>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</si>
  <si>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等競爭者加入（下壓）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</si>
  <si>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</si>
  <si>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</si>
  <si>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%</t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</si>
  <si>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</si>
  <si>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</si>
  <si>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</si>
  <si>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</si>
  <si>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</si>
  <si>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</si>
  <si>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</si>
  <si>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</si>
  <si>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Cambria"/>
        <family val="0"/>
        <charset val="1"/>
      </rPr>
      <t xml:space="preserve">D. CY2026 </t>
    </r>
    <r>
      <rPr>
        <b val="true"/>
        <sz val="11"/>
        <rFont val="Noto Sans CJK SC"/>
        <family val="2"/>
      </rPr>
      <t xml:space="preserve">錨點的產品拆分（公司只揭露元件／系統；以下為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，雷射晶片＝殘差）</t>
    </r>
  </si>
  <si>
    <t xml:space="preserve">ocs_1h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</si>
  <si>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1H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</si>
  <si>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出貨較第三季倍增（公司）</t>
    </r>
  </si>
  <si>
    <t xml:space="preserve">金額：未找到</t>
  </si>
  <si>
    <t xml:space="preserve">ocs_2h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</si>
  <si>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（公司展望）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</si>
  <si>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</si>
  <si>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</si>
  <si>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：同值（凱基轉述）</t>
    </r>
  </si>
  <si>
    <t xml:space="preserve">cpo_a26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</si>
  <si>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</si>
  <si>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千萬美元（凱基轉述公司）</t>
    </r>
  </si>
  <si>
    <t xml:space="preserve">tel_a26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</si>
  <si>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元件營收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ROADM</t>
    </r>
    <r>
      <rPr>
        <sz val="11"/>
        <color theme="1"/>
        <rFont val="Noto Sans CJK SC"/>
        <family val="2"/>
      </rPr>
      <t xml:space="preserve">、泵浦、窄線寬雷射等）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</si>
  <si>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：窄線寬雷射 </t>
    </r>
    <r>
      <rPr>
        <sz val="11"/>
        <color theme="1"/>
        <rFont val="Calibri"/>
        <family val="2"/>
        <charset val="1"/>
      </rPr>
      <t xml:space="preserve">+130%</t>
    </r>
    <r>
      <rPr>
        <sz val="11"/>
        <color theme="1"/>
        <rFont val="Noto Sans CJK SC"/>
        <family val="2"/>
      </rPr>
      <t xml:space="preserve">、泵浦雷射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（年增；公司）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</si>
  <si>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：泵浦雷射份額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（凱基）</t>
    </r>
  </si>
  <si>
    <t xml:space="preserve">ind_a26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</si>
  <si>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</si>
  <si>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舊部門 </t>
    </r>
    <r>
      <rPr>
        <sz val="11"/>
        <color theme="1"/>
        <rFont val="Calibri"/>
        <family val="2"/>
        <charset val="1"/>
      </rPr>
      <t xml:space="preserve">Industrial Tech 2.743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</si>
  <si>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金額：未找到</t>
    </r>
  </si>
  <si>
    <t xml:space="preserve">xcvr_a26</t>
  </si>
  <si>
    <r>
      <rPr>
        <sz val="11"/>
        <color theme="1"/>
        <rFont val="Noto Sans CJK SC"/>
        <family val="2"/>
      </rPr>
      <t xml:space="preserve">光模組（收發器）營收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</si>
  <si>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）：系統部門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3.569 </t>
    </r>
    <r>
      <rPr>
        <sz val="11"/>
        <color theme="1"/>
        <rFont val="Noto Sans CJK SC"/>
        <family val="2"/>
      </rPr>
      <t xml:space="preserve">億美元（含光模組、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、工業雷射）</t>
    </r>
  </si>
  <si>
    <r>
      <rPr>
        <sz val="11"/>
        <color theme="1"/>
        <rFont val="Noto Sans CJK SC"/>
        <family val="2"/>
      </rPr>
      <t xml:space="preserve">光模組金額：未找到；系統部門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 − 工業雷射（推導）</t>
    </r>
  </si>
  <si>
    <t xml:space="preserve">g_tel_27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</si>
  <si>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</si>
  <si>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泵浦雷射出貨未來數季約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倍（公司）；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scale-across</t>
    </r>
  </si>
  <si>
    <t xml:space="preserve">g_tel_28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</si>
  <si>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CY2028</t>
    </r>
  </si>
  <si>
    <t xml:space="preserve">g_tel_29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</si>
  <si>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CY2029</t>
    </r>
  </si>
  <si>
    <t xml:space="preserve">g_ind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</si>
  <si>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感測年增（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</si>
  <si>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FY2023 4.445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FY2024 2.743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Industrial Tech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</si>
  <si>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；成長假設低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</si>
  <si>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季度實績與指引（百萬美元；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錨點）</t>
    </r>
  </si>
  <si>
    <t xml:space="preserve">q3_26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</si>
  <si>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</si>
  <si>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</si>
  <si>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</si>
  <si>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808.4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</si>
  <si>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：同值</t>
    </r>
  </si>
  <si>
    <t xml:space="preserve">q4_26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</si>
  <si>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</si>
  <si>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1,006.3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</si>
  <si>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：同值</t>
    </r>
  </si>
  <si>
    <t xml:space="preserve">q1g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</si>
  <si>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第一季營收指引中點（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</si>
  <si>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12.25–12.75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</si>
  <si>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</t>
    </r>
  </si>
  <si>
    <t xml:space="preserve">q_g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</si>
  <si>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第二季營收季增（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</si>
  <si>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</si>
  <si>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產能受限：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、泵浦缺口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以上（公司）</t>
    </r>
  </si>
  <si>
    <t xml:space="preserve">om_g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</si>
  <si>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</si>
  <si>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39.5–40.5%</t>
    </r>
    <r>
      <rPr>
        <sz val="11"/>
        <color theme="1"/>
        <rFont val="Noto Sans CJK SC"/>
        <family val="2"/>
      </rPr>
      <t xml:space="preserve">（公司）</t>
    </r>
  </si>
  <si>
    <t xml:space="preserve">eps_g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</si>
  <si>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</si>
  <si>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</si>
  <si>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4.05–4.35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</si>
  <si>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不用）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</si>
  <si>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</si>
  <si>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稀釋股數指引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</si>
  <si>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</si>
  <si>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億股（含可轉債假設轉換）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</si>
  <si>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</si>
  <si>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</si>
  <si>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</si>
  <si>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（公司指引）</t>
    </r>
  </si>
  <si>
    <t xml:space="preserve">h_1h</t>
  </si>
  <si>
    <r>
      <rPr>
        <sz val="11"/>
        <color theme="1"/>
        <rFont val="Noto Sans CJK SC"/>
        <family val="2"/>
      </rPr>
      <t xml:space="preserve">日曆年上半年營收占全年比（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起；換算會計年度用）</t>
    </r>
  </si>
  <si>
    <r>
      <rPr>
        <sz val="11"/>
        <color theme="1"/>
        <rFont val="Noto Sans CJK SC"/>
        <family val="2"/>
      </rPr>
      <t xml:space="preserve">成長期上半年小於一半；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上半年占 </t>
    </r>
    <r>
      <rPr>
        <sz val="11"/>
        <color theme="1"/>
        <rFont val="Calibri"/>
        <family val="2"/>
        <charset val="1"/>
      </rPr>
      <t xml:space="preserve">40.6%</t>
    </r>
    <r>
      <rPr>
        <sz val="11"/>
        <color theme="1"/>
        <rFont val="Noto Sans CJK SC"/>
        <family val="2"/>
      </rPr>
      <t xml:space="preserve">（推導，高成長）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</si>
  <si>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下半年＋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上半年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</si>
  <si>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；百萬美元）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</si>
  <si>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</si>
  <si>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</si>
  <si>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1,645.0</t>
    </r>
  </si>
  <si>
    <r>
      <rPr>
        <sz val="11"/>
        <color theme="1"/>
        <rFont val="Calibri"/>
        <family val="2"/>
        <charset val="1"/>
      </rPr>
      <t xml:space="preserve">https://www.01net.it/lumentum-announces-fourth-quarter-and-full-fiscal-year-2026-results/</t>
    </r>
    <r>
      <rPr>
        <sz val="11"/>
        <color theme="1"/>
        <rFont val="Noto Sans CJK SC"/>
        <family val="2"/>
      </rPr>
      <t xml:space="preserve">：同值（轉載）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</si>
  <si>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</si>
  <si>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</si>
  <si>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34.7%</t>
    </r>
  </si>
  <si>
    <t xml:space="preserve">GAAP 28.0%</t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</si>
  <si>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</si>
  <si>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</si>
  <si>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256.0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155.4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</si>
  <si>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</si>
  <si>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</si>
  <si>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146.4</t>
    </r>
  </si>
  <si>
    <t xml:space="preserve">GAAP 25.9</t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</si>
  <si>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</si>
  <si>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</si>
  <si>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2.06</t>
    </r>
  </si>
  <si>
    <t xml:space="preserve">GAAP 0.37</t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</si>
  <si>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</si>
  <si>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</si>
  <si>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3,014.0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2,005.6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1,008.4</t>
    </r>
    <r>
      <rPr>
        <sz val="11"/>
        <color theme="1"/>
        <rFont val="Noto Sans CJK SC"/>
        <family val="2"/>
      </rPr>
      <t xml:space="preserve">）</t>
    </r>
  </si>
  <si>
    <t xml:space="preserve">a25_cmp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</si>
  <si>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元件（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</si>
  <si>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：產品類別 </t>
    </r>
    <r>
      <rPr>
        <sz val="11"/>
        <color theme="1"/>
        <rFont val="Calibri"/>
        <family val="2"/>
        <charset val="1"/>
      </rPr>
      <t xml:space="preserve">Components 1,116.3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Systems 528.7</t>
    </r>
  </si>
  <si>
    <r>
      <rPr>
        <sz val="11"/>
        <color theme="1"/>
        <rFont val="Noto Sans CJK SC"/>
        <family val="2"/>
      </rPr>
      <t xml:space="preserve">單一報告分部；公司依產品類別揭露 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Systems</t>
    </r>
  </si>
  <si>
    <t xml:space="preserve">a25_sys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</si>
  <si>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Systems</t>
    </r>
    <r>
      <rPr>
        <sz val="11"/>
        <color theme="1"/>
        <rFont val="Noto Sans CJK SC"/>
        <family val="2"/>
      </rPr>
      <t xml:space="preserve">）營收</t>
    </r>
  </si>
  <si>
    <t xml:space="preserve">https://www.sec.gov/Archives/edgar/data/0001633978/000162828026055726/lite_ex991xq4fy26.htm</t>
  </si>
  <si>
    <t xml:space="preserve">a26_cmp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</si>
  <si>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元件（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</si>
  <si>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Components 2,005.6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Systems 1,008.4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</si>
  <si>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t xml:space="preserve">a26_sys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</si>
  <si>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Systems</t>
    </r>
    <r>
      <rPr>
        <sz val="11"/>
        <color theme="1"/>
        <rFont val="Noto Sans CJK SC"/>
        <family val="2"/>
      </rPr>
      <t xml:space="preserve">）營收</t>
    </r>
  </si>
  <si>
    <t xml:space="preserve">a26_gm_in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</si>
  <si>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</si>
  <si>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46.0%</t>
    </r>
    <r>
      <rPr>
        <sz val="11"/>
        <color theme="1"/>
        <rFont val="Noto Sans CJK SC"/>
        <family val="2"/>
      </rPr>
      <t xml:space="preserve">（第四季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</si>
  <si>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GAAP 41.7%</t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</si>
  <si>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</si>
  <si>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</si>
  <si>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304.8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184.9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</si>
  <si>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</si>
  <si>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</si>
  <si>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782.3</t>
    </r>
  </si>
  <si>
    <r>
      <rPr>
        <sz val="11"/>
        <color theme="1"/>
        <rFont val="Calibri"/>
        <family val="2"/>
        <charset val="1"/>
      </rPr>
      <t xml:space="preserve">GAAP −6,935.1</t>
    </r>
    <r>
      <rPr>
        <sz val="11"/>
        <color theme="1"/>
        <rFont val="Noto Sans CJK SC"/>
        <family val="2"/>
      </rPr>
      <t xml:space="preserve">（含可轉債清償損失 </t>
    </r>
    <r>
      <rPr>
        <sz val="11"/>
        <color theme="1"/>
        <rFont val="Calibri"/>
        <family val="2"/>
        <charset val="1"/>
      </rPr>
      <t xml:space="preserve">7,756.6</t>
    </r>
    <r>
      <rPr>
        <sz val="11"/>
        <color theme="1"/>
        <rFont val="Noto Sans CJK SC"/>
        <family val="2"/>
      </rPr>
      <t xml:space="preserve">，非現金）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</si>
  <si>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</si>
  <si>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</si>
  <si>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</si>
  <si>
    <t xml:space="preserve">GAAP −92.96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</si>
  <si>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損益參數（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</si>
  <si>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</si>
  <si>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</si>
  <si>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第一季指引隱含約 </t>
    </r>
    <r>
      <rPr>
        <sz val="11"/>
        <color theme="1"/>
        <rFont val="Calibri"/>
        <family val="2"/>
        <charset val="1"/>
      </rPr>
      <t xml:space="preserve">51–52%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＋ 營業費用率約 </t>
    </r>
    <r>
      <rPr>
        <sz val="11"/>
        <color theme="1"/>
        <rFont val="Calibri"/>
        <family val="2"/>
        <charset val="1"/>
      </rPr>
      <t xml:space="preserve">11–12%</t>
    </r>
    <r>
      <rPr>
        <sz val="11"/>
        <color theme="1"/>
        <rFont val="Noto Sans CJK SC"/>
        <family val="2"/>
      </rPr>
      <t xml:space="preserve">，推導）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</si>
  <si>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：公司長期毛利率目標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以上（凱基轉述）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</si>
  <si>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</si>
  <si>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</si>
  <si>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200G 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規模效益（上推）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光模組占比上升、降價（下壓）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</si>
  <si>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</si>
  <si>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</si>
  <si>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供給缺口收斂後價格回落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</si>
  <si>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</si>
  <si>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</si>
  <si>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</si>
  <si>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公司：營業利益率目標由 </t>
    </r>
    <r>
      <rPr>
        <sz val="11"/>
        <color theme="1"/>
        <rFont val="Calibri"/>
        <family val="2"/>
        <charset val="1"/>
      </rPr>
      <t xml:space="preserve">38–42% </t>
    </r>
    <r>
      <rPr>
        <sz val="11"/>
        <color theme="1"/>
        <rFont val="Noto Sans CJK SC"/>
        <family val="2"/>
      </rPr>
      <t xml:space="preserve">可再上調 </t>
    </r>
    <r>
      <rPr>
        <sz val="11"/>
        <color theme="1"/>
        <rFont val="Calibri"/>
        <family val="2"/>
        <charset val="1"/>
      </rPr>
      <t xml:space="preserve">100–200bp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</si>
  <si>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</si>
  <si>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</si>
  <si>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</si>
  <si>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</si>
  <si>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</si>
  <si>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oi_oth</t>
  </si>
  <si>
    <r>
      <rPr>
        <sz val="11"/>
        <color theme="1"/>
        <rFont val="Noto Sans CJK SC"/>
        <family val="2"/>
      </rPr>
      <t xml:space="preserve">營業外淨收入（利息等，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</si>
  <si>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第一季指引推導：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營業利益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</si>
  <si>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27.4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年底，公司）</t>
    </r>
  </si>
  <si>
    <t xml:space="preserve">sh_g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</si>
  <si>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</si>
  <si>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股票報酬稀釋；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年可轉債已計入稀釋股數（公司）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</si>
  <si>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系列可轉換特別股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發行；公司）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</si>
  <si>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</si>
  <si>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</si>
  <si>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</si>
  <si>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</si>
  <si>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</si>
  <si>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</si>
  <si>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</si>
  <si>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56–72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</si>
  <si>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：同值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</si>
  <si>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</si>
  <si>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</si>
  <si>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</si>
  <si>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家；該頁年度與季度數字不一致）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</si>
  <si>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</si>
  <si>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</si>
  <si>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</si>
  <si>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</si>
  <si>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</si>
  <si>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trefis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</si>
  <si>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55.5%</t>
    </r>
  </si>
  <si>
    <t xml:space="preserve">口徑未說明</t>
  </si>
  <si>
    <t xml:space="preserve">kgi_m26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</si>
  <si>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</si>
  <si>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百萬個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</si>
  <si>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54.2M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13.0M</t>
    </r>
  </si>
  <si>
    <t xml:space="preserve">券商；只作對照</t>
  </si>
  <si>
    <t xml:space="preserve">kgi_m27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</si>
  <si>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</si>
  <si>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76.7M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30.8M</t>
    </r>
  </si>
  <si>
    <t xml:space="preserve">kgi_m28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</si>
  <si>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</si>
  <si>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90.9M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60.2M</t>
    </r>
  </si>
  <si>
    <t xml:space="preserve">tf_eml3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</si>
  <si>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前三大合計份額（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</si>
  <si>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</si>
  <si>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個別份額：未找到</t>
    </r>
  </si>
  <si>
    <t xml:space="preserve">cust_a</t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</si>
  <si>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</si>
  <si>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 26.6%</t>
    </r>
    <r>
      <rPr>
        <sz val="11"/>
        <color theme="1"/>
        <rFont val="Noto Sans CJK SC"/>
        <family val="2"/>
      </rPr>
      <t xml:space="preserve">、客戶 </t>
    </r>
    <r>
      <rPr>
        <sz val="11"/>
        <color theme="1"/>
        <rFont val="Calibri"/>
        <family val="2"/>
        <charset val="1"/>
      </rPr>
      <t xml:space="preserve">B 15.0%</t>
    </r>
  </si>
  <si>
    <t xml:space="preserve">客戶名稱：未揭露</t>
  </si>
  <si>
    <t xml:space="preserve">kgi_pe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</si>
  <si>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LITE </t>
    </r>
    <r>
      <rPr>
        <sz val="11"/>
        <color theme="1"/>
        <rFont val="Noto Sans CJK SC"/>
        <family val="2"/>
      </rPr>
      <t xml:space="preserve">歷史平均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</si>
  <si>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）：歷史平均 </t>
    </r>
    <r>
      <rPr>
        <sz val="11"/>
        <color theme="1"/>
        <rFont val="Calibri"/>
        <family val="2"/>
        <charset val="1"/>
      </rPr>
      <t xml:space="preserve">45.0x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66.2x</t>
    </r>
    <r>
      <rPr>
        <sz val="11"/>
        <color theme="1"/>
        <rFont val="Noto Sans CJK SC"/>
        <family val="2"/>
      </rPr>
      <t xml:space="preserve">、最新 </t>
    </r>
    <r>
      <rPr>
        <sz val="11"/>
        <color theme="1"/>
        <rFont val="Calibri"/>
        <family val="2"/>
        <charset val="1"/>
      </rPr>
      <t xml:space="preserve">42.7x</t>
    </r>
  </si>
  <si>
    <t xml:space="preserve">計算口徑未說明；只作對照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</si>
  <si>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</si>
  <si>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</si>
  <si>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</si>
  <si>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</si>
  <si>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756.24</t>
    </r>
    <r>
      <rPr>
        <sz val="11"/>
        <color theme="1"/>
        <rFont val="Noto Sans CJK SC"/>
        <family val="2"/>
      </rPr>
      <t xml:space="preserve">（頁面標 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</si>
  <si>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</si>
  <si>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年內高點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</si>
  <si>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年內低點 </t>
    </r>
    <r>
      <rPr>
        <sz val="11"/>
        <color theme="1"/>
        <rFont val="Calibri"/>
        <family val="2"/>
        <charset val="1"/>
      </rPr>
      <t xml:space="preserve">317.61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1,143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</si>
  <si>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週高點：未找到（以年內高點代用）</t>
    </r>
  </si>
  <si>
    <t xml:space="preserve">sh_basic</t>
  </si>
  <si>
    <r>
      <rPr>
        <sz val="11"/>
        <color theme="1"/>
        <rFont val="Noto Sans CJK SC"/>
        <family val="2"/>
      </rPr>
      <t xml:space="preserve">普通股股數（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</si>
  <si>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</si>
  <si>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</si>
  <si>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</si>
  <si>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</si>
  <si>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</si>
  <si>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</si>
  <si>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</si>
  <si>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</si>
  <si>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</si>
  <si>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</si>
  <si>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</si>
  <si>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</si>
  <si>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</si>
  <si>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</si>
  <si>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</si>
  <si>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</si>
  <si>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</si>
  <si>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</si>
  <si>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</si>
  <si>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</si>
  <si>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FY2024 −47.25%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FY2026 −240.03%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淨損含可轉債公允價值損失）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</si>
  <si>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</si>
  <si>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</si>
  <si>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</si>
  <si>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</si>
  <si>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</si>
  <si>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</si>
  <si>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</si>
  <si>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</si>
  <si>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</si>
  <si>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</si>
  <si>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</si>
  <si>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</si>
  <si>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</si>
  <si>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</si>
  <si>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</si>
  <si>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</si>
  <si>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</si>
  <si>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</si>
  <si>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</si>
  <si>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</si>
  <si>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</si>
  <si>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</si>
  <si>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</si>
  <si>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</si>
  <si>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</si>
  <si>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</si>
  <si>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</si>
  <si>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tickflow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；單一來源，可信度低）；本模型前瞻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</si>
  <si>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</si>
  <si>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</si>
  <si>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</si>
  <si>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</si>
  <si>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</si>
  <si>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</si>
  <si>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</si>
  <si>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</si>
  <si>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</si>
  <si>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</si>
  <si>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</si>
  <si>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</si>
  <si>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</si>
  <si>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</si>
  <si>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</si>
  <si>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</si>
  <si>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</si>
  <si>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</si>
  <si>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</si>
  <si>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</si>
  <si>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</si>
  <si>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</si>
  <si>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</si>
  <si>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</si>
  <si>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</si>
  <si>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</si>
  <si>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</si>
  <si>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</si>
  <si>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</si>
  <si>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</si>
  <si>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</si>
  <si>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</si>
  <si>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</si>
  <si>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</si>
  <si>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</si>
  <si>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</si>
  <si>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</si>
  <si>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</si>
  <si>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</si>
  <si>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</si>
  <si>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為美元；股數為百萬股）。藍字＝輸入；黑字＝公式。口徑：公司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可轉債清償損失 </t>
    </r>
    <r>
      <rPr>
        <sz val="11"/>
        <color theme="1"/>
        <rFont val="Calibri"/>
        <family val="2"/>
        <charset val="1"/>
      </rPr>
      <t xml:space="preserve">77.6 </t>
    </r>
    <r>
      <rPr>
        <sz val="11"/>
        <color theme="1"/>
        <rFont val="Noto Sans CJK SC"/>
        <family val="2"/>
      </rPr>
      <t xml:space="preserve">億美元等非現金項目，不用於預測）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</si>
  <si>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）＋第四季（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）實績＋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）指引中點＋第二季（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，季增假設）。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）公布後以實績取代第一季、並以新指引取代第二季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</si>
  <si>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</si>
  <si>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</si>
  <si>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</si>
  <si>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</si>
  <si>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</si>
  <si>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</si>
  <si>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</t>
    </r>
  </si>
  <si>
    <t xml:space="preserve">2H CY2026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</si>
  <si>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</si>
  <si>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</si>
  <si>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</si>
  <si>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CY(t−1) 7 </t>
    </r>
    <r>
      <rPr>
        <sz val="11"/>
        <color theme="1"/>
        <rFont val="Noto Sans CJK SC"/>
        <family val="2"/>
      </rPr>
      <t xml:space="preserve">月起算；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後兩季＋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前兩季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</si>
  <si>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</si>
  <si>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</si>
  <si>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營業費用（研發＋銷管，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</si>
  <si>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</si>
  <si>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公司揭露營業利益率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第一季＝指引營業利益率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</si>
  <si>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</si>
  <si>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</si>
  <si>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</si>
  <si>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營業利益（營業外與稅）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</si>
  <si>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起＝（營業利益＋營業外）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</si>
  <si>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</si>
  <si>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FY2025 71.2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90.2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</si>
  <si>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</si>
  <si>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</si>
  <si>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</si>
  <si>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</si>
  <si>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</t>
    </r>
  </si>
  <si>
    <r>
      <rPr>
        <sz val="11"/>
        <color theme="1"/>
        <rFont val="Noto Sans CJK SC"/>
        <family val="2"/>
      </rPr>
      <t xml:space="preserve">產品拆分：電信與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</si>
  <si>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產品拆分：工業雷射與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</si>
  <si>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產品拆分：光模組（收發器）</t>
  </si>
  <si>
    <r>
      <rPr>
        <sz val="11"/>
        <color theme="1"/>
        <rFont val="Noto Sans CJK SC"/>
        <family val="2"/>
      </rPr>
      <t xml:space="preserve">產品拆分：雷射晶片（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；殘差）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</si>
  <si>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</si>
  <si>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Noto Sans CJK SC"/>
        <family val="2"/>
      </rPr>
      <t xml:space="preserve">元件部門（約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）≈ 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</si>
  <si>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</si>
  <si>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參考與推導（校準未使用共識）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</si>
  <si>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</si>
  <si>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</si>
  <si>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2H CY2026 ÷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</si>
  <si>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</si>
  <si>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元件部門占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第四季營收（公司揭露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</t>
    </r>
  </si>
  <si>
    <t xml:space="preserve">1H CY2026 ÷ CY2026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</si>
  <si>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高速光模組數量、每模組雷射數與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份額（日曆年；情境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）。雷射份額是上游元件口徑（占光模組內雷射金額），不可與中際旭創等光模組廠份額相加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</si>
  <si>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</si>
  <si>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</si>
  <si>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</si>
  <si>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</si>
  <si>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高速光模組數量（情境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</si>
  <si>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網通模型可插拔金額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</si>
  <si>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每模組雷射數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</si>
  <si>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顆、矽光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</t>
    </r>
  </si>
  <si>
    <t xml:space="preserve">光模組雷射市場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</si>
  <si>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</si>
  <si>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以錨點殘差校準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</si>
  <si>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雷射晶片營收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</si>
  <si>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光模組份額（模組廠口徑）</t>
    </r>
  </si>
  <si>
    <t xml:space="preserve">與中際旭創份額同口徑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</si>
  <si>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</si>
  <si>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</si>
  <si>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</si>
  <si>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</si>
  <si>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</si>
  <si>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讀法：雷射有效份額由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產品拆分的殘差推得（拆分為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），是最需要每季檢查的輸入；每模組雷射數隨矽光比重上升而下降，單價隨 </t>
    </r>
    <r>
      <rPr>
        <b val="true"/>
        <sz val="11"/>
        <rFont val="Cambria"/>
        <family val="0"/>
        <charset val="1"/>
      </rPr>
      <t xml:space="preserve">200G EML </t>
    </r>
    <r>
      <rPr>
        <b val="true"/>
        <sz val="11"/>
        <rFont val="Noto Sans CJK SC"/>
        <family val="2"/>
      </rPr>
      <t xml:space="preserve">比重上升而上升。</t>
    </r>
  </si>
  <si>
    <r>
      <rPr>
        <sz val="11"/>
        <color theme="1"/>
        <rFont val="Calibri"/>
        <family val="2"/>
        <charset val="1"/>
      </rPr>
      <t xml:space="preserve">PL — Lumentum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</si>
  <si>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</si>
  <si>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</si>
  <si>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</si>
  <si>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</si>
  <si>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</si>
  <si>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</si>
  <si>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</si>
  <si>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</si>
  <si>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</si>
  <si>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</si>
  <si>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</si>
  <si>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</si>
  <si>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  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</si>
  <si>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</si>
  <si>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</si>
  <si>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</si>
  <si>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</si>
  <si>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</si>
  <si>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</si>
  <si>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模型營收 − 錨點；雷射晶片營收 − 殘差（校準恆等式）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</si>
  <si>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</si>
  <si>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</si>
  <si>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</si>
  <si>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</si>
  <si>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日曆年產品營收（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CY2027–CY2029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</si>
  <si>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</si>
  <si>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</si>
  <si>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光模組平均單價</t>
  </si>
  <si>
    <r>
      <rPr>
        <sz val="11"/>
        <color theme="1"/>
        <rFont val="Noto Sans CJK SC"/>
        <family val="2"/>
      </rPr>
      <t xml:space="preserve">高速光模組數量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</si>
  <si>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每模組雷射數（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</si>
  <si>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t xml:space="preserve">雷射平均單價</t>
  </si>
  <si>
    <r>
      <rPr>
        <sz val="11"/>
        <color theme="1"/>
        <rFont val="Noto Sans CJK SC"/>
        <family val="2"/>
      </rPr>
      <t xml:space="preserve">光模組雷射市場 ＝ 數量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</si>
  <si>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雷射晶片營收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雷射市場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</si>
  <si>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：雷射晶片營收為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錨點殘差</t>
    </r>
  </si>
  <si>
    <r>
      <rPr>
        <sz val="11"/>
        <color theme="1"/>
        <rFont val="Noto Sans CJK SC"/>
        <family val="2"/>
      </rPr>
      <t xml:space="preserve">雷射份額相對值（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</si>
  <si>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雷射有效份額</t>
  </si>
  <si>
    <r>
      <rPr>
        <sz val="11"/>
        <color theme="1"/>
        <rFont val="Noto Sans CJK SC"/>
        <family val="2"/>
      </rPr>
      <t xml:space="preserve">雷射晶片營收（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</si>
  <si>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光模組份額（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</si>
  <si>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t xml:space="preserve">光模組份額</t>
  </si>
  <si>
    <t xml:space="preserve">光模組營收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</si>
  <si>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</si>
  <si>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相對值）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</si>
  <si>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</si>
  <si>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／外部光源營收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</si>
  <si>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</si>
  <si>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</si>
  <si>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</si>
  <si>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Noto Sans CJK SC"/>
        <family val="2"/>
      </rPr>
      <t xml:space="preserve">元件（雷射晶片＋電信與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感測一半；日曆年）</t>
    </r>
  </si>
  <si>
    <r>
      <rPr>
        <sz val="11"/>
        <color theme="1"/>
        <rFont val="Noto Sans CJK SC"/>
        <family val="2"/>
      </rPr>
      <t xml:space="preserve">對應口徑與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頁元件部門相同</t>
    </r>
  </si>
  <si>
    <r>
      <rPr>
        <sz val="11"/>
        <color theme="1"/>
        <rFont val="Noto Sans CJK SC"/>
        <family val="2"/>
      </rPr>
      <t xml:space="preserve">系統（光模組＋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感測一半；日曆年）</t>
    </r>
  </si>
  <si>
    <t xml:space="preserve">營收（日曆年）</t>
  </si>
  <si>
    <t xml:space="preserve">營收年增（日曆年）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</si>
  <si>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會計年度損益（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下半年＋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上半年；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</si>
  <si>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相關營收（會計年度）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</si>
  <si>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 × CY2027</t>
    </r>
  </si>
  <si>
    <r>
      <rPr>
        <sz val="11"/>
        <color theme="1"/>
        <rFont val="Noto Sans CJK SC"/>
        <family val="2"/>
      </rPr>
      <t xml:space="preserve">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感測（會計年度）</t>
    </r>
  </si>
  <si>
    <r>
      <rPr>
        <sz val="11"/>
        <color theme="1"/>
        <rFont val="Noto Sans CJK SC"/>
        <family val="2"/>
      </rPr>
      <t xml:space="preserve">元件營收（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</si>
  <si>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公司產品類別：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</si>
  <si>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Systems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</si>
  <si>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公司產品類別：</t>
    </r>
    <r>
      <rPr>
        <sz val="11"/>
        <color theme="1"/>
        <rFont val="Calibri"/>
        <family val="2"/>
        <charset val="1"/>
      </rPr>
      <t xml:space="preserve">Systems</t>
    </r>
  </si>
  <si>
    <t xml:space="preserve">檢查：元件＋系統 − 合併營收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</si>
  <si>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</si>
  <si>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</si>
  <si>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</si>
  <si>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營業費用（研發＋銷管）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</si>
  <si>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</si>
  <si>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</si>
  <si>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</si>
  <si>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</si>
  <si>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</si>
  <si>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</si>
  <si>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</si>
  <si>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</si>
  <si>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</si>
  <si>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</si>
  <si>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</si>
  <si>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</si>
  <si>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</si>
  <si>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</si>
  <si>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</si>
  <si>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</si>
  <si>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</si>
  <si>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</si>
  <si>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</si>
  <si>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</si>
  <si>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</si>
  <si>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</si>
  <si>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</si>
  <si>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</si>
  <si>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</si>
  <si>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</si>
  <si>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</si>
  <si>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</si>
  <si>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</si>
  <si>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</si>
  <si>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</si>
  <si>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</si>
  <si>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</si>
  <si>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</si>
  <si>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</si>
  <si>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</si>
  <si>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</si>
  <si>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</si>
  <si>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</si>
  <si>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</si>
  <si>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</si>
  <si>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</si>
  <si>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</si>
  <si>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</si>
  <si>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</si>
  <si>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</si>
  <si>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</si>
  <si>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</si>
  <si>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</si>
  <si>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</si>
  <si>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</si>
  <si>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</si>
  <si>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</si>
  <si>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</si>
  <si>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</si>
  <si>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</si>
  <si>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</si>
  <si>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</si>
  <si>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</si>
  <si>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</si>
  <si>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</si>
  <si>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</si>
  <si>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</si>
  <si>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</si>
  <si>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</si>
  <si>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</si>
  <si>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</si>
  <si>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</si>
  <si>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</si>
  <si>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</si>
  <si>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</si>
  <si>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</si>
  <si>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</si>
  <si>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</si>
  <si>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</si>
  <si>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</si>
  <si>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</si>
  <si>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</si>
  <si>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</si>
  <si>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</si>
  <si>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</si>
  <si>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</si>
  <si>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</si>
  <si>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</si>
  <si>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仍增加，三情境皆中段＝中位數）；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（推導）。十年倍數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年落在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感測期（約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），偏誤方向為低估；另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三情境相近（只差在網通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情境）、且低於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也偏低。對照：凱基歷史平均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（口徑未說明）、現價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35x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</si>
  <si>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</si>
  <si>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</si>
  <si>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</si>
  <si>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</si>
  <si>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</si>
  <si>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</si>
  <si>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</si>
  <si>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</si>
  <si>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</si>
  <si>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</si>
  <si>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</si>
  <si>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</si>
  <si>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 </t>
    </r>
    <r>
      <rPr>
        <sz val="11"/>
        <color theme="1"/>
        <rFont val="Noto Sans CJK SC"/>
        <family val="2"/>
      </rPr>
      <t xml:space="preserve">年內高點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</si>
  <si>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市值（普通股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現價；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</si>
  <si>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</si>
  <si>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</si>
  <si>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</si>
  <si>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</si>
  <si>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</si>
  <si>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</si>
  <si>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</si>
  <si>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</si>
  <si>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</si>
  <si>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</si>
  <si>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</si>
  <si>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</si>
  <si>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</si>
  <si>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</si>
  <si>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</si>
  <si>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</si>
  <si>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</si>
  <si>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</si>
  <si>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</si>
  <si>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</si>
  <si>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中位數（規則中段倍數）。若市場對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只給歷史中位數倍數，現價隱含的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遠高於模型——現價定價的是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時代的較高倍數或比模型更高的獲利（見第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節目標價方法）。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</si>
  <si>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</si>
  <si>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</si>
  <si>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推導序列（與模型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）只列參考。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以電信、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感測為主（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前），倍數約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轉型期倍數 </t>
    </r>
    <r>
      <rPr>
        <sz val="11"/>
        <color theme="1"/>
        <rFont val="Calibri"/>
        <family val="2"/>
        <charset val="1"/>
      </rPr>
      <t xml:space="preserve">55–69x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</si>
  <si>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</si>
  <si>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</si>
  <si>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</si>
  <si>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</si>
  <si>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</si>
  <si>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</si>
  <si>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：公司新聞稿 </t>
    </r>
    <r>
      <rPr>
        <sz val="11"/>
        <color theme="1"/>
        <rFont val="Calibri"/>
        <family val="2"/>
        <charset val="1"/>
      </rPr>
      <t xml:space="preserve">FY2016–FY2026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月＝年底前後兩個會計年度平均）；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口徑含併購攤銷、可轉債損失，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為負不列；只作參考、不採用）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</si>
  <si>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</si>
  <si>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FY2018 non-GAAP EPS 3.82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同值（新聞稿擷取結果，待人工複核）；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起為公司新口徑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</si>
  <si>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</si>
  <si>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</si>
  <si>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</si>
  <si>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</si>
  <si>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</si>
  <si>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</si>
  <si>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</si>
  <si>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</si>
  <si>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</si>
  <si>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</si>
  <si>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</si>
  <si>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</si>
  <si>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</si>
  <si>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</si>
  <si>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</si>
  <si>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</si>
  <si>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</si>
  <si>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</si>
  <si>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</si>
  <si>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</si>
  <si>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</si>
  <si>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</si>
  <si>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</si>
  <si>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</si>
  <si>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</si>
  <si>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</si>
  <si>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</si>
  <si>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</si>
  <si>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</si>
  <si>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</si>
  <si>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</si>
  <si>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</si>
  <si>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</si>
  <si>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</si>
  <si>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</si>
  <si>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公司指引、共識、券商與研調。只作事後對照，不為對上數字而調參數。共識區間寬（</t>
    </r>
    <r>
      <rPr>
        <sz val="11"/>
        <color theme="1"/>
        <rFont val="Calibri"/>
        <family val="2"/>
        <charset val="1"/>
      </rPr>
      <t xml:space="preserve">FY2027 EPS 19.05–25.27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共識只有單一來源、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</si>
  <si>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</si>
  <si>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</si>
  <si>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</si>
  <si>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</si>
  <si>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</si>
  <si>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</si>
  <si>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</si>
  <si>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</si>
  <si>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</si>
  <si>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</si>
  <si>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56–72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</si>
  <si>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上半年＝指引＋季增假設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</si>
  <si>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</si>
  <si>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</si>
  <si>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共識（單一來源）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</si>
  <si>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</si>
  <si>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t xml:space="preserve">該頁年度與季度數字不一致；可信度低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</si>
  <si>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trefis </t>
    </r>
    <r>
      <rPr>
        <sz val="11"/>
        <color theme="1"/>
        <rFont val="Noto Sans CJK SC"/>
        <family val="2"/>
      </rPr>
      <t xml:space="preserve">轉述共識</t>
    </r>
  </si>
  <si>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</si>
  <si>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數量、份額與產品（機制檢查）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</si>
  <si>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</si>
  <si>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</si>
  <si>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差距＝網通模型金額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券商數量；凱基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年遠高於網通模型（網通模型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年保守）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</si>
  <si>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</si>
  <si>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</si>
  <si>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雷射有效份額 </t>
    </r>
    <r>
      <rPr>
        <sz val="11"/>
        <color theme="1"/>
        <rFont val="Calibri"/>
        <family val="2"/>
        <charset val="1"/>
      </rPr>
      <t xml:space="preserve">vs EML </t>
    </r>
    <r>
      <rPr>
        <sz val="11"/>
        <color theme="1"/>
        <rFont val="Noto Sans CJK SC"/>
        <family val="2"/>
      </rPr>
      <t xml:space="preserve">前三大合計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（百分點）</t>
    </r>
  </si>
  <si>
    <t xml:space="preserve">TrendForce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</si>
  <si>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、以金額計；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前三大合計的三分之一約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第一、</t>
    </r>
    <r>
      <rPr>
        <sz val="11"/>
        <color theme="1"/>
        <rFont val="Calibri"/>
        <family val="2"/>
        <charset val="1"/>
      </rPr>
      <t xml:space="preserve">200G </t>
    </r>
    <r>
      <rPr>
        <sz val="11"/>
        <color theme="1"/>
        <rFont val="Noto Sans CJK SC"/>
        <family val="2"/>
      </rPr>
      <t xml:space="preserve">唯一量產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</si>
  <si>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</si>
  <si>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</si>
  <si>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元件類（雷射＋電信與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元件部門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</si>
  <si>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第四季部門</t>
    </r>
  </si>
  <si>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感測（元件）與工業雷射（系統）各半，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</si>
  <si>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CY2027 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Coherent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億美元（占比）</t>
    </r>
  </si>
  <si>
    <r>
      <rPr>
        <sz val="11"/>
        <color theme="1"/>
        <rFont val="Noto Sans CJK SC"/>
        <family val="2"/>
      </rPr>
      <t xml:space="preserve">凱基轉述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</si>
  <si>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</si>
  <si>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</si>
  <si>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</si>
  <si>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雷射有效份額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</si>
  <si>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</si>
  <si>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推導股數）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公司揭露（股數由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推導，恆等）</t>
    </r>
  </si>
  <si>
    <t xml:space="preserve">公司</t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</si>
  <si>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</si>
  <si>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8.67</t>
    </r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</si>
  <si>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90.2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</si>
  <si>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第一季營業外淨收入（推導，年化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</si>
  <si>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</si>
  <si>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</si>
  <si>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</si>
  <si>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</si>
  <si>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頁第一季、以新指引取代第二季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</si>
  <si>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</si>
  <si>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</si>
  <si>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</si>
  <si>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</si>
  <si>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</si>
  <si>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</si>
  <si>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</si>
  <si>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</si>
  <si>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</si>
  <si>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</si>
  <si>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</si>
  <si>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</si>
  <si>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</si>
  <si>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</si>
  <si>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雷射份額流失（低）</t>
  </si>
  <si>
    <r>
      <rPr>
        <sz val="11"/>
        <color theme="1"/>
        <rFont val="Noto Sans CJK SC"/>
        <family val="2"/>
      </rPr>
      <t xml:space="preserve">雷射份額相對值 </t>
    </r>
    <r>
      <rPr>
        <sz val="11"/>
        <color theme="1"/>
        <rFont val="Calibri"/>
        <family val="2"/>
        <charset val="1"/>
      </rPr>
      <t xml:space="preserve">CY2027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追趕）</t>
    </r>
  </si>
  <si>
    <t xml:space="preserve">雷射份額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</si>
  <si>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Greensboro </t>
    </r>
    <r>
      <rPr>
        <sz val="11"/>
        <color theme="1"/>
        <rFont val="Noto Sans CJK SC"/>
        <family val="2"/>
      </rPr>
      <t xml:space="preserve">擴產）</t>
    </r>
  </si>
  <si>
    <t xml:space="preserve">每模組雷射數 低（矽光替代）</t>
  </si>
  <si>
    <r>
      <rPr>
        <sz val="11"/>
        <color theme="1"/>
        <rFont val="Calibri"/>
        <family val="2"/>
        <charset val="1"/>
      </rPr>
      <t xml:space="preserve">CY2027 4.5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3.5 </t>
    </r>
    <r>
      <rPr>
        <sz val="11"/>
        <color theme="1"/>
        <rFont val="Noto Sans CJK SC"/>
        <family val="2"/>
      </rPr>
      <t xml:space="preserve">顆</t>
    </r>
  </si>
  <si>
    <t xml:space="preserve">雷射單價 低</t>
  </si>
  <si>
    <r>
      <rPr>
        <sz val="11"/>
        <color theme="1"/>
        <rFont val="Calibri"/>
        <family val="2"/>
        <charset val="1"/>
      </rPr>
      <t xml:space="preserve">CY2027 $12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CY2029 $10</t>
    </r>
  </si>
  <si>
    <t xml:space="preserve">雷射單價 高</t>
  </si>
  <si>
    <r>
      <rPr>
        <sz val="11"/>
        <color theme="1"/>
        <rFont val="Calibri"/>
        <family val="2"/>
        <charset val="1"/>
      </rPr>
      <t xml:space="preserve">$17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</si>
  <si>
    <t xml:space="preserve">光模組單價 高（模組數少）</t>
  </si>
  <si>
    <r>
      <rPr>
        <sz val="11"/>
        <color theme="1"/>
        <rFont val="Calibri"/>
        <family val="2"/>
        <charset val="1"/>
      </rPr>
      <t xml:space="preserve">CY2027 $640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CY2028 $680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CY2029 $720</t>
    </r>
  </si>
  <si>
    <t xml:space="preserve">光模組份額 低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</si>
  <si>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0.60</t>
    </r>
  </si>
  <si>
    <t xml:space="preserve">光模組份額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</si>
  <si>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</si>
  <si>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</si>
  <si>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營收相對值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</si>
  <si>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</si>
  <si>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</si>
  <si>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</si>
  <si>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t xml:space="preserve">10%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</si>
  <si>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</si>
  <si>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</si>
  <si>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t xml:space="preserve">毛利率 低</t>
  </si>
  <si>
    <r>
      <rPr>
        <sz val="11"/>
        <color theme="1"/>
        <rFont val="Calibri"/>
        <family val="2"/>
        <charset val="1"/>
      </rPr>
      <t xml:space="preserve">FY2027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42%</t>
    </r>
  </si>
  <si>
    <t xml:space="preserve">毛利率 高</t>
  </si>
  <si>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</si>
  <si>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</si>
  <si>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</si>
  <si>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</si>
  <si>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</si>
  <si>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</si>
  <si>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（會計年度換算）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</si>
  <si>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</si>
  <si>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</si>
  <si>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</si>
  <si>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</si>
  <si>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</si>
  <si>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</si>
  <si>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有一半來自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下半年（指引＋假設），所以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對各輸入的敏感度約只有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的一半；顆數情境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起。雷射份額、單價、每模組雷射數三者相乘，是雷射晶片營收的三條路徑。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</si>
  <si>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</si>
  <si>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</si>
  <si>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</si>
  <si>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</si>
  <si>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</si>
  <si>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</si>
  <si>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</si>
  <si>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</si>
  <si>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</si>
  <si>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</si>
  <si>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</si>
  <si>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</si>
  <si>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</si>
  <si>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</si>
  <si>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</si>
  <si>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</si>
  <si>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</si>
  <si>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</si>
  <si>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案例區塊：雷射份額流失（低）（情境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</si>
  <si>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</si>
  <si>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案例區塊：每模組雷射數 低（矽光替代）（情境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</si>
  <si>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</si>
  <si>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</si>
  <si>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案例區塊：光模組單價 高（模組數少）（情境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</si>
  <si>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</si>
  <si>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</si>
  <si>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</si>
  <si>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</si>
  <si>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</si>
  <si>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</si>
  <si>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</si>
  <si>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</si>
  <si>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</si>
  <si>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</si>
  <si>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</si>
  <si>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</si>
  <si>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新聞稿、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、法說簡報；法說內容經第三方轉述者待人工複核）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</si>
  <si>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SEC 8-K EX-99.1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</si>
  <si>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第四季法說簡報</t>
    </r>
  </si>
  <si>
    <t xml:space="preserve">https://s21.q4cdn.com/377324469/files/doc_financials/2026/q4/Q4-FY26-Earnings-Presentation_final.pdf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</si>
  <si>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（部門定義、客戶集中度、股數）</t>
    </r>
  </si>
  <si>
    <t xml:space="preserve">https://www.sec.gov/Archives/edgar/data/0001633978/000162828026057358/lite-20260627.htm</t>
  </si>
  <si>
    <r>
      <rPr>
        <sz val="11"/>
        <color theme="1"/>
        <rFont val="Noto Sans CJK SC"/>
        <family val="2"/>
      </rPr>
      <t xml:space="preserve">公司：歷年新聞稿（</t>
    </r>
    <r>
      <rPr>
        <sz val="11"/>
        <color theme="1"/>
        <rFont val="Calibri"/>
        <family val="2"/>
        <charset val="1"/>
      </rPr>
      <t xml:space="preserve">FY2016–FY2024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</si>
  <si>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https://www.sec.gov/Archives/edgar/data/1633978/000162828024037191/lite_ex991xq4fy24.htm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/000162828022022980/lite_ex991xq4fy22.htm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/000162828021017219/lite_ex991xq4fy21.htm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/000163397819000068/lite_ex991xq4fy19.htm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/000163397818000056/lite_ex991xq4fy18.htm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/000163397817000058/lite_ex991xq4fy17.htm</t>
    </r>
  </si>
  <si>
    <r>
      <rPr>
        <sz val="11"/>
        <color theme="1"/>
        <rFont val="Noto Sans CJK SC"/>
        <family val="2"/>
      </rPr>
      <t xml:space="preserve">二手：法說重點（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Crux Capital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PhotonCap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</si>
  <si>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https://photoncap.net/p/the-8-companies-behind-lumentums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</si>
  <si>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2026-08-18 </t>
    </r>
    <r>
      <rPr>
        <sz val="11"/>
        <color theme="1"/>
        <rFont val="Noto Sans CJK SC"/>
        <family val="2"/>
      </rPr>
      <t xml:space="preserve">光通訊產業報告（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、超高功率雷射、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出貨、歷史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</si>
  <si>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https://www.kgi.com.hk/en/-/media/files/kgishk/research-reports/us-daily/optical-networking-industry_20260818_tc.pdf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</si>
  <si>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產能與份額）</t>
    </r>
  </si>
  <si>
    <t xml:space="preserve">https://www.trendforce.com/presscenter/news/20260603-13077.html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</si>
  <si>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通信行業報告（光模組成本結構）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</si>
  <si>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</si>
  <si>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</si>
  <si>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</si>
  <si>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vcpscanner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investsmart</t>
    </r>
    <r>
      <rPr>
        <sz val="11"/>
        <color theme="1"/>
        <rFont val="Noto Sans CJK SC"/>
        <family val="2"/>
      </rPr>
      <t xml:space="preserve">（年內高低點）、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（年底股價）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</si>
  <si>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https://www.digrin.com/stocks/detail/LITE/price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</si>
  <si>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</si>
  <si>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https://companiesmarketcap.com/lumentum/pe-ratio/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</si>
  <si>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</si>
  <si>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11-05</t>
    </r>
    <r>
      <rPr>
        <sz val="11"/>
        <color theme="1"/>
        <rFont val="Noto Sans CJK SC"/>
        <family val="2"/>
      </rPr>
      <t xml:space="preserve">）；產品別營收（雷射、光模組、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份額；雷射單價；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共識第二來源；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週高點；</t>
    </r>
    <r>
      <rPr>
        <sz val="11"/>
        <color theme="1"/>
        <rFont val="Calibri"/>
        <family val="2"/>
        <charset val="1"/>
      </rPr>
      <t xml:space="preserve">FY2018 non-GAAP EPS </t>
    </r>
    <r>
      <rPr>
        <sz val="11"/>
        <color theme="1"/>
        <rFont val="Noto Sans CJK SC"/>
        <family val="2"/>
      </rPr>
      <t xml:space="preserve">複核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</si>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</sst>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"/>
    <numFmt numFmtId="168" formatCode="0.000"/>
    <numFmt numFmtId="169" formatCode="0.0"/>
    <numFmt numFmtId="170" formatCode="#,##0.00"/>
    <numFmt numFmtId="171" formatCode="#,##0"/>
    <numFmt numFmtId="172" formatCode="0.00%"/>
    <numFmt numFmtId="173" formatCode="0.0000"/>
    <numFmt numFmtId="174" formatCode="#,##0.000"/>
    <numFmt numFmtId="175" formatCode="@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1" t="str">
        <f aca="false">"投資建議："&amp;Val!B50&amp;"（依上檔空間固定規則）"</f>
        <v>投資建議：中立（依上檔空間固定規則）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29.753262</v>
      </c>
      <c r="G5" s="8" t="s">
        <v>32</v>
      </c>
      <c r="H5" s="8" t="s">
        <v>33</v>
      </c>
      <c r="I5" s="5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53.560715</v>
      </c>
      <c r="G6" s="8" t="s">
        <v>32</v>
      </c>
      <c r="H6" s="8" t="s">
        <v>33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57.9915</v>
      </c>
      <c r="G7" s="8" t="s">
        <v>32</v>
      </c>
      <c r="H7" s="8" t="s">
        <v>33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72.9348</v>
      </c>
      <c r="G8" s="8" t="s">
        <v>32</v>
      </c>
      <c r="H8" s="8" t="s">
        <v>33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31</v>
      </c>
      <c r="E9" s="7" t="n">
        <v>0.300538</v>
      </c>
      <c r="G9" s="8" t="s">
        <v>32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31</v>
      </c>
      <c r="E10" s="7" t="n">
        <v>2.818985</v>
      </c>
      <c r="G10" s="8" t="s">
        <v>32</v>
      </c>
      <c r="H10" s="8" t="s">
        <v>44</v>
      </c>
      <c r="I10" s="5" t="s">
        <v>37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31</v>
      </c>
      <c r="E11" s="7" t="n">
        <v>6.4435</v>
      </c>
      <c r="G11" s="8" t="s">
        <v>32</v>
      </c>
      <c r="H11" s="8" t="s">
        <v>44</v>
      </c>
      <c r="I11" s="5" t="s">
        <v>37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31</v>
      </c>
      <c r="E12" s="7" t="n">
        <v>11.74736</v>
      </c>
      <c r="G12" s="8" t="s">
        <v>32</v>
      </c>
      <c r="H12" s="8" t="s">
        <v>44</v>
      </c>
      <c r="I12" s="5" t="s">
        <v>37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5" t="s">
        <v>54</v>
      </c>
      <c r="E13" s="7" t="n">
        <v>3.85</v>
      </c>
      <c r="G13" s="8" t="s">
        <v>32</v>
      </c>
      <c r="H13" s="8" t="s">
        <v>55</v>
      </c>
      <c r="I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5" t="s">
        <v>54</v>
      </c>
      <c r="E14" s="7" t="n">
        <v>5.5</v>
      </c>
      <c r="G14" s="8" t="s">
        <v>32</v>
      </c>
      <c r="H14" s="8" t="s">
        <v>55</v>
      </c>
      <c r="I14" s="5" t="s">
        <v>37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5" t="s">
        <v>54</v>
      </c>
      <c r="E15" s="7" t="n">
        <v>7</v>
      </c>
      <c r="G15" s="8" t="s">
        <v>32</v>
      </c>
      <c r="H15" s="8" t="s">
        <v>55</v>
      </c>
      <c r="I15" s="5" t="s">
        <v>37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5" t="s">
        <v>54</v>
      </c>
      <c r="E16" s="7" t="n">
        <v>8.05</v>
      </c>
      <c r="G16" s="8" t="s">
        <v>32</v>
      </c>
      <c r="H16" s="8" t="s">
        <v>55</v>
      </c>
      <c r="I16" s="5" t="s">
        <v>37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0" t="s">
        <v>31</v>
      </c>
      <c r="E17" s="7" t="n">
        <v>781.872916666666</v>
      </c>
      <c r="G17" s="8" t="s">
        <v>32</v>
      </c>
      <c r="H17" s="8" t="s">
        <v>65</v>
      </c>
      <c r="I17" s="8" t="s">
        <v>66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0" t="s">
        <v>31</v>
      </c>
      <c r="E18" s="7" t="n">
        <v>1565.35</v>
      </c>
      <c r="G18" s="8" t="s">
        <v>32</v>
      </c>
      <c r="H18" s="8" t="s">
        <v>65</v>
      </c>
      <c r="I18" s="5" t="s">
        <v>37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0" t="s">
        <v>31</v>
      </c>
      <c r="E19" s="7" t="n">
        <v>1984.26388888889</v>
      </c>
      <c r="G19" s="8" t="s">
        <v>32</v>
      </c>
      <c r="H19" s="8" t="s">
        <v>65</v>
      </c>
      <c r="I19" s="5" t="s">
        <v>37</v>
      </c>
    </row>
    <row r="20" customFormat="false" ht="17.15" hidden="false" customHeight="false" outlineLevel="0" collapsed="false">
      <c r="A20" s="0" t="s">
        <v>71</v>
      </c>
      <c r="B20" s="0" t="s">
        <v>72</v>
      </c>
      <c r="C20" s="0" t="s">
        <v>31</v>
      </c>
      <c r="E20" s="7" t="n">
        <v>2260.39027777778</v>
      </c>
      <c r="G20" s="8" t="s">
        <v>32</v>
      </c>
      <c r="H20" s="8" t="s">
        <v>65</v>
      </c>
      <c r="I20" s="5" t="s">
        <v>37</v>
      </c>
    </row>
    <row r="21" customFormat="false" ht="17.15" hidden="false" customHeight="false" outlineLevel="0" collapsed="false">
      <c r="A21" s="0" t="s">
        <v>73</v>
      </c>
      <c r="B21" s="5" t="s">
        <v>74</v>
      </c>
      <c r="C21" s="0" t="s">
        <v>75</v>
      </c>
      <c r="E21" s="7" t="n">
        <v>1</v>
      </c>
      <c r="G21" s="8" t="s">
        <v>76</v>
      </c>
      <c r="H21" s="8" t="s">
        <v>77</v>
      </c>
      <c r="I21" s="8" t="s">
        <v>78</v>
      </c>
    </row>
    <row r="22" customFormat="false" ht="17.15" hidden="false" customHeight="false" outlineLevel="0" collapsed="false">
      <c r="A22" s="0" t="s">
        <v>79</v>
      </c>
      <c r="B22" s="5" t="s">
        <v>80</v>
      </c>
      <c r="C22" s="0" t="s">
        <v>75</v>
      </c>
      <c r="E22" s="7" t="n">
        <v>1</v>
      </c>
      <c r="G22" s="8" t="s">
        <v>76</v>
      </c>
      <c r="H22" s="8" t="s">
        <v>81</v>
      </c>
      <c r="I22" s="5" t="s">
        <v>37</v>
      </c>
    </row>
    <row r="23" customFormat="false" ht="17.15" hidden="false" customHeight="false" outlineLevel="0" collapsed="false">
      <c r="A23" s="0" t="s">
        <v>82</v>
      </c>
      <c r="B23" s="5" t="s">
        <v>83</v>
      </c>
      <c r="C23" s="0" t="s">
        <v>75</v>
      </c>
      <c r="E23" s="7" t="n">
        <v>0.8</v>
      </c>
      <c r="G23" s="8" t="s">
        <v>76</v>
      </c>
      <c r="H23" s="8" t="s">
        <v>84</v>
      </c>
      <c r="I23" s="8" t="s">
        <v>78</v>
      </c>
    </row>
    <row r="24" customFormat="false" ht="17.15" hidden="false" customHeight="false" outlineLevel="0" collapsed="false">
      <c r="A24" s="0" t="s">
        <v>85</v>
      </c>
      <c r="B24" s="5" t="s">
        <v>86</v>
      </c>
      <c r="C24" s="0" t="s">
        <v>75</v>
      </c>
      <c r="E24" s="7" t="n">
        <v>0.85</v>
      </c>
      <c r="G24" s="8" t="s">
        <v>76</v>
      </c>
      <c r="H24" s="8" t="s">
        <v>87</v>
      </c>
      <c r="I24" s="5" t="s">
        <v>37</v>
      </c>
    </row>
    <row r="25" customFormat="false" ht="17.15" hidden="false" customHeight="false" outlineLevel="0" collapsed="false">
      <c r="A25" s="0" t="s">
        <v>88</v>
      </c>
      <c r="B25" s="5" t="s">
        <v>89</v>
      </c>
      <c r="C25" s="0" t="s">
        <v>75</v>
      </c>
      <c r="E25" s="7" t="n">
        <v>0.6</v>
      </c>
      <c r="G25" s="8" t="s">
        <v>76</v>
      </c>
      <c r="H25" s="8" t="s">
        <v>90</v>
      </c>
      <c r="I25" s="8" t="s">
        <v>78</v>
      </c>
    </row>
    <row r="26" customFormat="false" ht="17.15" hidden="false" customHeight="false" outlineLevel="0" collapsed="false">
      <c r="A26" s="0" t="s">
        <v>91</v>
      </c>
      <c r="B26" s="5" t="s">
        <v>92</v>
      </c>
      <c r="C26" s="0" t="s">
        <v>75</v>
      </c>
      <c r="E26" s="7" t="n">
        <v>0.6</v>
      </c>
      <c r="G26" s="8" t="s">
        <v>76</v>
      </c>
      <c r="H26" s="8" t="s">
        <v>93</v>
      </c>
      <c r="I26" s="5" t="s">
        <v>37</v>
      </c>
    </row>
    <row r="27" customFormat="false" ht="17.15" hidden="false" customHeight="false" outlineLevel="0" collapsed="false">
      <c r="A27" s="1" t="s">
        <v>94</v>
      </c>
    </row>
    <row r="28" customFormat="false" ht="17.15" hidden="false" customHeight="false" outlineLevel="0" collapsed="false">
      <c r="A28" s="0" t="s">
        <v>95</v>
      </c>
      <c r="B28" s="5" t="s">
        <v>96</v>
      </c>
      <c r="C28" s="0" t="s">
        <v>97</v>
      </c>
      <c r="D28" s="7" t="n">
        <v>420</v>
      </c>
      <c r="E28" s="7" t="n">
        <v>500</v>
      </c>
      <c r="F28" s="7" t="n">
        <v>600</v>
      </c>
      <c r="G28" s="8" t="s">
        <v>76</v>
      </c>
      <c r="H28" s="8" t="s">
        <v>98</v>
      </c>
      <c r="I28" s="8" t="s">
        <v>99</v>
      </c>
    </row>
    <row r="29" customFormat="false" ht="17.15" hidden="false" customHeight="false" outlineLevel="0" collapsed="false">
      <c r="A29" s="0" t="s">
        <v>100</v>
      </c>
      <c r="B29" s="5" t="s">
        <v>101</v>
      </c>
      <c r="C29" s="0" t="s">
        <v>97</v>
      </c>
      <c r="D29" s="7" t="n">
        <v>440</v>
      </c>
      <c r="E29" s="7" t="n">
        <v>520</v>
      </c>
      <c r="F29" s="7" t="n">
        <v>640</v>
      </c>
      <c r="G29" s="8" t="s">
        <v>76</v>
      </c>
      <c r="H29" s="5" t="s">
        <v>37</v>
      </c>
      <c r="I29" s="8" t="s">
        <v>102</v>
      </c>
    </row>
    <row r="30" customFormat="false" ht="17.15" hidden="false" customHeight="false" outlineLevel="0" collapsed="false">
      <c r="A30" s="0" t="s">
        <v>103</v>
      </c>
      <c r="B30" s="5" t="s">
        <v>104</v>
      </c>
      <c r="C30" s="0" t="s">
        <v>97</v>
      </c>
      <c r="D30" s="7" t="n">
        <v>450</v>
      </c>
      <c r="E30" s="7" t="n">
        <v>540</v>
      </c>
      <c r="F30" s="7" t="n">
        <v>680</v>
      </c>
      <c r="G30" s="8" t="s">
        <v>76</v>
      </c>
      <c r="H30" s="5" t="s">
        <v>37</v>
      </c>
      <c r="I30" s="8" t="s">
        <v>102</v>
      </c>
    </row>
    <row r="31" customFormat="false" ht="17.15" hidden="false" customHeight="false" outlineLevel="0" collapsed="false">
      <c r="A31" s="0" t="s">
        <v>105</v>
      </c>
      <c r="B31" s="5" t="s">
        <v>106</v>
      </c>
      <c r="C31" s="0" t="s">
        <v>97</v>
      </c>
      <c r="D31" s="7" t="n">
        <v>450</v>
      </c>
      <c r="E31" s="7" t="n">
        <v>560</v>
      </c>
      <c r="F31" s="7" t="n">
        <v>720</v>
      </c>
      <c r="G31" s="8" t="s">
        <v>76</v>
      </c>
      <c r="H31" s="5" t="s">
        <v>37</v>
      </c>
      <c r="I31" s="8" t="s">
        <v>102</v>
      </c>
    </row>
    <row r="32" customFormat="false" ht="17.15" hidden="false" customHeight="false" outlineLevel="0" collapsed="false">
      <c r="A32" s="0" t="s">
        <v>107</v>
      </c>
      <c r="B32" s="5" t="s">
        <v>108</v>
      </c>
      <c r="C32" s="5" t="s">
        <v>109</v>
      </c>
      <c r="E32" s="7" t="n">
        <v>5.5</v>
      </c>
      <c r="G32" s="8" t="s">
        <v>76</v>
      </c>
      <c r="H32" s="8" t="s">
        <v>110</v>
      </c>
      <c r="I32" s="5" t="s">
        <v>111</v>
      </c>
    </row>
    <row r="33" customFormat="false" ht="17.15" hidden="false" customHeight="false" outlineLevel="0" collapsed="false">
      <c r="A33" s="0" t="s">
        <v>112</v>
      </c>
      <c r="B33" s="5" t="s">
        <v>113</v>
      </c>
      <c r="C33" s="5" t="s">
        <v>109</v>
      </c>
      <c r="D33" s="7" t="n">
        <v>4.5</v>
      </c>
      <c r="E33" s="7" t="n">
        <v>5.5</v>
      </c>
      <c r="F33" s="7" t="n">
        <v>6</v>
      </c>
      <c r="G33" s="8" t="s">
        <v>76</v>
      </c>
      <c r="H33" s="5" t="s">
        <v>114</v>
      </c>
      <c r="I33" s="8" t="s">
        <v>102</v>
      </c>
    </row>
    <row r="34" customFormat="false" ht="17.15" hidden="false" customHeight="false" outlineLevel="0" collapsed="false">
      <c r="A34" s="0" t="s">
        <v>115</v>
      </c>
      <c r="B34" s="5" t="s">
        <v>116</v>
      </c>
      <c r="C34" s="5" t="s">
        <v>109</v>
      </c>
      <c r="D34" s="7" t="n">
        <v>4</v>
      </c>
      <c r="E34" s="7" t="n">
        <v>5</v>
      </c>
      <c r="F34" s="7" t="n">
        <v>6</v>
      </c>
      <c r="G34" s="8" t="s">
        <v>76</v>
      </c>
      <c r="H34" s="5" t="s">
        <v>114</v>
      </c>
      <c r="I34" s="8" t="s">
        <v>102</v>
      </c>
    </row>
    <row r="35" customFormat="false" ht="17.15" hidden="false" customHeight="false" outlineLevel="0" collapsed="false">
      <c r="A35" s="0" t="s">
        <v>117</v>
      </c>
      <c r="B35" s="5" t="s">
        <v>118</v>
      </c>
      <c r="C35" s="5" t="s">
        <v>109</v>
      </c>
      <c r="D35" s="7" t="n">
        <v>3.5</v>
      </c>
      <c r="E35" s="7" t="n">
        <v>4.8</v>
      </c>
      <c r="F35" s="7" t="n">
        <v>6</v>
      </c>
      <c r="G35" s="8" t="s">
        <v>76</v>
      </c>
      <c r="H35" s="5" t="s">
        <v>114</v>
      </c>
      <c r="I35" s="8" t="s">
        <v>102</v>
      </c>
    </row>
    <row r="36" customFormat="false" ht="17.15" hidden="false" customHeight="false" outlineLevel="0" collapsed="false">
      <c r="A36" s="0" t="s">
        <v>119</v>
      </c>
      <c r="B36" s="5" t="s">
        <v>120</v>
      </c>
      <c r="C36" s="0" t="s">
        <v>121</v>
      </c>
      <c r="E36" s="7" t="n">
        <v>13</v>
      </c>
      <c r="G36" s="8" t="s">
        <v>76</v>
      </c>
      <c r="H36" s="5" t="s">
        <v>122</v>
      </c>
      <c r="I36" s="5" t="s">
        <v>123</v>
      </c>
    </row>
    <row r="37" customFormat="false" ht="17.15" hidden="false" customHeight="false" outlineLevel="0" collapsed="false">
      <c r="A37" s="0" t="s">
        <v>124</v>
      </c>
      <c r="B37" s="5" t="s">
        <v>125</v>
      </c>
      <c r="C37" s="0" t="s">
        <v>121</v>
      </c>
      <c r="D37" s="7" t="n">
        <v>12</v>
      </c>
      <c r="E37" s="7" t="n">
        <v>15</v>
      </c>
      <c r="F37" s="7" t="n">
        <v>17</v>
      </c>
      <c r="G37" s="8" t="s">
        <v>76</v>
      </c>
      <c r="H37" s="8" t="s">
        <v>126</v>
      </c>
      <c r="I37" s="8" t="s">
        <v>102</v>
      </c>
    </row>
    <row r="38" customFormat="false" ht="17.15" hidden="false" customHeight="false" outlineLevel="0" collapsed="false">
      <c r="A38" s="0" t="s">
        <v>127</v>
      </c>
      <c r="B38" s="5" t="s">
        <v>128</v>
      </c>
      <c r="C38" s="0" t="s">
        <v>121</v>
      </c>
      <c r="D38" s="7" t="n">
        <v>11</v>
      </c>
      <c r="E38" s="7" t="n">
        <v>15</v>
      </c>
      <c r="F38" s="7" t="n">
        <v>18</v>
      </c>
      <c r="G38" s="8" t="s">
        <v>76</v>
      </c>
      <c r="H38" s="8" t="s">
        <v>126</v>
      </c>
      <c r="I38" s="8" t="s">
        <v>102</v>
      </c>
    </row>
    <row r="39" customFormat="false" ht="17.15" hidden="false" customHeight="false" outlineLevel="0" collapsed="false">
      <c r="A39" s="0" t="s">
        <v>129</v>
      </c>
      <c r="B39" s="5" t="s">
        <v>130</v>
      </c>
      <c r="C39" s="0" t="s">
        <v>121</v>
      </c>
      <c r="D39" s="7" t="n">
        <v>10</v>
      </c>
      <c r="E39" s="7" t="n">
        <v>14</v>
      </c>
      <c r="F39" s="7" t="n">
        <v>18</v>
      </c>
      <c r="G39" s="8" t="s">
        <v>76</v>
      </c>
      <c r="H39" s="8" t="s">
        <v>126</v>
      </c>
      <c r="I39" s="8" t="s">
        <v>102</v>
      </c>
    </row>
    <row r="40" customFormat="false" ht="17.15" hidden="false" customHeight="false" outlineLevel="0" collapsed="false">
      <c r="A40" s="0" t="s">
        <v>131</v>
      </c>
      <c r="B40" s="5" t="s">
        <v>132</v>
      </c>
      <c r="C40" s="0" t="s">
        <v>75</v>
      </c>
      <c r="D40" s="7" t="n">
        <v>0.85</v>
      </c>
      <c r="E40" s="7" t="n">
        <v>0.95</v>
      </c>
      <c r="F40" s="7" t="n">
        <v>1</v>
      </c>
      <c r="G40" s="8" t="s">
        <v>76</v>
      </c>
      <c r="H40" s="8" t="s">
        <v>133</v>
      </c>
      <c r="I40" s="8" t="s">
        <v>134</v>
      </c>
    </row>
    <row r="41" customFormat="false" ht="17.15" hidden="false" customHeight="false" outlineLevel="0" collapsed="false">
      <c r="A41" s="0" t="s">
        <v>135</v>
      </c>
      <c r="B41" s="5" t="s">
        <v>136</v>
      </c>
      <c r="C41" s="0" t="s">
        <v>75</v>
      </c>
      <c r="D41" s="7" t="n">
        <v>0.8</v>
      </c>
      <c r="E41" s="7" t="n">
        <v>0.95</v>
      </c>
      <c r="F41" s="7" t="n">
        <v>1.05</v>
      </c>
      <c r="G41" s="8" t="s">
        <v>76</v>
      </c>
      <c r="H41" s="8" t="s">
        <v>137</v>
      </c>
      <c r="I41" s="8" t="s">
        <v>138</v>
      </c>
    </row>
    <row r="42" customFormat="false" ht="17.15" hidden="false" customHeight="false" outlineLevel="0" collapsed="false">
      <c r="A42" s="0" t="s">
        <v>139</v>
      </c>
      <c r="B42" s="5" t="s">
        <v>140</v>
      </c>
      <c r="C42" s="0" t="s">
        <v>75</v>
      </c>
      <c r="D42" s="7" t="n">
        <v>0.7</v>
      </c>
      <c r="E42" s="7" t="n">
        <v>0.9</v>
      </c>
      <c r="F42" s="7" t="n">
        <v>1.05</v>
      </c>
      <c r="G42" s="8" t="s">
        <v>76</v>
      </c>
      <c r="H42" s="5" t="s">
        <v>37</v>
      </c>
      <c r="I42" s="8" t="s">
        <v>102</v>
      </c>
    </row>
    <row r="43" customFormat="false" ht="17.15" hidden="false" customHeight="false" outlineLevel="0" collapsed="false">
      <c r="A43" s="1" t="s">
        <v>141</v>
      </c>
    </row>
    <row r="44" customFormat="false" ht="17.15" hidden="false" customHeight="false" outlineLevel="0" collapsed="false">
      <c r="A44" s="0" t="s">
        <v>142</v>
      </c>
      <c r="B44" s="5" t="s">
        <v>143</v>
      </c>
      <c r="C44" s="0" t="s">
        <v>75</v>
      </c>
      <c r="D44" s="7" t="n">
        <v>0.8</v>
      </c>
      <c r="E44" s="7" t="n">
        <v>1</v>
      </c>
      <c r="F44" s="7" t="n">
        <v>1.2</v>
      </c>
      <c r="G44" s="8" t="s">
        <v>76</v>
      </c>
      <c r="H44" s="8" t="s">
        <v>144</v>
      </c>
      <c r="I44" s="5" t="s">
        <v>145</v>
      </c>
    </row>
    <row r="45" customFormat="false" ht="17.15" hidden="false" customHeight="false" outlineLevel="0" collapsed="false">
      <c r="A45" s="0" t="s">
        <v>146</v>
      </c>
      <c r="B45" s="5" t="s">
        <v>147</v>
      </c>
      <c r="C45" s="0" t="s">
        <v>75</v>
      </c>
      <c r="D45" s="7" t="n">
        <v>0.7</v>
      </c>
      <c r="E45" s="7" t="n">
        <v>1</v>
      </c>
      <c r="F45" s="7" t="n">
        <v>1.3</v>
      </c>
      <c r="G45" s="8" t="s">
        <v>76</v>
      </c>
      <c r="H45" s="5" t="s">
        <v>148</v>
      </c>
      <c r="I45" s="8" t="s">
        <v>102</v>
      </c>
    </row>
    <row r="46" customFormat="false" ht="17.15" hidden="false" customHeight="false" outlineLevel="0" collapsed="false">
      <c r="A46" s="0" t="s">
        <v>149</v>
      </c>
      <c r="B46" s="5" t="s">
        <v>150</v>
      </c>
      <c r="C46" s="0" t="s">
        <v>75</v>
      </c>
      <c r="D46" s="7" t="n">
        <v>0.6</v>
      </c>
      <c r="E46" s="7" t="n">
        <v>1</v>
      </c>
      <c r="F46" s="7" t="n">
        <v>1.3</v>
      </c>
      <c r="G46" s="8" t="s">
        <v>76</v>
      </c>
      <c r="H46" s="5" t="s">
        <v>37</v>
      </c>
      <c r="I46" s="8" t="s">
        <v>102</v>
      </c>
    </row>
    <row r="47" customFormat="false" ht="17.15" hidden="false" customHeight="false" outlineLevel="0" collapsed="false">
      <c r="A47" s="0" t="s">
        <v>151</v>
      </c>
      <c r="B47" s="0" t="s">
        <v>152</v>
      </c>
      <c r="C47" s="0" t="s">
        <v>75</v>
      </c>
      <c r="D47" s="7" t="n">
        <v>1.2</v>
      </c>
      <c r="E47" s="7" t="n">
        <v>1.6</v>
      </c>
      <c r="F47" s="7" t="n">
        <v>2</v>
      </c>
      <c r="G47" s="8" t="s">
        <v>76</v>
      </c>
      <c r="H47" s="8" t="s">
        <v>153</v>
      </c>
      <c r="I47" s="8" t="s">
        <v>154</v>
      </c>
    </row>
    <row r="48" customFormat="false" ht="17.15" hidden="false" customHeight="false" outlineLevel="0" collapsed="false">
      <c r="A48" s="0" t="s">
        <v>155</v>
      </c>
      <c r="B48" s="0" t="s">
        <v>156</v>
      </c>
      <c r="C48" s="0" t="s">
        <v>75</v>
      </c>
      <c r="D48" s="7" t="n">
        <v>1.2</v>
      </c>
      <c r="E48" s="7" t="n">
        <v>1.8</v>
      </c>
      <c r="F48" s="7" t="n">
        <v>2.4</v>
      </c>
      <c r="G48" s="8" t="s">
        <v>76</v>
      </c>
      <c r="H48" s="8" t="s">
        <v>157</v>
      </c>
      <c r="I48" s="8" t="s">
        <v>158</v>
      </c>
    </row>
    <row r="49" customFormat="false" ht="17.15" hidden="false" customHeight="false" outlineLevel="0" collapsed="false">
      <c r="A49" s="0" t="s">
        <v>159</v>
      </c>
      <c r="B49" s="0" t="s">
        <v>160</v>
      </c>
      <c r="C49" s="0" t="s">
        <v>75</v>
      </c>
      <c r="D49" s="7" t="n">
        <v>1</v>
      </c>
      <c r="E49" s="7" t="n">
        <v>1.8</v>
      </c>
      <c r="F49" s="7" t="n">
        <v>2.4</v>
      </c>
      <c r="G49" s="8" t="s">
        <v>76</v>
      </c>
      <c r="H49" s="5" t="s">
        <v>161</v>
      </c>
      <c r="I49" s="8" t="s">
        <v>102</v>
      </c>
    </row>
    <row r="50" customFormat="false" ht="17.15" hidden="false" customHeight="false" outlineLevel="0" collapsed="false">
      <c r="A50" s="0" t="s">
        <v>162</v>
      </c>
      <c r="B50" s="0" t="s">
        <v>163</v>
      </c>
      <c r="C50" s="0" t="s">
        <v>164</v>
      </c>
      <c r="D50" s="7" t="n">
        <v>0.1</v>
      </c>
      <c r="E50" s="7" t="n">
        <v>0.25</v>
      </c>
      <c r="F50" s="7" t="n">
        <v>0.35</v>
      </c>
      <c r="G50" s="8" t="s">
        <v>76</v>
      </c>
      <c r="H50" s="8" t="s">
        <v>165</v>
      </c>
      <c r="I50" s="8" t="s">
        <v>166</v>
      </c>
    </row>
    <row r="51" customFormat="false" ht="17.15" hidden="false" customHeight="false" outlineLevel="0" collapsed="false">
      <c r="A51" s="0" t="s">
        <v>167</v>
      </c>
      <c r="B51" s="0" t="s">
        <v>168</v>
      </c>
      <c r="C51" s="0" t="s">
        <v>164</v>
      </c>
      <c r="D51" s="7" t="n">
        <v>0.1</v>
      </c>
      <c r="E51" s="7" t="n">
        <v>0.25</v>
      </c>
      <c r="F51" s="7" t="n">
        <v>0.35</v>
      </c>
      <c r="G51" s="8" t="s">
        <v>76</v>
      </c>
      <c r="H51" s="8" t="s">
        <v>169</v>
      </c>
      <c r="I51" s="5" t="s">
        <v>170</v>
      </c>
    </row>
    <row r="52" customFormat="false" ht="17.15" hidden="false" customHeight="false" outlineLevel="0" collapsed="false">
      <c r="A52" s="0" t="s">
        <v>171</v>
      </c>
      <c r="B52" s="0" t="s">
        <v>172</v>
      </c>
      <c r="C52" s="0" t="s">
        <v>164</v>
      </c>
      <c r="D52" s="7" t="n">
        <v>0.1</v>
      </c>
      <c r="E52" s="7" t="n">
        <v>0.2</v>
      </c>
      <c r="F52" s="7" t="n">
        <v>0.3</v>
      </c>
      <c r="G52" s="8" t="s">
        <v>76</v>
      </c>
      <c r="H52" s="5" t="s">
        <v>37</v>
      </c>
      <c r="I52" s="8" t="s">
        <v>102</v>
      </c>
    </row>
    <row r="53" customFormat="false" ht="17.15" hidden="false" customHeight="false" outlineLevel="0" collapsed="false">
      <c r="A53" s="1" t="s">
        <v>173</v>
      </c>
    </row>
    <row r="54" customFormat="false" ht="17.15" hidden="false" customHeight="false" outlineLevel="0" collapsed="false">
      <c r="A54" s="0" t="s">
        <v>174</v>
      </c>
      <c r="B54" s="0" t="s">
        <v>175</v>
      </c>
      <c r="C54" s="0" t="s">
        <v>31</v>
      </c>
      <c r="D54" s="7" t="n">
        <v>0.06</v>
      </c>
      <c r="E54" s="7" t="n">
        <v>0.1</v>
      </c>
      <c r="F54" s="7" t="n">
        <v>0.14</v>
      </c>
      <c r="G54" s="8" t="s">
        <v>76</v>
      </c>
      <c r="H54" s="5" t="s">
        <v>176</v>
      </c>
      <c r="I54" s="5" t="s">
        <v>177</v>
      </c>
    </row>
    <row r="55" customFormat="false" ht="17.15" hidden="false" customHeight="false" outlineLevel="0" collapsed="false">
      <c r="A55" s="0" t="s">
        <v>178</v>
      </c>
      <c r="B55" s="0" t="s">
        <v>179</v>
      </c>
      <c r="C55" s="0" t="s">
        <v>31</v>
      </c>
      <c r="E55" s="7" t="n">
        <v>0.4</v>
      </c>
      <c r="G55" s="8" t="s">
        <v>180</v>
      </c>
      <c r="H55" s="8" t="s">
        <v>181</v>
      </c>
      <c r="I55" s="8" t="s">
        <v>182</v>
      </c>
    </row>
    <row r="56" customFormat="false" ht="17.15" hidden="false" customHeight="false" outlineLevel="0" collapsed="false">
      <c r="A56" s="0" t="s">
        <v>183</v>
      </c>
      <c r="B56" s="0" t="s">
        <v>184</v>
      </c>
      <c r="C56" s="0" t="s">
        <v>31</v>
      </c>
      <c r="D56" s="7" t="n">
        <v>0.03</v>
      </c>
      <c r="E56" s="7" t="n">
        <v>0.05</v>
      </c>
      <c r="F56" s="7" t="n">
        <v>0.08</v>
      </c>
      <c r="G56" s="8" t="s">
        <v>180</v>
      </c>
      <c r="H56" s="8" t="s">
        <v>185</v>
      </c>
      <c r="I56" s="8" t="s">
        <v>102</v>
      </c>
    </row>
    <row r="57" customFormat="false" ht="17.15" hidden="false" customHeight="false" outlineLevel="0" collapsed="false">
      <c r="A57" s="0" t="s">
        <v>186</v>
      </c>
      <c r="B57" s="5" t="s">
        <v>187</v>
      </c>
      <c r="C57" s="0" t="s">
        <v>31</v>
      </c>
      <c r="D57" s="7" t="n">
        <v>0.55</v>
      </c>
      <c r="E57" s="7" t="n">
        <v>0.75</v>
      </c>
      <c r="F57" s="7" t="n">
        <v>0.95</v>
      </c>
      <c r="G57" s="8" t="s">
        <v>76</v>
      </c>
      <c r="H57" s="8" t="s">
        <v>188</v>
      </c>
      <c r="I57" s="8" t="s">
        <v>189</v>
      </c>
    </row>
    <row r="58" customFormat="false" ht="17.15" hidden="false" customHeight="false" outlineLevel="0" collapsed="false">
      <c r="A58" s="0" t="s">
        <v>190</v>
      </c>
      <c r="B58" s="5" t="s">
        <v>191</v>
      </c>
      <c r="C58" s="0" t="s">
        <v>31</v>
      </c>
      <c r="D58" s="7" t="n">
        <v>0.25</v>
      </c>
      <c r="E58" s="7" t="n">
        <v>0.3</v>
      </c>
      <c r="F58" s="7" t="n">
        <v>0.4</v>
      </c>
      <c r="G58" s="8" t="s">
        <v>76</v>
      </c>
      <c r="H58" s="5" t="s">
        <v>192</v>
      </c>
      <c r="I58" s="8" t="s">
        <v>193</v>
      </c>
    </row>
    <row r="59" customFormat="false" ht="17.15" hidden="false" customHeight="false" outlineLevel="0" collapsed="false">
      <c r="A59" s="0" t="s">
        <v>194</v>
      </c>
      <c r="B59" s="5" t="s">
        <v>195</v>
      </c>
      <c r="C59" s="0" t="s">
        <v>31</v>
      </c>
      <c r="D59" s="7" t="n">
        <v>0.7</v>
      </c>
      <c r="E59" s="7" t="n">
        <v>1</v>
      </c>
      <c r="F59" s="7" t="n">
        <v>1.3</v>
      </c>
      <c r="G59" s="8" t="s">
        <v>76</v>
      </c>
      <c r="H59" s="5" t="s">
        <v>196</v>
      </c>
      <c r="I59" s="5" t="s">
        <v>197</v>
      </c>
    </row>
    <row r="60" customFormat="false" ht="17.15" hidden="false" customHeight="false" outlineLevel="0" collapsed="false">
      <c r="A60" s="0" t="s">
        <v>198</v>
      </c>
      <c r="B60" s="5" t="s">
        <v>199</v>
      </c>
      <c r="C60" s="0" t="s">
        <v>164</v>
      </c>
      <c r="D60" s="7" t="n">
        <v>0.1</v>
      </c>
      <c r="E60" s="7" t="n">
        <v>0.25</v>
      </c>
      <c r="F60" s="7" t="n">
        <v>0.4</v>
      </c>
      <c r="G60" s="8" t="s">
        <v>76</v>
      </c>
      <c r="H60" s="5" t="s">
        <v>200</v>
      </c>
      <c r="I60" s="8" t="s">
        <v>102</v>
      </c>
    </row>
    <row r="61" customFormat="false" ht="17.15" hidden="false" customHeight="false" outlineLevel="0" collapsed="false">
      <c r="A61" s="0" t="s">
        <v>201</v>
      </c>
      <c r="B61" s="5" t="s">
        <v>202</v>
      </c>
      <c r="C61" s="0" t="s">
        <v>164</v>
      </c>
      <c r="D61" s="7" t="n">
        <v>0</v>
      </c>
      <c r="E61" s="7" t="n">
        <v>0.15</v>
      </c>
      <c r="F61" s="7" t="n">
        <v>0.3</v>
      </c>
      <c r="G61" s="8" t="s">
        <v>76</v>
      </c>
      <c r="H61" s="5" t="s">
        <v>37</v>
      </c>
      <c r="I61" s="8" t="s">
        <v>102</v>
      </c>
    </row>
    <row r="62" customFormat="false" ht="17.15" hidden="false" customHeight="false" outlineLevel="0" collapsed="false">
      <c r="A62" s="0" t="s">
        <v>203</v>
      </c>
      <c r="B62" s="5" t="s">
        <v>204</v>
      </c>
      <c r="C62" s="0" t="s">
        <v>164</v>
      </c>
      <c r="D62" s="7" t="n">
        <v>-0.05</v>
      </c>
      <c r="E62" s="7" t="n">
        <v>0.1</v>
      </c>
      <c r="F62" s="7" t="n">
        <v>0.2</v>
      </c>
      <c r="G62" s="8" t="s">
        <v>76</v>
      </c>
      <c r="H62" s="5" t="s">
        <v>37</v>
      </c>
      <c r="I62" s="8" t="s">
        <v>102</v>
      </c>
    </row>
    <row r="63" customFormat="false" ht="17.15" hidden="false" customHeight="false" outlineLevel="0" collapsed="false">
      <c r="A63" s="0" t="s">
        <v>205</v>
      </c>
      <c r="B63" s="5" t="s">
        <v>206</v>
      </c>
      <c r="C63" s="0" t="s">
        <v>164</v>
      </c>
      <c r="D63" s="7" t="n">
        <v>-0.05</v>
      </c>
      <c r="E63" s="7" t="n">
        <v>0.03</v>
      </c>
      <c r="F63" s="7" t="n">
        <v>0.1</v>
      </c>
      <c r="G63" s="8" t="s">
        <v>76</v>
      </c>
      <c r="H63" s="8" t="s">
        <v>207</v>
      </c>
      <c r="I63" s="5" t="s">
        <v>208</v>
      </c>
    </row>
    <row r="64" customFormat="false" ht="17.15" hidden="false" customHeight="false" outlineLevel="0" collapsed="false">
      <c r="A64" s="1" t="s">
        <v>209</v>
      </c>
    </row>
    <row r="65" customFormat="false" ht="17.15" hidden="false" customHeight="false" outlineLevel="0" collapsed="false">
      <c r="A65" s="0" t="s">
        <v>210</v>
      </c>
      <c r="B65" s="0" t="s">
        <v>211</v>
      </c>
      <c r="C65" s="0" t="s">
        <v>212</v>
      </c>
      <c r="E65" s="7" t="n">
        <v>808.4</v>
      </c>
      <c r="G65" s="8" t="s">
        <v>213</v>
      </c>
      <c r="H65" s="8" t="s">
        <v>214</v>
      </c>
      <c r="I65" s="8" t="s">
        <v>215</v>
      </c>
    </row>
    <row r="66" customFormat="false" ht="17.15" hidden="false" customHeight="false" outlineLevel="0" collapsed="false">
      <c r="A66" s="0" t="s">
        <v>216</v>
      </c>
      <c r="B66" s="0" t="s">
        <v>217</v>
      </c>
      <c r="C66" s="0" t="s">
        <v>212</v>
      </c>
      <c r="E66" s="7" t="n">
        <v>1006.3</v>
      </c>
      <c r="G66" s="8" t="s">
        <v>213</v>
      </c>
      <c r="H66" s="8" t="s">
        <v>218</v>
      </c>
      <c r="I66" s="8" t="s">
        <v>219</v>
      </c>
    </row>
    <row r="67" customFormat="false" ht="17.15" hidden="false" customHeight="false" outlineLevel="0" collapsed="false">
      <c r="A67" s="0" t="s">
        <v>220</v>
      </c>
      <c r="B67" s="0" t="s">
        <v>221</v>
      </c>
      <c r="C67" s="0" t="s">
        <v>212</v>
      </c>
      <c r="E67" s="7" t="n">
        <v>1250</v>
      </c>
      <c r="G67" s="8" t="s">
        <v>180</v>
      </c>
      <c r="H67" s="8" t="s">
        <v>222</v>
      </c>
      <c r="I67" s="8" t="s">
        <v>223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164</v>
      </c>
      <c r="D68" s="7" t="n">
        <v>0.05</v>
      </c>
      <c r="E68" s="7" t="n">
        <v>0.12</v>
      </c>
      <c r="F68" s="7" t="n">
        <v>0.2</v>
      </c>
      <c r="G68" s="8" t="s">
        <v>76</v>
      </c>
      <c r="H68" s="8" t="s">
        <v>226</v>
      </c>
      <c r="I68" s="5" t="s">
        <v>227</v>
      </c>
    </row>
    <row r="69" customFormat="false" ht="17.15" hidden="false" customHeight="false" outlineLevel="0" collapsed="false">
      <c r="A69" s="0" t="s">
        <v>228</v>
      </c>
      <c r="B69" s="0" t="s">
        <v>229</v>
      </c>
      <c r="C69" s="0" t="s">
        <v>164</v>
      </c>
      <c r="E69" s="7" t="n">
        <v>0.4</v>
      </c>
      <c r="G69" s="8" t="s">
        <v>180</v>
      </c>
      <c r="H69" s="8" t="s">
        <v>230</v>
      </c>
      <c r="I69" s="8" t="s">
        <v>102</v>
      </c>
    </row>
    <row r="70" customFormat="false" ht="17.15" hidden="false" customHeight="false" outlineLevel="0" collapsed="false">
      <c r="A70" s="0" t="s">
        <v>231</v>
      </c>
      <c r="B70" s="0" t="s">
        <v>232</v>
      </c>
      <c r="C70" s="0" t="s">
        <v>233</v>
      </c>
      <c r="E70" s="7" t="n">
        <v>4.2</v>
      </c>
      <c r="G70" s="8" t="s">
        <v>180</v>
      </c>
      <c r="H70" s="8" t="s">
        <v>234</v>
      </c>
      <c r="I70" s="8" t="s">
        <v>235</v>
      </c>
    </row>
    <row r="71" customFormat="false" ht="17.15" hidden="false" customHeight="false" outlineLevel="0" collapsed="false">
      <c r="A71" s="0" t="s">
        <v>236</v>
      </c>
      <c r="B71" s="0" t="s">
        <v>237</v>
      </c>
      <c r="C71" s="5" t="s">
        <v>238</v>
      </c>
      <c r="E71" s="7" t="n">
        <v>102</v>
      </c>
      <c r="G71" s="8" t="s">
        <v>180</v>
      </c>
      <c r="H71" s="8" t="s">
        <v>239</v>
      </c>
      <c r="I71" s="8" t="s">
        <v>240</v>
      </c>
    </row>
    <row r="72" customFormat="false" ht="17.15" hidden="false" customHeight="false" outlineLevel="0" collapsed="false">
      <c r="A72" s="0" t="s">
        <v>241</v>
      </c>
      <c r="B72" s="0" t="s">
        <v>242</v>
      </c>
      <c r="C72" s="0" t="s">
        <v>164</v>
      </c>
      <c r="D72" s="7" t="n">
        <v>0.14</v>
      </c>
      <c r="E72" s="7" t="n">
        <v>0.165</v>
      </c>
      <c r="F72" s="7" t="n">
        <v>0.19</v>
      </c>
      <c r="G72" s="8" t="s">
        <v>180</v>
      </c>
      <c r="H72" s="8" t="s">
        <v>243</v>
      </c>
      <c r="I72" s="8" t="s">
        <v>102</v>
      </c>
    </row>
    <row r="73" customFormat="false" ht="17.15" hidden="false" customHeight="false" outlineLevel="0" collapsed="false">
      <c r="A73" s="0" t="s">
        <v>244</v>
      </c>
      <c r="B73" s="5" t="s">
        <v>245</v>
      </c>
      <c r="C73" s="0" t="s">
        <v>164</v>
      </c>
      <c r="D73" s="7" t="n">
        <v>0.44</v>
      </c>
      <c r="E73" s="7" t="n">
        <v>0.47</v>
      </c>
      <c r="F73" s="7" t="n">
        <v>0.5</v>
      </c>
      <c r="G73" s="8" t="s">
        <v>76</v>
      </c>
      <c r="H73" s="5" t="s">
        <v>246</v>
      </c>
      <c r="I73" s="5" t="s">
        <v>247</v>
      </c>
    </row>
    <row r="74" customFormat="false" ht="17.15" hidden="false" customHeight="false" outlineLevel="0" collapsed="false">
      <c r="A74" s="1" t="s">
        <v>248</v>
      </c>
    </row>
    <row r="75" customFormat="false" ht="17.15" hidden="false" customHeight="false" outlineLevel="0" collapsed="false">
      <c r="A75" s="0" t="s">
        <v>249</v>
      </c>
      <c r="B75" s="0" t="s">
        <v>250</v>
      </c>
      <c r="C75" s="0" t="s">
        <v>212</v>
      </c>
      <c r="E75" s="7" t="n">
        <v>1645</v>
      </c>
      <c r="G75" s="8" t="s">
        <v>213</v>
      </c>
      <c r="H75" s="8" t="s">
        <v>251</v>
      </c>
      <c r="I75" s="8" t="s">
        <v>252</v>
      </c>
    </row>
    <row r="76" customFormat="false" ht="17.15" hidden="false" customHeight="false" outlineLevel="0" collapsed="false">
      <c r="A76" s="0" t="s">
        <v>253</v>
      </c>
      <c r="B76" s="0" t="s">
        <v>254</v>
      </c>
      <c r="C76" s="0" t="s">
        <v>164</v>
      </c>
      <c r="E76" s="7" t="n">
        <v>0.347</v>
      </c>
      <c r="G76" s="8" t="s">
        <v>213</v>
      </c>
      <c r="H76" s="8" t="s">
        <v>255</v>
      </c>
      <c r="I76" s="8" t="s">
        <v>256</v>
      </c>
    </row>
    <row r="77" customFormat="false" ht="17.15" hidden="false" customHeight="false" outlineLevel="0" collapsed="false">
      <c r="A77" s="0" t="s">
        <v>257</v>
      </c>
      <c r="B77" s="0" t="s">
        <v>258</v>
      </c>
      <c r="C77" s="0" t="s">
        <v>212</v>
      </c>
      <c r="E77" s="0" t="n">
        <f aca="false">256+155.4</f>
        <v>411.4</v>
      </c>
      <c r="G77" s="0" t="s">
        <v>213</v>
      </c>
      <c r="H77" s="0" t="s">
        <v>259</v>
      </c>
      <c r="I77" s="0" t="s">
        <v>102</v>
      </c>
    </row>
    <row r="78" customFormat="false" ht="17.15" hidden="false" customHeight="false" outlineLevel="0" collapsed="false">
      <c r="A78" s="0" t="s">
        <v>260</v>
      </c>
      <c r="B78" s="0" t="s">
        <v>261</v>
      </c>
      <c r="C78" s="0" t="s">
        <v>212</v>
      </c>
      <c r="E78" s="7" t="n">
        <v>146.4</v>
      </c>
      <c r="G78" s="8" t="s">
        <v>213</v>
      </c>
      <c r="H78" s="8" t="s">
        <v>262</v>
      </c>
      <c r="I78" s="8" t="s">
        <v>263</v>
      </c>
    </row>
    <row r="79" customFormat="false" ht="17.15" hidden="false" customHeight="false" outlineLevel="0" collapsed="false">
      <c r="A79" s="0" t="s">
        <v>264</v>
      </c>
      <c r="B79" s="0" t="s">
        <v>265</v>
      </c>
      <c r="C79" s="0" t="s">
        <v>233</v>
      </c>
      <c r="E79" s="7" t="n">
        <v>2.06</v>
      </c>
      <c r="G79" s="8" t="s">
        <v>213</v>
      </c>
      <c r="H79" s="8" t="s">
        <v>266</v>
      </c>
      <c r="I79" s="8" t="s">
        <v>267</v>
      </c>
    </row>
    <row r="80" customFormat="false" ht="17.15" hidden="false" customHeight="false" outlineLevel="0" collapsed="false">
      <c r="A80" s="0" t="s">
        <v>268</v>
      </c>
      <c r="B80" s="0" t="s">
        <v>269</v>
      </c>
      <c r="C80" s="0" t="s">
        <v>212</v>
      </c>
      <c r="E80" s="7" t="n">
        <v>3014</v>
      </c>
      <c r="G80" s="8" t="s">
        <v>213</v>
      </c>
      <c r="H80" s="8" t="s">
        <v>270</v>
      </c>
      <c r="I80" s="8" t="s">
        <v>252</v>
      </c>
    </row>
    <row r="81" customFormat="false" ht="17.15" hidden="false" customHeight="false" outlineLevel="0" collapsed="false">
      <c r="A81" s="0" t="s">
        <v>271</v>
      </c>
      <c r="B81" s="0" t="s">
        <v>272</v>
      </c>
      <c r="C81" s="0" t="s">
        <v>212</v>
      </c>
      <c r="E81" s="7" t="n">
        <v>1116.3</v>
      </c>
      <c r="G81" s="8" t="s">
        <v>213</v>
      </c>
      <c r="H81" s="8" t="s">
        <v>273</v>
      </c>
      <c r="I81" s="5" t="s">
        <v>274</v>
      </c>
    </row>
    <row r="82" customFormat="false" ht="17.15" hidden="false" customHeight="false" outlineLevel="0" collapsed="false">
      <c r="A82" s="0" t="s">
        <v>275</v>
      </c>
      <c r="B82" s="0" t="s">
        <v>276</v>
      </c>
      <c r="C82" s="0" t="s">
        <v>212</v>
      </c>
      <c r="E82" s="7" t="n">
        <v>528.7</v>
      </c>
      <c r="G82" s="8" t="s">
        <v>213</v>
      </c>
      <c r="H82" s="8" t="s">
        <v>277</v>
      </c>
      <c r="I82" s="8" t="s">
        <v>102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212</v>
      </c>
      <c r="E83" s="7" t="n">
        <v>2005.6</v>
      </c>
      <c r="G83" s="8" t="s">
        <v>213</v>
      </c>
      <c r="H83" s="8" t="s">
        <v>280</v>
      </c>
      <c r="I83" s="8" t="s">
        <v>102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212</v>
      </c>
      <c r="E84" s="7" t="n">
        <v>1008.4</v>
      </c>
      <c r="G84" s="8" t="s">
        <v>213</v>
      </c>
      <c r="H84" s="8" t="s">
        <v>277</v>
      </c>
      <c r="I84" s="8" t="s">
        <v>102</v>
      </c>
    </row>
    <row r="85" customFormat="false" ht="17.15" hidden="false" customHeight="false" outlineLevel="0" collapsed="false">
      <c r="A85" s="0" t="s">
        <v>283</v>
      </c>
      <c r="B85" s="0" t="s">
        <v>284</v>
      </c>
      <c r="C85" s="0" t="s">
        <v>164</v>
      </c>
      <c r="E85" s="7" t="n">
        <v>0.46</v>
      </c>
      <c r="G85" s="8" t="s">
        <v>213</v>
      </c>
      <c r="H85" s="8" t="s">
        <v>285</v>
      </c>
      <c r="I85" s="8" t="s">
        <v>286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212</v>
      </c>
      <c r="E86" s="0" t="n">
        <f aca="false">304.8+184.9</f>
        <v>489.7</v>
      </c>
      <c r="G86" s="0" t="s">
        <v>213</v>
      </c>
      <c r="H86" s="0" t="s">
        <v>289</v>
      </c>
      <c r="I86" s="0" t="s">
        <v>102</v>
      </c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212</v>
      </c>
      <c r="E87" s="7" t="n">
        <v>782.3</v>
      </c>
      <c r="G87" s="8" t="s">
        <v>213</v>
      </c>
      <c r="H87" s="8" t="s">
        <v>292</v>
      </c>
      <c r="I87" s="8" t="s">
        <v>293</v>
      </c>
    </row>
    <row r="88" customFormat="false" ht="17.15" hidden="false" customHeight="false" outlineLevel="0" collapsed="false">
      <c r="A88" s="0" t="s">
        <v>294</v>
      </c>
      <c r="B88" s="0" t="s">
        <v>295</v>
      </c>
      <c r="C88" s="0" t="s">
        <v>233</v>
      </c>
      <c r="E88" s="7" t="n">
        <v>8.67</v>
      </c>
      <c r="G88" s="8" t="s">
        <v>213</v>
      </c>
      <c r="H88" s="8" t="s">
        <v>296</v>
      </c>
      <c r="I88" s="8" t="s">
        <v>297</v>
      </c>
    </row>
    <row r="89" customFormat="false" ht="17.15" hidden="false" customHeight="false" outlineLevel="0" collapsed="false">
      <c r="A89" s="1" t="s">
        <v>298</v>
      </c>
    </row>
    <row r="90" customFormat="false" ht="17.15" hidden="false" customHeight="false" outlineLevel="0" collapsed="false">
      <c r="A90" s="0" t="s">
        <v>299</v>
      </c>
      <c r="B90" s="0" t="s">
        <v>300</v>
      </c>
      <c r="C90" s="0" t="s">
        <v>164</v>
      </c>
      <c r="D90" s="7" t="n">
        <v>0.49</v>
      </c>
      <c r="E90" s="7" t="n">
        <v>0.52</v>
      </c>
      <c r="F90" s="7" t="n">
        <v>0.54</v>
      </c>
      <c r="G90" s="8" t="s">
        <v>76</v>
      </c>
      <c r="H90" s="8" t="s">
        <v>301</v>
      </c>
      <c r="I90" s="8" t="s">
        <v>302</v>
      </c>
    </row>
    <row r="91" customFormat="false" ht="17.15" hidden="false" customHeight="false" outlineLevel="0" collapsed="false">
      <c r="A91" s="0" t="s">
        <v>303</v>
      </c>
      <c r="B91" s="0" t="s">
        <v>304</v>
      </c>
      <c r="C91" s="0" t="s">
        <v>164</v>
      </c>
      <c r="D91" s="7" t="n">
        <v>0.46</v>
      </c>
      <c r="E91" s="7" t="n">
        <v>0.51</v>
      </c>
      <c r="F91" s="7" t="n">
        <v>0.54</v>
      </c>
      <c r="G91" s="8" t="s">
        <v>76</v>
      </c>
      <c r="H91" s="8" t="s">
        <v>305</v>
      </c>
      <c r="I91" s="8" t="s">
        <v>102</v>
      </c>
    </row>
    <row r="92" customFormat="false" ht="17.15" hidden="false" customHeight="false" outlineLevel="0" collapsed="false">
      <c r="A92" s="0" t="s">
        <v>306</v>
      </c>
      <c r="B92" s="0" t="s">
        <v>307</v>
      </c>
      <c r="C92" s="0" t="s">
        <v>164</v>
      </c>
      <c r="D92" s="7" t="n">
        <v>0.42</v>
      </c>
      <c r="E92" s="7" t="n">
        <v>0.49</v>
      </c>
      <c r="F92" s="7" t="n">
        <v>0.53</v>
      </c>
      <c r="G92" s="8" t="s">
        <v>76</v>
      </c>
      <c r="H92" s="5" t="s">
        <v>308</v>
      </c>
      <c r="I92" s="8" t="s">
        <v>102</v>
      </c>
    </row>
    <row r="93" customFormat="false" ht="17.15" hidden="false" customHeight="false" outlineLevel="0" collapsed="false">
      <c r="A93" s="0" t="s">
        <v>309</v>
      </c>
      <c r="B93" s="5" t="s">
        <v>310</v>
      </c>
      <c r="C93" s="0" t="s">
        <v>75</v>
      </c>
      <c r="D93" s="7" t="n">
        <v>0.1</v>
      </c>
      <c r="E93" s="9" t="n">
        <f aca="false">Q!B26</f>
        <v>0.228696716267175</v>
      </c>
      <c r="F93" s="7" t="n">
        <v>0.6</v>
      </c>
      <c r="G93" s="8" t="s">
        <v>32</v>
      </c>
      <c r="H93" s="8" t="s">
        <v>311</v>
      </c>
      <c r="I93" s="5" t="s">
        <v>312</v>
      </c>
    </row>
    <row r="94" customFormat="false" ht="17.15" hidden="false" customHeight="false" outlineLevel="0" collapsed="false">
      <c r="A94" s="0" t="s">
        <v>313</v>
      </c>
      <c r="B94" s="5" t="s">
        <v>314</v>
      </c>
      <c r="C94" s="0" t="s">
        <v>315</v>
      </c>
      <c r="D94" s="7" t="n">
        <v>-0.01</v>
      </c>
      <c r="E94" s="7" t="n">
        <v>0</v>
      </c>
      <c r="F94" s="7" t="n">
        <v>0.02</v>
      </c>
      <c r="G94" s="8" t="s">
        <v>76</v>
      </c>
      <c r="H94" s="5" t="s">
        <v>316</v>
      </c>
      <c r="I94" s="8" t="s">
        <v>317</v>
      </c>
    </row>
    <row r="95" customFormat="false" ht="17.15" hidden="false" customHeight="false" outlineLevel="0" collapsed="false">
      <c r="A95" s="0" t="s">
        <v>318</v>
      </c>
      <c r="B95" s="5" t="s">
        <v>319</v>
      </c>
      <c r="C95" s="0" t="s">
        <v>31</v>
      </c>
      <c r="D95" s="7" t="n">
        <v>0</v>
      </c>
      <c r="E95" s="8" t="n">
        <f aca="false">4*(eps_g*sh_q1/(1-tx)-om_g*q1g)/1000</f>
        <v>0.0522155688622756</v>
      </c>
      <c r="F95" s="7" t="n">
        <v>0.08</v>
      </c>
      <c r="G95" s="8" t="s">
        <v>32</v>
      </c>
      <c r="H95" s="5" t="s">
        <v>320</v>
      </c>
      <c r="I95" s="5" t="s">
        <v>321</v>
      </c>
    </row>
    <row r="96" customFormat="false" ht="17.15" hidden="false" customHeight="false" outlineLevel="0" collapsed="false">
      <c r="A96" s="0" t="s">
        <v>322</v>
      </c>
      <c r="B96" s="0" t="s">
        <v>323</v>
      </c>
      <c r="C96" s="0" t="s">
        <v>164</v>
      </c>
      <c r="D96" s="7" t="n">
        <v>0</v>
      </c>
      <c r="E96" s="7" t="n">
        <v>0.01</v>
      </c>
      <c r="F96" s="7" t="n">
        <v>0.03</v>
      </c>
      <c r="G96" s="8" t="s">
        <v>76</v>
      </c>
      <c r="H96" s="5" t="s">
        <v>324</v>
      </c>
      <c r="I96" s="8" t="s">
        <v>325</v>
      </c>
    </row>
    <row r="97" customFormat="false" ht="17.15" hidden="false" customHeight="false" outlineLevel="0" collapsed="false">
      <c r="A97" s="0" t="s">
        <v>326</v>
      </c>
      <c r="B97" s="0" t="s">
        <v>327</v>
      </c>
      <c r="C97" s="0" t="s">
        <v>75</v>
      </c>
      <c r="D97" s="7" t="n">
        <v>0.8</v>
      </c>
      <c r="E97" s="7" t="n">
        <v>1</v>
      </c>
      <c r="F97" s="7" t="n">
        <v>1.2</v>
      </c>
      <c r="G97" s="8" t="s">
        <v>76</v>
      </c>
      <c r="H97" s="5" t="s">
        <v>328</v>
      </c>
      <c r="I97" s="8" t="s">
        <v>329</v>
      </c>
    </row>
    <row r="98" customFormat="false" ht="17.15" hidden="false" customHeight="false" outlineLevel="0" collapsed="false">
      <c r="A98" s="1" t="s">
        <v>330</v>
      </c>
    </row>
    <row r="99" customFormat="false" ht="17.15" hidden="false" customHeight="false" outlineLevel="0" collapsed="false">
      <c r="A99" s="0" t="s">
        <v>331</v>
      </c>
      <c r="B99" s="5" t="s">
        <v>332</v>
      </c>
      <c r="C99" s="0" t="s">
        <v>31</v>
      </c>
      <c r="E99" s="7" t="n">
        <v>6.3</v>
      </c>
      <c r="G99" s="8" t="s">
        <v>180</v>
      </c>
      <c r="H99" s="8" t="s">
        <v>333</v>
      </c>
      <c r="I99" s="8" t="s">
        <v>334</v>
      </c>
    </row>
    <row r="100" customFormat="false" ht="17.15" hidden="false" customHeight="false" outlineLevel="0" collapsed="false">
      <c r="A100" s="0" t="s">
        <v>335</v>
      </c>
      <c r="B100" s="5" t="s">
        <v>336</v>
      </c>
      <c r="C100" s="0" t="s">
        <v>233</v>
      </c>
      <c r="E100" s="7" t="n">
        <v>21.79</v>
      </c>
      <c r="G100" s="8" t="s">
        <v>180</v>
      </c>
      <c r="H100" s="8" t="s">
        <v>337</v>
      </c>
      <c r="I100" s="8" t="s">
        <v>338</v>
      </c>
    </row>
    <row r="101" customFormat="false" ht="17.15" hidden="false" customHeight="false" outlineLevel="0" collapsed="false">
      <c r="A101" s="0" t="s">
        <v>339</v>
      </c>
      <c r="B101" s="5" t="s">
        <v>340</v>
      </c>
      <c r="C101" s="0" t="s">
        <v>233</v>
      </c>
      <c r="E101" s="7" t="n">
        <v>23.6</v>
      </c>
      <c r="G101" s="8" t="s">
        <v>180</v>
      </c>
      <c r="H101" s="5" t="s">
        <v>341</v>
      </c>
      <c r="I101" s="5" t="s">
        <v>342</v>
      </c>
    </row>
    <row r="102" customFormat="false" ht="17.15" hidden="false" customHeight="false" outlineLevel="0" collapsed="false">
      <c r="A102" s="0" t="s">
        <v>343</v>
      </c>
      <c r="B102" s="5" t="s">
        <v>344</v>
      </c>
      <c r="C102" s="0" t="s">
        <v>31</v>
      </c>
      <c r="E102" s="7" t="n">
        <v>2.4</v>
      </c>
      <c r="G102" s="8" t="s">
        <v>180</v>
      </c>
      <c r="H102" s="8" t="s">
        <v>345</v>
      </c>
      <c r="I102" s="5" t="s">
        <v>346</v>
      </c>
    </row>
    <row r="103" customFormat="false" ht="17.15" hidden="false" customHeight="false" outlineLevel="0" collapsed="false">
      <c r="A103" s="0" t="s">
        <v>347</v>
      </c>
      <c r="B103" s="5" t="s">
        <v>348</v>
      </c>
      <c r="C103" s="5" t="s">
        <v>349</v>
      </c>
      <c r="E103" s="0" t="n">
        <f aca="false">54.2+13</f>
        <v>67.2</v>
      </c>
      <c r="G103" s="0" t="s">
        <v>180</v>
      </c>
      <c r="H103" s="0" t="s">
        <v>350</v>
      </c>
      <c r="I103" s="5" t="s">
        <v>351</v>
      </c>
    </row>
    <row r="104" customFormat="false" ht="17.15" hidden="false" customHeight="false" outlineLevel="0" collapsed="false">
      <c r="A104" s="0" t="s">
        <v>352</v>
      </c>
      <c r="B104" s="5" t="s">
        <v>353</v>
      </c>
      <c r="C104" s="5" t="s">
        <v>349</v>
      </c>
      <c r="E104" s="0" t="n">
        <f aca="false">76.7+30.8</f>
        <v>107.5</v>
      </c>
      <c r="G104" s="0" t="s">
        <v>180</v>
      </c>
      <c r="H104" s="0" t="s">
        <v>354</v>
      </c>
      <c r="I104" s="5" t="s">
        <v>351</v>
      </c>
    </row>
    <row r="105" customFormat="false" ht="17.15" hidden="false" customHeight="false" outlineLevel="0" collapsed="false">
      <c r="A105" s="0" t="s">
        <v>355</v>
      </c>
      <c r="B105" s="5" t="s">
        <v>356</v>
      </c>
      <c r="C105" s="5" t="s">
        <v>349</v>
      </c>
      <c r="E105" s="0" t="n">
        <f aca="false">90.9+60.2</f>
        <v>151.1</v>
      </c>
      <c r="G105" s="0" t="s">
        <v>180</v>
      </c>
      <c r="H105" s="0" t="s">
        <v>357</v>
      </c>
      <c r="I105" s="5" t="s">
        <v>351</v>
      </c>
    </row>
    <row r="106" customFormat="false" ht="17.15" hidden="false" customHeight="false" outlineLevel="0" collapsed="false">
      <c r="A106" s="0" t="s">
        <v>358</v>
      </c>
      <c r="B106" s="0" t="s">
        <v>359</v>
      </c>
      <c r="C106" s="0" t="s">
        <v>164</v>
      </c>
      <c r="E106" s="7" t="n">
        <v>0.72</v>
      </c>
      <c r="G106" s="8" t="s">
        <v>180</v>
      </c>
      <c r="H106" s="5" t="s">
        <v>360</v>
      </c>
      <c r="I106" s="8" t="s">
        <v>361</v>
      </c>
    </row>
    <row r="107" customFormat="false" ht="17.15" hidden="false" customHeight="false" outlineLevel="0" collapsed="false">
      <c r="A107" s="0" t="s">
        <v>362</v>
      </c>
      <c r="B107" s="5" t="s">
        <v>363</v>
      </c>
      <c r="C107" s="0" t="s">
        <v>164</v>
      </c>
      <c r="E107" s="7" t="n">
        <v>0.266</v>
      </c>
      <c r="G107" s="8" t="s">
        <v>213</v>
      </c>
      <c r="H107" s="8" t="s">
        <v>364</v>
      </c>
      <c r="I107" s="5" t="s">
        <v>365</v>
      </c>
    </row>
    <row r="108" customFormat="false" ht="17.15" hidden="false" customHeight="false" outlineLevel="0" collapsed="false">
      <c r="A108" s="0" t="s">
        <v>366</v>
      </c>
      <c r="B108" s="5" t="s">
        <v>367</v>
      </c>
      <c r="C108" s="0" t="s">
        <v>75</v>
      </c>
      <c r="E108" s="7" t="n">
        <v>45</v>
      </c>
      <c r="G108" s="8" t="s">
        <v>180</v>
      </c>
      <c r="H108" s="8" t="s">
        <v>368</v>
      </c>
      <c r="I108" s="5" t="s">
        <v>369</v>
      </c>
    </row>
    <row r="109" customFormat="false" ht="17.15" hidden="false" customHeight="false" outlineLevel="0" collapsed="false">
      <c r="A109" s="1" t="s">
        <v>370</v>
      </c>
    </row>
    <row r="110" customFormat="false" ht="17.15" hidden="false" customHeight="false" outlineLevel="0" collapsed="false">
      <c r="A110" s="0" t="s">
        <v>371</v>
      </c>
      <c r="B110" s="5" t="s">
        <v>372</v>
      </c>
      <c r="C110" s="0" t="s">
        <v>233</v>
      </c>
      <c r="E110" s="7" t="n">
        <v>756.17</v>
      </c>
      <c r="G110" s="8" t="s">
        <v>180</v>
      </c>
      <c r="H110" s="8" t="s">
        <v>373</v>
      </c>
      <c r="I110" s="8" t="s">
        <v>374</v>
      </c>
    </row>
    <row r="111" customFormat="false" ht="17.15" hidden="false" customHeight="false" outlineLevel="0" collapsed="false">
      <c r="A111" s="0" t="s">
        <v>375</v>
      </c>
      <c r="B111" s="0" t="s">
        <v>376</v>
      </c>
      <c r="C111" s="0" t="s">
        <v>233</v>
      </c>
      <c r="E111" s="7" t="n">
        <v>1143</v>
      </c>
      <c r="G111" s="8" t="s">
        <v>180</v>
      </c>
      <c r="H111" s="5" t="s">
        <v>377</v>
      </c>
      <c r="I111" s="8" t="s">
        <v>378</v>
      </c>
    </row>
    <row r="112" customFormat="false" ht="17.15" hidden="false" customHeight="false" outlineLevel="0" collapsed="false">
      <c r="A112" s="0" t="s">
        <v>379</v>
      </c>
      <c r="B112" s="5" t="s">
        <v>380</v>
      </c>
      <c r="C112" s="5" t="s">
        <v>238</v>
      </c>
      <c r="E112" s="7" t="n">
        <v>89.7</v>
      </c>
      <c r="G112" s="8" t="s">
        <v>213</v>
      </c>
      <c r="H112" s="8" t="s">
        <v>381</v>
      </c>
      <c r="I112" s="8" t="s">
        <v>102</v>
      </c>
    </row>
    <row r="113" customFormat="false" ht="17.15" hidden="false" customHeight="false" outlineLevel="0" collapsed="false">
      <c r="A113" s="10" t="s">
        <v>382</v>
      </c>
      <c r="B113" s="11" t="s">
        <v>383</v>
      </c>
      <c r="C113" s="10" t="s">
        <v>164</v>
      </c>
      <c r="D113" s="10"/>
      <c r="E113" s="12" t="n">
        <v>0.3</v>
      </c>
      <c r="F113" s="10"/>
      <c r="G113" s="10" t="s">
        <v>76</v>
      </c>
      <c r="H113" s="10" t="s">
        <v>384</v>
      </c>
      <c r="I113" s="11" t="s">
        <v>385</v>
      </c>
    </row>
    <row r="114" customFormat="false" ht="17.15" hidden="false" customHeight="false" outlineLevel="0" collapsed="false">
      <c r="A114" s="10" t="s">
        <v>386</v>
      </c>
      <c r="B114" s="11" t="s">
        <v>387</v>
      </c>
      <c r="C114" s="10" t="s">
        <v>164</v>
      </c>
      <c r="D114" s="10"/>
      <c r="E114" s="12" t="n">
        <v>0.5</v>
      </c>
      <c r="F114" s="10"/>
      <c r="G114" s="10" t="s">
        <v>76</v>
      </c>
      <c r="H114" s="10" t="s">
        <v>384</v>
      </c>
      <c r="I114" s="11" t="s">
        <v>385</v>
      </c>
    </row>
    <row r="115" customFormat="false" ht="17.15" hidden="false" customHeight="false" outlineLevel="0" collapsed="false">
      <c r="A115" s="10" t="s">
        <v>388</v>
      </c>
      <c r="B115" s="11" t="s">
        <v>389</v>
      </c>
      <c r="C115" s="10" t="s">
        <v>164</v>
      </c>
      <c r="D115" s="10"/>
      <c r="E115" s="12" t="n">
        <v>0.2</v>
      </c>
      <c r="F115" s="10"/>
      <c r="G115" s="10" t="s">
        <v>76</v>
      </c>
      <c r="H115" s="10" t="s">
        <v>384</v>
      </c>
      <c r="I115" s="11" t="s">
        <v>385</v>
      </c>
    </row>
    <row r="116" customFormat="false" ht="17.15" hidden="false" customHeight="false" outlineLevel="0" collapsed="false">
      <c r="A116" s="1" t="s">
        <v>390</v>
      </c>
    </row>
    <row r="117" customFormat="false" ht="17.15" hidden="false" customHeight="false" outlineLevel="0" collapsed="false">
      <c r="A117" s="10" t="s">
        <v>391</v>
      </c>
      <c r="B117" s="11" t="s">
        <v>392</v>
      </c>
      <c r="C117" s="10" t="s">
        <v>164</v>
      </c>
      <c r="D117" s="10"/>
      <c r="E117" s="12" t="n">
        <v>0.1</v>
      </c>
      <c r="F117" s="10"/>
      <c r="G117" s="10" t="s">
        <v>76</v>
      </c>
      <c r="H117" s="10" t="s">
        <v>393</v>
      </c>
      <c r="I117" s="10" t="s">
        <v>394</v>
      </c>
    </row>
    <row r="118" customFormat="false" ht="17.15" hidden="false" customHeight="false" outlineLevel="0" collapsed="false">
      <c r="A118" s="10" t="s">
        <v>395</v>
      </c>
      <c r="B118" s="11" t="s">
        <v>396</v>
      </c>
      <c r="C118" s="10" t="s">
        <v>164</v>
      </c>
      <c r="D118" s="10"/>
      <c r="E118" s="12" t="n">
        <v>0.04</v>
      </c>
      <c r="F118" s="10"/>
      <c r="G118" s="10" t="s">
        <v>76</v>
      </c>
      <c r="H118" s="10" t="s">
        <v>397</v>
      </c>
      <c r="I118" s="10" t="s">
        <v>102</v>
      </c>
    </row>
    <row r="119" customFormat="false" ht="17.15" hidden="false" customHeight="false" outlineLevel="0" collapsed="false">
      <c r="A119" s="10" t="s">
        <v>398</v>
      </c>
      <c r="B119" s="10" t="s">
        <v>399</v>
      </c>
      <c r="C119" s="10" t="s">
        <v>164</v>
      </c>
      <c r="D119" s="10"/>
      <c r="E119" s="12" t="n">
        <v>0.2</v>
      </c>
      <c r="F119" s="10"/>
      <c r="G119" s="10" t="s">
        <v>76</v>
      </c>
      <c r="H119" s="11" t="s">
        <v>400</v>
      </c>
      <c r="I119" s="11" t="s">
        <v>401</v>
      </c>
    </row>
    <row r="120" customFormat="false" ht="17.15" hidden="false" customHeight="false" outlineLevel="0" collapsed="false">
      <c r="A120" s="10" t="s">
        <v>402</v>
      </c>
      <c r="B120" s="11" t="s">
        <v>403</v>
      </c>
      <c r="C120" s="10" t="s">
        <v>164</v>
      </c>
      <c r="D120" s="10"/>
      <c r="E120" s="12" t="n">
        <v>0.5</v>
      </c>
      <c r="F120" s="10"/>
      <c r="G120" s="10" t="s">
        <v>76</v>
      </c>
      <c r="H120" s="10" t="s">
        <v>404</v>
      </c>
      <c r="I120" s="10" t="s">
        <v>102</v>
      </c>
    </row>
    <row r="121" customFormat="false" ht="17.15" hidden="false" customHeight="false" outlineLevel="0" collapsed="false">
      <c r="A121" s="10" t="s">
        <v>405</v>
      </c>
      <c r="B121" s="11" t="s">
        <v>406</v>
      </c>
      <c r="C121" s="10" t="s">
        <v>164</v>
      </c>
      <c r="D121" s="10"/>
      <c r="E121" s="10" t="n">
        <f aca="false">tp_g+0.02</f>
        <v>0.06</v>
      </c>
      <c r="F121" s="10"/>
      <c r="G121" s="10" t="s">
        <v>76</v>
      </c>
      <c r="H121" s="11" t="s">
        <v>407</v>
      </c>
      <c r="I121" s="10" t="s">
        <v>408</v>
      </c>
    </row>
    <row r="122" customFormat="false" ht="17.15" hidden="false" customHeight="false" outlineLevel="0" collapsed="false">
      <c r="A122" s="10" t="s">
        <v>409</v>
      </c>
      <c r="B122" s="11" t="s">
        <v>410</v>
      </c>
      <c r="C122" s="10" t="s">
        <v>164</v>
      </c>
      <c r="D122" s="10"/>
      <c r="E122" s="10" t="n">
        <f aca="false">tp_g</f>
        <v>0.04</v>
      </c>
      <c r="F122" s="10"/>
      <c r="G122" s="10" t="s">
        <v>76</v>
      </c>
      <c r="H122" s="11" t="s">
        <v>37</v>
      </c>
      <c r="I122" s="10" t="s">
        <v>102</v>
      </c>
    </row>
    <row r="123" customFormat="false" ht="17.15" hidden="false" customHeight="false" outlineLevel="0" collapsed="false">
      <c r="A123" s="10" t="s">
        <v>411</v>
      </c>
      <c r="B123" s="11" t="s">
        <v>412</v>
      </c>
      <c r="C123" s="10" t="s">
        <v>164</v>
      </c>
      <c r="D123" s="10"/>
      <c r="E123" s="10" t="n">
        <f aca="false">tp_g-0.02</f>
        <v>0.02</v>
      </c>
      <c r="F123" s="10"/>
      <c r="G123" s="10" t="s">
        <v>76</v>
      </c>
      <c r="H123" s="11" t="s">
        <v>37</v>
      </c>
      <c r="I123" s="10" t="s">
        <v>102</v>
      </c>
    </row>
    <row r="124" customFormat="false" ht="17.15" hidden="false" customHeight="false" outlineLevel="0" collapsed="false">
      <c r="A124" s="10" t="s">
        <v>413</v>
      </c>
      <c r="B124" s="11" t="s">
        <v>414</v>
      </c>
      <c r="C124" s="10" t="s">
        <v>164</v>
      </c>
      <c r="D124" s="10"/>
      <c r="E124" s="13" t="n">
        <f aca="false">PL!$G$106</f>
        <v>0.358414688397069</v>
      </c>
      <c r="F124" s="10"/>
      <c r="G124" s="10" t="s">
        <v>32</v>
      </c>
      <c r="H124" s="10" t="s">
        <v>415</v>
      </c>
      <c r="I124" s="10" t="s">
        <v>102</v>
      </c>
    </row>
    <row r="125" customFormat="false" ht="17.15" hidden="false" customHeight="false" outlineLevel="0" collapsed="false">
      <c r="A125" s="10" t="s">
        <v>416</v>
      </c>
      <c r="B125" s="11" t="s">
        <v>417</v>
      </c>
      <c r="C125" s="10" t="s">
        <v>164</v>
      </c>
      <c r="D125" s="10"/>
      <c r="E125" s="10" t="n">
        <f aca="false">(PL!$G$158+PL!$G$158*0.8)/2</f>
        <v>0.314941607162835</v>
      </c>
      <c r="F125" s="10"/>
      <c r="G125" s="10" t="s">
        <v>76</v>
      </c>
      <c r="H125" s="11" t="s">
        <v>418</v>
      </c>
      <c r="I125" s="10" t="s">
        <v>419</v>
      </c>
    </row>
    <row r="126" customFormat="false" ht="17.15" hidden="false" customHeight="false" outlineLevel="0" collapsed="false">
      <c r="A126" s="10" t="s">
        <v>420</v>
      </c>
      <c r="B126" s="11" t="s">
        <v>421</v>
      </c>
      <c r="C126" s="10" t="s">
        <v>164</v>
      </c>
      <c r="D126" s="10"/>
      <c r="E126" s="10" t="n">
        <f aca="false">PL!$G$210*0.8</f>
        <v>0.267763195472688</v>
      </c>
      <c r="F126" s="10"/>
      <c r="G126" s="10" t="s">
        <v>76</v>
      </c>
      <c r="H126" s="11" t="s">
        <v>422</v>
      </c>
      <c r="I126" s="10" t="s">
        <v>419</v>
      </c>
    </row>
    <row r="127" customFormat="false" ht="17.15" hidden="false" customHeight="false" outlineLevel="0" collapsed="false">
      <c r="A127" s="10" t="s">
        <v>423</v>
      </c>
      <c r="B127" s="11" t="s">
        <v>424</v>
      </c>
      <c r="C127" s="10" t="s">
        <v>233</v>
      </c>
      <c r="D127" s="10"/>
      <c r="E127" s="12" t="n">
        <v>1165.03</v>
      </c>
      <c r="F127" s="10"/>
      <c r="G127" s="10" t="s">
        <v>180</v>
      </c>
      <c r="H127" s="10" t="s">
        <v>425</v>
      </c>
      <c r="I127" s="11" t="s">
        <v>426</v>
      </c>
    </row>
    <row r="128" customFormat="false" ht="17.15" hidden="false" customHeight="false" outlineLevel="0" collapsed="false">
      <c r="A128" s="10" t="s">
        <v>427</v>
      </c>
      <c r="B128" s="11" t="s">
        <v>428</v>
      </c>
      <c r="C128" s="10" t="s">
        <v>233</v>
      </c>
      <c r="D128" s="10"/>
      <c r="E128" s="10" t="n">
        <f aca="false">cons_eps28</f>
        <v>23.6</v>
      </c>
      <c r="F128" s="10"/>
      <c r="G128" s="10" t="s">
        <v>32</v>
      </c>
      <c r="H128" s="10" t="s">
        <v>429</v>
      </c>
      <c r="I128" s="11" t="s">
        <v>430</v>
      </c>
    </row>
    <row r="130" customFormat="false" ht="17.15" hidden="false" customHeight="false" outlineLevel="0" collapsed="false">
      <c r="A130" s="3" t="s">
        <v>431</v>
      </c>
    </row>
    <row r="131" customFormat="false" ht="17.15" hidden="false" customHeight="false" outlineLevel="0" collapsed="false">
      <c r="A131" s="0" t="s">
        <v>432</v>
      </c>
      <c r="B131" s="5" t="s">
        <v>433</v>
      </c>
      <c r="C131" s="0" t="s">
        <v>31</v>
      </c>
      <c r="E131" s="7" t="n">
        <v>29.753262</v>
      </c>
      <c r="G131" s="8" t="s">
        <v>32</v>
      </c>
      <c r="H131" s="8" t="s">
        <v>434</v>
      </c>
      <c r="I131" s="5" t="s">
        <v>435</v>
      </c>
    </row>
    <row r="132" customFormat="false" ht="17.15" hidden="false" customHeight="false" outlineLevel="0" collapsed="false">
      <c r="A132" s="0" t="s">
        <v>436</v>
      </c>
      <c r="B132" s="5" t="s">
        <v>437</v>
      </c>
      <c r="C132" s="0" t="s">
        <v>31</v>
      </c>
      <c r="E132" s="7" t="n">
        <v>54.688309</v>
      </c>
      <c r="G132" s="8" t="s">
        <v>32</v>
      </c>
      <c r="H132" s="8" t="s">
        <v>434</v>
      </c>
      <c r="I132" s="5" t="s">
        <v>37</v>
      </c>
    </row>
    <row r="133" customFormat="false" ht="17.15" hidden="false" customHeight="false" outlineLevel="0" collapsed="false">
      <c r="A133" s="0" t="s">
        <v>438</v>
      </c>
      <c r="B133" s="5" t="s">
        <v>439</v>
      </c>
      <c r="C133" s="0" t="s">
        <v>31</v>
      </c>
      <c r="E133" s="7" t="n">
        <v>61.21325</v>
      </c>
      <c r="G133" s="8" t="s">
        <v>32</v>
      </c>
      <c r="H133" s="8" t="s">
        <v>434</v>
      </c>
      <c r="I133" s="5" t="s">
        <v>37</v>
      </c>
    </row>
    <row r="134" customFormat="false" ht="17.15" hidden="false" customHeight="false" outlineLevel="0" collapsed="false">
      <c r="A134" s="0" t="s">
        <v>440</v>
      </c>
      <c r="B134" s="5" t="s">
        <v>441</v>
      </c>
      <c r="C134" s="0" t="s">
        <v>31</v>
      </c>
      <c r="E134" s="7" t="n">
        <v>78.80848</v>
      </c>
      <c r="G134" s="8" t="s">
        <v>32</v>
      </c>
      <c r="H134" s="8" t="s">
        <v>434</v>
      </c>
      <c r="I134" s="5" t="s">
        <v>37</v>
      </c>
    </row>
    <row r="135" customFormat="false" ht="17.15" hidden="false" customHeight="false" outlineLevel="0" collapsed="false">
      <c r="A135" s="0" t="s">
        <v>442</v>
      </c>
      <c r="B135" s="5" t="s">
        <v>443</v>
      </c>
      <c r="C135" s="0" t="s">
        <v>31</v>
      </c>
      <c r="E135" s="7" t="n">
        <v>29.753262</v>
      </c>
      <c r="G135" s="8" t="s">
        <v>32</v>
      </c>
      <c r="H135" s="8" t="s">
        <v>444</v>
      </c>
      <c r="I135" s="5" t="s">
        <v>445</v>
      </c>
    </row>
    <row r="136" customFormat="false" ht="17.15" hidden="false" customHeight="false" outlineLevel="0" collapsed="false">
      <c r="A136" s="0" t="s">
        <v>446</v>
      </c>
      <c r="B136" s="5" t="s">
        <v>447</v>
      </c>
      <c r="C136" s="0" t="s">
        <v>31</v>
      </c>
      <c r="E136" s="7" t="n">
        <v>55.252106</v>
      </c>
      <c r="G136" s="8" t="s">
        <v>32</v>
      </c>
      <c r="H136" s="8" t="s">
        <v>444</v>
      </c>
      <c r="I136" s="5" t="s">
        <v>37</v>
      </c>
    </row>
    <row r="137" customFormat="false" ht="17.15" hidden="false" customHeight="false" outlineLevel="0" collapsed="false">
      <c r="A137" s="0" t="s">
        <v>448</v>
      </c>
      <c r="B137" s="5" t="s">
        <v>449</v>
      </c>
      <c r="C137" s="0" t="s">
        <v>31</v>
      </c>
      <c r="E137" s="7" t="n">
        <v>62.50195</v>
      </c>
      <c r="G137" s="8" t="s">
        <v>32</v>
      </c>
      <c r="H137" s="8" t="s">
        <v>444</v>
      </c>
      <c r="I137" s="5" t="s">
        <v>37</v>
      </c>
    </row>
    <row r="138" customFormat="false" ht="17.15" hidden="false" customHeight="false" outlineLevel="0" collapsed="false">
      <c r="A138" s="0" t="s">
        <v>450</v>
      </c>
      <c r="B138" s="5" t="s">
        <v>451</v>
      </c>
      <c r="C138" s="0" t="s">
        <v>31</v>
      </c>
      <c r="E138" s="7" t="n">
        <v>81.01111</v>
      </c>
      <c r="G138" s="8" t="s">
        <v>32</v>
      </c>
      <c r="H138" s="8" t="s">
        <v>444</v>
      </c>
      <c r="I138" s="5" t="s">
        <v>37</v>
      </c>
    </row>
    <row r="139" customFormat="false" ht="17.15" hidden="false" customHeight="false" outlineLevel="0" collapsed="false">
      <c r="A139" s="0" t="s">
        <v>452</v>
      </c>
      <c r="B139" s="5" t="s">
        <v>453</v>
      </c>
      <c r="C139" s="0" t="s">
        <v>31</v>
      </c>
      <c r="E139" s="7" t="n">
        <v>0.300538</v>
      </c>
      <c r="G139" s="8" t="s">
        <v>32</v>
      </c>
      <c r="H139" s="8" t="s">
        <v>454</v>
      </c>
      <c r="I139" s="5" t="s">
        <v>435</v>
      </c>
    </row>
    <row r="140" customFormat="false" ht="17.15" hidden="false" customHeight="false" outlineLevel="0" collapsed="false">
      <c r="A140" s="0" t="s">
        <v>455</v>
      </c>
      <c r="B140" s="5" t="s">
        <v>456</v>
      </c>
      <c r="C140" s="0" t="s">
        <v>31</v>
      </c>
      <c r="E140" s="7" t="n">
        <v>1.691391</v>
      </c>
      <c r="G140" s="8" t="s">
        <v>32</v>
      </c>
      <c r="H140" s="8" t="s">
        <v>454</v>
      </c>
      <c r="I140" s="5" t="s">
        <v>37</v>
      </c>
    </row>
    <row r="141" customFormat="false" ht="17.15" hidden="false" customHeight="false" outlineLevel="0" collapsed="false">
      <c r="A141" s="0" t="s">
        <v>457</v>
      </c>
      <c r="B141" s="5" t="s">
        <v>458</v>
      </c>
      <c r="C141" s="0" t="s">
        <v>31</v>
      </c>
      <c r="E141" s="7" t="n">
        <v>3.22175</v>
      </c>
      <c r="G141" s="8" t="s">
        <v>32</v>
      </c>
      <c r="H141" s="8" t="s">
        <v>454</v>
      </c>
      <c r="I141" s="5" t="s">
        <v>37</v>
      </c>
    </row>
    <row r="142" customFormat="false" ht="17.15" hidden="false" customHeight="false" outlineLevel="0" collapsed="false">
      <c r="A142" s="0" t="s">
        <v>459</v>
      </c>
      <c r="B142" s="5" t="s">
        <v>460</v>
      </c>
      <c r="C142" s="0" t="s">
        <v>31</v>
      </c>
      <c r="E142" s="7" t="n">
        <v>5.87368</v>
      </c>
      <c r="G142" s="8" t="s">
        <v>32</v>
      </c>
      <c r="H142" s="8" t="s">
        <v>454</v>
      </c>
      <c r="I142" s="5" t="s">
        <v>37</v>
      </c>
    </row>
    <row r="143" customFormat="false" ht="17.15" hidden="false" customHeight="false" outlineLevel="0" collapsed="false">
      <c r="A143" s="0" t="s">
        <v>461</v>
      </c>
      <c r="B143" s="5" t="s">
        <v>462</v>
      </c>
      <c r="C143" s="0" t="s">
        <v>31</v>
      </c>
      <c r="E143" s="7" t="n">
        <v>0.300538</v>
      </c>
      <c r="G143" s="8" t="s">
        <v>32</v>
      </c>
      <c r="H143" s="8" t="s">
        <v>463</v>
      </c>
      <c r="I143" s="5" t="s">
        <v>445</v>
      </c>
    </row>
    <row r="144" customFormat="false" ht="17.15" hidden="false" customHeight="false" outlineLevel="0" collapsed="false">
      <c r="A144" s="0" t="s">
        <v>464</v>
      </c>
      <c r="B144" s="5" t="s">
        <v>465</v>
      </c>
      <c r="C144" s="0" t="s">
        <v>31</v>
      </c>
      <c r="E144" s="7" t="n">
        <v>1.127594</v>
      </c>
      <c r="G144" s="8" t="s">
        <v>32</v>
      </c>
      <c r="H144" s="8" t="s">
        <v>463</v>
      </c>
      <c r="I144" s="5" t="s">
        <v>37</v>
      </c>
    </row>
    <row r="145" customFormat="false" ht="17.15" hidden="false" customHeight="false" outlineLevel="0" collapsed="false">
      <c r="A145" s="0" t="s">
        <v>466</v>
      </c>
      <c r="B145" s="5" t="s">
        <v>467</v>
      </c>
      <c r="C145" s="0" t="s">
        <v>31</v>
      </c>
      <c r="E145" s="7" t="n">
        <v>1.93305</v>
      </c>
      <c r="G145" s="8" t="s">
        <v>32</v>
      </c>
      <c r="H145" s="8" t="s">
        <v>463</v>
      </c>
      <c r="I145" s="5" t="s">
        <v>37</v>
      </c>
    </row>
    <row r="146" customFormat="false" ht="17.15" hidden="false" customHeight="false" outlineLevel="0" collapsed="false">
      <c r="A146" s="0" t="s">
        <v>468</v>
      </c>
      <c r="B146" s="5" t="s">
        <v>469</v>
      </c>
      <c r="C146" s="0" t="s">
        <v>31</v>
      </c>
      <c r="E146" s="7" t="n">
        <v>3.67105</v>
      </c>
      <c r="G146" s="8" t="s">
        <v>32</v>
      </c>
      <c r="H146" s="8" t="s">
        <v>463</v>
      </c>
      <c r="I146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  <col collapsed="false" customWidth="true" hidden="false" outlineLevel="0" max="10" min="10" style="0" width="2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470</v>
      </c>
    </row>
    <row r="2" customFormat="false" ht="17.15" hidden="false" customHeight="false" outlineLevel="0" collapsed="false">
      <c r="A2" s="0" t="s">
        <v>471</v>
      </c>
    </row>
    <row r="3" customFormat="false" ht="17.15" hidden="false" customHeight="false" outlineLevel="0" collapsed="false">
      <c r="A3" s="6" t="s">
        <v>20</v>
      </c>
      <c r="B3" s="14" t="s">
        <v>472</v>
      </c>
      <c r="C3" s="14" t="s">
        <v>473</v>
      </c>
      <c r="D3" s="14" t="s">
        <v>474</v>
      </c>
      <c r="E3" s="14" t="s">
        <v>475</v>
      </c>
      <c r="F3" s="14" t="s">
        <v>476</v>
      </c>
      <c r="G3" s="14" t="s">
        <v>477</v>
      </c>
      <c r="H3" s="14" t="s">
        <v>478</v>
      </c>
      <c r="I3" s="14" t="s">
        <v>479</v>
      </c>
      <c r="J3" s="6" t="s">
        <v>25</v>
      </c>
      <c r="K3" s="6" t="s">
        <v>480</v>
      </c>
    </row>
    <row r="4" customFormat="false" ht="17.15" hidden="false" customHeight="false" outlineLevel="0" collapsed="false">
      <c r="A4" s="5" t="s">
        <v>481</v>
      </c>
      <c r="B4" s="15" t="n">
        <f aca="false">a25_rev_in</f>
        <v>1645</v>
      </c>
      <c r="C4" s="15" t="n">
        <f aca="false">a26_rev_in</f>
        <v>3014</v>
      </c>
      <c r="D4" s="15" t="n">
        <f aca="false">q3_26</f>
        <v>808.4</v>
      </c>
      <c r="E4" s="15" t="n">
        <f aca="false">q4_26</f>
        <v>1006.3</v>
      </c>
      <c r="F4" s="15" t="n">
        <f aca="false">q1g</f>
        <v>1250</v>
      </c>
      <c r="G4" s="15" t="n">
        <f aca="false">F4*(1+q_g)</f>
        <v>1400</v>
      </c>
      <c r="H4" s="15" t="n">
        <f aca="false">D4+E4+F4+G4</f>
        <v>4464.7</v>
      </c>
      <c r="I4" s="15" t="n">
        <f aca="false">F4+G4</f>
        <v>2650</v>
      </c>
      <c r="J4" s="8" t="s">
        <v>482</v>
      </c>
      <c r="K4" s="8" t="s">
        <v>483</v>
      </c>
    </row>
    <row r="5" customFormat="false" ht="17.15" hidden="false" customHeight="false" outlineLevel="0" collapsed="false">
      <c r="A5" s="5" t="s">
        <v>484</v>
      </c>
      <c r="B5" s="16" t="n">
        <f aca="false">a25_gm_in</f>
        <v>0.347</v>
      </c>
      <c r="C5" s="16" t="n">
        <f aca="false">a26_gm_in</f>
        <v>0.46</v>
      </c>
      <c r="J5" s="8" t="s">
        <v>213</v>
      </c>
    </row>
    <row r="6" customFormat="false" ht="15" hidden="false" customHeight="false" outlineLevel="0" collapsed="false">
      <c r="A6" s="5" t="s">
        <v>485</v>
      </c>
      <c r="B6" s="15" t="n">
        <f aca="false">B4*B5</f>
        <v>570.815</v>
      </c>
      <c r="C6" s="15" t="n">
        <f aca="false">C4*C5</f>
        <v>1386.44</v>
      </c>
      <c r="J6" s="8" t="s">
        <v>32</v>
      </c>
    </row>
    <row r="7" customFormat="false" ht="17.15" hidden="false" customHeight="false" outlineLevel="0" collapsed="false">
      <c r="A7" s="5" t="s">
        <v>486</v>
      </c>
      <c r="B7" s="15" t="n">
        <f aca="false">a25_opx_in</f>
        <v>411.4</v>
      </c>
      <c r="C7" s="15" t="n">
        <f aca="false">a26_opx_in</f>
        <v>489.7</v>
      </c>
      <c r="J7" s="8" t="s">
        <v>213</v>
      </c>
    </row>
    <row r="8" customFormat="false" ht="17.15" hidden="false" customHeight="false" outlineLevel="0" collapsed="false">
      <c r="A8" s="5" t="s">
        <v>487</v>
      </c>
      <c r="B8" s="15" t="n">
        <f aca="false">B6-B7</f>
        <v>159.415</v>
      </c>
      <c r="C8" s="15" t="n">
        <f aca="false">C6-C7</f>
        <v>896.74</v>
      </c>
      <c r="F8" s="15" t="n">
        <f aca="false">F4*om_g</f>
        <v>500</v>
      </c>
      <c r="J8" s="8" t="s">
        <v>32</v>
      </c>
      <c r="K8" s="8" t="s">
        <v>488</v>
      </c>
    </row>
    <row r="9" customFormat="false" ht="15" hidden="false" customHeight="false" outlineLevel="0" collapsed="false">
      <c r="A9" s="5" t="s">
        <v>489</v>
      </c>
      <c r="B9" s="16" t="n">
        <f aca="false">B8/B4</f>
        <v>0.0969088145896656</v>
      </c>
      <c r="C9" s="16" t="n">
        <f aca="false">C8/C4</f>
        <v>0.297524883875249</v>
      </c>
      <c r="F9" s="16" t="n">
        <f aca="false">F8/F4</f>
        <v>0.4</v>
      </c>
      <c r="J9" s="8" t="s">
        <v>32</v>
      </c>
    </row>
    <row r="10" customFormat="false" ht="17.15" hidden="false" customHeight="false" outlineLevel="0" collapsed="false">
      <c r="A10" s="5" t="s">
        <v>490</v>
      </c>
      <c r="B10" s="15" t="n">
        <f aca="false">a25_ni_in</f>
        <v>146.4</v>
      </c>
      <c r="C10" s="15" t="n">
        <f aca="false">a26_ni_in</f>
        <v>782.3</v>
      </c>
      <c r="F10" s="15" t="n">
        <f aca="false">eps_g*sh_q1</f>
        <v>428.4</v>
      </c>
      <c r="J10" s="8" t="s">
        <v>491</v>
      </c>
    </row>
    <row r="11" customFormat="false" ht="17.15" hidden="false" customHeight="false" outlineLevel="0" collapsed="false">
      <c r="A11" s="5" t="s">
        <v>492</v>
      </c>
      <c r="B11" s="17" t="n">
        <f aca="false">B10/B8</f>
        <v>0.91835774550701</v>
      </c>
      <c r="C11" s="17" t="n">
        <f aca="false">C10/C8</f>
        <v>0.87238218435667</v>
      </c>
      <c r="F11" s="17" t="n">
        <f aca="false">F10/F8</f>
        <v>0.8568</v>
      </c>
      <c r="J11" s="8" t="s">
        <v>32</v>
      </c>
      <c r="K11" s="8" t="s">
        <v>493</v>
      </c>
    </row>
    <row r="12" customFormat="false" ht="17.15" hidden="false" customHeight="false" outlineLevel="0" collapsed="false">
      <c r="A12" s="5" t="s">
        <v>494</v>
      </c>
      <c r="B12" s="15" t="n">
        <f aca="false">B10/B13</f>
        <v>71.0679611650485</v>
      </c>
      <c r="C12" s="15" t="n">
        <f aca="false">C10/C13</f>
        <v>90.2306805074971</v>
      </c>
      <c r="F12" s="15" t="n">
        <f aca="false">sh_q1</f>
        <v>102</v>
      </c>
      <c r="J12" s="8" t="s">
        <v>32</v>
      </c>
      <c r="K12" s="5" t="s">
        <v>495</v>
      </c>
    </row>
    <row r="13" customFormat="false" ht="17.15" hidden="false" customHeight="false" outlineLevel="0" collapsed="false">
      <c r="A13" s="0" t="s">
        <v>496</v>
      </c>
      <c r="B13" s="9" t="n">
        <f aca="false">a25_eps_in</f>
        <v>2.06</v>
      </c>
      <c r="C13" s="9" t="n">
        <f aca="false">a26_eps_in</f>
        <v>8.67</v>
      </c>
      <c r="F13" s="9" t="n">
        <f aca="false">eps_g</f>
        <v>4.2</v>
      </c>
      <c r="J13" s="8" t="s">
        <v>213</v>
      </c>
    </row>
    <row r="14" customFormat="false" ht="17.15" hidden="false" customHeight="false" outlineLevel="0" collapsed="false">
      <c r="A14" s="5" t="s">
        <v>497</v>
      </c>
      <c r="H14" s="15" t="n">
        <f aca="false">(ocs_1h+ocs_2h)*1000</f>
        <v>500</v>
      </c>
      <c r="J14" s="8" t="s">
        <v>498</v>
      </c>
      <c r="K14" s="8" t="s">
        <v>499</v>
      </c>
    </row>
    <row r="15" customFormat="false" ht="17.15" hidden="false" customHeight="false" outlineLevel="0" collapsed="false">
      <c r="A15" s="5" t="s">
        <v>500</v>
      </c>
      <c r="H15" s="15" t="n">
        <f aca="false">cpo_a26*1000</f>
        <v>50</v>
      </c>
      <c r="J15" s="8" t="s">
        <v>180</v>
      </c>
    </row>
    <row r="16" customFormat="false" ht="17.15" hidden="false" customHeight="false" outlineLevel="0" collapsed="false">
      <c r="A16" s="5" t="s">
        <v>501</v>
      </c>
      <c r="H16" s="15" t="n">
        <f aca="false">tel_a26*1000</f>
        <v>750</v>
      </c>
      <c r="J16" s="8" t="s">
        <v>76</v>
      </c>
    </row>
    <row r="17" customFormat="false" ht="17.15" hidden="false" customHeight="false" outlineLevel="0" collapsed="false">
      <c r="A17" s="5" t="s">
        <v>502</v>
      </c>
      <c r="H17" s="15" t="n">
        <f aca="false">ind_a26*1000</f>
        <v>300</v>
      </c>
      <c r="J17" s="8" t="s">
        <v>76</v>
      </c>
    </row>
    <row r="18" customFormat="false" ht="15" hidden="false" customHeight="false" outlineLevel="0" collapsed="false">
      <c r="A18" s="5" t="s">
        <v>503</v>
      </c>
      <c r="H18" s="15" t="n">
        <f aca="false">xcvr_a26*1000</f>
        <v>1000</v>
      </c>
      <c r="J18" s="8" t="s">
        <v>76</v>
      </c>
    </row>
    <row r="19" customFormat="false" ht="17.15" hidden="false" customHeight="false" outlineLevel="0" collapsed="false">
      <c r="A19" s="5" t="s">
        <v>504</v>
      </c>
      <c r="H19" s="15" t="n">
        <f aca="false">H4-SUM(H14:H18)</f>
        <v>1864.7</v>
      </c>
      <c r="J19" s="8" t="s">
        <v>505</v>
      </c>
      <c r="K19" s="5" t="s">
        <v>506</v>
      </c>
    </row>
    <row r="20" customFormat="false" ht="17.15" hidden="false" customHeight="false" outlineLevel="0" collapsed="false">
      <c r="A20" s="0" t="s">
        <v>507</v>
      </c>
      <c r="H20" s="16" t="n">
        <f aca="false">(H19+H18+H14+H15)/H4</f>
        <v>0.764821824534683</v>
      </c>
      <c r="J20" s="8" t="s">
        <v>32</v>
      </c>
    </row>
    <row r="22" customFormat="false" ht="15" hidden="false" customHeight="false" outlineLevel="0" collapsed="false">
      <c r="A22" s="3" t="s">
        <v>508</v>
      </c>
    </row>
    <row r="23" customFormat="false" ht="17.15" hidden="false" customHeight="false" outlineLevel="0" collapsed="false">
      <c r="A23" s="0" t="s">
        <v>509</v>
      </c>
      <c r="B23" s="16" t="n">
        <f aca="false">C4/B4-1</f>
        <v>0.832218844984803</v>
      </c>
    </row>
    <row r="24" customFormat="false" ht="17.15" hidden="false" customHeight="false" outlineLevel="0" collapsed="false">
      <c r="A24" s="0" t="s">
        <v>510</v>
      </c>
      <c r="B24" s="16" t="n">
        <f aca="false">C7/B7-1</f>
        <v>0.190325717063685</v>
      </c>
    </row>
    <row r="25" customFormat="false" ht="17.15" hidden="false" customHeight="false" outlineLevel="0" collapsed="false">
      <c r="A25" s="0" t="s">
        <v>511</v>
      </c>
      <c r="B25" s="16" t="n">
        <f aca="false">I4/H4</f>
        <v>0.593544919031514</v>
      </c>
    </row>
    <row r="26" customFormat="false" ht="17.15" hidden="false" customHeight="false" outlineLevel="0" collapsed="false">
      <c r="A26" s="5" t="s">
        <v>512</v>
      </c>
      <c r="B26" s="9" t="n">
        <f aca="false">B24/B23</f>
        <v>0.228696716267175</v>
      </c>
    </row>
    <row r="27" customFormat="false" ht="17.15" hidden="false" customHeight="false" outlineLevel="0" collapsed="false">
      <c r="A27" s="5" t="s">
        <v>513</v>
      </c>
      <c r="B27" s="16" t="n">
        <f aca="false">649.4/1006.3</f>
        <v>0.645334393322071</v>
      </c>
    </row>
    <row r="28" customFormat="false" ht="15" hidden="false" customHeight="false" outlineLevel="0" collapsed="false">
      <c r="A28" s="0" t="s">
        <v>514</v>
      </c>
      <c r="B28" s="16" t="n">
        <f aca="false">(D4+E4)/H4</f>
        <v>0.406455080968486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515</v>
      </c>
    </row>
    <row r="3" customFormat="false" ht="15" hidden="false" customHeight="false" outlineLevel="0" collapsed="false">
      <c r="A3" s="6" t="s">
        <v>20</v>
      </c>
      <c r="B3" s="6" t="s">
        <v>21</v>
      </c>
      <c r="C3" s="14" t="s">
        <v>516</v>
      </c>
      <c r="D3" s="14" t="s">
        <v>517</v>
      </c>
      <c r="E3" s="14" t="s">
        <v>518</v>
      </c>
      <c r="F3" s="14" t="s">
        <v>519</v>
      </c>
      <c r="G3" s="6" t="s">
        <v>480</v>
      </c>
    </row>
    <row r="4" customFormat="false" ht="17.15" hidden="false" customHeight="false" outlineLevel="0" collapsed="false">
      <c r="A4" s="5" t="s">
        <v>520</v>
      </c>
      <c r="B4" s="5" t="s">
        <v>349</v>
      </c>
      <c r="C4" s="15" t="n">
        <f aca="false">PL!C65</f>
        <v>59.506524</v>
      </c>
      <c r="D4" s="15" t="n">
        <f aca="false">PL!D65</f>
        <v>103.001375</v>
      </c>
      <c r="E4" s="15" t="n">
        <f aca="false">PL!E65</f>
        <v>107.391666666667</v>
      </c>
      <c r="F4" s="15" t="n">
        <f aca="false">PL!F65</f>
        <v>130.240714285714</v>
      </c>
      <c r="G4" s="5" t="s">
        <v>521</v>
      </c>
    </row>
    <row r="5" customFormat="false" ht="17.15" hidden="false" customHeight="false" outlineLevel="0" collapsed="false">
      <c r="A5" s="5" t="s">
        <v>522</v>
      </c>
      <c r="B5" s="5" t="s">
        <v>109</v>
      </c>
      <c r="C5" s="18" t="n">
        <f aca="false">PL!C66</f>
        <v>5.5</v>
      </c>
      <c r="D5" s="18" t="n">
        <f aca="false">PL!D66</f>
        <v>5.5</v>
      </c>
      <c r="E5" s="18" t="n">
        <f aca="false">PL!E66</f>
        <v>5</v>
      </c>
      <c r="F5" s="18" t="n">
        <f aca="false">PL!F66</f>
        <v>4.8</v>
      </c>
      <c r="G5" s="8" t="s">
        <v>523</v>
      </c>
    </row>
    <row r="6" customFormat="false" ht="15" hidden="false" customHeight="false" outlineLevel="0" collapsed="false">
      <c r="A6" s="5" t="s">
        <v>524</v>
      </c>
      <c r="B6" s="0" t="s">
        <v>31</v>
      </c>
      <c r="C6" s="19" t="n">
        <f aca="false">PL!C68</f>
        <v>4.254716466</v>
      </c>
      <c r="D6" s="19" t="n">
        <f aca="false">PL!D68</f>
        <v>8.4976134375</v>
      </c>
      <c r="E6" s="19" t="n">
        <f aca="false">PL!E68</f>
        <v>8.054375</v>
      </c>
      <c r="F6" s="19" t="n">
        <f aca="false">PL!F68</f>
        <v>8.752176</v>
      </c>
    </row>
    <row r="7" customFormat="false" ht="17.15" hidden="false" customHeight="false" outlineLevel="0" collapsed="false">
      <c r="A7" s="0" t="s">
        <v>525</v>
      </c>
      <c r="B7" s="0" t="s">
        <v>164</v>
      </c>
      <c r="C7" s="16" t="n">
        <f aca="false">PL!C71</f>
        <v>0.43826657190933</v>
      </c>
      <c r="D7" s="16" t="n">
        <f aca="false">PL!D71</f>
        <v>0.416353243313864</v>
      </c>
      <c r="E7" s="16" t="n">
        <f aca="false">PL!E71</f>
        <v>0.416353243313864</v>
      </c>
      <c r="F7" s="16" t="n">
        <f aca="false">PL!F71</f>
        <v>0.394439914718397</v>
      </c>
      <c r="G7" s="8" t="s">
        <v>526</v>
      </c>
    </row>
    <row r="8" customFormat="false" ht="17.15" hidden="false" customHeight="false" outlineLevel="0" collapsed="false">
      <c r="A8" s="0" t="s">
        <v>527</v>
      </c>
      <c r="B8" s="0" t="s">
        <v>31</v>
      </c>
      <c r="C8" s="19" t="n">
        <f aca="false">PL!C72</f>
        <v>1.8647</v>
      </c>
      <c r="D8" s="19" t="n">
        <f aca="false">PL!D72</f>
        <v>3.53800891513059</v>
      </c>
      <c r="E8" s="19" t="n">
        <f aca="false">PL!E72</f>
        <v>3.3534651541161</v>
      </c>
      <c r="F8" s="19" t="n">
        <f aca="false">PL!F72</f>
        <v>3.4522075550404</v>
      </c>
    </row>
    <row r="9" customFormat="false" ht="17.15" hidden="false" customHeight="false" outlineLevel="0" collapsed="false">
      <c r="A9" s="0" t="s">
        <v>528</v>
      </c>
      <c r="B9" s="0" t="s">
        <v>164</v>
      </c>
      <c r="C9" s="16" t="n">
        <f aca="false">PL!C74</f>
        <v>0.0336097601668012</v>
      </c>
      <c r="D9" s="16" t="n">
        <f aca="false">PL!D74</f>
        <v>0.0336097601668012</v>
      </c>
      <c r="E9" s="16" t="n">
        <f aca="false">PL!E74</f>
        <v>0.0336097601668012</v>
      </c>
      <c r="F9" s="16" t="n">
        <f aca="false">PL!F74</f>
        <v>0.0336097601668012</v>
      </c>
      <c r="G9" s="5" t="s">
        <v>529</v>
      </c>
    </row>
    <row r="10" customFormat="false" ht="17.15" hidden="false" customHeight="false" outlineLevel="0" collapsed="false">
      <c r="A10" s="0" t="s">
        <v>530</v>
      </c>
      <c r="B10" s="0" t="s">
        <v>121</v>
      </c>
      <c r="C10" s="20" t="n">
        <f aca="false">PL!C77</f>
        <v>129.87012987013</v>
      </c>
      <c r="D10" s="20" t="n">
        <f aca="false">PL!D77</f>
        <v>207.792207792208</v>
      </c>
      <c r="E10" s="20" t="n">
        <f aca="false">PL!E77</f>
        <v>233.766233766234</v>
      </c>
      <c r="F10" s="20" t="n">
        <f aca="false">PL!F77</f>
        <v>233.766233766234</v>
      </c>
    </row>
    <row r="11" customFormat="false" ht="17.15" hidden="false" customHeight="false" outlineLevel="0" collapsed="false">
      <c r="A11" s="0" t="s">
        <v>531</v>
      </c>
      <c r="B11" s="0" t="s">
        <v>31</v>
      </c>
      <c r="C11" s="19" t="n">
        <f aca="false">PL!C78</f>
        <v>0.5</v>
      </c>
      <c r="D11" s="19" t="n">
        <f aca="false">PL!D78</f>
        <v>1.14285714285714</v>
      </c>
      <c r="E11" s="19" t="n">
        <f aca="false">PL!E78</f>
        <v>1.63636363636364</v>
      </c>
      <c r="F11" s="19" t="n">
        <f aca="false">PL!F78</f>
        <v>1.88181818181818</v>
      </c>
    </row>
    <row r="12" customFormat="false" ht="17.15" hidden="false" customHeight="false" outlineLevel="0" collapsed="false">
      <c r="A12" s="0" t="s">
        <v>532</v>
      </c>
      <c r="B12" s="0" t="s">
        <v>164</v>
      </c>
      <c r="C12" s="16" t="n">
        <f aca="false">PL!C80</f>
        <v>0.166368312825666</v>
      </c>
      <c r="D12" s="16" t="n">
        <f aca="false">PL!D80</f>
        <v>0.25</v>
      </c>
      <c r="E12" s="16" t="n">
        <f aca="false">PL!E80</f>
        <v>0.25</v>
      </c>
      <c r="F12" s="16" t="n">
        <f aca="false">PL!F80</f>
        <v>0.2</v>
      </c>
    </row>
    <row r="13" customFormat="false" ht="17.15" hidden="false" customHeight="false" outlineLevel="0" collapsed="false">
      <c r="A13" s="0" t="s">
        <v>533</v>
      </c>
      <c r="B13" s="0" t="s">
        <v>164</v>
      </c>
      <c r="C13" s="21" t="n">
        <f aca="false">PL!C82/itc_26</f>
        <v>0.00436733377920005</v>
      </c>
      <c r="D13" s="21" t="n">
        <f aca="false">PL!D82/itc_27</f>
        <v>0.0045905229459866</v>
      </c>
      <c r="E13" s="21" t="n">
        <f aca="false">PL!E82/itc_28</f>
        <v>0.00430879392860409</v>
      </c>
      <c r="F13" s="21" t="n">
        <f aca="false">PL!F82/itc_29</f>
        <v>0.00448365884967258</v>
      </c>
      <c r="G13" s="8" t="s">
        <v>534</v>
      </c>
    </row>
    <row r="15" customFormat="false" ht="17.15" hidden="false" customHeight="false" outlineLevel="0" collapsed="false">
      <c r="A15" s="3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536</v>
      </c>
    </row>
    <row r="2" customFormat="false" ht="17.15" hidden="false" customHeight="false" outlineLevel="0" collapsed="false">
      <c r="A2" s="5" t="s">
        <v>537</v>
      </c>
    </row>
    <row r="3" customFormat="false" ht="17.15" hidden="false" customHeight="false" outlineLevel="0" collapsed="false">
      <c r="A3" s="6" t="s">
        <v>538</v>
      </c>
      <c r="B3" s="6" t="s">
        <v>21</v>
      </c>
      <c r="C3" s="14" t="s">
        <v>472</v>
      </c>
      <c r="D3" s="14" t="s">
        <v>539</v>
      </c>
      <c r="E3" s="14" t="s">
        <v>540</v>
      </c>
      <c r="F3" s="14" t="s">
        <v>541</v>
      </c>
      <c r="G3" s="14" t="s">
        <v>542</v>
      </c>
      <c r="H3" s="14" t="s">
        <v>543</v>
      </c>
      <c r="I3" s="14" t="s">
        <v>544</v>
      </c>
      <c r="J3" s="14" t="s">
        <v>545</v>
      </c>
      <c r="K3" s="6" t="s">
        <v>480</v>
      </c>
    </row>
    <row r="4" customFormat="false" ht="17.15" hidden="false" customHeight="false" outlineLevel="0" collapsed="false">
      <c r="A4" s="3" t="s">
        <v>546</v>
      </c>
    </row>
    <row r="5" customFormat="false" ht="15" hidden="false" customHeight="false" outlineLevel="0" collapsed="false">
      <c r="A5" s="5" t="s">
        <v>481</v>
      </c>
      <c r="B5" s="0" t="s">
        <v>31</v>
      </c>
      <c r="C5" s="19" t="n">
        <f aca="false">C93</f>
        <v>1.645</v>
      </c>
      <c r="D5" s="19" t="n">
        <f aca="false">D93</f>
        <v>3.014</v>
      </c>
      <c r="E5" s="19" t="n">
        <f aca="false">E93</f>
        <v>6.61316929394506</v>
      </c>
      <c r="F5" s="19" t="n">
        <f aca="false">F93</f>
        <v>9.14381002223568</v>
      </c>
      <c r="G5" s="19" t="n">
        <f aca="false">G93</f>
        <v>10.7463049766681</v>
      </c>
      <c r="H5" s="22" t="n">
        <f aca="false">H93</f>
        <v>12.2167908091082</v>
      </c>
      <c r="I5" s="22" t="n">
        <f aca="false">I93</f>
        <v>13.4191454533806</v>
      </c>
      <c r="J5" s="22" t="n">
        <f aca="false">J93</f>
        <v>14.2242941805835</v>
      </c>
    </row>
    <row r="6" customFormat="false" ht="15" hidden="false" customHeight="false" outlineLevel="0" collapsed="false">
      <c r="A6" s="5" t="s">
        <v>547</v>
      </c>
      <c r="B6" s="0" t="s">
        <v>164</v>
      </c>
      <c r="D6" s="16" t="n">
        <f aca="false">D97</f>
        <v>0.832218844984802</v>
      </c>
      <c r="E6" s="16" t="n">
        <f aca="false">E97</f>
        <v>1.19415039613307</v>
      </c>
      <c r="F6" s="16" t="n">
        <f aca="false">F97</f>
        <v>0.38266685998915</v>
      </c>
      <c r="G6" s="16" t="n">
        <f aca="false">G97</f>
        <v>0.175254620397354</v>
      </c>
      <c r="H6" s="23" t="n">
        <f aca="false">H97</f>
        <v>0.136836413598236</v>
      </c>
      <c r="I6" s="23" t="n">
        <f aca="false">I97</f>
        <v>0.0984182067991178</v>
      </c>
      <c r="J6" s="23" t="n">
        <f aca="false">J97</f>
        <v>0.06</v>
      </c>
    </row>
    <row r="7" customFormat="false" ht="17.15" hidden="false" customHeight="false" outlineLevel="0" collapsed="false">
      <c r="A7" s="0" t="s">
        <v>548</v>
      </c>
      <c r="B7" s="0" t="s">
        <v>31</v>
      </c>
      <c r="E7" s="19" t="n">
        <f aca="false">E91</f>
        <v>5.40409212896197</v>
      </c>
      <c r="F7" s="19" t="n">
        <f aca="false">F91</f>
        <v>7.82685937223568</v>
      </c>
      <c r="G7" s="19" t="n">
        <f aca="false">G91</f>
        <v>9.29475049466811</v>
      </c>
    </row>
    <row r="8" customFormat="false" ht="17.15" hidden="false" customHeight="false" outlineLevel="0" collapsed="false">
      <c r="A8" s="5" t="s">
        <v>549</v>
      </c>
      <c r="B8" s="0" t="s">
        <v>31</v>
      </c>
      <c r="E8" s="19" t="n">
        <f aca="false">E92</f>
        <v>1.20907716498309</v>
      </c>
      <c r="F8" s="19" t="n">
        <f aca="false">F92</f>
        <v>1.31695065</v>
      </c>
      <c r="G8" s="19" t="n">
        <f aca="false">G92</f>
        <v>1.451554482</v>
      </c>
    </row>
    <row r="9" customFormat="false" ht="17.15" hidden="false" customHeight="false" outlineLevel="0" collapsed="false">
      <c r="A9" s="0" t="s">
        <v>550</v>
      </c>
      <c r="B9" s="0" t="s">
        <v>164</v>
      </c>
      <c r="E9" s="16" t="n">
        <f aca="false">E98</f>
        <v>0.817171296961941</v>
      </c>
      <c r="F9" s="16" t="n">
        <f aca="false">F98</f>
        <v>0.855973533264856</v>
      </c>
      <c r="G9" s="16" t="n">
        <f aca="false">G98</f>
        <v>0.864925247780372</v>
      </c>
    </row>
    <row r="10" customFormat="false" ht="15" hidden="false" customHeight="false" outlineLevel="0" collapsed="false">
      <c r="A10" s="5" t="s">
        <v>551</v>
      </c>
      <c r="B10" s="0" t="s">
        <v>164</v>
      </c>
      <c r="C10" s="16" t="n">
        <f aca="false">C99</f>
        <v>0.347</v>
      </c>
      <c r="D10" s="16" t="n">
        <f aca="false">D99</f>
        <v>0.46</v>
      </c>
      <c r="E10" s="16" t="n">
        <f aca="false">E99</f>
        <v>0.52</v>
      </c>
      <c r="F10" s="16" t="n">
        <f aca="false">F99</f>
        <v>0.51</v>
      </c>
      <c r="G10" s="16" t="n">
        <f aca="false">G99</f>
        <v>0.49</v>
      </c>
    </row>
    <row r="11" customFormat="false" ht="15" hidden="false" customHeight="false" outlineLevel="0" collapsed="false">
      <c r="A11" s="5" t="s">
        <v>489</v>
      </c>
      <c r="B11" s="0" t="s">
        <v>164</v>
      </c>
      <c r="C11" s="16" t="n">
        <f aca="false">C104</f>
        <v>0.0969088145896656</v>
      </c>
      <c r="D11" s="16" t="n">
        <f aca="false">D104</f>
        <v>0.297524883875249</v>
      </c>
      <c r="E11" s="16" t="n">
        <f aca="false">E104</f>
        <v>0.425728071182503</v>
      </c>
      <c r="F11" s="16" t="n">
        <f aca="false">F104</f>
        <v>0.435851911949842</v>
      </c>
      <c r="G11" s="16" t="n">
        <f aca="false">G104</f>
        <v>0.424380215433883</v>
      </c>
    </row>
    <row r="12" customFormat="false" ht="15" hidden="false" customHeight="false" outlineLevel="0" collapsed="false">
      <c r="A12" s="5" t="s">
        <v>552</v>
      </c>
      <c r="B12" s="0" t="s">
        <v>164</v>
      </c>
      <c r="C12" s="16" t="n">
        <f aca="false">C106</f>
        <v>0.0889969604863222</v>
      </c>
      <c r="D12" s="16" t="n">
        <f aca="false">D106</f>
        <v>0.259555408095554</v>
      </c>
      <c r="E12" s="16" t="n">
        <f aca="false">E106</f>
        <v>0.362075844905563</v>
      </c>
      <c r="F12" s="16" t="n">
        <f aca="false">F106</f>
        <v>0.368704599525149</v>
      </c>
      <c r="G12" s="16" t="n">
        <f aca="false">G106</f>
        <v>0.358414688397069</v>
      </c>
      <c r="H12" s="23" t="n">
        <f aca="false">H106</f>
        <v>0.358414688397069</v>
      </c>
      <c r="I12" s="23" t="n">
        <f aca="false">I106</f>
        <v>0.358414688397069</v>
      </c>
      <c r="J12" s="23" t="n">
        <f aca="false">J106</f>
        <v>0.358414688397069</v>
      </c>
    </row>
    <row r="13" customFormat="false" ht="17.15" hidden="false" customHeight="false" outlineLevel="0" collapsed="false">
      <c r="A13" s="5" t="s">
        <v>490</v>
      </c>
      <c r="B13" s="0" t="s">
        <v>31</v>
      </c>
      <c r="C13" s="19" t="n">
        <f aca="false">C105</f>
        <v>0.1464</v>
      </c>
      <c r="D13" s="19" t="n">
        <f aca="false">D105</f>
        <v>0.7823</v>
      </c>
      <c r="E13" s="19" t="n">
        <f aca="false">E105</f>
        <v>2.39446885960868</v>
      </c>
      <c r="F13" s="19" t="n">
        <f aca="false">F105</f>
        <v>3.37136481238245</v>
      </c>
      <c r="G13" s="19" t="n">
        <f aca="false">G105</f>
        <v>3.85163354963238</v>
      </c>
      <c r="H13" s="22" t="n">
        <f aca="false">H105</f>
        <v>4.37867727105871</v>
      </c>
      <c r="I13" s="22" t="n">
        <f aca="false">I105</f>
        <v>4.80961883622837</v>
      </c>
      <c r="J13" s="22" t="n">
        <f aca="false">J105</f>
        <v>5.09819596640207</v>
      </c>
    </row>
    <row r="14" customFormat="false" ht="17.15" hidden="false" customHeight="false" outlineLevel="0" collapsed="false">
      <c r="A14" s="0" t="s">
        <v>496</v>
      </c>
      <c r="B14" s="0" t="s">
        <v>233</v>
      </c>
      <c r="C14" s="9" t="n">
        <f aca="false">C108</f>
        <v>2.06</v>
      </c>
      <c r="D14" s="9" t="n">
        <f aca="false">D108</f>
        <v>8.67</v>
      </c>
      <c r="E14" s="9" t="n">
        <f aca="false">E108</f>
        <v>23.4751848981243</v>
      </c>
      <c r="F14" s="9" t="n">
        <f aca="false">F108</f>
        <v>32.7253427721069</v>
      </c>
      <c r="G14" s="9" t="n">
        <f aca="false">G108</f>
        <v>37.0170701222331</v>
      </c>
      <c r="H14" s="24" t="n">
        <f aca="false">H108</f>
        <v>41.6656962769048</v>
      </c>
      <c r="I14" s="24" t="n">
        <f aca="false">I108</f>
        <v>45.3132271183312</v>
      </c>
      <c r="J14" s="24" t="n">
        <f aca="false">J108</f>
        <v>47.5564561835951</v>
      </c>
    </row>
    <row r="15" customFormat="false" ht="17.15" hidden="false" customHeight="false" outlineLevel="0" collapsed="false">
      <c r="A15" s="0" t="s">
        <v>553</v>
      </c>
      <c r="B15" s="0" t="s">
        <v>164</v>
      </c>
      <c r="D15" s="16" t="n">
        <f aca="false">D109</f>
        <v>3.20873786407767</v>
      </c>
      <c r="E15" s="16" t="n">
        <f aca="false">E109</f>
        <v>1.70763378294398</v>
      </c>
      <c r="F15" s="16" t="n">
        <f aca="false">F109</f>
        <v>0.394039830319789</v>
      </c>
      <c r="G15" s="16" t="n">
        <f aca="false">G109</f>
        <v>0.131143847140517</v>
      </c>
      <c r="H15" s="23" t="n">
        <f aca="false">H109</f>
        <v>0.125580607523006</v>
      </c>
      <c r="I15" s="23" t="n">
        <f aca="false">I109</f>
        <v>0.0875427790090277</v>
      </c>
      <c r="J15" s="23" t="n">
        <f aca="false">J109</f>
        <v>0.0495049504950496</v>
      </c>
    </row>
    <row r="17" customFormat="false" ht="17.15" hidden="false" customHeight="false" outlineLevel="0" collapsed="false">
      <c r="A17" s="3" t="s">
        <v>554</v>
      </c>
    </row>
    <row r="18" customFormat="false" ht="15" hidden="false" customHeight="false" outlineLevel="0" collapsed="false">
      <c r="A18" s="5" t="s">
        <v>481</v>
      </c>
      <c r="B18" s="0" t="s">
        <v>31</v>
      </c>
      <c r="C18" s="19" t="n">
        <f aca="false">C145</f>
        <v>1.645</v>
      </c>
      <c r="D18" s="19" t="n">
        <f aca="false">D145</f>
        <v>3.014</v>
      </c>
      <c r="E18" s="19" t="n">
        <f aca="false">E145</f>
        <v>6.5334968031409</v>
      </c>
      <c r="F18" s="19" t="n">
        <f aca="false">F145</f>
        <v>8.05820664567095</v>
      </c>
      <c r="G18" s="19" t="n">
        <f aca="false">G145</f>
        <v>8.62954953514412</v>
      </c>
      <c r="H18" s="22" t="n">
        <f aca="false">H145</f>
        <v>9.15251168726862</v>
      </c>
      <c r="I18" s="22" t="n">
        <f aca="false">I145</f>
        <v>9.61288909723714</v>
      </c>
      <c r="J18" s="22" t="n">
        <f aca="false">J145</f>
        <v>9.99740466112663</v>
      </c>
    </row>
    <row r="19" customFormat="false" ht="15" hidden="false" customHeight="false" outlineLevel="0" collapsed="false">
      <c r="A19" s="5" t="s">
        <v>547</v>
      </c>
      <c r="B19" s="0" t="s">
        <v>164</v>
      </c>
      <c r="D19" s="16" t="n">
        <f aca="false">D149</f>
        <v>0.832218844984802</v>
      </c>
      <c r="E19" s="16" t="n">
        <f aca="false">E149</f>
        <v>1.16771625850727</v>
      </c>
      <c r="F19" s="16" t="n">
        <f aca="false">F149</f>
        <v>0.233368116411578</v>
      </c>
      <c r="G19" s="16" t="n">
        <f aca="false">G149</f>
        <v>0.0709019903057597</v>
      </c>
      <c r="H19" s="23" t="n">
        <f aca="false">H149</f>
        <v>0.0606013268705065</v>
      </c>
      <c r="I19" s="23" t="n">
        <f aca="false">I149</f>
        <v>0.0503006634352532</v>
      </c>
      <c r="J19" s="23" t="n">
        <f aca="false">J149</f>
        <v>0.04</v>
      </c>
    </row>
    <row r="20" customFormat="false" ht="17.15" hidden="false" customHeight="false" outlineLevel="0" collapsed="false">
      <c r="A20" s="0" t="s">
        <v>548</v>
      </c>
      <c r="B20" s="0" t="s">
        <v>31</v>
      </c>
      <c r="E20" s="19" t="n">
        <f aca="false">E143</f>
        <v>5.32441963815781</v>
      </c>
      <c r="F20" s="19" t="n">
        <f aca="false">F143</f>
        <v>6.74125599567095</v>
      </c>
      <c r="G20" s="19" t="n">
        <f aca="false">G143</f>
        <v>7.17799505314412</v>
      </c>
    </row>
    <row r="21" customFormat="false" ht="17.15" hidden="false" customHeight="false" outlineLevel="0" collapsed="false">
      <c r="A21" s="5" t="s">
        <v>549</v>
      </c>
      <c r="B21" s="0" t="s">
        <v>31</v>
      </c>
      <c r="E21" s="19" t="n">
        <f aca="false">E144</f>
        <v>1.20907716498309</v>
      </c>
      <c r="F21" s="19" t="n">
        <f aca="false">F144</f>
        <v>1.31695065</v>
      </c>
      <c r="G21" s="19" t="n">
        <f aca="false">G144</f>
        <v>1.451554482</v>
      </c>
    </row>
    <row r="22" customFormat="false" ht="17.15" hidden="false" customHeight="false" outlineLevel="0" collapsed="false">
      <c r="A22" s="0" t="s">
        <v>550</v>
      </c>
      <c r="B22" s="0" t="s">
        <v>164</v>
      </c>
      <c r="E22" s="16" t="n">
        <f aca="false">E150</f>
        <v>0.814941798945728</v>
      </c>
      <c r="F22" s="16" t="n">
        <f aca="false">F150</f>
        <v>0.836570255900859</v>
      </c>
      <c r="G22" s="16" t="n">
        <f aca="false">G150</f>
        <v>0.831792554630054</v>
      </c>
    </row>
    <row r="23" customFormat="false" ht="15" hidden="false" customHeight="false" outlineLevel="0" collapsed="false">
      <c r="A23" s="5" t="s">
        <v>551</v>
      </c>
      <c r="B23" s="0" t="s">
        <v>164</v>
      </c>
      <c r="C23" s="16" t="n">
        <f aca="false">C151</f>
        <v>0.347</v>
      </c>
      <c r="D23" s="16" t="n">
        <f aca="false">D151</f>
        <v>0.46</v>
      </c>
      <c r="E23" s="16" t="n">
        <f aca="false">E151</f>
        <v>0.52</v>
      </c>
      <c r="F23" s="16" t="n">
        <f aca="false">F151</f>
        <v>0.51</v>
      </c>
      <c r="G23" s="16" t="n">
        <f aca="false">G151</f>
        <v>0.49</v>
      </c>
    </row>
    <row r="24" customFormat="false" ht="15" hidden="false" customHeight="false" outlineLevel="0" collapsed="false">
      <c r="A24" s="5" t="s">
        <v>489</v>
      </c>
      <c r="B24" s="0" t="s">
        <v>164</v>
      </c>
      <c r="C24" s="16" t="n">
        <f aca="false">C156</f>
        <v>0.0969088145896656</v>
      </c>
      <c r="D24" s="16" t="n">
        <f aca="false">D156</f>
        <v>0.297524883875249</v>
      </c>
      <c r="E24" s="16" t="n">
        <f aca="false">E156</f>
        <v>0.425031591654375</v>
      </c>
      <c r="F24" s="16" t="n">
        <f aca="false">F156</f>
        <v>0.42889126974147</v>
      </c>
      <c r="G24" s="16" t="n">
        <f aca="false">G156</f>
        <v>0.413033187618813</v>
      </c>
    </row>
    <row r="25" customFormat="false" ht="15" hidden="false" customHeight="false" outlineLevel="0" collapsed="false">
      <c r="A25" s="5" t="s">
        <v>552</v>
      </c>
      <c r="B25" s="0" t="s">
        <v>164</v>
      </c>
      <c r="C25" s="16" t="n">
        <f aca="false">C158</f>
        <v>0.0889969604863222</v>
      </c>
      <c r="D25" s="16" t="n">
        <f aca="false">D158</f>
        <v>0.259555408095554</v>
      </c>
      <c r="E25" s="16" t="n">
        <f aca="false">E158</f>
        <v>0.3615746814472</v>
      </c>
      <c r="F25" s="16" t="n">
        <f aca="false">F158</f>
        <v>0.363534843383306</v>
      </c>
      <c r="G25" s="16" t="n">
        <f aca="false">G158</f>
        <v>0.349935119069817</v>
      </c>
      <c r="H25" s="23" t="n">
        <f aca="false">H158</f>
        <v>0.338270615100823</v>
      </c>
      <c r="I25" s="23" t="n">
        <f aca="false">I158</f>
        <v>0.326606111131829</v>
      </c>
      <c r="J25" s="23" t="n">
        <f aca="false">J158</f>
        <v>0.314941607162835</v>
      </c>
    </row>
    <row r="26" customFormat="false" ht="17.15" hidden="false" customHeight="false" outlineLevel="0" collapsed="false">
      <c r="A26" s="5" t="s">
        <v>490</v>
      </c>
      <c r="B26" s="0" t="s">
        <v>31</v>
      </c>
      <c r="C26" s="19" t="n">
        <f aca="false">C157</f>
        <v>0.1464</v>
      </c>
      <c r="D26" s="19" t="n">
        <f aca="false">D157</f>
        <v>0.7823</v>
      </c>
      <c r="E26" s="19" t="n">
        <f aca="false">E157</f>
        <v>2.36234702533197</v>
      </c>
      <c r="F26" s="19" t="n">
        <f aca="false">F157</f>
        <v>2.92943889088431</v>
      </c>
      <c r="G26" s="19" t="n">
        <f aca="false">G157</f>
        <v>3.01978244409954</v>
      </c>
      <c r="H26" s="22" t="n">
        <f aca="false">H157</f>
        <v>3.09602575816983</v>
      </c>
      <c r="I26" s="22" t="n">
        <f aca="false">I157</f>
        <v>3.13962832479018</v>
      </c>
      <c r="J26" s="22" t="n">
        <f aca="false">J157</f>
        <v>3.14859869143244</v>
      </c>
    </row>
    <row r="27" customFormat="false" ht="17.15" hidden="false" customHeight="false" outlineLevel="0" collapsed="false">
      <c r="A27" s="0" t="s">
        <v>496</v>
      </c>
      <c r="B27" s="0" t="s">
        <v>233</v>
      </c>
      <c r="C27" s="9" t="n">
        <f aca="false">C160</f>
        <v>2.06</v>
      </c>
      <c r="D27" s="9" t="n">
        <f aca="false">D160</f>
        <v>8.67</v>
      </c>
      <c r="E27" s="9" t="n">
        <f aca="false">E160</f>
        <v>23.160264954235</v>
      </c>
      <c r="F27" s="9" t="n">
        <f aca="false">F160</f>
        <v>28.4356327983334</v>
      </c>
      <c r="G27" s="9" t="n">
        <f aca="false">G160</f>
        <v>29.0223607845015</v>
      </c>
      <c r="H27" s="24" t="n">
        <f aca="false">H160</f>
        <v>29.4605107706848</v>
      </c>
      <c r="I27" s="24" t="n">
        <f aca="false">I160</f>
        <v>29.5796187167145</v>
      </c>
      <c r="J27" s="24" t="n">
        <f aca="false">J160</f>
        <v>29.3704276366811</v>
      </c>
    </row>
    <row r="28" customFormat="false" ht="17.15" hidden="false" customHeight="false" outlineLevel="0" collapsed="false">
      <c r="A28" s="0" t="s">
        <v>553</v>
      </c>
      <c r="B28" s="0" t="s">
        <v>164</v>
      </c>
      <c r="D28" s="16" t="n">
        <f aca="false">D161</f>
        <v>3.20873786407767</v>
      </c>
      <c r="E28" s="16" t="n">
        <f aca="false">E161</f>
        <v>1.6713108367053</v>
      </c>
      <c r="F28" s="16" t="n">
        <f aca="false">F161</f>
        <v>0.227776662077167</v>
      </c>
      <c r="G28" s="16" t="n">
        <f aca="false">G161</f>
        <v>0.0206335477156152</v>
      </c>
      <c r="H28" s="23" t="n">
        <f aca="false">H161</f>
        <v>0.0150969795130262</v>
      </c>
      <c r="I28" s="23" t="n">
        <f aca="false">I161</f>
        <v>0.00404296948402494</v>
      </c>
      <c r="J28" s="23" t="n">
        <f aca="false">J161</f>
        <v>-0.00707213578500698</v>
      </c>
    </row>
    <row r="30" customFormat="false" ht="17.15" hidden="false" customHeight="false" outlineLevel="0" collapsed="false">
      <c r="A30" s="3" t="s">
        <v>555</v>
      </c>
    </row>
    <row r="31" customFormat="false" ht="15" hidden="false" customHeight="false" outlineLevel="0" collapsed="false">
      <c r="A31" s="5" t="s">
        <v>481</v>
      </c>
      <c r="B31" s="0" t="s">
        <v>31</v>
      </c>
      <c r="C31" s="19" t="n">
        <f aca="false">C197</f>
        <v>1.645</v>
      </c>
      <c r="D31" s="19" t="n">
        <f aca="false">D197</f>
        <v>3.014</v>
      </c>
      <c r="E31" s="19" t="n">
        <f aca="false">E197</f>
        <v>6.49366055773881</v>
      </c>
      <c r="F31" s="19" t="n">
        <f aca="false">F197</f>
        <v>7.20000119684873</v>
      </c>
      <c r="G31" s="19" t="n">
        <f aca="false">G197</f>
        <v>6.52981797604879</v>
      </c>
      <c r="H31" s="22" t="n">
        <f aca="false">H197</f>
        <v>6.16814882598367</v>
      </c>
      <c r="I31" s="22" t="n">
        <f aca="false">I197</f>
        <v>6.0590116825794</v>
      </c>
      <c r="J31" s="22" t="n">
        <f aca="false">J197</f>
        <v>6.18019191623098</v>
      </c>
    </row>
    <row r="32" customFormat="false" ht="15" hidden="false" customHeight="false" outlineLevel="0" collapsed="false">
      <c r="A32" s="5" t="s">
        <v>547</v>
      </c>
      <c r="B32" s="0" t="s">
        <v>164</v>
      </c>
      <c r="D32" s="16" t="n">
        <f aca="false">D201</f>
        <v>0.832218844984802</v>
      </c>
      <c r="E32" s="16" t="n">
        <f aca="false">E201</f>
        <v>1.15449918969436</v>
      </c>
      <c r="F32" s="16" t="n">
        <f aca="false">F201</f>
        <v>0.108773877665678</v>
      </c>
      <c r="G32" s="16" t="n">
        <f aca="false">G201</f>
        <v>-0.0930809874161227</v>
      </c>
      <c r="H32" s="23" t="n">
        <f aca="false">H201</f>
        <v>-0.0553873249440818</v>
      </c>
      <c r="I32" s="23" t="n">
        <f aca="false">I201</f>
        <v>-0.0176936624720409</v>
      </c>
      <c r="J32" s="23" t="n">
        <f aca="false">J201</f>
        <v>0.02</v>
      </c>
    </row>
    <row r="33" customFormat="false" ht="17.15" hidden="false" customHeight="false" outlineLevel="0" collapsed="false">
      <c r="A33" s="0" t="s">
        <v>548</v>
      </c>
      <c r="B33" s="0" t="s">
        <v>31</v>
      </c>
      <c r="E33" s="19" t="n">
        <f aca="false">E195</f>
        <v>5.28458339275572</v>
      </c>
      <c r="F33" s="19" t="n">
        <f aca="false">F195</f>
        <v>5.88305054684873</v>
      </c>
      <c r="G33" s="19" t="n">
        <f aca="false">G195</f>
        <v>5.07826349404879</v>
      </c>
    </row>
    <row r="34" customFormat="false" ht="17.15" hidden="false" customHeight="false" outlineLevel="0" collapsed="false">
      <c r="A34" s="5" t="s">
        <v>549</v>
      </c>
      <c r="B34" s="0" t="s">
        <v>31</v>
      </c>
      <c r="E34" s="19" t="n">
        <f aca="false">E196</f>
        <v>1.20907716498309</v>
      </c>
      <c r="F34" s="19" t="n">
        <f aca="false">F196</f>
        <v>1.31695065</v>
      </c>
      <c r="G34" s="19" t="n">
        <f aca="false">G196</f>
        <v>1.451554482</v>
      </c>
    </row>
    <row r="35" customFormat="false" ht="17.15" hidden="false" customHeight="false" outlineLevel="0" collapsed="false">
      <c r="A35" s="0" t="s">
        <v>550</v>
      </c>
      <c r="B35" s="0" t="s">
        <v>164</v>
      </c>
      <c r="E35" s="16" t="n">
        <f aca="false">E202</f>
        <v>0.813806534198624</v>
      </c>
      <c r="F35" s="16" t="n">
        <f aca="false">F202</f>
        <v>0.817090217904908</v>
      </c>
      <c r="G35" s="16" t="n">
        <f aca="false">G202</f>
        <v>0.777703683728357</v>
      </c>
    </row>
    <row r="36" customFormat="false" ht="15" hidden="false" customHeight="false" outlineLevel="0" collapsed="false">
      <c r="A36" s="5" t="s">
        <v>551</v>
      </c>
      <c r="B36" s="0" t="s">
        <v>164</v>
      </c>
      <c r="C36" s="16" t="n">
        <f aca="false">C203</f>
        <v>0.347</v>
      </c>
      <c r="D36" s="16" t="n">
        <f aca="false">D203</f>
        <v>0.46</v>
      </c>
      <c r="E36" s="16" t="n">
        <f aca="false">E203</f>
        <v>0.52</v>
      </c>
      <c r="F36" s="16" t="n">
        <f aca="false">F203</f>
        <v>0.51</v>
      </c>
      <c r="G36" s="16" t="n">
        <f aca="false">G203</f>
        <v>0.49</v>
      </c>
    </row>
    <row r="37" customFormat="false" ht="15" hidden="false" customHeight="false" outlineLevel="0" collapsed="false">
      <c r="A37" s="5" t="s">
        <v>489</v>
      </c>
      <c r="B37" s="0" t="s">
        <v>164</v>
      </c>
      <c r="C37" s="16" t="n">
        <f aca="false">C208</f>
        <v>0.0969088145896656</v>
      </c>
      <c r="D37" s="16" t="n">
        <f aca="false">D208</f>
        <v>0.297524883875249</v>
      </c>
      <c r="E37" s="16" t="n">
        <f aca="false">E208</f>
        <v>0.424676942917478</v>
      </c>
      <c r="F37" s="16" t="n">
        <f aca="false">F208</f>
        <v>0.421889757494434</v>
      </c>
      <c r="G37" s="16" t="n">
        <f aca="false">G208</f>
        <v>0.39284662546159</v>
      </c>
    </row>
    <row r="38" customFormat="false" ht="15" hidden="false" customHeight="false" outlineLevel="0" collapsed="false">
      <c r="A38" s="5" t="s">
        <v>552</v>
      </c>
      <c r="B38" s="0" t="s">
        <v>164</v>
      </c>
      <c r="C38" s="16" t="n">
        <f aca="false">C210</f>
        <v>0.0889969604863222</v>
      </c>
      <c r="D38" s="16" t="n">
        <f aca="false">D210</f>
        <v>0.259555408095554</v>
      </c>
      <c r="E38" s="16" t="n">
        <f aca="false">E210</f>
        <v>0.361319488034746</v>
      </c>
      <c r="F38" s="16" t="n">
        <f aca="false">F210</f>
        <v>0.358333502056799</v>
      </c>
      <c r="G38" s="16" t="n">
        <f aca="false">G210</f>
        <v>0.33470399434086</v>
      </c>
      <c r="H38" s="23" t="n">
        <f aca="false">H210</f>
        <v>0.312390394718136</v>
      </c>
      <c r="I38" s="23" t="n">
        <f aca="false">I210</f>
        <v>0.290076795095412</v>
      </c>
      <c r="J38" s="23" t="n">
        <f aca="false">J210</f>
        <v>0.267763195472688</v>
      </c>
    </row>
    <row r="39" customFormat="false" ht="17.15" hidden="false" customHeight="false" outlineLevel="0" collapsed="false">
      <c r="A39" s="5" t="s">
        <v>490</v>
      </c>
      <c r="B39" s="0" t="s">
        <v>31</v>
      </c>
      <c r="C39" s="19" t="n">
        <f aca="false">C209</f>
        <v>0.1464</v>
      </c>
      <c r="D39" s="19" t="n">
        <f aca="false">D209</f>
        <v>0.7823</v>
      </c>
      <c r="E39" s="19" t="n">
        <f aca="false">E209</f>
        <v>2.34628610819361</v>
      </c>
      <c r="F39" s="19" t="n">
        <f aca="false">F209</f>
        <v>2.58000164367995</v>
      </c>
      <c r="G39" s="19" t="n">
        <f aca="false">G209</f>
        <v>2.18555615890228</v>
      </c>
      <c r="H39" s="22" t="n">
        <f aca="false">H209</f>
        <v>1.92687044642924</v>
      </c>
      <c r="I39" s="22" t="n">
        <f aca="false">I209</f>
        <v>1.75757869032829</v>
      </c>
      <c r="J39" s="22" t="n">
        <f aca="false">J209</f>
        <v>1.65482793612448</v>
      </c>
    </row>
    <row r="40" customFormat="false" ht="17.15" hidden="false" customHeight="false" outlineLevel="0" collapsed="false">
      <c r="A40" s="0" t="s">
        <v>496</v>
      </c>
      <c r="B40" s="0" t="s">
        <v>233</v>
      </c>
      <c r="C40" s="9" t="n">
        <f aca="false">C212</f>
        <v>2.06</v>
      </c>
      <c r="D40" s="9" t="n">
        <f aca="false">D212</f>
        <v>8.67</v>
      </c>
      <c r="E40" s="9" t="n">
        <f aca="false">E212</f>
        <v>23.0028049822903</v>
      </c>
      <c r="F40" s="9" t="n">
        <f aca="false">F212</f>
        <v>25.0436967936318</v>
      </c>
      <c r="G40" s="9" t="n">
        <f aca="false">G212</f>
        <v>21.0048241993026</v>
      </c>
      <c r="H40" s="24" t="n">
        <f aca="false">H212</f>
        <v>18.3353085454624</v>
      </c>
      <c r="I40" s="24" t="n">
        <f aca="false">I212</f>
        <v>16.5588095616406</v>
      </c>
      <c r="J40" s="24" t="n">
        <f aca="false">J212</f>
        <v>15.4363921579955</v>
      </c>
    </row>
    <row r="41" customFormat="false" ht="17.15" hidden="false" customHeight="false" outlineLevel="0" collapsed="false">
      <c r="A41" s="0" t="s">
        <v>553</v>
      </c>
      <c r="B41" s="0" t="s">
        <v>164</v>
      </c>
      <c r="D41" s="16" t="n">
        <f aca="false">D213</f>
        <v>3.20873786407767</v>
      </c>
      <c r="E41" s="16" t="n">
        <f aca="false">E213</f>
        <v>1.65314936358596</v>
      </c>
      <c r="F41" s="16" t="n">
        <f aca="false">F213</f>
        <v>0.0887236062259711</v>
      </c>
      <c r="G41" s="16" t="n">
        <f aca="false">G213</f>
        <v>-0.161273019219599</v>
      </c>
      <c r="H41" s="23" t="n">
        <f aca="false">H213</f>
        <v>-0.127090597308063</v>
      </c>
      <c r="I41" s="23" t="n">
        <f aca="false">I213</f>
        <v>-0.096889505808807</v>
      </c>
      <c r="J41" s="23" t="n">
        <f aca="false">J213</f>
        <v>-0.0677837014470678</v>
      </c>
    </row>
    <row r="43" customFormat="false" ht="17.15" hidden="false" customHeight="false" outlineLevel="0" collapsed="false">
      <c r="A43" s="3" t="s">
        <v>556</v>
      </c>
    </row>
    <row r="44" customFormat="false" ht="17.15" hidden="false" customHeight="false" outlineLevel="0" collapsed="false">
      <c r="A44" s="5" t="s">
        <v>557</v>
      </c>
      <c r="D44" s="25" t="n">
        <f aca="false">C87-c26_rev/1000</f>
        <v>0</v>
      </c>
    </row>
    <row r="45" customFormat="false" ht="17.15" hidden="false" customHeight="false" outlineLevel="0" collapsed="false">
      <c r="A45" s="5" t="s">
        <v>558</v>
      </c>
      <c r="D45" s="25" t="n">
        <f aca="false">C72-c26_las/1000</f>
        <v>0</v>
      </c>
    </row>
    <row r="46" customFormat="false" ht="17.15" hidden="false" customHeight="false" outlineLevel="0" collapsed="false">
      <c r="A46" s="5" t="s">
        <v>559</v>
      </c>
      <c r="D46" s="16" t="n">
        <f aca="false">Q!I4/1000/E93</f>
        <v>0.400715584648091</v>
      </c>
    </row>
    <row r="60" customFormat="false" ht="17.15" hidden="false" customHeight="false" outlineLevel="0" collapsed="false">
      <c r="A60" s="3" t="s">
        <v>560</v>
      </c>
    </row>
    <row r="61" customFormat="false" ht="17.15" hidden="false" customHeight="false" outlineLevel="0" collapsed="false">
      <c r="A61" s="1" t="s">
        <v>561</v>
      </c>
    </row>
    <row r="62" customFormat="false" ht="17.15" hidden="false" customHeight="false" outlineLevel="0" collapsed="false">
      <c r="A62" s="6" t="s">
        <v>20</v>
      </c>
      <c r="B62" s="6" t="s">
        <v>21</v>
      </c>
      <c r="C62" s="14" t="s">
        <v>562</v>
      </c>
      <c r="D62" s="14" t="s">
        <v>517</v>
      </c>
      <c r="E62" s="14" t="s">
        <v>518</v>
      </c>
      <c r="F62" s="14" t="s">
        <v>519</v>
      </c>
      <c r="G62" s="14"/>
      <c r="H62" s="14" t="s">
        <v>543</v>
      </c>
      <c r="I62" s="14" t="s">
        <v>544</v>
      </c>
      <c r="J62" s="14" t="s">
        <v>545</v>
      </c>
      <c r="K62" s="6" t="s">
        <v>480</v>
      </c>
    </row>
    <row r="63" customFormat="false" ht="17.15" hidden="false" customHeight="false" outlineLevel="0" collapsed="false">
      <c r="A63" s="0" t="s">
        <v>563</v>
      </c>
      <c r="B63" s="0" t="s">
        <v>31</v>
      </c>
      <c r="C63" s="26" t="n">
        <f aca="false">mpl_26*1</f>
        <v>29.753262</v>
      </c>
      <c r="D63" s="26" t="n">
        <f aca="false">mpl_27*1*1</f>
        <v>53.560715</v>
      </c>
      <c r="E63" s="26" t="n">
        <f aca="false">mpl_28*um28_A*1</f>
        <v>57.9915</v>
      </c>
      <c r="F63" s="26" t="n">
        <f aca="false">mpl_29*um29_A*1</f>
        <v>72.9348</v>
      </c>
      <c r="H63" s="2"/>
    </row>
    <row r="64" customFormat="false" ht="17.15" hidden="false" customHeight="false" outlineLevel="0" collapsed="false">
      <c r="A64" s="5" t="s">
        <v>564</v>
      </c>
      <c r="B64" s="0" t="s">
        <v>97</v>
      </c>
      <c r="C64" s="20" t="n">
        <f aca="false">asp_26</f>
        <v>500</v>
      </c>
      <c r="D64" s="20" t="n">
        <f aca="false">asp_27</f>
        <v>520</v>
      </c>
      <c r="E64" s="20" t="n">
        <f aca="false">asp_28</f>
        <v>540</v>
      </c>
      <c r="F64" s="20" t="n">
        <f aca="false">asp_29</f>
        <v>560</v>
      </c>
      <c r="H64" s="2"/>
    </row>
    <row r="65" customFormat="false" ht="17.15" hidden="false" customHeight="false" outlineLevel="0" collapsed="false">
      <c r="A65" s="5" t="s">
        <v>565</v>
      </c>
      <c r="B65" s="5" t="s">
        <v>349</v>
      </c>
      <c r="C65" s="15" t="n">
        <f aca="false">C63*1000/C64</f>
        <v>59.506524</v>
      </c>
      <c r="D65" s="15" t="n">
        <f aca="false">D63*1000/D64</f>
        <v>103.001375</v>
      </c>
      <c r="E65" s="15" t="n">
        <f aca="false">E63*1000/E64</f>
        <v>107.391666666667</v>
      </c>
      <c r="F65" s="15" t="n">
        <f aca="false">F63*1000/F64</f>
        <v>130.240714285714</v>
      </c>
      <c r="H65" s="2"/>
    </row>
    <row r="66" customFormat="false" ht="17.15" hidden="false" customHeight="false" outlineLevel="0" collapsed="false">
      <c r="A66" s="5" t="s">
        <v>566</v>
      </c>
      <c r="B66" s="5" t="s">
        <v>109</v>
      </c>
      <c r="C66" s="18" t="n">
        <f aca="false">lpm_26</f>
        <v>5.5</v>
      </c>
      <c r="D66" s="18" t="n">
        <f aca="false">lpm_27</f>
        <v>5.5</v>
      </c>
      <c r="E66" s="18" t="n">
        <f aca="false">lpm_28</f>
        <v>5</v>
      </c>
      <c r="F66" s="18" t="n">
        <f aca="false">lpm_29</f>
        <v>4.8</v>
      </c>
      <c r="H66" s="2"/>
    </row>
    <row r="67" customFormat="false" ht="17.15" hidden="false" customHeight="false" outlineLevel="0" collapsed="false">
      <c r="A67" s="5" t="s">
        <v>567</v>
      </c>
      <c r="B67" s="0" t="s">
        <v>121</v>
      </c>
      <c r="C67" s="18" t="n">
        <f aca="false">lasp_26</f>
        <v>13</v>
      </c>
      <c r="D67" s="18" t="n">
        <f aca="false">lasp_27</f>
        <v>15</v>
      </c>
      <c r="E67" s="18" t="n">
        <f aca="false">lasp_28</f>
        <v>15</v>
      </c>
      <c r="F67" s="18" t="n">
        <f aca="false">lasp_29</f>
        <v>14</v>
      </c>
      <c r="H67" s="2"/>
    </row>
    <row r="68" customFormat="false" ht="17.15" hidden="false" customHeight="false" outlineLevel="0" collapsed="false">
      <c r="A68" s="5" t="s">
        <v>568</v>
      </c>
      <c r="B68" s="0" t="s">
        <v>31</v>
      </c>
      <c r="C68" s="26" t="n">
        <f aca="false">C65*C66*C67/1000</f>
        <v>4.254716466</v>
      </c>
      <c r="D68" s="26" t="n">
        <f aca="false">D65*D66*D67/1000</f>
        <v>8.4976134375</v>
      </c>
      <c r="E68" s="26" t="n">
        <f aca="false">E65*E66*E67/1000</f>
        <v>8.054375</v>
      </c>
      <c r="F68" s="26" t="n">
        <f aca="false">F65*F66*F67/1000</f>
        <v>8.752176</v>
      </c>
      <c r="H68" s="2"/>
    </row>
    <row r="69" customFormat="false" ht="17.15" hidden="false" customHeight="false" outlineLevel="0" collapsed="false">
      <c r="A69" s="0" t="s">
        <v>569</v>
      </c>
      <c r="B69" s="0" t="s">
        <v>164</v>
      </c>
      <c r="C69" s="16" t="n">
        <f aca="false">c26_las/1000/C68</f>
        <v>0.43826657190933</v>
      </c>
      <c r="H69" s="2"/>
      <c r="K69" s="8" t="s">
        <v>570</v>
      </c>
    </row>
    <row r="70" customFormat="false" ht="17.15" hidden="false" customHeight="false" outlineLevel="0" collapsed="false">
      <c r="A70" s="5" t="s">
        <v>571</v>
      </c>
      <c r="B70" s="0" t="s">
        <v>75</v>
      </c>
      <c r="C70" s="9" t="n">
        <f aca="false">1</f>
        <v>1</v>
      </c>
      <c r="D70" s="9" t="n">
        <f aca="false">lrel_27</f>
        <v>0.95</v>
      </c>
      <c r="E70" s="9" t="n">
        <f aca="false">lrel_28</f>
        <v>0.95</v>
      </c>
      <c r="F70" s="9" t="n">
        <f aca="false">lrel_29</f>
        <v>0.9</v>
      </c>
      <c r="H70" s="2"/>
    </row>
    <row r="71" customFormat="false" ht="15" hidden="false" customHeight="false" outlineLevel="0" collapsed="false">
      <c r="A71" s="5" t="s">
        <v>572</v>
      </c>
      <c r="B71" s="0" t="s">
        <v>164</v>
      </c>
      <c r="C71" s="16" t="n">
        <f aca="false">$C$69*C70</f>
        <v>0.43826657190933</v>
      </c>
      <c r="D71" s="16" t="n">
        <f aca="false">$C$69*D70</f>
        <v>0.416353243313864</v>
      </c>
      <c r="E71" s="16" t="n">
        <f aca="false">$C$69*E70</f>
        <v>0.416353243313864</v>
      </c>
      <c r="F71" s="16" t="n">
        <f aca="false">$C$69*F70</f>
        <v>0.394439914718397</v>
      </c>
      <c r="H71" s="2"/>
    </row>
    <row r="72" customFormat="false" ht="17.15" hidden="false" customHeight="false" outlineLevel="0" collapsed="false">
      <c r="A72" s="5" t="s">
        <v>573</v>
      </c>
      <c r="B72" s="0" t="s">
        <v>31</v>
      </c>
      <c r="C72" s="26" t="n">
        <f aca="false">C68*C71</f>
        <v>1.8647</v>
      </c>
      <c r="D72" s="26" t="n">
        <f aca="false">D68*D71</f>
        <v>3.53800891513059</v>
      </c>
      <c r="E72" s="26" t="n">
        <f aca="false">E68*E71</f>
        <v>3.3534651541161</v>
      </c>
      <c r="F72" s="26" t="n">
        <f aca="false">F68*F71</f>
        <v>3.4522075550404</v>
      </c>
      <c r="H72" s="2"/>
    </row>
    <row r="73" customFormat="false" ht="17.15" hidden="false" customHeight="false" outlineLevel="0" collapsed="false">
      <c r="A73" s="5" t="s">
        <v>574</v>
      </c>
      <c r="B73" s="0" t="s">
        <v>164</v>
      </c>
      <c r="C73" s="16" t="n">
        <f aca="false">c26_xcvr/1000/C63</f>
        <v>0.0336097601668012</v>
      </c>
      <c r="H73" s="2"/>
    </row>
    <row r="74" customFormat="false" ht="15" hidden="false" customHeight="false" outlineLevel="0" collapsed="false">
      <c r="A74" s="5" t="s">
        <v>575</v>
      </c>
      <c r="B74" s="0" t="s">
        <v>164</v>
      </c>
      <c r="C74" s="16" t="n">
        <f aca="false">C73</f>
        <v>0.0336097601668012</v>
      </c>
      <c r="D74" s="16" t="n">
        <f aca="false">$C$73*mrel_27</f>
        <v>0.0336097601668012</v>
      </c>
      <c r="E74" s="16" t="n">
        <f aca="false">$C$73*mrel_28</f>
        <v>0.0336097601668012</v>
      </c>
      <c r="F74" s="16" t="n">
        <f aca="false">$C$73*mrel_29</f>
        <v>0.0336097601668012</v>
      </c>
      <c r="H74" s="2"/>
    </row>
    <row r="75" customFormat="false" ht="15" hidden="false" customHeight="false" outlineLevel="0" collapsed="false">
      <c r="A75" s="5" t="s">
        <v>576</v>
      </c>
      <c r="B75" s="0" t="s">
        <v>31</v>
      </c>
      <c r="C75" s="26" t="n">
        <f aca="false">C63*C74</f>
        <v>1</v>
      </c>
      <c r="D75" s="26" t="n">
        <f aca="false">D63*D74</f>
        <v>1.80016278551239</v>
      </c>
      <c r="E75" s="26" t="n">
        <f aca="false">E63*E74</f>
        <v>1.94908040671305</v>
      </c>
      <c r="F75" s="26" t="n">
        <f aca="false">F63*F74</f>
        <v>2.45132113581361</v>
      </c>
      <c r="H75" s="2"/>
    </row>
    <row r="76" customFormat="false" ht="17.15" hidden="false" customHeight="false" outlineLevel="0" collapsed="false">
      <c r="A76" s="0" t="s">
        <v>577</v>
      </c>
      <c r="B76" s="5" t="s">
        <v>54</v>
      </c>
      <c r="C76" s="19" t="n">
        <f aca="false">tpu_26*1</f>
        <v>3.85</v>
      </c>
      <c r="D76" s="19" t="n">
        <f aca="false">tpu_27*1</f>
        <v>5.5</v>
      </c>
      <c r="E76" s="19" t="n">
        <f aca="false">tpu_28*um28_A</f>
        <v>7</v>
      </c>
      <c r="F76" s="19" t="n">
        <f aca="false">tpu_29*um29_A</f>
        <v>8.05</v>
      </c>
      <c r="H76" s="2"/>
    </row>
    <row r="77" customFormat="false" ht="17.15" hidden="false" customHeight="false" outlineLevel="0" collapsed="false">
      <c r="A77" s="0" t="s">
        <v>578</v>
      </c>
      <c r="B77" s="0" t="s">
        <v>121</v>
      </c>
      <c r="C77" s="20" t="n">
        <f aca="false">c26_ocs/C76</f>
        <v>129.87012987013</v>
      </c>
      <c r="D77" s="20" t="n">
        <f aca="false">$C77*ocsk_27</f>
        <v>207.792207792208</v>
      </c>
      <c r="E77" s="20" t="n">
        <f aca="false">$C77*ocsk_28</f>
        <v>233.766233766234</v>
      </c>
      <c r="F77" s="20" t="n">
        <f aca="false">$C77*ocsk_29</f>
        <v>233.766233766234</v>
      </c>
      <c r="H77" s="2"/>
    </row>
    <row r="78" customFormat="false" ht="17.15" hidden="false" customHeight="false" outlineLevel="0" collapsed="false">
      <c r="A78" s="0" t="s">
        <v>531</v>
      </c>
      <c r="B78" s="0" t="s">
        <v>31</v>
      </c>
      <c r="C78" s="26" t="n">
        <f aca="false">C76*C77/1000</f>
        <v>0.5</v>
      </c>
      <c r="D78" s="26" t="n">
        <f aca="false">D76*D77/1000</f>
        <v>1.14285714285714</v>
      </c>
      <c r="E78" s="26" t="n">
        <f aca="false">E76*E77/1000</f>
        <v>1.63636363636364</v>
      </c>
      <c r="F78" s="26" t="n">
        <f aca="false">F76*F77/1000</f>
        <v>1.88181818181818</v>
      </c>
      <c r="H78" s="2"/>
    </row>
    <row r="79" customFormat="false" ht="17.15" hidden="false" customHeight="false" outlineLevel="0" collapsed="false">
      <c r="A79" s="0" t="s">
        <v>579</v>
      </c>
      <c r="B79" s="0" t="s">
        <v>31</v>
      </c>
      <c r="C79" s="26" t="n">
        <f aca="false">mcp_26*1</f>
        <v>0.300538</v>
      </c>
      <c r="D79" s="26" t="n">
        <f aca="false">mcp_27*1</f>
        <v>2.818985</v>
      </c>
      <c r="E79" s="26" t="n">
        <f aca="false">mcp_28*um28_A</f>
        <v>6.4435</v>
      </c>
      <c r="F79" s="26" t="n">
        <f aca="false">mcp_29*um29_A</f>
        <v>11.74736</v>
      </c>
      <c r="H79" s="2"/>
    </row>
    <row r="80" customFormat="false" ht="17.15" hidden="false" customHeight="false" outlineLevel="0" collapsed="false">
      <c r="A80" s="0" t="s">
        <v>532</v>
      </c>
      <c r="B80" s="0" t="s">
        <v>164</v>
      </c>
      <c r="C80" s="16" t="n">
        <f aca="false">c26_cpo/1000/C79</f>
        <v>0.166368312825666</v>
      </c>
      <c r="D80" s="16" t="n">
        <f aca="false">cpo_27</f>
        <v>0.25</v>
      </c>
      <c r="E80" s="16" t="n">
        <f aca="false">cpo_28</f>
        <v>0.25</v>
      </c>
      <c r="F80" s="16" t="n">
        <f aca="false">cpo_29</f>
        <v>0.2</v>
      </c>
      <c r="H80" s="2"/>
    </row>
    <row r="81" customFormat="false" ht="17.15" hidden="false" customHeight="false" outlineLevel="0" collapsed="false">
      <c r="A81" s="0" t="s">
        <v>580</v>
      </c>
      <c r="B81" s="0" t="s">
        <v>31</v>
      </c>
      <c r="C81" s="26" t="n">
        <f aca="false">C79*C80</f>
        <v>0.05</v>
      </c>
      <c r="D81" s="26" t="n">
        <f aca="false">D79*D80</f>
        <v>0.70474625</v>
      </c>
      <c r="E81" s="26" t="n">
        <f aca="false">E79*E80</f>
        <v>1.610875</v>
      </c>
      <c r="F81" s="26" t="n">
        <f aca="false">F79*F80</f>
        <v>2.349472</v>
      </c>
      <c r="H81" s="2"/>
    </row>
    <row r="82" customFormat="false" ht="17.15" hidden="false" customHeight="false" outlineLevel="0" collapsed="false">
      <c r="A82" s="0" t="s">
        <v>581</v>
      </c>
      <c r="B82" s="0" t="s">
        <v>31</v>
      </c>
      <c r="C82" s="26" t="n">
        <f aca="false">C72+C75+C78+C81</f>
        <v>3.4147</v>
      </c>
      <c r="D82" s="26" t="n">
        <f aca="false">D72+D75+D78+D81</f>
        <v>7.18577509350013</v>
      </c>
      <c r="E82" s="26" t="n">
        <f aca="false">E72+E75+E78+E81</f>
        <v>8.54978419719279</v>
      </c>
      <c r="F82" s="26" t="n">
        <f aca="false">F72+F75+F78+F81</f>
        <v>10.1348188726722</v>
      </c>
      <c r="H82" s="2"/>
    </row>
    <row r="83" customFormat="false" ht="17.15" hidden="false" customHeight="false" outlineLevel="0" collapsed="false">
      <c r="A83" s="5" t="s">
        <v>582</v>
      </c>
      <c r="B83" s="0" t="s">
        <v>31</v>
      </c>
      <c r="C83" s="26" t="n">
        <f aca="false">c26_tel/1000</f>
        <v>0.75</v>
      </c>
      <c r="D83" s="26" t="n">
        <f aca="false">C83*(1+g_tel_27)</f>
        <v>0.9375</v>
      </c>
      <c r="E83" s="26" t="n">
        <f aca="false">D83*(1+g_tel_28)</f>
        <v>1.078125</v>
      </c>
      <c r="F83" s="26" t="n">
        <f aca="false">E83*(1+g_tel_29)</f>
        <v>1.1859375</v>
      </c>
      <c r="H83" s="2"/>
    </row>
    <row r="84" customFormat="false" ht="17.15" hidden="false" customHeight="false" outlineLevel="0" collapsed="false">
      <c r="A84" s="5" t="s">
        <v>583</v>
      </c>
      <c r="B84" s="0" t="s">
        <v>31</v>
      </c>
      <c r="C84" s="26" t="n">
        <f aca="false">c26_ind/1000</f>
        <v>0.3</v>
      </c>
      <c r="D84" s="26" t="n">
        <f aca="false">C84*(1+g_ind)</f>
        <v>0.309</v>
      </c>
      <c r="E84" s="26" t="n">
        <f aca="false">D84*(1+g_ind)</f>
        <v>0.31827</v>
      </c>
      <c r="F84" s="26" t="n">
        <f aca="false">E84*(1+g_ind)</f>
        <v>0.3278181</v>
      </c>
      <c r="H84" s="2"/>
    </row>
    <row r="85" customFormat="false" ht="17.15" hidden="false" customHeight="false" outlineLevel="0" collapsed="false">
      <c r="A85" s="5" t="s">
        <v>584</v>
      </c>
      <c r="B85" s="0" t="s">
        <v>31</v>
      </c>
      <c r="C85" s="26" t="n">
        <f aca="false">C72+C83+C81+C84/2</f>
        <v>2.8147</v>
      </c>
      <c r="D85" s="26" t="n">
        <f aca="false">D72+D83+D81+D84/2</f>
        <v>5.3347551651306</v>
      </c>
      <c r="E85" s="26" t="n">
        <f aca="false">E72+E83+E81+E84/2</f>
        <v>6.2016001541161</v>
      </c>
      <c r="F85" s="26" t="n">
        <f aca="false">F72+F83+F81+F84/2</f>
        <v>7.1515261050404</v>
      </c>
      <c r="H85" s="2"/>
      <c r="K85" s="5" t="s">
        <v>585</v>
      </c>
    </row>
    <row r="86" customFormat="false" ht="17.15" hidden="false" customHeight="false" outlineLevel="0" collapsed="false">
      <c r="A86" s="5" t="s">
        <v>586</v>
      </c>
      <c r="B86" s="0" t="s">
        <v>31</v>
      </c>
      <c r="C86" s="26" t="n">
        <f aca="false">C75+C78+C84/2</f>
        <v>1.65</v>
      </c>
      <c r="D86" s="26" t="n">
        <f aca="false">D75+D78+D84/2</f>
        <v>3.09751992836953</v>
      </c>
      <c r="E86" s="26" t="n">
        <f aca="false">E75+E78+E84/2</f>
        <v>3.74457904307669</v>
      </c>
      <c r="F86" s="26" t="n">
        <f aca="false">F75+F78+F84/2</f>
        <v>4.49704836763179</v>
      </c>
      <c r="H86" s="2"/>
    </row>
    <row r="87" customFormat="false" ht="15" hidden="false" customHeight="false" outlineLevel="0" collapsed="false">
      <c r="A87" s="5" t="s">
        <v>587</v>
      </c>
      <c r="B87" s="0" t="s">
        <v>31</v>
      </c>
      <c r="C87" s="26" t="n">
        <f aca="false">C82+C83+C84</f>
        <v>4.4647</v>
      </c>
      <c r="D87" s="26" t="n">
        <f aca="false">D82+D83+D84</f>
        <v>8.43227509350013</v>
      </c>
      <c r="E87" s="26" t="n">
        <f aca="false">E82+E83+E84</f>
        <v>9.94617919719279</v>
      </c>
      <c r="F87" s="26" t="n">
        <f aca="false">F82+F83+F84</f>
        <v>11.6485744726722</v>
      </c>
      <c r="H87" s="2"/>
    </row>
    <row r="88" customFormat="false" ht="15" hidden="false" customHeight="false" outlineLevel="0" collapsed="false">
      <c r="A88" s="5" t="s">
        <v>588</v>
      </c>
      <c r="B88" s="0" t="s">
        <v>164</v>
      </c>
      <c r="D88" s="16" t="n">
        <f aca="false">D87/C87-1</f>
        <v>0.888654353819995</v>
      </c>
      <c r="E88" s="16" t="n">
        <f aca="false">E87/D87-1</f>
        <v>0.179536849415602</v>
      </c>
      <c r="F88" s="16" t="n">
        <f aca="false">F87/E87-1</f>
        <v>0.171160728328712</v>
      </c>
      <c r="H88" s="2"/>
    </row>
    <row r="89" customFormat="false" ht="17.15" hidden="false" customHeight="false" outlineLevel="0" collapsed="false">
      <c r="A89" s="1" t="s">
        <v>589</v>
      </c>
    </row>
    <row r="90" customFormat="false" ht="17.15" hidden="false" customHeight="false" outlineLevel="0" collapsed="false">
      <c r="A90" s="6" t="s">
        <v>20</v>
      </c>
      <c r="B90" s="6" t="s">
        <v>21</v>
      </c>
      <c r="C90" s="14" t="s">
        <v>472</v>
      </c>
      <c r="D90" s="14" t="s">
        <v>539</v>
      </c>
      <c r="E90" s="14" t="s">
        <v>540</v>
      </c>
      <c r="F90" s="14" t="s">
        <v>541</v>
      </c>
      <c r="G90" s="14" t="s">
        <v>542</v>
      </c>
      <c r="H90" s="14" t="s">
        <v>543</v>
      </c>
      <c r="I90" s="14" t="s">
        <v>544</v>
      </c>
      <c r="J90" s="14" t="s">
        <v>545</v>
      </c>
      <c r="K90" s="6" t="s">
        <v>480</v>
      </c>
    </row>
    <row r="91" customFormat="false" ht="17.15" hidden="false" customHeight="false" outlineLevel="0" collapsed="false">
      <c r="A91" s="0" t="s">
        <v>590</v>
      </c>
      <c r="B91" s="0" t="s">
        <v>31</v>
      </c>
      <c r="E91" s="26" t="n">
        <f aca="false">w2h_26*C82+h_1h*D82</f>
        <v>5.40409212896197</v>
      </c>
      <c r="F91" s="26" t="n">
        <f aca="false">(1-h_1h)*D82+h_1h*E82</f>
        <v>7.82685937223568</v>
      </c>
      <c r="G91" s="26" t="n">
        <f aca="false">(1-h_1h)*E82+h_1h*F82</f>
        <v>9.29475049466811</v>
      </c>
      <c r="H91" s="2"/>
      <c r="K91" s="8" t="s">
        <v>591</v>
      </c>
    </row>
    <row r="92" customFormat="false" ht="17.15" hidden="false" customHeight="false" outlineLevel="0" collapsed="false">
      <c r="A92" s="5" t="s">
        <v>592</v>
      </c>
      <c r="B92" s="0" t="s">
        <v>31</v>
      </c>
      <c r="E92" s="26" t="n">
        <f aca="false">w2h_26*C83+h_1h*D83+w2h_26*C84+h_1h*D84</f>
        <v>1.20907716498309</v>
      </c>
      <c r="F92" s="26" t="n">
        <f aca="false">(1-h_1h)*D83+h_1h*E83+(1-h_1h)*D84+h_1h*E84</f>
        <v>1.31695065</v>
      </c>
      <c r="G92" s="26" t="n">
        <f aca="false">(1-h_1h)*E83+h_1h*F83+(1-h_1h)*E84+h_1h*F84</f>
        <v>1.451554482</v>
      </c>
      <c r="H92" s="2"/>
    </row>
    <row r="93" customFormat="false" ht="15" hidden="false" customHeight="false" outlineLevel="0" collapsed="false">
      <c r="A93" s="5" t="s">
        <v>481</v>
      </c>
      <c r="B93" s="0" t="s">
        <v>31</v>
      </c>
      <c r="C93" s="26" t="n">
        <f aca="false">a25_rev/1000</f>
        <v>1.645</v>
      </c>
      <c r="D93" s="26" t="n">
        <f aca="false">a26_rev/1000</f>
        <v>3.014</v>
      </c>
      <c r="E93" s="26" t="n">
        <f aca="false">E91+E92</f>
        <v>6.61316929394506</v>
      </c>
      <c r="F93" s="26" t="n">
        <f aca="false">F91+F92</f>
        <v>9.14381002223568</v>
      </c>
      <c r="G93" s="26" t="n">
        <f aca="false">G91+G92</f>
        <v>10.7463049766681</v>
      </c>
      <c r="H93" s="27" t="n">
        <f aca="false">G93*(1+H97)</f>
        <v>12.2167908091082</v>
      </c>
      <c r="I93" s="28" t="n">
        <f aca="false">H93*(1+I97)</f>
        <v>13.4191454533806</v>
      </c>
      <c r="J93" s="28" t="n">
        <f aca="false">I93*(1+J97)</f>
        <v>14.2242941805835</v>
      </c>
    </row>
    <row r="94" customFormat="false" ht="17.15" hidden="false" customHeight="false" outlineLevel="0" collapsed="false">
      <c r="A94" s="5" t="s">
        <v>593</v>
      </c>
      <c r="B94" s="0" t="s">
        <v>31</v>
      </c>
      <c r="C94" s="26" t="n">
        <f aca="false">a25_cmp/1000</f>
        <v>1.1163</v>
      </c>
      <c r="D94" s="26" t="n">
        <f aca="false">a26_cmp/1000</f>
        <v>2.0056</v>
      </c>
      <c r="E94" s="26" t="n">
        <f aca="false">w2h_26*C85+h_1h*D85</f>
        <v>4.17798581120938</v>
      </c>
      <c r="F94" s="26" t="n">
        <f aca="false">(1-h_1h)*D85+h_1h*E85</f>
        <v>5.74217230995378</v>
      </c>
      <c r="G94" s="26" t="n">
        <f aca="false">(1-h_1h)*E85+h_1h*F85</f>
        <v>6.64806535105052</v>
      </c>
      <c r="H94" s="2"/>
      <c r="K94" s="5" t="s">
        <v>594</v>
      </c>
    </row>
    <row r="95" customFormat="false" ht="17.15" hidden="false" customHeight="false" outlineLevel="0" collapsed="false">
      <c r="A95" s="5" t="s">
        <v>595</v>
      </c>
      <c r="B95" s="0" t="s">
        <v>31</v>
      </c>
      <c r="C95" s="26" t="n">
        <f aca="false">a25_sys/1000</f>
        <v>0.5287</v>
      </c>
      <c r="D95" s="26" t="n">
        <f aca="false">a26_sys/1000</f>
        <v>1.0084</v>
      </c>
      <c r="E95" s="26" t="n">
        <f aca="false">w2h_26*C86+h_1h*D86</f>
        <v>2.43518348273568</v>
      </c>
      <c r="F95" s="26" t="n">
        <f aca="false">(1-h_1h)*D86+h_1h*E86</f>
        <v>3.4016377122819</v>
      </c>
      <c r="G95" s="26" t="n">
        <f aca="false">(1-h_1h)*E86+h_1h*F86</f>
        <v>4.09823962561759</v>
      </c>
      <c r="H95" s="2"/>
      <c r="K95" s="5" t="s">
        <v>596</v>
      </c>
    </row>
    <row r="96" customFormat="false" ht="15" hidden="false" customHeight="false" outlineLevel="0" collapsed="false">
      <c r="A96" s="5" t="s">
        <v>597</v>
      </c>
      <c r="B96" s="0" t="s">
        <v>31</v>
      </c>
      <c r="C96" s="17" t="n">
        <f aca="false">C94+C95-C93</f>
        <v>0</v>
      </c>
      <c r="D96" s="17" t="n">
        <f aca="false">D94+D95-D93</f>
        <v>0</v>
      </c>
      <c r="E96" s="17" t="n">
        <f aca="false">E94+E95-E93</f>
        <v>0</v>
      </c>
      <c r="F96" s="17" t="n">
        <f aca="false">F94+F95-F93</f>
        <v>0</v>
      </c>
      <c r="G96" s="17" t="n">
        <f aca="false">G94+G95-G93</f>
        <v>0</v>
      </c>
      <c r="H96" s="2"/>
    </row>
    <row r="97" customFormat="false" ht="15" hidden="false" customHeight="false" outlineLevel="0" collapsed="false">
      <c r="A97" s="5" t="s">
        <v>598</v>
      </c>
      <c r="B97" s="0" t="s">
        <v>164</v>
      </c>
      <c r="D97" s="16" t="n">
        <f aca="false">D93/C93-1</f>
        <v>0.832218844984802</v>
      </c>
      <c r="E97" s="16" t="n">
        <f aca="false">E93/D93-1</f>
        <v>1.19415039613307</v>
      </c>
      <c r="F97" s="16" t="n">
        <f aca="false">F93/E93-1</f>
        <v>0.38266685998915</v>
      </c>
      <c r="G97" s="16" t="n">
        <f aca="false">G93/F93-1</f>
        <v>0.175254620397354</v>
      </c>
      <c r="H97" s="29" t="n">
        <f aca="false">$G97+(fade_gA-$G97)*1/3</f>
        <v>0.136836413598236</v>
      </c>
      <c r="I97" s="23" t="n">
        <f aca="false">$G97+(fade_gA-$G97)*2/3</f>
        <v>0.0984182067991178</v>
      </c>
      <c r="J97" s="23" t="n">
        <f aca="false">$G97+(fade_gA-$G97)*3/3</f>
        <v>0.06</v>
      </c>
    </row>
    <row r="98" customFormat="false" ht="17.15" hidden="false" customHeight="false" outlineLevel="0" collapsed="false">
      <c r="A98" s="0" t="s">
        <v>599</v>
      </c>
      <c r="B98" s="0" t="s">
        <v>164</v>
      </c>
      <c r="E98" s="16" t="n">
        <f aca="false">E91/E93</f>
        <v>0.817171296961941</v>
      </c>
      <c r="F98" s="16" t="n">
        <f aca="false">F91/F93</f>
        <v>0.855973533264856</v>
      </c>
      <c r="G98" s="16" t="n">
        <f aca="false">G91/G93</f>
        <v>0.864925247780372</v>
      </c>
      <c r="H98" s="2"/>
    </row>
    <row r="99" customFormat="false" ht="17.15" hidden="false" customHeight="false" outlineLevel="0" collapsed="false">
      <c r="A99" s="5" t="s">
        <v>484</v>
      </c>
      <c r="B99" s="0" t="s">
        <v>164</v>
      </c>
      <c r="C99" s="16" t="n">
        <f aca="false">a25_gm</f>
        <v>0.347</v>
      </c>
      <c r="D99" s="16" t="n">
        <f aca="false">a26_gm</f>
        <v>0.46</v>
      </c>
      <c r="E99" s="16" t="n">
        <f aca="false">gm_27</f>
        <v>0.52</v>
      </c>
      <c r="F99" s="16" t="n">
        <f aca="false">gm_28</f>
        <v>0.51</v>
      </c>
      <c r="G99" s="16" t="n">
        <f aca="false">gm_29</f>
        <v>0.49</v>
      </c>
      <c r="H99" s="2"/>
    </row>
    <row r="100" customFormat="false" ht="15" hidden="false" customHeight="false" outlineLevel="0" collapsed="false">
      <c r="A100" s="5" t="s">
        <v>485</v>
      </c>
      <c r="B100" s="0" t="s">
        <v>31</v>
      </c>
      <c r="C100" s="26" t="n">
        <f aca="false">C93*C99</f>
        <v>0.570815</v>
      </c>
      <c r="D100" s="26" t="n">
        <f aca="false">D93*D99</f>
        <v>1.38644</v>
      </c>
      <c r="E100" s="26" t="n">
        <f aca="false">E93*E99</f>
        <v>3.43884803285143</v>
      </c>
      <c r="F100" s="26" t="n">
        <f aca="false">F93*F99</f>
        <v>4.6633431113402</v>
      </c>
      <c r="G100" s="26" t="n">
        <f aca="false">G93*G99</f>
        <v>5.26568943856737</v>
      </c>
      <c r="H100" s="2"/>
    </row>
    <row r="101" customFormat="false" ht="15" hidden="false" customHeight="false" outlineLevel="0" collapsed="false">
      <c r="A101" s="5" t="s">
        <v>600</v>
      </c>
      <c r="B101" s="0" t="s">
        <v>31</v>
      </c>
      <c r="C101" s="26" t="n">
        <f aca="false">a25_opx/1000</f>
        <v>0.4114</v>
      </c>
      <c r="D101" s="26" t="n">
        <f aca="false">a26_opx/1000</f>
        <v>0.4897</v>
      </c>
      <c r="E101" s="26" t="n">
        <f aca="false">D101*(1+MAX(0,phi*E97))</f>
        <v>0.623436224936844</v>
      </c>
      <c r="F101" s="26" t="n">
        <f aca="false">E101*(1+MAX(0,phi*F97))</f>
        <v>0.677996030642651</v>
      </c>
      <c r="G101" s="26" t="n">
        <f aca="false">F101*(1+MAX(0,phi*G97))</f>
        <v>0.705170217450754</v>
      </c>
      <c r="H101" s="2"/>
    </row>
    <row r="102" customFormat="false" ht="15" hidden="false" customHeight="false" outlineLevel="0" collapsed="false">
      <c r="A102" s="5" t="s">
        <v>601</v>
      </c>
      <c r="B102" s="0" t="s">
        <v>31</v>
      </c>
      <c r="C102" s="26" t="n">
        <f aca="false">C101</f>
        <v>0.4114</v>
      </c>
      <c r="D102" s="26" t="n">
        <f aca="false">D101</f>
        <v>0.4897</v>
      </c>
      <c r="E102" s="26" t="n">
        <f aca="false">E101+0*E93</f>
        <v>0.623436224936844</v>
      </c>
      <c r="F102" s="26" t="n">
        <f aca="false">F101+0*F93</f>
        <v>0.677996030642651</v>
      </c>
      <c r="G102" s="26" t="n">
        <f aca="false">G101+0*G93</f>
        <v>0.705170217450754</v>
      </c>
      <c r="H102" s="2"/>
    </row>
    <row r="103" customFormat="false" ht="15" hidden="false" customHeight="false" outlineLevel="0" collapsed="false">
      <c r="A103" s="5" t="s">
        <v>602</v>
      </c>
      <c r="B103" s="0" t="s">
        <v>31</v>
      </c>
      <c r="C103" s="26" t="n">
        <f aca="false">C100-C102</f>
        <v>0.159415</v>
      </c>
      <c r="D103" s="26" t="n">
        <f aca="false">D100-D102</f>
        <v>0.89674</v>
      </c>
      <c r="E103" s="26" t="n">
        <f aca="false">E100-E102</f>
        <v>2.81541180791459</v>
      </c>
      <c r="F103" s="26" t="n">
        <f aca="false">F100-F102</f>
        <v>3.98534708069755</v>
      </c>
      <c r="G103" s="26" t="n">
        <f aca="false">G100-G102</f>
        <v>4.56051922111662</v>
      </c>
      <c r="H103" s="2"/>
    </row>
    <row r="104" customFormat="false" ht="15" hidden="false" customHeight="false" outlineLevel="0" collapsed="false">
      <c r="A104" s="5" t="s">
        <v>489</v>
      </c>
      <c r="B104" s="0" t="s">
        <v>164</v>
      </c>
      <c r="C104" s="16" t="n">
        <f aca="false">C103/C93</f>
        <v>0.0969088145896656</v>
      </c>
      <c r="D104" s="16" t="n">
        <f aca="false">D103/D93</f>
        <v>0.297524883875249</v>
      </c>
      <c r="E104" s="16" t="n">
        <f aca="false">E103/E93</f>
        <v>0.425728071182503</v>
      </c>
      <c r="F104" s="16" t="n">
        <f aca="false">F103/F93</f>
        <v>0.435851911949842</v>
      </c>
      <c r="G104" s="16" t="n">
        <f aca="false">G103/G93</f>
        <v>0.424380215433883</v>
      </c>
      <c r="H104" s="2"/>
    </row>
    <row r="105" customFormat="false" ht="17.15" hidden="false" customHeight="false" outlineLevel="0" collapsed="false">
      <c r="A105" s="5" t="s">
        <v>490</v>
      </c>
      <c r="B105" s="0" t="s">
        <v>31</v>
      </c>
      <c r="C105" s="26" t="n">
        <f aca="false">a25_ni/1000</f>
        <v>0.1464</v>
      </c>
      <c r="D105" s="26" t="n">
        <f aca="false">a26_ni/1000</f>
        <v>0.7823</v>
      </c>
      <c r="E105" s="26" t="n">
        <f aca="false">(E103+oi_oth)*(1-tx)</f>
        <v>2.39446885960868</v>
      </c>
      <c r="F105" s="26" t="n">
        <f aca="false">(F103+oi_oth)*(1-tx)</f>
        <v>3.37136481238245</v>
      </c>
      <c r="G105" s="26" t="n">
        <f aca="false">(G103+oi_oth)*(1-tx)</f>
        <v>3.85163354963238</v>
      </c>
      <c r="H105" s="27" t="n">
        <f aca="false">H93*H106</f>
        <v>4.37867727105871</v>
      </c>
      <c r="I105" s="28" t="n">
        <f aca="false">I93*I106</f>
        <v>4.80961883622837</v>
      </c>
      <c r="J105" s="28" t="n">
        <f aca="false">J93*J106</f>
        <v>5.09819596640207</v>
      </c>
    </row>
    <row r="106" customFormat="false" ht="15" hidden="false" customHeight="false" outlineLevel="0" collapsed="false">
      <c r="A106" s="5" t="s">
        <v>552</v>
      </c>
      <c r="B106" s="0" t="s">
        <v>164</v>
      </c>
      <c r="C106" s="16" t="n">
        <f aca="false">C105/C93</f>
        <v>0.0889969604863222</v>
      </c>
      <c r="D106" s="16" t="n">
        <f aca="false">D105/D93</f>
        <v>0.259555408095554</v>
      </c>
      <c r="E106" s="16" t="n">
        <f aca="false">E105/E93</f>
        <v>0.362075844905563</v>
      </c>
      <c r="F106" s="16" t="n">
        <f aca="false">F105/F93</f>
        <v>0.368704599525149</v>
      </c>
      <c r="G106" s="16" t="n">
        <f aca="false">G105/G93</f>
        <v>0.358414688397069</v>
      </c>
      <c r="H106" s="29" t="n">
        <f aca="false">$G106+(fade_mA-$G106)*1/3</f>
        <v>0.358414688397069</v>
      </c>
      <c r="I106" s="23" t="n">
        <f aca="false">$G106+(fade_mA-$G106)*2/3</f>
        <v>0.358414688397069</v>
      </c>
      <c r="J106" s="23" t="n">
        <f aca="false">$G106+(fade_mA-$G106)*3/3</f>
        <v>0.358414688397069</v>
      </c>
    </row>
    <row r="107" customFormat="false" ht="17.15" hidden="false" customHeight="false" outlineLevel="0" collapsed="false">
      <c r="A107" s="5" t="s">
        <v>494</v>
      </c>
      <c r="B107" s="5" t="s">
        <v>238</v>
      </c>
      <c r="C107" s="15" t="n">
        <f aca="false">a25_sh</f>
        <v>71.0679611650485</v>
      </c>
      <c r="D107" s="15" t="n">
        <f aca="false">a26_sh</f>
        <v>90.2306805074971</v>
      </c>
      <c r="E107" s="15" t="n">
        <f aca="false">sh_q1</f>
        <v>102</v>
      </c>
      <c r="F107" s="15" t="n">
        <f aca="false">E107*(1+sh_g)</f>
        <v>103.02</v>
      </c>
      <c r="G107" s="15" t="n">
        <f aca="false">F107*(1+sh_g)</f>
        <v>104.0502</v>
      </c>
      <c r="H107" s="30" t="n">
        <f aca="false">G107*(1+sh_g)</f>
        <v>105.090702</v>
      </c>
      <c r="I107" s="31" t="n">
        <f aca="false">H107*(1+sh_g)</f>
        <v>106.14160902</v>
      </c>
      <c r="J107" s="31" t="n">
        <f aca="false">I107*(1+sh_g)</f>
        <v>107.2030251102</v>
      </c>
    </row>
    <row r="108" customFormat="false" ht="17.15" hidden="false" customHeight="false" outlineLevel="0" collapsed="false">
      <c r="A108" s="0" t="s">
        <v>496</v>
      </c>
      <c r="B108" s="0" t="s">
        <v>233</v>
      </c>
      <c r="C108" s="9" t="n">
        <f aca="false">C105*1000/C107</f>
        <v>2.06</v>
      </c>
      <c r="D108" s="9" t="n">
        <f aca="false">D105*1000/D107</f>
        <v>8.67</v>
      </c>
      <c r="E108" s="9" t="n">
        <f aca="false">E105*1000/E107</f>
        <v>23.4751848981243</v>
      </c>
      <c r="F108" s="9" t="n">
        <f aca="false">F105*1000/F107</f>
        <v>32.7253427721069</v>
      </c>
      <c r="G108" s="9" t="n">
        <f aca="false">G105*1000/G107</f>
        <v>37.0170701222331</v>
      </c>
      <c r="H108" s="32" t="n">
        <f aca="false">H105*1000/H107</f>
        <v>41.6656962769048</v>
      </c>
      <c r="I108" s="24" t="n">
        <f aca="false">I105*1000/I107</f>
        <v>45.3132271183312</v>
      </c>
      <c r="J108" s="24" t="n">
        <f aca="false">J105*1000/J107</f>
        <v>47.5564561835951</v>
      </c>
    </row>
    <row r="109" customFormat="false" ht="17.15" hidden="false" customHeight="false" outlineLevel="0" collapsed="false">
      <c r="A109" s="0" t="s">
        <v>603</v>
      </c>
      <c r="B109" s="0" t="s">
        <v>164</v>
      </c>
      <c r="D109" s="16" t="n">
        <f aca="false">D108/C108-1</f>
        <v>3.20873786407767</v>
      </c>
      <c r="E109" s="16" t="n">
        <f aca="false">E108/D108-1</f>
        <v>1.70763378294398</v>
      </c>
      <c r="F109" s="16" t="n">
        <f aca="false">F108/E108-1</f>
        <v>0.394039830319789</v>
      </c>
      <c r="G109" s="16" t="n">
        <f aca="false">G108/F108-1</f>
        <v>0.131143847140517</v>
      </c>
      <c r="H109" s="29" t="n">
        <f aca="false">H108/G108-1</f>
        <v>0.125580607523006</v>
      </c>
      <c r="I109" s="23" t="n">
        <f aca="false">I108/H108-1</f>
        <v>0.0875427790090277</v>
      </c>
      <c r="J109" s="23" t="n">
        <f aca="false">J108/I108-1</f>
        <v>0.0495049504950496</v>
      </c>
    </row>
    <row r="112" customFormat="false" ht="17.15" hidden="false" customHeight="false" outlineLevel="0" collapsed="false">
      <c r="A112" s="3" t="s">
        <v>604</v>
      </c>
    </row>
    <row r="113" customFormat="false" ht="17.15" hidden="false" customHeight="false" outlineLevel="0" collapsed="false">
      <c r="A113" s="1" t="s">
        <v>561</v>
      </c>
    </row>
    <row r="114" customFormat="false" ht="17.15" hidden="false" customHeight="false" outlineLevel="0" collapsed="false">
      <c r="A114" s="6" t="s">
        <v>20</v>
      </c>
      <c r="B114" s="6" t="s">
        <v>21</v>
      </c>
      <c r="C114" s="14" t="s">
        <v>562</v>
      </c>
      <c r="D114" s="14" t="s">
        <v>517</v>
      </c>
      <c r="E114" s="14" t="s">
        <v>518</v>
      </c>
      <c r="F114" s="14" t="s">
        <v>519</v>
      </c>
      <c r="G114" s="14"/>
      <c r="H114" s="14" t="s">
        <v>543</v>
      </c>
      <c r="I114" s="14" t="s">
        <v>544</v>
      </c>
      <c r="J114" s="14" t="s">
        <v>545</v>
      </c>
      <c r="K114" s="6" t="s">
        <v>480</v>
      </c>
    </row>
    <row r="115" customFormat="false" ht="17.15" hidden="false" customHeight="false" outlineLevel="0" collapsed="false">
      <c r="A115" s="0" t="s">
        <v>563</v>
      </c>
      <c r="B115" s="0" t="s">
        <v>31</v>
      </c>
      <c r="C115" s="26" t="n">
        <f aca="false">mplB_26*1</f>
        <v>29.753262</v>
      </c>
      <c r="D115" s="26" t="n">
        <f aca="false">mplB_27*1*1</f>
        <v>54.688309</v>
      </c>
      <c r="E115" s="26" t="n">
        <f aca="false">mplB_28*um28_B*1</f>
        <v>48.9706</v>
      </c>
      <c r="F115" s="26" t="n">
        <f aca="false">mplB_29*um29_B*1</f>
        <v>66.987208</v>
      </c>
      <c r="H115" s="2"/>
    </row>
    <row r="116" customFormat="false" ht="17.15" hidden="false" customHeight="false" outlineLevel="0" collapsed="false">
      <c r="A116" s="5" t="s">
        <v>564</v>
      </c>
      <c r="B116" s="0" t="s">
        <v>97</v>
      </c>
      <c r="C116" s="20" t="n">
        <f aca="false">asp_26</f>
        <v>500</v>
      </c>
      <c r="D116" s="20" t="n">
        <f aca="false">asp_27</f>
        <v>520</v>
      </c>
      <c r="E116" s="20" t="n">
        <f aca="false">asp_28</f>
        <v>540</v>
      </c>
      <c r="F116" s="20" t="n">
        <f aca="false">asp_29</f>
        <v>560</v>
      </c>
      <c r="H116" s="2"/>
    </row>
    <row r="117" customFormat="false" ht="17.15" hidden="false" customHeight="false" outlineLevel="0" collapsed="false">
      <c r="A117" s="5" t="s">
        <v>565</v>
      </c>
      <c r="B117" s="5" t="s">
        <v>349</v>
      </c>
      <c r="C117" s="15" t="n">
        <f aca="false">C115*1000/C116</f>
        <v>59.506524</v>
      </c>
      <c r="D117" s="15" t="n">
        <f aca="false">D115*1000/D116</f>
        <v>105.169825</v>
      </c>
      <c r="E117" s="15" t="n">
        <f aca="false">E115*1000/E116</f>
        <v>90.6862962962963</v>
      </c>
      <c r="F117" s="15" t="n">
        <f aca="false">F115*1000/F116</f>
        <v>119.620014285714</v>
      </c>
      <c r="H117" s="2"/>
    </row>
    <row r="118" customFormat="false" ht="17.15" hidden="false" customHeight="false" outlineLevel="0" collapsed="false">
      <c r="A118" s="5" t="s">
        <v>566</v>
      </c>
      <c r="B118" s="5" t="s">
        <v>109</v>
      </c>
      <c r="C118" s="18" t="n">
        <f aca="false">lpm_26</f>
        <v>5.5</v>
      </c>
      <c r="D118" s="18" t="n">
        <f aca="false">lpm_27</f>
        <v>5.5</v>
      </c>
      <c r="E118" s="18" t="n">
        <f aca="false">lpm_28</f>
        <v>5</v>
      </c>
      <c r="F118" s="18" t="n">
        <f aca="false">lpm_29</f>
        <v>4.8</v>
      </c>
      <c r="H118" s="2"/>
    </row>
    <row r="119" customFormat="false" ht="17.15" hidden="false" customHeight="false" outlineLevel="0" collapsed="false">
      <c r="A119" s="5" t="s">
        <v>567</v>
      </c>
      <c r="B119" s="0" t="s">
        <v>121</v>
      </c>
      <c r="C119" s="18" t="n">
        <f aca="false">lasp_26</f>
        <v>13</v>
      </c>
      <c r="D119" s="18" t="n">
        <f aca="false">lasp_27</f>
        <v>15</v>
      </c>
      <c r="E119" s="18" t="n">
        <f aca="false">lasp_28</f>
        <v>15</v>
      </c>
      <c r="F119" s="18" t="n">
        <f aca="false">lasp_29</f>
        <v>14</v>
      </c>
      <c r="H119" s="2"/>
    </row>
    <row r="120" customFormat="false" ht="17.15" hidden="false" customHeight="false" outlineLevel="0" collapsed="false">
      <c r="A120" s="5" t="s">
        <v>568</v>
      </c>
      <c r="B120" s="0" t="s">
        <v>31</v>
      </c>
      <c r="C120" s="26" t="n">
        <f aca="false">C117*C118*C119/1000</f>
        <v>4.254716466</v>
      </c>
      <c r="D120" s="26" t="n">
        <f aca="false">D117*D118*D119/1000</f>
        <v>8.6765105625</v>
      </c>
      <c r="E120" s="26" t="n">
        <f aca="false">E117*E118*E119/1000</f>
        <v>6.80147222222222</v>
      </c>
      <c r="F120" s="26" t="n">
        <f aca="false">F117*F118*F119/1000</f>
        <v>8.03846496</v>
      </c>
      <c r="H120" s="2"/>
    </row>
    <row r="121" customFormat="false" ht="17.15" hidden="false" customHeight="false" outlineLevel="0" collapsed="false">
      <c r="A121" s="0" t="s">
        <v>569</v>
      </c>
      <c r="B121" s="0" t="s">
        <v>164</v>
      </c>
      <c r="C121" s="16" t="n">
        <f aca="false">c26_las/1000/C120</f>
        <v>0.43826657190933</v>
      </c>
      <c r="H121" s="2"/>
      <c r="K121" s="8" t="s">
        <v>570</v>
      </c>
    </row>
    <row r="122" customFormat="false" ht="17.15" hidden="false" customHeight="false" outlineLevel="0" collapsed="false">
      <c r="A122" s="5" t="s">
        <v>571</v>
      </c>
      <c r="B122" s="0" t="s">
        <v>75</v>
      </c>
      <c r="C122" s="9" t="n">
        <f aca="false">1</f>
        <v>1</v>
      </c>
      <c r="D122" s="9" t="n">
        <f aca="false">lrel_27</f>
        <v>0.95</v>
      </c>
      <c r="E122" s="9" t="n">
        <f aca="false">lrel_28</f>
        <v>0.95</v>
      </c>
      <c r="F122" s="9" t="n">
        <f aca="false">lrel_29</f>
        <v>0.9</v>
      </c>
      <c r="H122" s="2"/>
    </row>
    <row r="123" customFormat="false" ht="15" hidden="false" customHeight="false" outlineLevel="0" collapsed="false">
      <c r="A123" s="5" t="s">
        <v>572</v>
      </c>
      <c r="B123" s="0" t="s">
        <v>164</v>
      </c>
      <c r="C123" s="16" t="n">
        <f aca="false">$C$121*C122</f>
        <v>0.43826657190933</v>
      </c>
      <c r="D123" s="16" t="n">
        <f aca="false">$C$121*D122</f>
        <v>0.416353243313864</v>
      </c>
      <c r="E123" s="16" t="n">
        <f aca="false">$C$121*E122</f>
        <v>0.416353243313864</v>
      </c>
      <c r="F123" s="16" t="n">
        <f aca="false">$C$121*F122</f>
        <v>0.394439914718397</v>
      </c>
      <c r="H123" s="2"/>
    </row>
    <row r="124" customFormat="false" ht="17.15" hidden="false" customHeight="false" outlineLevel="0" collapsed="false">
      <c r="A124" s="5" t="s">
        <v>573</v>
      </c>
      <c r="B124" s="0" t="s">
        <v>31</v>
      </c>
      <c r="C124" s="26" t="n">
        <f aca="false">C120*C123</f>
        <v>1.8647</v>
      </c>
      <c r="D124" s="26" t="n">
        <f aca="false">D120*D123</f>
        <v>3.61249331334387</v>
      </c>
      <c r="E124" s="26" t="n">
        <f aca="false">E120*E123</f>
        <v>2.83181501903137</v>
      </c>
      <c r="F124" s="26" t="n">
        <f aca="false">F120*F123</f>
        <v>3.17069143328922</v>
      </c>
      <c r="H124" s="2"/>
    </row>
    <row r="125" customFormat="false" ht="17.15" hidden="false" customHeight="false" outlineLevel="0" collapsed="false">
      <c r="A125" s="5" t="s">
        <v>574</v>
      </c>
      <c r="B125" s="0" t="s">
        <v>164</v>
      </c>
      <c r="C125" s="16" t="n">
        <f aca="false">c26_xcvr/1000/C115</f>
        <v>0.0336097601668012</v>
      </c>
      <c r="H125" s="2"/>
    </row>
    <row r="126" customFormat="false" ht="15" hidden="false" customHeight="false" outlineLevel="0" collapsed="false">
      <c r="A126" s="5" t="s">
        <v>575</v>
      </c>
      <c r="B126" s="0" t="s">
        <v>164</v>
      </c>
      <c r="C126" s="16" t="n">
        <f aca="false">C125</f>
        <v>0.0336097601668012</v>
      </c>
      <c r="D126" s="16" t="n">
        <f aca="false">$C$125*mrel_27</f>
        <v>0.0336097601668012</v>
      </c>
      <c r="E126" s="16" t="n">
        <f aca="false">$C$125*mrel_28</f>
        <v>0.0336097601668012</v>
      </c>
      <c r="F126" s="16" t="n">
        <f aca="false">$C$125*mrel_29</f>
        <v>0.0336097601668012</v>
      </c>
      <c r="H126" s="2"/>
    </row>
    <row r="127" customFormat="false" ht="15" hidden="false" customHeight="false" outlineLevel="0" collapsed="false">
      <c r="A127" s="5" t="s">
        <v>576</v>
      </c>
      <c r="B127" s="0" t="s">
        <v>31</v>
      </c>
      <c r="C127" s="26" t="n">
        <f aca="false">C115*C126</f>
        <v>1</v>
      </c>
      <c r="D127" s="26" t="n">
        <f aca="false">D115*D126</f>
        <v>1.83806094941792</v>
      </c>
      <c r="E127" s="26" t="n">
        <f aca="false">E115*E126</f>
        <v>1.64589012122436</v>
      </c>
      <c r="F127" s="26" t="n">
        <f aca="false">F115*F126</f>
        <v>2.25142399512363</v>
      </c>
      <c r="H127" s="2"/>
    </row>
    <row r="128" customFormat="false" ht="17.15" hidden="false" customHeight="false" outlineLevel="0" collapsed="false">
      <c r="A128" s="0" t="s">
        <v>577</v>
      </c>
      <c r="B128" s="5" t="s">
        <v>54</v>
      </c>
      <c r="C128" s="19" t="n">
        <f aca="false">tpu_26*1</f>
        <v>3.85</v>
      </c>
      <c r="D128" s="19" t="n">
        <f aca="false">tpu_27*1</f>
        <v>5.5</v>
      </c>
      <c r="E128" s="19" t="n">
        <f aca="false">tpu_28*um28_B</f>
        <v>5.6</v>
      </c>
      <c r="F128" s="19" t="n">
        <f aca="false">tpu_29*um29_B</f>
        <v>6.8425</v>
      </c>
      <c r="H128" s="2"/>
    </row>
    <row r="129" customFormat="false" ht="17.15" hidden="false" customHeight="false" outlineLevel="0" collapsed="false">
      <c r="A129" s="0" t="s">
        <v>578</v>
      </c>
      <c r="B129" s="0" t="s">
        <v>121</v>
      </c>
      <c r="C129" s="20" t="n">
        <f aca="false">c26_ocs/C128</f>
        <v>129.87012987013</v>
      </c>
      <c r="D129" s="20" t="n">
        <f aca="false">$C129*ocsk_27</f>
        <v>207.792207792208</v>
      </c>
      <c r="E129" s="20" t="n">
        <f aca="false">$C129*ocsk_28</f>
        <v>233.766233766234</v>
      </c>
      <c r="F129" s="20" t="n">
        <f aca="false">$C129*ocsk_29</f>
        <v>233.766233766234</v>
      </c>
      <c r="H129" s="2"/>
    </row>
    <row r="130" customFormat="false" ht="17.15" hidden="false" customHeight="false" outlineLevel="0" collapsed="false">
      <c r="A130" s="0" t="s">
        <v>531</v>
      </c>
      <c r="B130" s="0" t="s">
        <v>31</v>
      </c>
      <c r="C130" s="26" t="n">
        <f aca="false">C128*C129/1000</f>
        <v>0.5</v>
      </c>
      <c r="D130" s="26" t="n">
        <f aca="false">D128*D129/1000</f>
        <v>1.14285714285714</v>
      </c>
      <c r="E130" s="26" t="n">
        <f aca="false">E128*E129/1000</f>
        <v>1.30909090909091</v>
      </c>
      <c r="F130" s="26" t="n">
        <f aca="false">F128*F129/1000</f>
        <v>1.59954545454545</v>
      </c>
      <c r="H130" s="2"/>
    </row>
    <row r="131" customFormat="false" ht="17.15" hidden="false" customHeight="false" outlineLevel="0" collapsed="false">
      <c r="A131" s="0" t="s">
        <v>579</v>
      </c>
      <c r="B131" s="0" t="s">
        <v>31</v>
      </c>
      <c r="C131" s="26" t="n">
        <f aca="false">mcpB_26*1</f>
        <v>0.300538</v>
      </c>
      <c r="D131" s="26" t="n">
        <f aca="false">mcpB_27*1</f>
        <v>1.691391</v>
      </c>
      <c r="E131" s="26" t="n">
        <f aca="false">mcpB_28*um28_B</f>
        <v>2.5774</v>
      </c>
      <c r="F131" s="26" t="n">
        <f aca="false">mcpB_29*um29_B</f>
        <v>4.992628</v>
      </c>
      <c r="H131" s="2"/>
    </row>
    <row r="132" customFormat="false" ht="17.15" hidden="false" customHeight="false" outlineLevel="0" collapsed="false">
      <c r="A132" s="0" t="s">
        <v>532</v>
      </c>
      <c r="B132" s="0" t="s">
        <v>164</v>
      </c>
      <c r="C132" s="16" t="n">
        <f aca="false">c26_cpo/1000/C131</f>
        <v>0.166368312825666</v>
      </c>
      <c r="D132" s="16" t="n">
        <f aca="false">cpo_27</f>
        <v>0.25</v>
      </c>
      <c r="E132" s="16" t="n">
        <f aca="false">cpo_28</f>
        <v>0.25</v>
      </c>
      <c r="F132" s="16" t="n">
        <f aca="false">cpo_29</f>
        <v>0.2</v>
      </c>
      <c r="H132" s="2"/>
    </row>
    <row r="133" customFormat="false" ht="17.15" hidden="false" customHeight="false" outlineLevel="0" collapsed="false">
      <c r="A133" s="0" t="s">
        <v>580</v>
      </c>
      <c r="B133" s="0" t="s">
        <v>31</v>
      </c>
      <c r="C133" s="26" t="n">
        <f aca="false">C131*C132</f>
        <v>0.05</v>
      </c>
      <c r="D133" s="26" t="n">
        <f aca="false">D131*D132</f>
        <v>0.42284775</v>
      </c>
      <c r="E133" s="26" t="n">
        <f aca="false">E131*E132</f>
        <v>0.64435</v>
      </c>
      <c r="F133" s="26" t="n">
        <f aca="false">F131*F132</f>
        <v>0.9985256</v>
      </c>
      <c r="H133" s="2"/>
    </row>
    <row r="134" customFormat="false" ht="17.15" hidden="false" customHeight="false" outlineLevel="0" collapsed="false">
      <c r="A134" s="0" t="s">
        <v>581</v>
      </c>
      <c r="B134" s="0" t="s">
        <v>31</v>
      </c>
      <c r="C134" s="26" t="n">
        <f aca="false">C124+C127+C130+C133</f>
        <v>3.4147</v>
      </c>
      <c r="D134" s="26" t="n">
        <f aca="false">D124+D127+D130+D133</f>
        <v>7.01625915561893</v>
      </c>
      <c r="E134" s="26" t="n">
        <f aca="false">E124+E127+E130+E133</f>
        <v>6.43114604934664</v>
      </c>
      <c r="F134" s="26" t="n">
        <f aca="false">F124+F127+F130+F133</f>
        <v>8.02018648295831</v>
      </c>
      <c r="H134" s="2"/>
    </row>
    <row r="135" customFormat="false" ht="17.15" hidden="false" customHeight="false" outlineLevel="0" collapsed="false">
      <c r="A135" s="5" t="s">
        <v>582</v>
      </c>
      <c r="B135" s="0" t="s">
        <v>31</v>
      </c>
      <c r="C135" s="26" t="n">
        <f aca="false">c26_tel/1000</f>
        <v>0.75</v>
      </c>
      <c r="D135" s="26" t="n">
        <f aca="false">C135*(1+g_tel_27)</f>
        <v>0.9375</v>
      </c>
      <c r="E135" s="26" t="n">
        <f aca="false">D135*(1+g_tel_28)</f>
        <v>1.078125</v>
      </c>
      <c r="F135" s="26" t="n">
        <f aca="false">E135*(1+g_tel_29)</f>
        <v>1.1859375</v>
      </c>
      <c r="H135" s="2"/>
    </row>
    <row r="136" customFormat="false" ht="17.15" hidden="false" customHeight="false" outlineLevel="0" collapsed="false">
      <c r="A136" s="5" t="s">
        <v>583</v>
      </c>
      <c r="B136" s="0" t="s">
        <v>31</v>
      </c>
      <c r="C136" s="26" t="n">
        <f aca="false">c26_ind/1000</f>
        <v>0.3</v>
      </c>
      <c r="D136" s="26" t="n">
        <f aca="false">C136*(1+g_ind)</f>
        <v>0.309</v>
      </c>
      <c r="E136" s="26" t="n">
        <f aca="false">D136*(1+g_ind)</f>
        <v>0.31827</v>
      </c>
      <c r="F136" s="26" t="n">
        <f aca="false">E136*(1+g_ind)</f>
        <v>0.3278181</v>
      </c>
      <c r="H136" s="2"/>
    </row>
    <row r="137" customFormat="false" ht="17.15" hidden="false" customHeight="false" outlineLevel="0" collapsed="false">
      <c r="A137" s="5" t="s">
        <v>584</v>
      </c>
      <c r="B137" s="0" t="s">
        <v>31</v>
      </c>
      <c r="C137" s="26" t="n">
        <f aca="false">C124+C135+C133+C136/2</f>
        <v>2.8147</v>
      </c>
      <c r="D137" s="26" t="n">
        <f aca="false">D124+D135+D133+D136/2</f>
        <v>5.12734106334387</v>
      </c>
      <c r="E137" s="26" t="n">
        <f aca="false">E124+E135+E133+E136/2</f>
        <v>4.71342501903137</v>
      </c>
      <c r="F137" s="26" t="n">
        <f aca="false">F124+F135+F133+F136/2</f>
        <v>5.51906358328922</v>
      </c>
      <c r="H137" s="2"/>
      <c r="K137" s="5" t="s">
        <v>585</v>
      </c>
    </row>
    <row r="138" customFormat="false" ht="17.15" hidden="false" customHeight="false" outlineLevel="0" collapsed="false">
      <c r="A138" s="5" t="s">
        <v>586</v>
      </c>
      <c r="B138" s="0" t="s">
        <v>31</v>
      </c>
      <c r="C138" s="26" t="n">
        <f aca="false">C127+C130+C136/2</f>
        <v>1.65</v>
      </c>
      <c r="D138" s="26" t="n">
        <f aca="false">D127+D130+D136/2</f>
        <v>3.13541809227506</v>
      </c>
      <c r="E138" s="26" t="n">
        <f aca="false">E127+E130+E136/2</f>
        <v>3.11411603031526</v>
      </c>
      <c r="F138" s="26" t="n">
        <f aca="false">F127+F130+F136/2</f>
        <v>4.01487849966908</v>
      </c>
      <c r="H138" s="2"/>
    </row>
    <row r="139" customFormat="false" ht="15" hidden="false" customHeight="false" outlineLevel="0" collapsed="false">
      <c r="A139" s="5" t="s">
        <v>587</v>
      </c>
      <c r="B139" s="0" t="s">
        <v>31</v>
      </c>
      <c r="C139" s="26" t="n">
        <f aca="false">C134+C135+C136</f>
        <v>4.4647</v>
      </c>
      <c r="D139" s="26" t="n">
        <f aca="false">D134+D135+D136</f>
        <v>8.26275915561893</v>
      </c>
      <c r="E139" s="26" t="n">
        <f aca="false">E134+E135+E136</f>
        <v>7.82754104934664</v>
      </c>
      <c r="F139" s="26" t="n">
        <f aca="false">F134+F135+F136</f>
        <v>9.53394208295831</v>
      </c>
      <c r="H139" s="2"/>
    </row>
    <row r="140" customFormat="false" ht="15" hidden="false" customHeight="false" outlineLevel="0" collapsed="false">
      <c r="A140" s="5" t="s">
        <v>588</v>
      </c>
      <c r="B140" s="0" t="s">
        <v>164</v>
      </c>
      <c r="D140" s="16" t="n">
        <f aca="false">D139/C139-1</f>
        <v>0.850686307169335</v>
      </c>
      <c r="E140" s="16" t="n">
        <f aca="false">E139/D139-1</f>
        <v>-0.0526722488306256</v>
      </c>
      <c r="F140" s="16" t="n">
        <f aca="false">F139/E139-1</f>
        <v>0.217999627578331</v>
      </c>
      <c r="H140" s="2"/>
    </row>
    <row r="141" customFormat="false" ht="17.15" hidden="false" customHeight="false" outlineLevel="0" collapsed="false">
      <c r="A141" s="1" t="s">
        <v>589</v>
      </c>
    </row>
    <row r="142" customFormat="false" ht="17.15" hidden="false" customHeight="false" outlineLevel="0" collapsed="false">
      <c r="A142" s="6" t="s">
        <v>20</v>
      </c>
      <c r="B142" s="6" t="s">
        <v>21</v>
      </c>
      <c r="C142" s="14" t="s">
        <v>472</v>
      </c>
      <c r="D142" s="14" t="s">
        <v>539</v>
      </c>
      <c r="E142" s="14" t="s">
        <v>540</v>
      </c>
      <c r="F142" s="14" t="s">
        <v>541</v>
      </c>
      <c r="G142" s="14" t="s">
        <v>542</v>
      </c>
      <c r="H142" s="14" t="s">
        <v>543</v>
      </c>
      <c r="I142" s="14" t="s">
        <v>544</v>
      </c>
      <c r="J142" s="14" t="s">
        <v>545</v>
      </c>
      <c r="K142" s="6" t="s">
        <v>480</v>
      </c>
    </row>
    <row r="143" customFormat="false" ht="17.15" hidden="false" customHeight="false" outlineLevel="0" collapsed="false">
      <c r="A143" s="0" t="s">
        <v>590</v>
      </c>
      <c r="B143" s="0" t="s">
        <v>31</v>
      </c>
      <c r="E143" s="26" t="n">
        <f aca="false">w2h_26*C134+h_1h*D134</f>
        <v>5.32441963815781</v>
      </c>
      <c r="F143" s="26" t="n">
        <f aca="false">(1-h_1h)*D134+h_1h*E134</f>
        <v>6.74125599567095</v>
      </c>
      <c r="G143" s="26" t="n">
        <f aca="false">(1-h_1h)*E134+h_1h*F134</f>
        <v>7.17799505314412</v>
      </c>
      <c r="H143" s="2"/>
      <c r="K143" s="8" t="s">
        <v>591</v>
      </c>
    </row>
    <row r="144" customFormat="false" ht="17.15" hidden="false" customHeight="false" outlineLevel="0" collapsed="false">
      <c r="A144" s="5" t="s">
        <v>592</v>
      </c>
      <c r="B144" s="0" t="s">
        <v>31</v>
      </c>
      <c r="E144" s="26" t="n">
        <f aca="false">w2h_26*C135+h_1h*D135+w2h_26*C136+h_1h*D136</f>
        <v>1.20907716498309</v>
      </c>
      <c r="F144" s="26" t="n">
        <f aca="false">(1-h_1h)*D135+h_1h*E135+(1-h_1h)*D136+h_1h*E136</f>
        <v>1.31695065</v>
      </c>
      <c r="G144" s="26" t="n">
        <f aca="false">(1-h_1h)*E135+h_1h*F135+(1-h_1h)*E136+h_1h*F136</f>
        <v>1.451554482</v>
      </c>
      <c r="H144" s="2"/>
    </row>
    <row r="145" customFormat="false" ht="15" hidden="false" customHeight="false" outlineLevel="0" collapsed="false">
      <c r="A145" s="5" t="s">
        <v>481</v>
      </c>
      <c r="B145" s="0" t="s">
        <v>31</v>
      </c>
      <c r="C145" s="26" t="n">
        <f aca="false">a25_rev/1000</f>
        <v>1.645</v>
      </c>
      <c r="D145" s="26" t="n">
        <f aca="false">a26_rev/1000</f>
        <v>3.014</v>
      </c>
      <c r="E145" s="26" t="n">
        <f aca="false">E143+E144</f>
        <v>6.5334968031409</v>
      </c>
      <c r="F145" s="26" t="n">
        <f aca="false">F143+F144</f>
        <v>8.05820664567095</v>
      </c>
      <c r="G145" s="26" t="n">
        <f aca="false">G143+G144</f>
        <v>8.62954953514412</v>
      </c>
      <c r="H145" s="27" t="n">
        <f aca="false">G145*(1+H149)</f>
        <v>9.15251168726862</v>
      </c>
      <c r="I145" s="28" t="n">
        <f aca="false">H145*(1+I149)</f>
        <v>9.61288909723714</v>
      </c>
      <c r="J145" s="28" t="n">
        <f aca="false">I145*(1+J149)</f>
        <v>9.99740466112663</v>
      </c>
    </row>
    <row r="146" customFormat="false" ht="17.15" hidden="false" customHeight="false" outlineLevel="0" collapsed="false">
      <c r="A146" s="5" t="s">
        <v>593</v>
      </c>
      <c r="B146" s="0" t="s">
        <v>31</v>
      </c>
      <c r="C146" s="26" t="n">
        <f aca="false">a25_cmp/1000</f>
        <v>1.1163</v>
      </c>
      <c r="D146" s="26" t="n">
        <f aca="false">a26_cmp/1000</f>
        <v>2.0056</v>
      </c>
      <c r="E146" s="26" t="n">
        <f aca="false">w2h_26*C137+h_1h*D137</f>
        <v>4.08050118336962</v>
      </c>
      <c r="F146" s="26" t="n">
        <f aca="false">(1-h_1h)*D137+h_1h*E137</f>
        <v>4.932800522517</v>
      </c>
      <c r="G146" s="26" t="n">
        <f aca="false">(1-h_1h)*E137+h_1h*F137</f>
        <v>5.09207514423256</v>
      </c>
      <c r="H146" s="2"/>
      <c r="K146" s="5" t="s">
        <v>594</v>
      </c>
    </row>
    <row r="147" customFormat="false" ht="17.15" hidden="false" customHeight="false" outlineLevel="0" collapsed="false">
      <c r="A147" s="5" t="s">
        <v>595</v>
      </c>
      <c r="B147" s="0" t="s">
        <v>31</v>
      </c>
      <c r="C147" s="26" t="n">
        <f aca="false">a25_sys/1000</f>
        <v>0.5287</v>
      </c>
      <c r="D147" s="26" t="n">
        <f aca="false">a26_sys/1000</f>
        <v>1.0084</v>
      </c>
      <c r="E147" s="26" t="n">
        <f aca="false">w2h_26*C138+h_1h*D138</f>
        <v>2.45299561977128</v>
      </c>
      <c r="F147" s="26" t="n">
        <f aca="false">(1-h_1h)*D138+h_1h*E138</f>
        <v>3.12540612315396</v>
      </c>
      <c r="G147" s="26" t="n">
        <f aca="false">(1-h_1h)*E138+h_1h*F138</f>
        <v>3.53747439091156</v>
      </c>
      <c r="H147" s="2"/>
      <c r="K147" s="5" t="s">
        <v>596</v>
      </c>
    </row>
    <row r="148" customFormat="false" ht="15" hidden="false" customHeight="false" outlineLevel="0" collapsed="false">
      <c r="A148" s="5" t="s">
        <v>597</v>
      </c>
      <c r="B148" s="0" t="s">
        <v>31</v>
      </c>
      <c r="C148" s="17" t="n">
        <f aca="false">C146+C147-C145</f>
        <v>0</v>
      </c>
      <c r="D148" s="17" t="n">
        <f aca="false">D146+D147-D145</f>
        <v>0</v>
      </c>
      <c r="E148" s="17" t="n">
        <f aca="false">E146+E147-E145</f>
        <v>0</v>
      </c>
      <c r="F148" s="17" t="n">
        <f aca="false">F146+F147-F145</f>
        <v>0</v>
      </c>
      <c r="G148" s="17" t="n">
        <f aca="false">G146+G147-G145</f>
        <v>0</v>
      </c>
      <c r="H148" s="2"/>
    </row>
    <row r="149" customFormat="false" ht="15" hidden="false" customHeight="false" outlineLevel="0" collapsed="false">
      <c r="A149" s="5" t="s">
        <v>598</v>
      </c>
      <c r="B149" s="0" t="s">
        <v>164</v>
      </c>
      <c r="D149" s="16" t="n">
        <f aca="false">D145/C145-1</f>
        <v>0.832218844984802</v>
      </c>
      <c r="E149" s="16" t="n">
        <f aca="false">E145/D145-1</f>
        <v>1.16771625850727</v>
      </c>
      <c r="F149" s="16" t="n">
        <f aca="false">F145/E145-1</f>
        <v>0.233368116411578</v>
      </c>
      <c r="G149" s="16" t="n">
        <f aca="false">G145/F145-1</f>
        <v>0.0709019903057597</v>
      </c>
      <c r="H149" s="29" t="n">
        <f aca="false">$G149+(fade_gB-$G149)*1/3</f>
        <v>0.0606013268705065</v>
      </c>
      <c r="I149" s="23" t="n">
        <f aca="false">$G149+(fade_gB-$G149)*2/3</f>
        <v>0.0503006634352532</v>
      </c>
      <c r="J149" s="23" t="n">
        <f aca="false">$G149+(fade_gB-$G149)*3/3</f>
        <v>0.04</v>
      </c>
    </row>
    <row r="150" customFormat="false" ht="17.15" hidden="false" customHeight="false" outlineLevel="0" collapsed="false">
      <c r="A150" s="0" t="s">
        <v>599</v>
      </c>
      <c r="B150" s="0" t="s">
        <v>164</v>
      </c>
      <c r="E150" s="16" t="n">
        <f aca="false">E143/E145</f>
        <v>0.814941798945728</v>
      </c>
      <c r="F150" s="16" t="n">
        <f aca="false">F143/F145</f>
        <v>0.836570255900859</v>
      </c>
      <c r="G150" s="16" t="n">
        <f aca="false">G143/G145</f>
        <v>0.831792554630054</v>
      </c>
      <c r="H150" s="2"/>
    </row>
    <row r="151" customFormat="false" ht="17.15" hidden="false" customHeight="false" outlineLevel="0" collapsed="false">
      <c r="A151" s="5" t="s">
        <v>484</v>
      </c>
      <c r="B151" s="0" t="s">
        <v>164</v>
      </c>
      <c r="C151" s="16" t="n">
        <f aca="false">a25_gm</f>
        <v>0.347</v>
      </c>
      <c r="D151" s="16" t="n">
        <f aca="false">a26_gm</f>
        <v>0.46</v>
      </c>
      <c r="E151" s="16" t="n">
        <f aca="false">gm_27</f>
        <v>0.52</v>
      </c>
      <c r="F151" s="16" t="n">
        <f aca="false">gm_28</f>
        <v>0.51</v>
      </c>
      <c r="G151" s="16" t="n">
        <f aca="false">gm_29</f>
        <v>0.49</v>
      </c>
      <c r="H151" s="2"/>
    </row>
    <row r="152" customFormat="false" ht="15" hidden="false" customHeight="false" outlineLevel="0" collapsed="false">
      <c r="A152" s="5" t="s">
        <v>485</v>
      </c>
      <c r="B152" s="0" t="s">
        <v>31</v>
      </c>
      <c r="C152" s="26" t="n">
        <f aca="false">C145*C151</f>
        <v>0.570815</v>
      </c>
      <c r="D152" s="26" t="n">
        <f aca="false">D145*D151</f>
        <v>1.38644</v>
      </c>
      <c r="E152" s="26" t="n">
        <f aca="false">E145*E151</f>
        <v>3.39741833763327</v>
      </c>
      <c r="F152" s="26" t="n">
        <f aca="false">F145*F151</f>
        <v>4.10968538929219</v>
      </c>
      <c r="G152" s="26" t="n">
        <f aca="false">G145*G151</f>
        <v>4.22847927222062</v>
      </c>
      <c r="H152" s="2"/>
    </row>
    <row r="153" customFormat="false" ht="15" hidden="false" customHeight="false" outlineLevel="0" collapsed="false">
      <c r="A153" s="5" t="s">
        <v>600</v>
      </c>
      <c r="B153" s="0" t="s">
        <v>31</v>
      </c>
      <c r="C153" s="26" t="n">
        <f aca="false">a25_opx/1000</f>
        <v>0.4114</v>
      </c>
      <c r="D153" s="26" t="n">
        <f aca="false">a26_opx/1000</f>
        <v>0.4897</v>
      </c>
      <c r="E153" s="26" t="n">
        <f aca="false">D153*(1+MAX(0,phi*E149))</f>
        <v>0.620475792325522</v>
      </c>
      <c r="F153" s="26" t="n">
        <f aca="false">E153*(1+MAX(0,phi*F149))</f>
        <v>0.653590909191219</v>
      </c>
      <c r="G153" s="26" t="n">
        <f aca="false">F153*(1+MAX(0,phi*G149))</f>
        <v>0.664188920005601</v>
      </c>
      <c r="H153" s="2"/>
    </row>
    <row r="154" customFormat="false" ht="15" hidden="false" customHeight="false" outlineLevel="0" collapsed="false">
      <c r="A154" s="5" t="s">
        <v>601</v>
      </c>
      <c r="B154" s="0" t="s">
        <v>31</v>
      </c>
      <c r="C154" s="26" t="n">
        <f aca="false">C153</f>
        <v>0.4114</v>
      </c>
      <c r="D154" s="26" t="n">
        <f aca="false">D153</f>
        <v>0.4897</v>
      </c>
      <c r="E154" s="26" t="n">
        <f aca="false">E153+0*E145</f>
        <v>0.620475792325522</v>
      </c>
      <c r="F154" s="26" t="n">
        <f aca="false">F153+0*F145</f>
        <v>0.653590909191219</v>
      </c>
      <c r="G154" s="26" t="n">
        <f aca="false">G153+0*G145</f>
        <v>0.664188920005601</v>
      </c>
      <c r="H154" s="2"/>
    </row>
    <row r="155" customFormat="false" ht="15" hidden="false" customHeight="false" outlineLevel="0" collapsed="false">
      <c r="A155" s="5" t="s">
        <v>602</v>
      </c>
      <c r="B155" s="0" t="s">
        <v>31</v>
      </c>
      <c r="C155" s="26" t="n">
        <f aca="false">C152-C154</f>
        <v>0.159415</v>
      </c>
      <c r="D155" s="26" t="n">
        <f aca="false">D152-D154</f>
        <v>0.89674</v>
      </c>
      <c r="E155" s="26" t="n">
        <f aca="false">E152-E154</f>
        <v>2.77694254530774</v>
      </c>
      <c r="F155" s="26" t="n">
        <f aca="false">F152-F154</f>
        <v>3.45609448010097</v>
      </c>
      <c r="G155" s="26" t="n">
        <f aca="false">G152-G154</f>
        <v>3.56429035221502</v>
      </c>
      <c r="H155" s="2"/>
    </row>
    <row r="156" customFormat="false" ht="15" hidden="false" customHeight="false" outlineLevel="0" collapsed="false">
      <c r="A156" s="5" t="s">
        <v>489</v>
      </c>
      <c r="B156" s="0" t="s">
        <v>164</v>
      </c>
      <c r="C156" s="16" t="n">
        <f aca="false">C155/C145</f>
        <v>0.0969088145896656</v>
      </c>
      <c r="D156" s="16" t="n">
        <f aca="false">D155/D145</f>
        <v>0.297524883875249</v>
      </c>
      <c r="E156" s="16" t="n">
        <f aca="false">E155/E145</f>
        <v>0.425031591654375</v>
      </c>
      <c r="F156" s="16" t="n">
        <f aca="false">F155/F145</f>
        <v>0.42889126974147</v>
      </c>
      <c r="G156" s="16" t="n">
        <f aca="false">G155/G145</f>
        <v>0.413033187618813</v>
      </c>
      <c r="H156" s="2"/>
    </row>
    <row r="157" customFormat="false" ht="17.15" hidden="false" customHeight="false" outlineLevel="0" collapsed="false">
      <c r="A157" s="5" t="s">
        <v>490</v>
      </c>
      <c r="B157" s="0" t="s">
        <v>31</v>
      </c>
      <c r="C157" s="26" t="n">
        <f aca="false">a25_ni/1000</f>
        <v>0.1464</v>
      </c>
      <c r="D157" s="26" t="n">
        <f aca="false">a26_ni/1000</f>
        <v>0.7823</v>
      </c>
      <c r="E157" s="26" t="n">
        <f aca="false">(E155+oi_oth)*(1-tx)</f>
        <v>2.36234702533197</v>
      </c>
      <c r="F157" s="26" t="n">
        <f aca="false">(F155+oi_oth)*(1-tx)</f>
        <v>2.92943889088431</v>
      </c>
      <c r="G157" s="26" t="n">
        <f aca="false">(G155+oi_oth)*(1-tx)</f>
        <v>3.01978244409954</v>
      </c>
      <c r="H157" s="27" t="n">
        <f aca="false">H145*H158</f>
        <v>3.09602575816983</v>
      </c>
      <c r="I157" s="28" t="n">
        <f aca="false">I145*I158</f>
        <v>3.13962832479018</v>
      </c>
      <c r="J157" s="28" t="n">
        <f aca="false">J145*J158</f>
        <v>3.14859869143244</v>
      </c>
    </row>
    <row r="158" customFormat="false" ht="15" hidden="false" customHeight="false" outlineLevel="0" collapsed="false">
      <c r="A158" s="5" t="s">
        <v>552</v>
      </c>
      <c r="B158" s="0" t="s">
        <v>164</v>
      </c>
      <c r="C158" s="16" t="n">
        <f aca="false">C157/C145</f>
        <v>0.0889969604863222</v>
      </c>
      <c r="D158" s="16" t="n">
        <f aca="false">D157/D145</f>
        <v>0.259555408095554</v>
      </c>
      <c r="E158" s="16" t="n">
        <f aca="false">E157/E145</f>
        <v>0.3615746814472</v>
      </c>
      <c r="F158" s="16" t="n">
        <f aca="false">F157/F145</f>
        <v>0.363534843383306</v>
      </c>
      <c r="G158" s="16" t="n">
        <f aca="false">G157/G145</f>
        <v>0.349935119069817</v>
      </c>
      <c r="H158" s="29" t="n">
        <f aca="false">$G158+(fade_mB-$G158)*1/3</f>
        <v>0.338270615100823</v>
      </c>
      <c r="I158" s="23" t="n">
        <f aca="false">$G158+(fade_mB-$G158)*2/3</f>
        <v>0.326606111131829</v>
      </c>
      <c r="J158" s="23" t="n">
        <f aca="false">$G158+(fade_mB-$G158)*3/3</f>
        <v>0.314941607162835</v>
      </c>
    </row>
    <row r="159" customFormat="false" ht="17.15" hidden="false" customHeight="false" outlineLevel="0" collapsed="false">
      <c r="A159" s="5" t="s">
        <v>494</v>
      </c>
      <c r="B159" s="5" t="s">
        <v>238</v>
      </c>
      <c r="C159" s="15" t="n">
        <f aca="false">a25_sh</f>
        <v>71.0679611650485</v>
      </c>
      <c r="D159" s="15" t="n">
        <f aca="false">a26_sh</f>
        <v>90.2306805074971</v>
      </c>
      <c r="E159" s="15" t="n">
        <f aca="false">sh_q1</f>
        <v>102</v>
      </c>
      <c r="F159" s="15" t="n">
        <f aca="false">E159*(1+sh_g)</f>
        <v>103.02</v>
      </c>
      <c r="G159" s="15" t="n">
        <f aca="false">F159*(1+sh_g)</f>
        <v>104.0502</v>
      </c>
      <c r="H159" s="30" t="n">
        <f aca="false">G159*(1+sh_g)</f>
        <v>105.090702</v>
      </c>
      <c r="I159" s="31" t="n">
        <f aca="false">H159*(1+sh_g)</f>
        <v>106.14160902</v>
      </c>
      <c r="J159" s="31" t="n">
        <f aca="false">I159*(1+sh_g)</f>
        <v>107.2030251102</v>
      </c>
    </row>
    <row r="160" customFormat="false" ht="17.15" hidden="false" customHeight="false" outlineLevel="0" collapsed="false">
      <c r="A160" s="0" t="s">
        <v>496</v>
      </c>
      <c r="B160" s="0" t="s">
        <v>233</v>
      </c>
      <c r="C160" s="9" t="n">
        <f aca="false">C157*1000/C159</f>
        <v>2.06</v>
      </c>
      <c r="D160" s="9" t="n">
        <f aca="false">D157*1000/D159</f>
        <v>8.67</v>
      </c>
      <c r="E160" s="9" t="n">
        <f aca="false">E157*1000/E159</f>
        <v>23.160264954235</v>
      </c>
      <c r="F160" s="9" t="n">
        <f aca="false">F157*1000/F159</f>
        <v>28.4356327983334</v>
      </c>
      <c r="G160" s="9" t="n">
        <f aca="false">G157*1000/G159</f>
        <v>29.0223607845015</v>
      </c>
      <c r="H160" s="32" t="n">
        <f aca="false">H157*1000/H159</f>
        <v>29.4605107706848</v>
      </c>
      <c r="I160" s="24" t="n">
        <f aca="false">I157*1000/I159</f>
        <v>29.5796187167145</v>
      </c>
      <c r="J160" s="24" t="n">
        <f aca="false">J157*1000/J159</f>
        <v>29.3704276366811</v>
      </c>
    </row>
    <row r="161" customFormat="false" ht="17.15" hidden="false" customHeight="false" outlineLevel="0" collapsed="false">
      <c r="A161" s="0" t="s">
        <v>603</v>
      </c>
      <c r="B161" s="0" t="s">
        <v>164</v>
      </c>
      <c r="D161" s="16" t="n">
        <f aca="false">D160/C160-1</f>
        <v>3.20873786407767</v>
      </c>
      <c r="E161" s="16" t="n">
        <f aca="false">E160/D160-1</f>
        <v>1.6713108367053</v>
      </c>
      <c r="F161" s="16" t="n">
        <f aca="false">F160/E160-1</f>
        <v>0.227776662077167</v>
      </c>
      <c r="G161" s="16" t="n">
        <f aca="false">G160/F160-1</f>
        <v>0.0206335477156152</v>
      </c>
      <c r="H161" s="29" t="n">
        <f aca="false">H160/G160-1</f>
        <v>0.0150969795130262</v>
      </c>
      <c r="I161" s="23" t="n">
        <f aca="false">I160/H160-1</f>
        <v>0.00404296948402494</v>
      </c>
      <c r="J161" s="23" t="n">
        <f aca="false">J160/I160-1</f>
        <v>-0.00707213578500698</v>
      </c>
    </row>
    <row r="164" customFormat="false" ht="17.15" hidden="false" customHeight="false" outlineLevel="0" collapsed="false">
      <c r="A164" s="3" t="s">
        <v>605</v>
      </c>
    </row>
    <row r="165" customFormat="false" ht="17.15" hidden="false" customHeight="false" outlineLevel="0" collapsed="false">
      <c r="A165" s="1" t="s">
        <v>561</v>
      </c>
    </row>
    <row r="166" customFormat="false" ht="17.15" hidden="false" customHeight="false" outlineLevel="0" collapsed="false">
      <c r="A166" s="6" t="s">
        <v>20</v>
      </c>
      <c r="B166" s="6" t="s">
        <v>21</v>
      </c>
      <c r="C166" s="14" t="s">
        <v>562</v>
      </c>
      <c r="D166" s="14" t="s">
        <v>517</v>
      </c>
      <c r="E166" s="14" t="s">
        <v>518</v>
      </c>
      <c r="F166" s="14" t="s">
        <v>519</v>
      </c>
      <c r="G166" s="14"/>
      <c r="H166" s="14" t="s">
        <v>543</v>
      </c>
      <c r="I166" s="14" t="s">
        <v>544</v>
      </c>
      <c r="J166" s="14" t="s">
        <v>545</v>
      </c>
      <c r="K166" s="6" t="s">
        <v>480</v>
      </c>
    </row>
    <row r="167" customFormat="false" ht="17.15" hidden="false" customHeight="false" outlineLevel="0" collapsed="false">
      <c r="A167" s="0" t="s">
        <v>563</v>
      </c>
      <c r="B167" s="0" t="s">
        <v>31</v>
      </c>
      <c r="C167" s="26" t="n">
        <f aca="false">mplC_26*1</f>
        <v>29.753262</v>
      </c>
      <c r="D167" s="26" t="n">
        <f aca="false">mplC_27*1*1</f>
        <v>55.252106</v>
      </c>
      <c r="E167" s="26" t="n">
        <f aca="false">mplC_28*um28_C*1</f>
        <v>37.50117</v>
      </c>
      <c r="F167" s="26" t="n">
        <f aca="false">mplC_29*um29_C*1</f>
        <v>48.606666</v>
      </c>
      <c r="H167" s="2"/>
    </row>
    <row r="168" customFormat="false" ht="17.15" hidden="false" customHeight="false" outlineLevel="0" collapsed="false">
      <c r="A168" s="5" t="s">
        <v>564</v>
      </c>
      <c r="B168" s="0" t="s">
        <v>97</v>
      </c>
      <c r="C168" s="20" t="n">
        <f aca="false">asp_26</f>
        <v>500</v>
      </c>
      <c r="D168" s="20" t="n">
        <f aca="false">asp_27</f>
        <v>520</v>
      </c>
      <c r="E168" s="20" t="n">
        <f aca="false">asp_28</f>
        <v>540</v>
      </c>
      <c r="F168" s="20" t="n">
        <f aca="false">asp_29</f>
        <v>560</v>
      </c>
      <c r="H168" s="2"/>
    </row>
    <row r="169" customFormat="false" ht="17.15" hidden="false" customHeight="false" outlineLevel="0" collapsed="false">
      <c r="A169" s="5" t="s">
        <v>565</v>
      </c>
      <c r="B169" s="5" t="s">
        <v>349</v>
      </c>
      <c r="C169" s="15" t="n">
        <f aca="false">C167*1000/C168</f>
        <v>59.506524</v>
      </c>
      <c r="D169" s="15" t="n">
        <f aca="false">D167*1000/D168</f>
        <v>106.25405</v>
      </c>
      <c r="E169" s="15" t="n">
        <f aca="false">E167*1000/E168</f>
        <v>69.4466111111111</v>
      </c>
      <c r="F169" s="15" t="n">
        <f aca="false">F167*1000/F168</f>
        <v>86.7976178571429</v>
      </c>
      <c r="H169" s="2"/>
    </row>
    <row r="170" customFormat="false" ht="17.15" hidden="false" customHeight="false" outlineLevel="0" collapsed="false">
      <c r="A170" s="5" t="s">
        <v>566</v>
      </c>
      <c r="B170" s="5" t="s">
        <v>109</v>
      </c>
      <c r="C170" s="18" t="n">
        <f aca="false">lpm_26</f>
        <v>5.5</v>
      </c>
      <c r="D170" s="18" t="n">
        <f aca="false">lpm_27</f>
        <v>5.5</v>
      </c>
      <c r="E170" s="18" t="n">
        <f aca="false">lpm_28</f>
        <v>5</v>
      </c>
      <c r="F170" s="18" t="n">
        <f aca="false">lpm_29</f>
        <v>4.8</v>
      </c>
      <c r="H170" s="2"/>
    </row>
    <row r="171" customFormat="false" ht="17.15" hidden="false" customHeight="false" outlineLevel="0" collapsed="false">
      <c r="A171" s="5" t="s">
        <v>567</v>
      </c>
      <c r="B171" s="0" t="s">
        <v>121</v>
      </c>
      <c r="C171" s="18" t="n">
        <f aca="false">lasp_26</f>
        <v>13</v>
      </c>
      <c r="D171" s="18" t="n">
        <f aca="false">lasp_27</f>
        <v>15</v>
      </c>
      <c r="E171" s="18" t="n">
        <f aca="false">lasp_28</f>
        <v>15</v>
      </c>
      <c r="F171" s="18" t="n">
        <f aca="false">lasp_29</f>
        <v>14</v>
      </c>
      <c r="H171" s="2"/>
    </row>
    <row r="172" customFormat="false" ht="17.15" hidden="false" customHeight="false" outlineLevel="0" collapsed="false">
      <c r="A172" s="5" t="s">
        <v>568</v>
      </c>
      <c r="B172" s="0" t="s">
        <v>31</v>
      </c>
      <c r="C172" s="26" t="n">
        <f aca="false">C169*C170*C171/1000</f>
        <v>4.254716466</v>
      </c>
      <c r="D172" s="26" t="n">
        <f aca="false">D169*D170*D171/1000</f>
        <v>8.765959125</v>
      </c>
      <c r="E172" s="26" t="n">
        <f aca="false">E169*E170*E171/1000</f>
        <v>5.20849583333333</v>
      </c>
      <c r="F172" s="26" t="n">
        <f aca="false">F169*F170*F171/1000</f>
        <v>5.83279992</v>
      </c>
      <c r="H172" s="2"/>
    </row>
    <row r="173" customFormat="false" ht="17.15" hidden="false" customHeight="false" outlineLevel="0" collapsed="false">
      <c r="A173" s="0" t="s">
        <v>569</v>
      </c>
      <c r="B173" s="0" t="s">
        <v>164</v>
      </c>
      <c r="C173" s="16" t="n">
        <f aca="false">c26_las/1000/C172</f>
        <v>0.43826657190933</v>
      </c>
      <c r="H173" s="2"/>
      <c r="K173" s="8" t="s">
        <v>570</v>
      </c>
    </row>
    <row r="174" customFormat="false" ht="17.15" hidden="false" customHeight="false" outlineLevel="0" collapsed="false">
      <c r="A174" s="5" t="s">
        <v>571</v>
      </c>
      <c r="B174" s="0" t="s">
        <v>75</v>
      </c>
      <c r="C174" s="9" t="n">
        <f aca="false">1</f>
        <v>1</v>
      </c>
      <c r="D174" s="9" t="n">
        <f aca="false">lrel_27</f>
        <v>0.95</v>
      </c>
      <c r="E174" s="9" t="n">
        <f aca="false">lrel_28</f>
        <v>0.95</v>
      </c>
      <c r="F174" s="9" t="n">
        <f aca="false">lrel_29</f>
        <v>0.9</v>
      </c>
      <c r="H174" s="2"/>
    </row>
    <row r="175" customFormat="false" ht="15" hidden="false" customHeight="false" outlineLevel="0" collapsed="false">
      <c r="A175" s="5" t="s">
        <v>572</v>
      </c>
      <c r="B175" s="0" t="s">
        <v>164</v>
      </c>
      <c r="C175" s="16" t="n">
        <f aca="false">$C$173*C174</f>
        <v>0.43826657190933</v>
      </c>
      <c r="D175" s="16" t="n">
        <f aca="false">$C$173*D174</f>
        <v>0.416353243313864</v>
      </c>
      <c r="E175" s="16" t="n">
        <f aca="false">$C$173*E174</f>
        <v>0.416353243313864</v>
      </c>
      <c r="F175" s="16" t="n">
        <f aca="false">$C$173*F174</f>
        <v>0.394439914718397</v>
      </c>
      <c r="H175" s="2"/>
    </row>
    <row r="176" customFormat="false" ht="17.15" hidden="false" customHeight="false" outlineLevel="0" collapsed="false">
      <c r="A176" s="5" t="s">
        <v>573</v>
      </c>
      <c r="B176" s="0" t="s">
        <v>31</v>
      </c>
      <c r="C176" s="26" t="n">
        <f aca="false">C172*C175</f>
        <v>1.8647</v>
      </c>
      <c r="D176" s="26" t="n">
        <f aca="false">D172*D175</f>
        <v>3.64973551245051</v>
      </c>
      <c r="E176" s="26" t="n">
        <f aca="false">E172*E175</f>
        <v>2.16857413299508</v>
      </c>
      <c r="F176" s="26" t="n">
        <f aca="false">F172*F175</f>
        <v>2.30068910301427</v>
      </c>
      <c r="H176" s="2"/>
    </row>
    <row r="177" customFormat="false" ht="17.15" hidden="false" customHeight="false" outlineLevel="0" collapsed="false">
      <c r="A177" s="5" t="s">
        <v>574</v>
      </c>
      <c r="B177" s="0" t="s">
        <v>164</v>
      </c>
      <c r="C177" s="16" t="n">
        <f aca="false">c26_xcvr/1000/C167</f>
        <v>0.0336097601668012</v>
      </c>
      <c r="H177" s="2"/>
    </row>
    <row r="178" customFormat="false" ht="15" hidden="false" customHeight="false" outlineLevel="0" collapsed="false">
      <c r="A178" s="5" t="s">
        <v>575</v>
      </c>
      <c r="B178" s="0" t="s">
        <v>164</v>
      </c>
      <c r="C178" s="16" t="n">
        <f aca="false">C177</f>
        <v>0.0336097601668012</v>
      </c>
      <c r="D178" s="16" t="n">
        <f aca="false">$C$177*mrel_27</f>
        <v>0.0336097601668012</v>
      </c>
      <c r="E178" s="16" t="n">
        <f aca="false">$C$177*mrel_28</f>
        <v>0.0336097601668012</v>
      </c>
      <c r="F178" s="16" t="n">
        <f aca="false">$C$177*mrel_29</f>
        <v>0.0336097601668012</v>
      </c>
      <c r="H178" s="2"/>
    </row>
    <row r="179" customFormat="false" ht="15" hidden="false" customHeight="false" outlineLevel="0" collapsed="false">
      <c r="A179" s="5" t="s">
        <v>576</v>
      </c>
      <c r="B179" s="0" t="s">
        <v>31</v>
      </c>
      <c r="C179" s="26" t="n">
        <f aca="false">C167*C178</f>
        <v>1</v>
      </c>
      <c r="D179" s="26" t="n">
        <f aca="false">D167*D178</f>
        <v>1.85701003137068</v>
      </c>
      <c r="E179" s="26" t="n">
        <f aca="false">E167*E178</f>
        <v>1.26040532967444</v>
      </c>
      <c r="F179" s="26" t="n">
        <f aca="false">F167*F178</f>
        <v>1.63365838676781</v>
      </c>
      <c r="H179" s="2"/>
    </row>
    <row r="180" customFormat="false" ht="17.15" hidden="false" customHeight="false" outlineLevel="0" collapsed="false">
      <c r="A180" s="0" t="s">
        <v>577</v>
      </c>
      <c r="B180" s="5" t="s">
        <v>54</v>
      </c>
      <c r="C180" s="19" t="n">
        <f aca="false">tpu_26*1</f>
        <v>3.85</v>
      </c>
      <c r="D180" s="19" t="n">
        <f aca="false">tpu_27*1</f>
        <v>5.5</v>
      </c>
      <c r="E180" s="19" t="n">
        <f aca="false">tpu_28*um28_C</f>
        <v>4.2</v>
      </c>
      <c r="F180" s="19" t="n">
        <f aca="false">tpu_29*um29_C</f>
        <v>4.83</v>
      </c>
      <c r="H180" s="2"/>
    </row>
    <row r="181" customFormat="false" ht="17.15" hidden="false" customHeight="false" outlineLevel="0" collapsed="false">
      <c r="A181" s="0" t="s">
        <v>578</v>
      </c>
      <c r="B181" s="0" t="s">
        <v>121</v>
      </c>
      <c r="C181" s="20" t="n">
        <f aca="false">c26_ocs/C180</f>
        <v>129.87012987013</v>
      </c>
      <c r="D181" s="20" t="n">
        <f aca="false">$C181*ocsk_27</f>
        <v>207.792207792208</v>
      </c>
      <c r="E181" s="20" t="n">
        <f aca="false">$C181*ocsk_28</f>
        <v>233.766233766234</v>
      </c>
      <c r="F181" s="20" t="n">
        <f aca="false">$C181*ocsk_29</f>
        <v>233.766233766234</v>
      </c>
      <c r="H181" s="2"/>
    </row>
    <row r="182" customFormat="false" ht="17.15" hidden="false" customHeight="false" outlineLevel="0" collapsed="false">
      <c r="A182" s="0" t="s">
        <v>531</v>
      </c>
      <c r="B182" s="0" t="s">
        <v>31</v>
      </c>
      <c r="C182" s="26" t="n">
        <f aca="false">C180*C181/1000</f>
        <v>0.5</v>
      </c>
      <c r="D182" s="26" t="n">
        <f aca="false">D180*D181/1000</f>
        <v>1.14285714285714</v>
      </c>
      <c r="E182" s="26" t="n">
        <f aca="false">E180*E181/1000</f>
        <v>0.981818181818182</v>
      </c>
      <c r="F182" s="26" t="n">
        <f aca="false">F180*F181/1000</f>
        <v>1.12909090909091</v>
      </c>
      <c r="H182" s="2"/>
    </row>
    <row r="183" customFormat="false" ht="17.15" hidden="false" customHeight="false" outlineLevel="0" collapsed="false">
      <c r="A183" s="0" t="s">
        <v>579</v>
      </c>
      <c r="B183" s="0" t="s">
        <v>31</v>
      </c>
      <c r="C183" s="26" t="n">
        <f aca="false">mcpC_26*1</f>
        <v>0.300538</v>
      </c>
      <c r="D183" s="26" t="n">
        <f aca="false">mcpC_27*1</f>
        <v>1.127594</v>
      </c>
      <c r="E183" s="26" t="n">
        <f aca="false">mcpC_28*um28_C</f>
        <v>1.15983</v>
      </c>
      <c r="F183" s="26" t="n">
        <f aca="false">mcpC_29*um29_C</f>
        <v>2.20263</v>
      </c>
      <c r="H183" s="2"/>
    </row>
    <row r="184" customFormat="false" ht="17.15" hidden="false" customHeight="false" outlineLevel="0" collapsed="false">
      <c r="A184" s="0" t="s">
        <v>532</v>
      </c>
      <c r="B184" s="0" t="s">
        <v>164</v>
      </c>
      <c r="C184" s="16" t="n">
        <f aca="false">c26_cpo/1000/C183</f>
        <v>0.166368312825666</v>
      </c>
      <c r="D184" s="16" t="n">
        <f aca="false">cpo_27</f>
        <v>0.25</v>
      </c>
      <c r="E184" s="16" t="n">
        <f aca="false">cpo_28</f>
        <v>0.25</v>
      </c>
      <c r="F184" s="16" t="n">
        <f aca="false">cpo_29</f>
        <v>0.2</v>
      </c>
      <c r="H184" s="2"/>
    </row>
    <row r="185" customFormat="false" ht="17.15" hidden="false" customHeight="false" outlineLevel="0" collapsed="false">
      <c r="A185" s="0" t="s">
        <v>580</v>
      </c>
      <c r="B185" s="0" t="s">
        <v>31</v>
      </c>
      <c r="C185" s="26" t="n">
        <f aca="false">C183*C184</f>
        <v>0.05</v>
      </c>
      <c r="D185" s="26" t="n">
        <f aca="false">D183*D184</f>
        <v>0.2818985</v>
      </c>
      <c r="E185" s="26" t="n">
        <f aca="false">E183*E184</f>
        <v>0.2899575</v>
      </c>
      <c r="F185" s="26" t="n">
        <f aca="false">F183*F184</f>
        <v>0.440526</v>
      </c>
      <c r="H185" s="2"/>
    </row>
    <row r="186" customFormat="false" ht="17.15" hidden="false" customHeight="false" outlineLevel="0" collapsed="false">
      <c r="A186" s="0" t="s">
        <v>581</v>
      </c>
      <c r="B186" s="0" t="s">
        <v>31</v>
      </c>
      <c r="C186" s="26" t="n">
        <f aca="false">C176+C179+C182+C185</f>
        <v>3.4147</v>
      </c>
      <c r="D186" s="26" t="n">
        <f aca="false">D176+D179+D182+D185</f>
        <v>6.93150118667833</v>
      </c>
      <c r="E186" s="26" t="n">
        <f aca="false">E176+E179+E182+E185</f>
        <v>4.7007551444877</v>
      </c>
      <c r="F186" s="26" t="n">
        <f aca="false">F176+F179+F182+F185</f>
        <v>5.50396439887299</v>
      </c>
      <c r="H186" s="2"/>
    </row>
    <row r="187" customFormat="false" ht="17.15" hidden="false" customHeight="false" outlineLevel="0" collapsed="false">
      <c r="A187" s="5" t="s">
        <v>582</v>
      </c>
      <c r="B187" s="0" t="s">
        <v>31</v>
      </c>
      <c r="C187" s="26" t="n">
        <f aca="false">c26_tel/1000</f>
        <v>0.75</v>
      </c>
      <c r="D187" s="26" t="n">
        <f aca="false">C187*(1+g_tel_27)</f>
        <v>0.9375</v>
      </c>
      <c r="E187" s="26" t="n">
        <f aca="false">D187*(1+g_tel_28)</f>
        <v>1.078125</v>
      </c>
      <c r="F187" s="26" t="n">
        <f aca="false">E187*(1+g_tel_29)</f>
        <v>1.1859375</v>
      </c>
      <c r="H187" s="2"/>
    </row>
    <row r="188" customFormat="false" ht="17.15" hidden="false" customHeight="false" outlineLevel="0" collapsed="false">
      <c r="A188" s="5" t="s">
        <v>583</v>
      </c>
      <c r="B188" s="0" t="s">
        <v>31</v>
      </c>
      <c r="C188" s="26" t="n">
        <f aca="false">c26_ind/1000</f>
        <v>0.3</v>
      </c>
      <c r="D188" s="26" t="n">
        <f aca="false">C188*(1+g_ind)</f>
        <v>0.309</v>
      </c>
      <c r="E188" s="26" t="n">
        <f aca="false">D188*(1+g_ind)</f>
        <v>0.31827</v>
      </c>
      <c r="F188" s="26" t="n">
        <f aca="false">E188*(1+g_ind)</f>
        <v>0.3278181</v>
      </c>
      <c r="H188" s="2"/>
    </row>
    <row r="189" customFormat="false" ht="17.15" hidden="false" customHeight="false" outlineLevel="0" collapsed="false">
      <c r="A189" s="5" t="s">
        <v>584</v>
      </c>
      <c r="B189" s="0" t="s">
        <v>31</v>
      </c>
      <c r="C189" s="26" t="n">
        <f aca="false">C176+C187+C185+C188/2</f>
        <v>2.8147</v>
      </c>
      <c r="D189" s="26" t="n">
        <f aca="false">D176+D187+D185+D188/2</f>
        <v>5.02363401245051</v>
      </c>
      <c r="E189" s="26" t="n">
        <f aca="false">E176+E187+E185+E188/2</f>
        <v>3.69579163299508</v>
      </c>
      <c r="F189" s="26" t="n">
        <f aca="false">F176+F187+F185+F188/2</f>
        <v>4.09106165301427</v>
      </c>
      <c r="H189" s="2"/>
      <c r="K189" s="5" t="s">
        <v>585</v>
      </c>
    </row>
    <row r="190" customFormat="false" ht="17.15" hidden="false" customHeight="false" outlineLevel="0" collapsed="false">
      <c r="A190" s="5" t="s">
        <v>586</v>
      </c>
      <c r="B190" s="0" t="s">
        <v>31</v>
      </c>
      <c r="C190" s="26" t="n">
        <f aca="false">C179+C182+C188/2</f>
        <v>1.65</v>
      </c>
      <c r="D190" s="26" t="n">
        <f aca="false">D179+D182+D188/2</f>
        <v>3.15436717422782</v>
      </c>
      <c r="E190" s="26" t="n">
        <f aca="false">E179+E182+E188/2</f>
        <v>2.40135851149262</v>
      </c>
      <c r="F190" s="26" t="n">
        <f aca="false">F179+F182+F188/2</f>
        <v>2.92665834585872</v>
      </c>
      <c r="H190" s="2"/>
    </row>
    <row r="191" customFormat="false" ht="15" hidden="false" customHeight="false" outlineLevel="0" collapsed="false">
      <c r="A191" s="5" t="s">
        <v>587</v>
      </c>
      <c r="B191" s="0" t="s">
        <v>31</v>
      </c>
      <c r="C191" s="26" t="n">
        <f aca="false">C186+C187+C188</f>
        <v>4.4647</v>
      </c>
      <c r="D191" s="26" t="n">
        <f aca="false">D186+D187+D188</f>
        <v>8.17800118667833</v>
      </c>
      <c r="E191" s="26" t="n">
        <f aca="false">E186+E187+E188</f>
        <v>6.0971501444877</v>
      </c>
      <c r="F191" s="26" t="n">
        <f aca="false">F186+F187+F188</f>
        <v>7.01771999887299</v>
      </c>
      <c r="H191" s="2"/>
    </row>
    <row r="192" customFormat="false" ht="15" hidden="false" customHeight="false" outlineLevel="0" collapsed="false">
      <c r="A192" s="5" t="s">
        <v>588</v>
      </c>
      <c r="B192" s="0" t="s">
        <v>164</v>
      </c>
      <c r="D192" s="16" t="n">
        <f aca="false">D191/C191-1</f>
        <v>0.831702283844005</v>
      </c>
      <c r="E192" s="16" t="n">
        <f aca="false">E191/D191-1</f>
        <v>-0.254444942558857</v>
      </c>
      <c r="F192" s="16" t="n">
        <f aca="false">F191/E191-1</f>
        <v>0.150983628838066</v>
      </c>
      <c r="H192" s="2"/>
    </row>
    <row r="193" customFormat="false" ht="17.15" hidden="false" customHeight="false" outlineLevel="0" collapsed="false">
      <c r="A193" s="1" t="s">
        <v>589</v>
      </c>
    </row>
    <row r="194" customFormat="false" ht="17.15" hidden="false" customHeight="false" outlineLevel="0" collapsed="false">
      <c r="A194" s="6" t="s">
        <v>20</v>
      </c>
      <c r="B194" s="6" t="s">
        <v>21</v>
      </c>
      <c r="C194" s="14" t="s">
        <v>472</v>
      </c>
      <c r="D194" s="14" t="s">
        <v>539</v>
      </c>
      <c r="E194" s="14" t="s">
        <v>540</v>
      </c>
      <c r="F194" s="14" t="s">
        <v>541</v>
      </c>
      <c r="G194" s="14" t="s">
        <v>542</v>
      </c>
      <c r="H194" s="14" t="s">
        <v>543</v>
      </c>
      <c r="I194" s="14" t="s">
        <v>544</v>
      </c>
      <c r="J194" s="14" t="s">
        <v>545</v>
      </c>
      <c r="K194" s="6" t="s">
        <v>480</v>
      </c>
    </row>
    <row r="195" customFormat="false" ht="17.15" hidden="false" customHeight="false" outlineLevel="0" collapsed="false">
      <c r="A195" s="0" t="s">
        <v>590</v>
      </c>
      <c r="B195" s="0" t="s">
        <v>31</v>
      </c>
      <c r="E195" s="26" t="n">
        <f aca="false">w2h_26*C186+h_1h*D186</f>
        <v>5.28458339275572</v>
      </c>
      <c r="F195" s="26" t="n">
        <f aca="false">(1-h_1h)*D186+h_1h*E186</f>
        <v>5.88305054684873</v>
      </c>
      <c r="G195" s="26" t="n">
        <f aca="false">(1-h_1h)*E186+h_1h*F186</f>
        <v>5.07826349404879</v>
      </c>
      <c r="H195" s="2"/>
      <c r="K195" s="8" t="s">
        <v>591</v>
      </c>
    </row>
    <row r="196" customFormat="false" ht="17.15" hidden="false" customHeight="false" outlineLevel="0" collapsed="false">
      <c r="A196" s="5" t="s">
        <v>592</v>
      </c>
      <c r="B196" s="0" t="s">
        <v>31</v>
      </c>
      <c r="E196" s="26" t="n">
        <f aca="false">w2h_26*C187+h_1h*D187+w2h_26*C188+h_1h*D188</f>
        <v>1.20907716498309</v>
      </c>
      <c r="F196" s="26" t="n">
        <f aca="false">(1-h_1h)*D187+h_1h*E187+(1-h_1h)*D188+h_1h*E188</f>
        <v>1.31695065</v>
      </c>
      <c r="G196" s="26" t="n">
        <f aca="false">(1-h_1h)*E187+h_1h*F187+(1-h_1h)*E188+h_1h*F188</f>
        <v>1.451554482</v>
      </c>
      <c r="H196" s="2"/>
    </row>
    <row r="197" customFormat="false" ht="15" hidden="false" customHeight="false" outlineLevel="0" collapsed="false">
      <c r="A197" s="5" t="s">
        <v>481</v>
      </c>
      <c r="B197" s="0" t="s">
        <v>31</v>
      </c>
      <c r="C197" s="26" t="n">
        <f aca="false">a25_rev/1000</f>
        <v>1.645</v>
      </c>
      <c r="D197" s="26" t="n">
        <f aca="false">a26_rev/1000</f>
        <v>3.014</v>
      </c>
      <c r="E197" s="26" t="n">
        <f aca="false">E195+E196</f>
        <v>6.49366055773881</v>
      </c>
      <c r="F197" s="26" t="n">
        <f aca="false">F195+F196</f>
        <v>7.20000119684873</v>
      </c>
      <c r="G197" s="26" t="n">
        <f aca="false">G195+G196</f>
        <v>6.52981797604879</v>
      </c>
      <c r="H197" s="27" t="n">
        <f aca="false">G197*(1+H201)</f>
        <v>6.16814882598367</v>
      </c>
      <c r="I197" s="28" t="n">
        <f aca="false">H197*(1+I201)</f>
        <v>6.0590116825794</v>
      </c>
      <c r="J197" s="28" t="n">
        <f aca="false">I197*(1+J201)</f>
        <v>6.18019191623098</v>
      </c>
    </row>
    <row r="198" customFormat="false" ht="17.15" hidden="false" customHeight="false" outlineLevel="0" collapsed="false">
      <c r="A198" s="5" t="s">
        <v>593</v>
      </c>
      <c r="B198" s="0" t="s">
        <v>31</v>
      </c>
      <c r="C198" s="26" t="n">
        <f aca="false">a25_cmp/1000</f>
        <v>1.1163</v>
      </c>
      <c r="D198" s="26" t="n">
        <f aca="false">a26_cmp/1000</f>
        <v>2.0056</v>
      </c>
      <c r="E198" s="26" t="n">
        <f aca="false">w2h_26*C189+h_1h*D189</f>
        <v>4.03175886944974</v>
      </c>
      <c r="F198" s="26" t="n">
        <f aca="false">(1-h_1h)*D189+h_1h*E189</f>
        <v>4.39954809410646</v>
      </c>
      <c r="G198" s="26" t="n">
        <f aca="false">(1-h_1h)*E189+h_1h*F189</f>
        <v>3.8815685424041</v>
      </c>
      <c r="H198" s="2"/>
      <c r="K198" s="5" t="s">
        <v>594</v>
      </c>
    </row>
    <row r="199" customFormat="false" ht="17.15" hidden="false" customHeight="false" outlineLevel="0" collapsed="false">
      <c r="A199" s="5" t="s">
        <v>595</v>
      </c>
      <c r="B199" s="0" t="s">
        <v>31</v>
      </c>
      <c r="C199" s="26" t="n">
        <f aca="false">a25_sys/1000</f>
        <v>0.5287</v>
      </c>
      <c r="D199" s="26" t="n">
        <f aca="false">a26_sys/1000</f>
        <v>1.0084</v>
      </c>
      <c r="E199" s="26" t="n">
        <f aca="false">w2h_26*C190+h_1h*D190</f>
        <v>2.46190168828907</v>
      </c>
      <c r="F199" s="26" t="n">
        <f aca="false">(1-h_1h)*D190+h_1h*E190</f>
        <v>2.80045310274228</v>
      </c>
      <c r="G199" s="26" t="n">
        <f aca="false">(1-h_1h)*E190+h_1h*F190</f>
        <v>2.64824943364469</v>
      </c>
      <c r="H199" s="2"/>
      <c r="K199" s="5" t="s">
        <v>596</v>
      </c>
    </row>
    <row r="200" customFormat="false" ht="15" hidden="false" customHeight="false" outlineLevel="0" collapsed="false">
      <c r="A200" s="5" t="s">
        <v>597</v>
      </c>
      <c r="B200" s="0" t="s">
        <v>31</v>
      </c>
      <c r="C200" s="17" t="n">
        <f aca="false">C198+C199-C197</f>
        <v>0</v>
      </c>
      <c r="D200" s="17" t="n">
        <f aca="false">D198+D199-D197</f>
        <v>0</v>
      </c>
      <c r="E200" s="17" t="n">
        <f aca="false">E198+E199-E197</f>
        <v>0</v>
      </c>
      <c r="F200" s="17" t="n">
        <f aca="false">F198+F199-F197</f>
        <v>0</v>
      </c>
      <c r="G200" s="17" t="n">
        <f aca="false">G198+G199-G197</f>
        <v>0</v>
      </c>
      <c r="H200" s="2"/>
    </row>
    <row r="201" customFormat="false" ht="15" hidden="false" customHeight="false" outlineLevel="0" collapsed="false">
      <c r="A201" s="5" t="s">
        <v>598</v>
      </c>
      <c r="B201" s="0" t="s">
        <v>164</v>
      </c>
      <c r="D201" s="16" t="n">
        <f aca="false">D197/C197-1</f>
        <v>0.832218844984802</v>
      </c>
      <c r="E201" s="16" t="n">
        <f aca="false">E197/D197-1</f>
        <v>1.15449918969436</v>
      </c>
      <c r="F201" s="16" t="n">
        <f aca="false">F197/E197-1</f>
        <v>0.108773877665678</v>
      </c>
      <c r="G201" s="16" t="n">
        <f aca="false">G197/F197-1</f>
        <v>-0.0930809874161227</v>
      </c>
      <c r="H201" s="29" t="n">
        <f aca="false">$G201+(fade_gC-$G201)*1/3</f>
        <v>-0.0553873249440818</v>
      </c>
      <c r="I201" s="23" t="n">
        <f aca="false">$G201+(fade_gC-$G201)*2/3</f>
        <v>-0.0176936624720409</v>
      </c>
      <c r="J201" s="23" t="n">
        <f aca="false">$G201+(fade_gC-$G201)*3/3</f>
        <v>0.02</v>
      </c>
    </row>
    <row r="202" customFormat="false" ht="17.15" hidden="false" customHeight="false" outlineLevel="0" collapsed="false">
      <c r="A202" s="0" t="s">
        <v>599</v>
      </c>
      <c r="B202" s="0" t="s">
        <v>164</v>
      </c>
      <c r="E202" s="16" t="n">
        <f aca="false">E195/E197</f>
        <v>0.813806534198624</v>
      </c>
      <c r="F202" s="16" t="n">
        <f aca="false">F195/F197</f>
        <v>0.817090217904908</v>
      </c>
      <c r="G202" s="16" t="n">
        <f aca="false">G195/G197</f>
        <v>0.777703683728357</v>
      </c>
      <c r="H202" s="2"/>
    </row>
    <row r="203" customFormat="false" ht="17.15" hidden="false" customHeight="false" outlineLevel="0" collapsed="false">
      <c r="A203" s="5" t="s">
        <v>484</v>
      </c>
      <c r="B203" s="0" t="s">
        <v>164</v>
      </c>
      <c r="C203" s="16" t="n">
        <f aca="false">a25_gm</f>
        <v>0.347</v>
      </c>
      <c r="D203" s="16" t="n">
        <f aca="false">a26_gm</f>
        <v>0.46</v>
      </c>
      <c r="E203" s="16" t="n">
        <f aca="false">gm_27</f>
        <v>0.52</v>
      </c>
      <c r="F203" s="16" t="n">
        <f aca="false">gm_28</f>
        <v>0.51</v>
      </c>
      <c r="G203" s="16" t="n">
        <f aca="false">gm_29</f>
        <v>0.49</v>
      </c>
      <c r="H203" s="2"/>
    </row>
    <row r="204" customFormat="false" ht="15" hidden="false" customHeight="false" outlineLevel="0" collapsed="false">
      <c r="A204" s="5" t="s">
        <v>485</v>
      </c>
      <c r="B204" s="0" t="s">
        <v>31</v>
      </c>
      <c r="C204" s="26" t="n">
        <f aca="false">C197*C203</f>
        <v>0.570815</v>
      </c>
      <c r="D204" s="26" t="n">
        <f aca="false">D197*D203</f>
        <v>1.38644</v>
      </c>
      <c r="E204" s="26" t="n">
        <f aca="false">E197*E203</f>
        <v>3.37670349002418</v>
      </c>
      <c r="F204" s="26" t="n">
        <f aca="false">F197*F203</f>
        <v>3.67200061039285</v>
      </c>
      <c r="G204" s="26" t="n">
        <f aca="false">G197*G203</f>
        <v>3.19961080826391</v>
      </c>
      <c r="H204" s="2"/>
    </row>
    <row r="205" customFormat="false" ht="15" hidden="false" customHeight="false" outlineLevel="0" collapsed="false">
      <c r="A205" s="5" t="s">
        <v>600</v>
      </c>
      <c r="B205" s="0" t="s">
        <v>31</v>
      </c>
      <c r="C205" s="26" t="n">
        <f aca="false">a25_opx/1000</f>
        <v>0.4114</v>
      </c>
      <c r="D205" s="26" t="n">
        <f aca="false">a26_opx/1000</f>
        <v>0.4897</v>
      </c>
      <c r="E205" s="26" t="n">
        <f aca="false">D205*(1+MAX(0,phi*E201))</f>
        <v>0.61899557601986</v>
      </c>
      <c r="F205" s="26" t="n">
        <f aca="false">E205*(1+MAX(0,phi*F201))</f>
        <v>0.63439385149471</v>
      </c>
      <c r="G205" s="26" t="n">
        <f aca="false">F205*(1+MAX(0,phi*G201))</f>
        <v>0.63439385149471</v>
      </c>
      <c r="H205" s="2"/>
    </row>
    <row r="206" customFormat="false" ht="15" hidden="false" customHeight="false" outlineLevel="0" collapsed="false">
      <c r="A206" s="5" t="s">
        <v>601</v>
      </c>
      <c r="B206" s="0" t="s">
        <v>31</v>
      </c>
      <c r="C206" s="26" t="n">
        <f aca="false">C205</f>
        <v>0.4114</v>
      </c>
      <c r="D206" s="26" t="n">
        <f aca="false">D205</f>
        <v>0.4897</v>
      </c>
      <c r="E206" s="26" t="n">
        <f aca="false">E205+0*E197</f>
        <v>0.61899557601986</v>
      </c>
      <c r="F206" s="26" t="n">
        <f aca="false">F205+0*F197</f>
        <v>0.63439385149471</v>
      </c>
      <c r="G206" s="26" t="n">
        <f aca="false">G205+0*G197</f>
        <v>0.63439385149471</v>
      </c>
      <c r="H206" s="2"/>
    </row>
    <row r="207" customFormat="false" ht="15" hidden="false" customHeight="false" outlineLevel="0" collapsed="false">
      <c r="A207" s="5" t="s">
        <v>602</v>
      </c>
      <c r="B207" s="0" t="s">
        <v>31</v>
      </c>
      <c r="C207" s="26" t="n">
        <f aca="false">C204-C206</f>
        <v>0.159415</v>
      </c>
      <c r="D207" s="26" t="n">
        <f aca="false">D204-D206</f>
        <v>0.89674</v>
      </c>
      <c r="E207" s="26" t="n">
        <f aca="false">E204-E206</f>
        <v>2.75770791400432</v>
      </c>
      <c r="F207" s="26" t="n">
        <f aca="false">F204-F206</f>
        <v>3.03760675889814</v>
      </c>
      <c r="G207" s="26" t="n">
        <f aca="false">G204-G206</f>
        <v>2.5652169567692</v>
      </c>
      <c r="H207" s="2"/>
    </row>
    <row r="208" customFormat="false" ht="15" hidden="false" customHeight="false" outlineLevel="0" collapsed="false">
      <c r="A208" s="5" t="s">
        <v>489</v>
      </c>
      <c r="B208" s="0" t="s">
        <v>164</v>
      </c>
      <c r="C208" s="16" t="n">
        <f aca="false">C207/C197</f>
        <v>0.0969088145896656</v>
      </c>
      <c r="D208" s="16" t="n">
        <f aca="false">D207/D197</f>
        <v>0.297524883875249</v>
      </c>
      <c r="E208" s="16" t="n">
        <f aca="false">E207/E197</f>
        <v>0.424676942917478</v>
      </c>
      <c r="F208" s="16" t="n">
        <f aca="false">F207/F197</f>
        <v>0.421889757494434</v>
      </c>
      <c r="G208" s="16" t="n">
        <f aca="false">G207/G197</f>
        <v>0.39284662546159</v>
      </c>
      <c r="H208" s="2"/>
    </row>
    <row r="209" customFormat="false" ht="17.15" hidden="false" customHeight="false" outlineLevel="0" collapsed="false">
      <c r="A209" s="5" t="s">
        <v>490</v>
      </c>
      <c r="B209" s="0" t="s">
        <v>31</v>
      </c>
      <c r="C209" s="26" t="n">
        <f aca="false">a25_ni/1000</f>
        <v>0.1464</v>
      </c>
      <c r="D209" s="26" t="n">
        <f aca="false">a26_ni/1000</f>
        <v>0.7823</v>
      </c>
      <c r="E209" s="26" t="n">
        <f aca="false">(E207+oi_oth)*(1-tx)</f>
        <v>2.34628610819361</v>
      </c>
      <c r="F209" s="26" t="n">
        <f aca="false">(F207+oi_oth)*(1-tx)</f>
        <v>2.58000164367995</v>
      </c>
      <c r="G209" s="26" t="n">
        <f aca="false">(G207+oi_oth)*(1-tx)</f>
        <v>2.18555615890228</v>
      </c>
      <c r="H209" s="27" t="n">
        <f aca="false">H197*H210</f>
        <v>1.92687044642924</v>
      </c>
      <c r="I209" s="28" t="n">
        <f aca="false">I197*I210</f>
        <v>1.75757869032829</v>
      </c>
      <c r="J209" s="28" t="n">
        <f aca="false">J197*J210</f>
        <v>1.65482793612448</v>
      </c>
    </row>
    <row r="210" customFormat="false" ht="15" hidden="false" customHeight="false" outlineLevel="0" collapsed="false">
      <c r="A210" s="5" t="s">
        <v>552</v>
      </c>
      <c r="B210" s="0" t="s">
        <v>164</v>
      </c>
      <c r="C210" s="16" t="n">
        <f aca="false">C209/C197</f>
        <v>0.0889969604863222</v>
      </c>
      <c r="D210" s="16" t="n">
        <f aca="false">D209/D197</f>
        <v>0.259555408095554</v>
      </c>
      <c r="E210" s="16" t="n">
        <f aca="false">E209/E197</f>
        <v>0.361319488034746</v>
      </c>
      <c r="F210" s="16" t="n">
        <f aca="false">F209/F197</f>
        <v>0.358333502056799</v>
      </c>
      <c r="G210" s="16" t="n">
        <f aca="false">G209/G197</f>
        <v>0.33470399434086</v>
      </c>
      <c r="H210" s="29" t="n">
        <f aca="false">$G210+(fade_mC-$G210)*1/3</f>
        <v>0.312390394718136</v>
      </c>
      <c r="I210" s="23" t="n">
        <f aca="false">$G210+(fade_mC-$G210)*2/3</f>
        <v>0.290076795095412</v>
      </c>
      <c r="J210" s="23" t="n">
        <f aca="false">$G210+(fade_mC-$G210)*3/3</f>
        <v>0.267763195472688</v>
      </c>
    </row>
    <row r="211" customFormat="false" ht="17.15" hidden="false" customHeight="false" outlineLevel="0" collapsed="false">
      <c r="A211" s="5" t="s">
        <v>494</v>
      </c>
      <c r="B211" s="5" t="s">
        <v>238</v>
      </c>
      <c r="C211" s="15" t="n">
        <f aca="false">a25_sh</f>
        <v>71.0679611650485</v>
      </c>
      <c r="D211" s="15" t="n">
        <f aca="false">a26_sh</f>
        <v>90.2306805074971</v>
      </c>
      <c r="E211" s="15" t="n">
        <f aca="false">sh_q1</f>
        <v>102</v>
      </c>
      <c r="F211" s="15" t="n">
        <f aca="false">E211*(1+sh_g)</f>
        <v>103.02</v>
      </c>
      <c r="G211" s="15" t="n">
        <f aca="false">F211*(1+sh_g)</f>
        <v>104.0502</v>
      </c>
      <c r="H211" s="30" t="n">
        <f aca="false">G211*(1+sh_g)</f>
        <v>105.090702</v>
      </c>
      <c r="I211" s="31" t="n">
        <f aca="false">H211*(1+sh_g)</f>
        <v>106.14160902</v>
      </c>
      <c r="J211" s="31" t="n">
        <f aca="false">I211*(1+sh_g)</f>
        <v>107.2030251102</v>
      </c>
    </row>
    <row r="212" customFormat="false" ht="17.15" hidden="false" customHeight="false" outlineLevel="0" collapsed="false">
      <c r="A212" s="0" t="s">
        <v>496</v>
      </c>
      <c r="B212" s="0" t="s">
        <v>233</v>
      </c>
      <c r="C212" s="9" t="n">
        <f aca="false">C209*1000/C211</f>
        <v>2.06</v>
      </c>
      <c r="D212" s="9" t="n">
        <f aca="false">D209*1000/D211</f>
        <v>8.67</v>
      </c>
      <c r="E212" s="9" t="n">
        <f aca="false">E209*1000/E211</f>
        <v>23.0028049822903</v>
      </c>
      <c r="F212" s="9" t="n">
        <f aca="false">F209*1000/F211</f>
        <v>25.0436967936318</v>
      </c>
      <c r="G212" s="9" t="n">
        <f aca="false">G209*1000/G211</f>
        <v>21.0048241993026</v>
      </c>
      <c r="H212" s="32" t="n">
        <f aca="false">H209*1000/H211</f>
        <v>18.3353085454624</v>
      </c>
      <c r="I212" s="24" t="n">
        <f aca="false">I209*1000/I211</f>
        <v>16.5588095616406</v>
      </c>
      <c r="J212" s="24" t="n">
        <f aca="false">J209*1000/J211</f>
        <v>15.4363921579955</v>
      </c>
    </row>
    <row r="213" customFormat="false" ht="17.15" hidden="false" customHeight="false" outlineLevel="0" collapsed="false">
      <c r="A213" s="0" t="s">
        <v>603</v>
      </c>
      <c r="B213" s="0" t="s">
        <v>164</v>
      </c>
      <c r="D213" s="16" t="n">
        <f aca="false">D212/C212-1</f>
        <v>3.20873786407767</v>
      </c>
      <c r="E213" s="16" t="n">
        <f aca="false">E212/D212-1</f>
        <v>1.65314936358596</v>
      </c>
      <c r="F213" s="16" t="n">
        <f aca="false">F212/E212-1</f>
        <v>0.0887236062259711</v>
      </c>
      <c r="G213" s="16" t="n">
        <f aca="false">G212/F212-1</f>
        <v>-0.161273019219599</v>
      </c>
      <c r="H213" s="29" t="n">
        <f aca="false">H212/G212-1</f>
        <v>-0.127090597308063</v>
      </c>
      <c r="I213" s="23" t="n">
        <f aca="false">I212/H212-1</f>
        <v>-0.096889505808807</v>
      </c>
      <c r="J213" s="23" t="n">
        <f aca="false">J212/I212-1</f>
        <v>-0.0677837014470678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606</v>
      </c>
    </row>
    <row r="2" customFormat="false" ht="17.15" hidden="false" customHeight="false" outlineLevel="0" collapsed="false">
      <c r="A2" s="5" t="s">
        <v>607</v>
      </c>
    </row>
    <row r="4" customFormat="false" ht="17.15" hidden="false" customHeight="false" outlineLevel="0" collapsed="false">
      <c r="A4" s="1" t="s">
        <v>608</v>
      </c>
    </row>
    <row r="5" customFormat="false" ht="17.15" hidden="false" customHeight="false" outlineLevel="0" collapsed="false">
      <c r="A5" s="1" t="s">
        <v>609</v>
      </c>
    </row>
    <row r="6" customFormat="false" ht="17.15" hidden="false" customHeight="false" outlineLevel="0" collapsed="false">
      <c r="A6" s="6" t="s">
        <v>20</v>
      </c>
      <c r="B6" s="14" t="s">
        <v>610</v>
      </c>
      <c r="C6" s="14" t="s">
        <v>611</v>
      </c>
      <c r="D6" s="14" t="s">
        <v>612</v>
      </c>
      <c r="E6" s="6" t="s">
        <v>480</v>
      </c>
    </row>
    <row r="7" customFormat="false" ht="17.15" hidden="false" customHeight="false" outlineLevel="0" collapsed="false">
      <c r="A7" s="5" t="s">
        <v>613</v>
      </c>
      <c r="E7" s="0" t="s">
        <v>614</v>
      </c>
    </row>
    <row r="8" customFormat="false" ht="15" hidden="false" customHeight="false" outlineLevel="0" collapsed="false">
      <c r="A8" s="0" t="s">
        <v>615</v>
      </c>
      <c r="B8" s="9" t="n">
        <f aca="false">PL!E14</f>
        <v>23.4751848981243</v>
      </c>
      <c r="C8" s="9" t="n">
        <f aca="false">PL!E27</f>
        <v>23.160264954235</v>
      </c>
      <c r="D8" s="9" t="n">
        <f aca="false">PL!E40</f>
        <v>23.0028049822903</v>
      </c>
    </row>
    <row r="9" customFormat="false" ht="15" hidden="false" customHeight="false" outlineLevel="0" collapsed="false">
      <c r="A9" s="0" t="s">
        <v>616</v>
      </c>
      <c r="B9" s="9" t="n">
        <f aca="false">PL!F14</f>
        <v>32.7253427721069</v>
      </c>
      <c r="C9" s="9" t="n">
        <f aca="false">PL!F27</f>
        <v>28.4356327983334</v>
      </c>
      <c r="D9" s="9" t="n">
        <f aca="false">PL!F40</f>
        <v>25.0436967936318</v>
      </c>
    </row>
    <row r="10" customFormat="false" ht="15" hidden="false" customHeight="false" outlineLevel="0" collapsed="false">
      <c r="A10" s="0" t="s">
        <v>617</v>
      </c>
      <c r="B10" s="9" t="n">
        <f aca="false">PL!G14</f>
        <v>37.0170701222331</v>
      </c>
      <c r="C10" s="9" t="n">
        <f aca="false">PL!G27</f>
        <v>29.0223607845015</v>
      </c>
      <c r="D10" s="9" t="n">
        <f aca="false">PL!G40</f>
        <v>21.0048241993026</v>
      </c>
    </row>
    <row r="11" customFormat="false" ht="15" hidden="false" customHeight="false" outlineLevel="0" collapsed="false">
      <c r="A11" s="0" t="s">
        <v>618</v>
      </c>
      <c r="B11" s="9" t="n">
        <f aca="false">PL!H14</f>
        <v>41.6656962769048</v>
      </c>
      <c r="C11" s="9" t="n">
        <f aca="false">PL!H27</f>
        <v>29.4605107706848</v>
      </c>
      <c r="D11" s="9" t="n">
        <f aca="false">PL!H40</f>
        <v>18.3353085454624</v>
      </c>
    </row>
    <row r="12" customFormat="false" ht="15" hidden="false" customHeight="false" outlineLevel="0" collapsed="false">
      <c r="A12" s="0" t="s">
        <v>619</v>
      </c>
      <c r="B12" s="9" t="n">
        <f aca="false">PL!I14</f>
        <v>45.3132271183312</v>
      </c>
      <c r="C12" s="9" t="n">
        <f aca="false">PL!I27</f>
        <v>29.5796187167145</v>
      </c>
      <c r="D12" s="9" t="n">
        <f aca="false">PL!I40</f>
        <v>16.5588095616406</v>
      </c>
    </row>
    <row r="13" customFormat="false" ht="15" hidden="false" customHeight="false" outlineLevel="0" collapsed="false">
      <c r="A13" s="0" t="s">
        <v>620</v>
      </c>
      <c r="B13" s="9" t="n">
        <f aca="false">PL!J14</f>
        <v>47.5564561835951</v>
      </c>
      <c r="C13" s="9" t="n">
        <f aca="false">PL!J27</f>
        <v>29.3704276366811</v>
      </c>
      <c r="D13" s="9" t="n">
        <f aca="false">PL!J40</f>
        <v>15.4363921579955</v>
      </c>
    </row>
    <row r="14" customFormat="false" ht="17.15" hidden="false" customHeight="false" outlineLevel="0" collapsed="false">
      <c r="A14" s="5" t="s">
        <v>621</v>
      </c>
    </row>
    <row r="15" customFormat="false" ht="17.15" hidden="false" customHeight="false" outlineLevel="0" collapsed="false">
      <c r="A15" s="5" t="s">
        <v>622</v>
      </c>
      <c r="B15" s="16" t="n">
        <f aca="false">IF(tp_roe&lt;=tp_g,0.8,MIN(tp_g/tp_roe,0.8))</f>
        <v>0.2</v>
      </c>
      <c r="E15" s="8" t="s">
        <v>623</v>
      </c>
    </row>
    <row r="16" customFormat="false" ht="15" hidden="false" customHeight="false" outlineLevel="0" collapsed="false">
      <c r="A16" s="0" t="s">
        <v>615</v>
      </c>
      <c r="B16" s="9" t="n">
        <f aca="false">B8*(1-$B$15)</f>
        <v>18.7801479184995</v>
      </c>
      <c r="C16" s="9" t="n">
        <f aca="false">C8*(1-$B$15)</f>
        <v>18.528211963388</v>
      </c>
      <c r="D16" s="9" t="n">
        <f aca="false">D8*(1-$B$15)</f>
        <v>18.4022439858322</v>
      </c>
    </row>
    <row r="17" customFormat="false" ht="15" hidden="false" customHeight="false" outlineLevel="0" collapsed="false">
      <c r="A17" s="0" t="s">
        <v>616</v>
      </c>
      <c r="B17" s="9" t="n">
        <f aca="false">B9*(1-$B$15)</f>
        <v>26.1802742176855</v>
      </c>
      <c r="C17" s="9" t="n">
        <f aca="false">C9*(1-$B$15)</f>
        <v>22.7485062386667</v>
      </c>
      <c r="D17" s="9" t="n">
        <f aca="false">D9*(1-$B$15)</f>
        <v>20.0349574349055</v>
      </c>
    </row>
    <row r="18" customFormat="false" ht="15" hidden="false" customHeight="false" outlineLevel="0" collapsed="false">
      <c r="A18" s="0" t="s">
        <v>617</v>
      </c>
      <c r="B18" s="9" t="n">
        <f aca="false">B10*(1-$B$15)</f>
        <v>29.6136560977865</v>
      </c>
      <c r="C18" s="9" t="n">
        <f aca="false">C10*(1-$B$15)</f>
        <v>23.2178886276012</v>
      </c>
      <c r="D18" s="9" t="n">
        <f aca="false">D10*(1-$B$15)</f>
        <v>16.8038593594421</v>
      </c>
    </row>
    <row r="19" customFormat="false" ht="15" hidden="false" customHeight="false" outlineLevel="0" collapsed="false">
      <c r="A19" s="0" t="s">
        <v>618</v>
      </c>
      <c r="B19" s="9" t="n">
        <f aca="false">B11*(1-$B$15)</f>
        <v>33.3325570215239</v>
      </c>
      <c r="C19" s="9" t="n">
        <f aca="false">C11*(1-$B$15)</f>
        <v>23.5684086165478</v>
      </c>
      <c r="D19" s="9" t="n">
        <f aca="false">D11*(1-$B$15)</f>
        <v>14.6682468363699</v>
      </c>
    </row>
    <row r="20" customFormat="false" ht="15" hidden="false" customHeight="false" outlineLevel="0" collapsed="false">
      <c r="A20" s="0" t="s">
        <v>619</v>
      </c>
      <c r="B20" s="9" t="n">
        <f aca="false">B12*(1-$B$15)</f>
        <v>36.2505816946649</v>
      </c>
      <c r="C20" s="9" t="n">
        <f aca="false">C12*(1-$B$15)</f>
        <v>23.6636949733716</v>
      </c>
      <c r="D20" s="9" t="n">
        <f aca="false">D12*(1-$B$15)</f>
        <v>13.2470476493125</v>
      </c>
    </row>
    <row r="21" customFormat="false" ht="15" hidden="false" customHeight="false" outlineLevel="0" collapsed="false">
      <c r="A21" s="0" t="s">
        <v>620</v>
      </c>
      <c r="B21" s="9" t="n">
        <f aca="false">B13*(1-$B$15)</f>
        <v>38.0451649468761</v>
      </c>
      <c r="C21" s="9" t="n">
        <f aca="false">C13*(1-$B$15)</f>
        <v>23.4963421093449</v>
      </c>
      <c r="D21" s="9" t="n">
        <f aca="false">D13*(1-$B$15)</f>
        <v>12.3491137263964</v>
      </c>
    </row>
    <row r="22" customFormat="false" ht="17.15" hidden="false" customHeight="false" outlineLevel="0" collapsed="false">
      <c r="A22" s="0" t="s">
        <v>624</v>
      </c>
      <c r="B22" s="19" t="n">
        <f aca="false">SUMPRODUCT(B16:B21,1/(1+tp_r)^{1;2;3;4;5;6})+B21*(1+tp_g)/(tp_r-tp_g)/(1+tp_r)^6</f>
        <v>499.951543483624</v>
      </c>
      <c r="C22" s="19" t="n">
        <f aca="false">SUMPRODUCT(C16:C21,1/(1+tp_r)^{1;2;3;4;5;6})+C21*(1+tp_g)/(tp_r-tp_g)/(1+tp_r)^6</f>
        <v>327.035354299351</v>
      </c>
      <c r="D22" s="19" t="n">
        <f aca="false">SUMPRODUCT(D16:D21,1/(1+tp_r)^{1;2;3;4;5;6})+D21*(1+tp_g)/(tp_r-tp_g)/(1+tp_r)^6</f>
        <v>191.953235227578</v>
      </c>
      <c r="E22" s="8" t="s">
        <v>625</v>
      </c>
    </row>
    <row r="23" customFormat="false" ht="17.15" hidden="false" customHeight="false" outlineLevel="0" collapsed="false">
      <c r="A23" s="0" t="s">
        <v>626</v>
      </c>
      <c r="B23" s="19" t="n">
        <f aca="false">B22*(1+tp_r)</f>
        <v>549.946697831986</v>
      </c>
      <c r="C23" s="19" t="n">
        <f aca="false">C22*(1+tp_r)</f>
        <v>359.738889729287</v>
      </c>
      <c r="D23" s="19" t="n">
        <f aca="false">D22*(1+tp_r)</f>
        <v>211.148558750336</v>
      </c>
    </row>
    <row r="24" customFormat="false" ht="17.15" hidden="false" customHeight="false" outlineLevel="0" collapsed="false">
      <c r="A24" s="0" t="s">
        <v>627</v>
      </c>
      <c r="B24" s="33" t="n">
        <f aca="false">tp_wA*B23+tp_wB*C23+tp_wC*D23</f>
        <v>387.083165964306</v>
      </c>
      <c r="E24" s="8" t="s">
        <v>628</v>
      </c>
    </row>
    <row r="26" customFormat="false" ht="17.15" hidden="false" customHeight="false" outlineLevel="0" collapsed="false">
      <c r="A26" s="1" t="s">
        <v>629</v>
      </c>
    </row>
    <row r="27" customFormat="false" ht="17.15" hidden="false" customHeight="false" outlineLevel="0" collapsed="false">
      <c r="A27" s="6" t="s">
        <v>630</v>
      </c>
      <c r="B27" s="6" t="s">
        <v>631</v>
      </c>
      <c r="C27" s="6" t="s">
        <v>632</v>
      </c>
      <c r="D27" s="6" t="s">
        <v>633</v>
      </c>
      <c r="E27" s="6" t="s">
        <v>634</v>
      </c>
      <c r="F27" s="6" t="s">
        <v>25</v>
      </c>
    </row>
    <row r="28" customFormat="false" ht="17.15" hidden="false" customHeight="false" outlineLevel="0" collapsed="false">
      <c r="A28" s="0" t="s">
        <v>635</v>
      </c>
      <c r="B28" s="0" t="s">
        <v>636</v>
      </c>
      <c r="C28" s="34" t="n">
        <v>22.3</v>
      </c>
      <c r="D28" s="8" t="s">
        <v>637</v>
      </c>
      <c r="E28" s="8" t="s">
        <v>638</v>
      </c>
      <c r="F28" s="8" t="s">
        <v>180</v>
      </c>
    </row>
    <row r="29" customFormat="false" ht="17.15" hidden="false" customHeight="false" outlineLevel="0" collapsed="false">
      <c r="A29" s="0" t="s">
        <v>639</v>
      </c>
      <c r="B29" s="0" t="s">
        <v>640</v>
      </c>
      <c r="C29" s="34" t="n">
        <v>17.27</v>
      </c>
      <c r="D29" s="8" t="s">
        <v>637</v>
      </c>
      <c r="E29" s="8" t="s">
        <v>638</v>
      </c>
      <c r="F29" s="8" t="s">
        <v>180</v>
      </c>
    </row>
    <row r="30" customFormat="false" ht="17.15" hidden="false" customHeight="false" outlineLevel="0" collapsed="false">
      <c r="A30" s="0" t="s">
        <v>641</v>
      </c>
      <c r="B30" s="0" t="s">
        <v>642</v>
      </c>
      <c r="C30" s="34" t="n">
        <v>29.34</v>
      </c>
      <c r="D30" s="8" t="s">
        <v>637</v>
      </c>
      <c r="E30" s="8" t="s">
        <v>638</v>
      </c>
      <c r="F30" s="8" t="s">
        <v>180</v>
      </c>
    </row>
    <row r="31" customFormat="false" ht="17.15" hidden="false" customHeight="false" outlineLevel="0" collapsed="false">
      <c r="A31" s="0" t="s">
        <v>643</v>
      </c>
      <c r="B31" s="0" t="s">
        <v>644</v>
      </c>
      <c r="C31" s="34" t="n">
        <v>30.77</v>
      </c>
      <c r="D31" s="8" t="s">
        <v>637</v>
      </c>
      <c r="E31" s="8" t="s">
        <v>638</v>
      </c>
      <c r="F31" s="8" t="s">
        <v>180</v>
      </c>
    </row>
    <row r="32" customFormat="false" ht="17.15" hidden="false" customHeight="false" outlineLevel="0" collapsed="false">
      <c r="A32" s="0" t="s">
        <v>645</v>
      </c>
      <c r="B32" s="0" t="s">
        <v>646</v>
      </c>
      <c r="C32" s="34" t="n">
        <v>32.89</v>
      </c>
      <c r="D32" s="8" t="s">
        <v>637</v>
      </c>
      <c r="E32" s="8" t="s">
        <v>638</v>
      </c>
      <c r="F32" s="8" t="s">
        <v>180</v>
      </c>
    </row>
    <row r="33" customFormat="false" ht="17.15" hidden="false" customHeight="false" outlineLevel="0" collapsed="false">
      <c r="A33" s="5" t="s">
        <v>647</v>
      </c>
      <c r="B33" s="18" t="n">
        <f aca="false">MEDIAN(C28:C32)</f>
        <v>29.34</v>
      </c>
      <c r="E33" s="5" t="s">
        <v>648</v>
      </c>
    </row>
    <row r="34" customFormat="false" ht="17.15" hidden="false" customHeight="false" outlineLevel="0" collapsed="false">
      <c r="A34" s="0" t="s">
        <v>649</v>
      </c>
      <c r="B34" s="9" t="n">
        <f aca="false">tp_wA*(8/12*B9+4/12*B10)+tp_wB*(8/12*C9+4/12*C10)+tp_wC*(8/12*D9+4/12*D10)</f>
        <v>29.3018611492772</v>
      </c>
      <c r="E34" s="5" t="s">
        <v>650</v>
      </c>
    </row>
    <row r="35" customFormat="false" ht="17.15" hidden="false" customHeight="false" outlineLevel="0" collapsed="false">
      <c r="A35" s="0" t="s">
        <v>651</v>
      </c>
      <c r="B35" s="33" t="n">
        <f aca="false">B33*B34</f>
        <v>859.716606119792</v>
      </c>
      <c r="E35" s="5" t="s">
        <v>652</v>
      </c>
    </row>
    <row r="37" customFormat="false" ht="17.15" hidden="false" customHeight="false" outlineLevel="0" collapsed="false">
      <c r="A37" s="1" t="s">
        <v>653</v>
      </c>
    </row>
    <row r="38" customFormat="false" ht="15" hidden="false" customHeight="false" outlineLevel="0" collapsed="false">
      <c r="A38" s="6" t="s">
        <v>20</v>
      </c>
      <c r="B38" s="6" t="s">
        <v>654</v>
      </c>
      <c r="C38" s="14"/>
      <c r="D38" s="14"/>
      <c r="E38" s="6" t="s">
        <v>480</v>
      </c>
    </row>
    <row r="39" customFormat="false" ht="17.15" hidden="false" customHeight="false" outlineLevel="0" collapsed="false">
      <c r="A39" s="5" t="s">
        <v>655</v>
      </c>
      <c r="B39" s="33" t="n">
        <f aca="false">tp_w_dcf*B24+(1-tp_w_dcf)*B35</f>
        <v>623.399886042049</v>
      </c>
      <c r="E39" s="8" t="s">
        <v>656</v>
      </c>
    </row>
    <row r="40" customFormat="false" ht="17.15" hidden="false" customHeight="false" outlineLevel="0" collapsed="false">
      <c r="A40" s="0" t="s">
        <v>657</v>
      </c>
      <c r="B40" s="19" t="n">
        <f aca="false">B35</f>
        <v>859.716606119792</v>
      </c>
    </row>
    <row r="41" customFormat="false" ht="17.15" hidden="false" customHeight="false" outlineLevel="0" collapsed="false">
      <c r="A41" s="5" t="s">
        <v>658</v>
      </c>
      <c r="B41" s="19" t="n">
        <f aca="false">cons_tp</f>
        <v>1165.03</v>
      </c>
      <c r="E41" s="8" t="s">
        <v>659</v>
      </c>
    </row>
    <row r="42" customFormat="false" ht="17.15" hidden="false" customHeight="false" outlineLevel="0" collapsed="false">
      <c r="A42" s="5" t="s">
        <v>660</v>
      </c>
      <c r="B42" s="16" t="n">
        <f aca="false">B39/px-1</f>
        <v>-0.175582361053666</v>
      </c>
      <c r="E42" s="5" t="s">
        <v>661</v>
      </c>
    </row>
    <row r="43" customFormat="false" ht="17.15" hidden="false" customHeight="false" outlineLevel="0" collapsed="false">
      <c r="A43" s="5" t="s">
        <v>662</v>
      </c>
      <c r="B43" s="16" t="n">
        <f aca="false">B40/px-1</f>
        <v>0.136935617810535</v>
      </c>
    </row>
    <row r="44" customFormat="false" ht="17.15" hidden="false" customHeight="false" outlineLevel="0" collapsed="false">
      <c r="A44" s="5" t="s">
        <v>663</v>
      </c>
      <c r="B44" s="16" t="n">
        <f aca="false">B34/cons_feps-1</f>
        <v>0.24160428598632</v>
      </c>
      <c r="E44" s="5" t="s">
        <v>664</v>
      </c>
    </row>
    <row r="45" customFormat="false" ht="17.15" hidden="false" customHeight="false" outlineLevel="0" collapsed="false">
      <c r="A45" s="5" t="s">
        <v>665</v>
      </c>
      <c r="B45" s="16" t="n">
        <f aca="false">(cons_tp/cons_feps)/B33-1</f>
        <v>0.682538444652409</v>
      </c>
      <c r="E45" s="0" t="str">
        <f aca="false">"共識目標價隱含 "&amp;TEXT(cons_tp/cons_feps,"0.0")&amp;"x，同業中位數 "&amp;TEXT(B33,"0.0")&amp;"x"</f>
        <v>共識目標價隱含 49.4x，同業中位數 29.3x</v>
      </c>
    </row>
    <row r="46" customFormat="false" ht="17.15" hidden="false" customHeight="false" outlineLevel="0" collapsed="false">
      <c r="A46" s="5" t="s">
        <v>666</v>
      </c>
      <c r="B46" s="35" t="str">
        <f aca="false">TEXT(D23,"#,##0.00")&amp;"～"&amp;TEXT(B23,"#,##0.00")</f>
        <v>211.15～549.95</v>
      </c>
      <c r="E46" s="8" t="s">
        <v>667</v>
      </c>
    </row>
    <row r="47" customFormat="false" ht="17.15" hidden="false" customHeight="false" outlineLevel="0" collapsed="false">
      <c r="A47" s="5" t="s">
        <v>668</v>
      </c>
      <c r="B47" s="36" t="n">
        <f aca="false">IF(px/B9&gt;MAX($B$102:$B$111),1,IF(px/B9&lt;MIN($B$102:$B$111),0,PERCENTRANK($B$102:$B$111,px/B9)))</f>
        <v>0.76</v>
      </c>
      <c r="C47" s="36" t="n">
        <f aca="false">IF(px/C9&gt;MAX($B$102:$B$111),1,IF(px/C9&lt;MIN($B$102:$B$111),0,PERCENTRANK($B$102:$B$111,px/C9)))</f>
        <v>0.787</v>
      </c>
      <c r="D47" s="36" t="n">
        <f aca="false">IF(px/D9&gt;MAX($B$102:$B$111),1,IF(px/D9&lt;MIN($B$102:$B$111),0,PERCENTRANK($B$102:$B$111,px/D9)))</f>
        <v>0.8</v>
      </c>
      <c r="E47" s="5" t="s">
        <v>669</v>
      </c>
    </row>
    <row r="48" customFormat="false" ht="17.15" hidden="false" customHeight="false" outlineLevel="0" collapsed="false">
      <c r="A48" s="5" t="s">
        <v>670</v>
      </c>
      <c r="B48" s="0" t="s">
        <v>671</v>
      </c>
    </row>
    <row r="49" customFormat="false" ht="17.15" hidden="false" customHeight="false" outlineLevel="0" collapsed="false">
      <c r="A49" s="5" t="s">
        <v>672</v>
      </c>
      <c r="B49" s="35" t="str">
        <f aca="false">IF(B42&gt;0.5,"大於 50%",IF(B42&gt;0.25,"25%–50%",IF(B42&gt;=0,"0%–25%",IF(B42&gt;=-0.25,"0%～−25%",IF(B42&gt;=-0.5,"−25%～−50%","小於 −50%")))))</f>
        <v>0%～−25%</v>
      </c>
      <c r="E49" s="5" t="s">
        <v>673</v>
      </c>
    </row>
    <row r="50" customFormat="false" ht="17.15" hidden="false" customHeight="false" outlineLevel="0" collapsed="false">
      <c r="A50" s="5" t="s">
        <v>674</v>
      </c>
      <c r="B50" s="35" t="str">
        <f aca="false">IF(B42&gt;0.5,"強力買進",IF(B42&gt;0.25,"買進",IF(B42&gt;=-0.25,"中立",IF(B42&gt;=-0.5,"放空","強力放空"))))</f>
        <v>中立</v>
      </c>
      <c r="E50" s="5" t="s">
        <v>675</v>
      </c>
    </row>
    <row r="51" customFormat="false" ht="15" hidden="false" customHeight="false" outlineLevel="0" collapsed="false">
      <c r="A51" s="3" t="s">
        <v>676</v>
      </c>
    </row>
    <row r="52" customFormat="false" ht="15" hidden="false" customHeight="false" outlineLevel="0" collapsed="false">
      <c r="A52" s="6" t="s">
        <v>20</v>
      </c>
      <c r="B52" s="6" t="s">
        <v>654</v>
      </c>
      <c r="C52" s="14"/>
      <c r="D52" s="14"/>
      <c r="E52" s="6" t="s">
        <v>480</v>
      </c>
    </row>
    <row r="53" customFormat="false" ht="17.15" hidden="false" customHeight="false" outlineLevel="0" collapsed="false">
      <c r="A53" s="5" t="s">
        <v>677</v>
      </c>
      <c r="B53" s="20" t="n">
        <f aca="false">tp_wA*D80+tp_wB*D81+tp_wC*D82</f>
        <v>410.587041312467</v>
      </c>
      <c r="E53" s="5" t="s">
        <v>678</v>
      </c>
    </row>
    <row r="54" customFormat="false" ht="17.15" hidden="false" customHeight="false" outlineLevel="0" collapsed="false">
      <c r="A54" s="5" t="s">
        <v>679</v>
      </c>
      <c r="B54" s="16" t="n">
        <f aca="false">B53/px-1</f>
        <v>-0.45701754722818</v>
      </c>
      <c r="E54" s="5" t="s">
        <v>680</v>
      </c>
    </row>
    <row r="55" customFormat="false" ht="17.15" hidden="false" customHeight="false" outlineLevel="0" collapsed="false">
      <c r="A55" s="5" t="s">
        <v>681</v>
      </c>
      <c r="B55" s="20" t="n">
        <f aca="false">D80</f>
        <v>415.041268998838</v>
      </c>
      <c r="E55" s="0" t="str">
        <f aca="false">"FY2027 EPS "&amp;TEXT(B80,"0.00")&amp;" × "&amp;TEXT(C80,"0.0")&amp;"x（第 3 節；"&amp;C74&amp;"）"</f>
        <v>FY2027 EPS 23.48 × 17.7x（第 3 節；中段）</v>
      </c>
    </row>
    <row r="56" customFormat="false" ht="17.15" hidden="false" customHeight="false" outlineLevel="0" collapsed="false">
      <c r="A56" s="5" t="s">
        <v>682</v>
      </c>
      <c r="B56" s="20" t="n">
        <f aca="false">D81</f>
        <v>409.473484390874</v>
      </c>
      <c r="E56" s="0" t="str">
        <f aca="false">"FY2027 EPS "&amp;TEXT(B81,"0.00")&amp;" × "&amp;TEXT(C81,"0.0")&amp;"x（第 3 節；"&amp;C75&amp;"）"</f>
        <v>FY2027 EPS 23.16 × 17.7x（第 3 節；中段）</v>
      </c>
    </row>
    <row r="57" customFormat="false" ht="17.15" hidden="false" customHeight="false" outlineLevel="0" collapsed="false">
      <c r="A57" s="5" t="s">
        <v>683</v>
      </c>
      <c r="B57" s="20" t="n">
        <f aca="false">D82</f>
        <v>406.689592086892</v>
      </c>
      <c r="E57" s="0" t="str">
        <f aca="false">"FY2027 EPS "&amp;TEXT(B82,"0.00")&amp;" × "&amp;TEXT(C82,"0.0")&amp;"x（第 3 節；"&amp;C76&amp;"）"</f>
        <v>FY2027 EPS 23.00 × 17.7x（第 3 節；中段）</v>
      </c>
    </row>
    <row r="58" customFormat="false" ht="17.15" hidden="false" customHeight="false" outlineLevel="0" collapsed="false">
      <c r="A58" s="5" t="s">
        <v>684</v>
      </c>
      <c r="B58" s="36" t="n">
        <f aca="false">tp_wA</f>
        <v>0.3</v>
      </c>
      <c r="C58" s="36" t="n">
        <f aca="false">tp_wB</f>
        <v>0.5</v>
      </c>
      <c r="D58" s="36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685</v>
      </c>
      <c r="B59" s="0" t="s">
        <v>686</v>
      </c>
    </row>
    <row r="61" customFormat="false" ht="17.15" hidden="false" customHeight="false" outlineLevel="0" collapsed="false">
      <c r="A61" s="1" t="s">
        <v>687</v>
      </c>
    </row>
    <row r="62" customFormat="false" ht="15" hidden="false" customHeight="false" outlineLevel="0" collapsed="false">
      <c r="A62" s="6" t="s">
        <v>20</v>
      </c>
      <c r="B62" s="14" t="s">
        <v>688</v>
      </c>
      <c r="C62" s="14" t="s">
        <v>689</v>
      </c>
      <c r="D62" s="14" t="s">
        <v>690</v>
      </c>
      <c r="E62" s="6" t="s">
        <v>480</v>
      </c>
    </row>
    <row r="63" customFormat="false" ht="17.15" hidden="false" customHeight="false" outlineLevel="0" collapsed="false">
      <c r="A63" s="5" t="s">
        <v>691</v>
      </c>
      <c r="B63" s="9" t="n">
        <f aca="false">px</f>
        <v>756.17</v>
      </c>
    </row>
    <row r="64" customFormat="false" ht="17.15" hidden="false" customHeight="false" outlineLevel="0" collapsed="false">
      <c r="A64" s="5" t="s">
        <v>692</v>
      </c>
      <c r="B64" s="18" t="n">
        <f aca="false">px/PL!D14</f>
        <v>87.2168396770473</v>
      </c>
      <c r="C64" s="18" t="n">
        <f aca="false">px/PL!D27</f>
        <v>87.2168396770473</v>
      </c>
      <c r="D64" s="18" t="n">
        <f aca="false">px/PL!D40</f>
        <v>87.2168396770473</v>
      </c>
    </row>
    <row r="65" customFormat="false" ht="17.15" hidden="false" customHeight="false" outlineLevel="0" collapsed="false">
      <c r="A65" s="5" t="s">
        <v>693</v>
      </c>
      <c r="B65" s="18" t="n">
        <f aca="false">px/PL!E14</f>
        <v>32.2114608801407</v>
      </c>
      <c r="C65" s="18" t="n">
        <f aca="false">px/PL!E27</f>
        <v>32.6494537732709</v>
      </c>
      <c r="D65" s="18" t="n">
        <f aca="false">px/PL!E40</f>
        <v>32.8729474767173</v>
      </c>
      <c r="E65" s="8" t="s">
        <v>694</v>
      </c>
    </row>
    <row r="66" customFormat="false" ht="17.15" hidden="false" customHeight="false" outlineLevel="0" collapsed="false">
      <c r="A66" s="5" t="s">
        <v>695</v>
      </c>
      <c r="B66" s="18" t="n">
        <f aca="false">px/PL!F14</f>
        <v>23.1065570578076</v>
      </c>
      <c r="C66" s="18" t="n">
        <f aca="false">px/PL!F27</f>
        <v>26.592339455316</v>
      </c>
      <c r="D66" s="18" t="n">
        <f aca="false">px/PL!F40</f>
        <v>30.1940247173205</v>
      </c>
    </row>
    <row r="67" customFormat="false" ht="17.15" hidden="false" customHeight="false" outlineLevel="0" collapsed="false">
      <c r="A67" s="5" t="s">
        <v>696</v>
      </c>
      <c r="B67" s="18" t="n">
        <f aca="false">px/PL!G14</f>
        <v>20.4276026574516</v>
      </c>
      <c r="C67" s="18" t="n">
        <f aca="false">px/PL!G27</f>
        <v>26.0547377801122</v>
      </c>
      <c r="D67" s="18" t="n">
        <f aca="false">px/PL!G40</f>
        <v>35.9998252222985</v>
      </c>
    </row>
    <row r="68" customFormat="false" ht="17.15" hidden="false" customHeight="false" outlineLevel="0" collapsed="false">
      <c r="A68" s="5" t="s">
        <v>697</v>
      </c>
      <c r="B68" s="18" t="n">
        <f aca="false">px/cons_eps27</f>
        <v>34.7026158788435</v>
      </c>
      <c r="E68" s="5" t="s">
        <v>698</v>
      </c>
    </row>
    <row r="69" customFormat="false" ht="17.15" hidden="false" customHeight="false" outlineLevel="0" collapsed="false">
      <c r="A69" s="5" t="s">
        <v>699</v>
      </c>
      <c r="B69" s="36" t="n">
        <f aca="false">px/px_hi-1</f>
        <v>-0.33843394575678</v>
      </c>
    </row>
    <row r="70" customFormat="false" ht="17.15" hidden="false" customHeight="false" outlineLevel="0" collapsed="false">
      <c r="A70" s="5" t="s">
        <v>700</v>
      </c>
      <c r="B70" s="15" t="n">
        <f aca="false">px*sh_basic/1000</f>
        <v>67.828449</v>
      </c>
    </row>
    <row r="72" customFormat="false" ht="17.15" hidden="false" customHeight="false" outlineLevel="0" collapsed="false">
      <c r="A72" s="1" t="s">
        <v>701</v>
      </c>
    </row>
    <row r="73" customFormat="false" ht="17.15" hidden="false" customHeight="false" outlineLevel="0" collapsed="false">
      <c r="A73" s="6" t="s">
        <v>702</v>
      </c>
      <c r="B73" s="6" t="s">
        <v>703</v>
      </c>
      <c r="C73" s="14" t="s">
        <v>704</v>
      </c>
      <c r="D73" s="6" t="s">
        <v>705</v>
      </c>
      <c r="E73" s="6" t="s">
        <v>706</v>
      </c>
      <c r="F73" s="6" t="s">
        <v>480</v>
      </c>
    </row>
    <row r="74" customFormat="false" ht="17.15" hidden="false" customHeight="false" outlineLevel="0" collapsed="false">
      <c r="A74" s="0" t="s">
        <v>688</v>
      </c>
      <c r="B74" s="0" t="n">
        <f aca="false">INDEX({2026,2027,2028,2029},MATCH(MAX(PL!D93:G93),PL!D93:G93,0))</f>
        <v>2029</v>
      </c>
      <c r="C74" s="0" t="str">
        <f aca="false">IF(B74=2029,"中段",IF(2027&lt;B74,"中段",IF(2027=B74,"見頂","谷底")))</f>
        <v>中段</v>
      </c>
      <c r="D74" s="18" t="n">
        <f aca="false">IF(C74="見頂",pe_peak,IF(C74="谷底",pe_trough,pe_mid))</f>
        <v>17.68</v>
      </c>
      <c r="E74" s="0" t="str">
        <f aca="false">IF(B74=2029,"是：營收到觀測期末仍在增加","否")</f>
        <v>是：營收到觀測期末仍在增加</v>
      </c>
      <c r="F74" s="8" t="s">
        <v>707</v>
      </c>
    </row>
    <row r="75" customFormat="false" ht="15" hidden="false" customHeight="false" outlineLevel="0" collapsed="false">
      <c r="A75" s="0" t="s">
        <v>689</v>
      </c>
      <c r="B75" s="0" t="n">
        <f aca="false">INDEX({2026,2027,2028,2029},MATCH(MAX(PL!D145:G145),PL!D145:G145,0))</f>
        <v>2029</v>
      </c>
      <c r="C75" s="0" t="str">
        <f aca="false">IF(B75=2029,"中段",IF(2027&lt;B75,"中段",IF(2027=B75,"見頂","谷底")))</f>
        <v>中段</v>
      </c>
      <c r="D75" s="18" t="n">
        <f aca="false">IF(C75="見頂",pe_peak,IF(C75="谷底",pe_trough,pe_mid))</f>
        <v>17.68</v>
      </c>
      <c r="E75" s="0" t="str">
        <f aca="false">IF(B75=2029,"是：營收到觀測期末仍在增加","否")</f>
        <v>是：營收到觀測期末仍在增加</v>
      </c>
      <c r="F75" s="5" t="s">
        <v>37</v>
      </c>
    </row>
    <row r="76" customFormat="false" ht="15" hidden="false" customHeight="false" outlineLevel="0" collapsed="false">
      <c r="A76" s="0" t="s">
        <v>690</v>
      </c>
      <c r="B76" s="0" t="n">
        <f aca="false">INDEX({2026,2027,2028,2029},MATCH(MAX(PL!D197:G197),PL!D197:G197,0))</f>
        <v>2028</v>
      </c>
      <c r="C76" s="0" t="str">
        <f aca="false">IF(B76=2029,"中段",IF(2027&lt;B76,"中段",IF(2027=B76,"見頂","谷底")))</f>
        <v>中段</v>
      </c>
      <c r="D76" s="18" t="n">
        <f aca="false">IF(C76="見頂",pe_peak,IF(C76="谷底",pe_trough,pe_mid))</f>
        <v>17.68</v>
      </c>
      <c r="E76" s="0" t="str">
        <f aca="false">IF(B76=2029,"是：營收到觀測期末仍在增加","否")</f>
        <v>否</v>
      </c>
      <c r="F76" s="5" t="s">
        <v>37</v>
      </c>
    </row>
    <row r="78" customFormat="false" ht="17.15" hidden="false" customHeight="false" outlineLevel="0" collapsed="false">
      <c r="A78" s="1" t="s">
        <v>708</v>
      </c>
    </row>
    <row r="79" customFormat="false" ht="17.15" hidden="false" customHeight="false" outlineLevel="0" collapsed="false">
      <c r="A79" s="6" t="s">
        <v>702</v>
      </c>
      <c r="B79" s="14" t="s">
        <v>709</v>
      </c>
      <c r="C79" s="6" t="s">
        <v>710</v>
      </c>
      <c r="D79" s="6" t="s">
        <v>711</v>
      </c>
      <c r="E79" s="6" t="s">
        <v>712</v>
      </c>
      <c r="F79" s="6" t="s">
        <v>713</v>
      </c>
    </row>
    <row r="80" customFormat="false" ht="15" hidden="false" customHeight="false" outlineLevel="0" collapsed="false">
      <c r="A80" s="10" t="s">
        <v>688</v>
      </c>
      <c r="B80" s="37" t="n">
        <f aca="false">PL!E14</f>
        <v>23.4751848981243</v>
      </c>
      <c r="C80" s="38" t="n">
        <f aca="false">D74</f>
        <v>17.68</v>
      </c>
      <c r="D80" s="39" t="n">
        <f aca="false">B80*C80</f>
        <v>415.041268998838</v>
      </c>
      <c r="E80" s="40" t="n">
        <f aca="false">D80/px-1</f>
        <v>-0.45112703625</v>
      </c>
      <c r="F80" s="38" t="n">
        <f aca="false">px/B80</f>
        <v>32.2114608801407</v>
      </c>
    </row>
    <row r="81" customFormat="false" ht="15" hidden="false" customHeight="false" outlineLevel="0" collapsed="false">
      <c r="A81" s="10" t="s">
        <v>689</v>
      </c>
      <c r="B81" s="37" t="n">
        <f aca="false">PL!E27</f>
        <v>23.160264954235</v>
      </c>
      <c r="C81" s="38" t="n">
        <f aca="false">D75</f>
        <v>17.68</v>
      </c>
      <c r="D81" s="39" t="n">
        <f aca="false">B81*C81</f>
        <v>409.473484390874</v>
      </c>
      <c r="E81" s="40" t="n">
        <f aca="false">D81/px-1</f>
        <v>-0.458490174972726</v>
      </c>
      <c r="F81" s="38" t="n">
        <f aca="false">px/B81</f>
        <v>32.6494537732709</v>
      </c>
    </row>
    <row r="82" customFormat="false" ht="15" hidden="false" customHeight="false" outlineLevel="0" collapsed="false">
      <c r="A82" s="10" t="s">
        <v>690</v>
      </c>
      <c r="B82" s="37" t="n">
        <f aca="false">PL!E40</f>
        <v>23.0028049822903</v>
      </c>
      <c r="C82" s="38" t="n">
        <f aca="false">D76</f>
        <v>17.68</v>
      </c>
      <c r="D82" s="39" t="n">
        <f aca="false">B82*C82</f>
        <v>406.689592086892</v>
      </c>
      <c r="E82" s="40" t="n">
        <f aca="false">D82/px-1</f>
        <v>-0.462171744334088</v>
      </c>
      <c r="F82" s="38" t="n">
        <f aca="false">px/B82</f>
        <v>32.8729474767173</v>
      </c>
    </row>
    <row r="84" customFormat="false" ht="17.15" hidden="false" customHeight="false" outlineLevel="0" collapsed="false">
      <c r="A84" s="1" t="s">
        <v>714</v>
      </c>
    </row>
    <row r="85" customFormat="false" ht="17.15" hidden="false" customHeight="false" outlineLevel="0" collapsed="false">
      <c r="A85" s="6" t="s">
        <v>715</v>
      </c>
      <c r="B85" s="6" t="s">
        <v>716</v>
      </c>
      <c r="C85" s="6" t="s">
        <v>717</v>
      </c>
      <c r="D85" s="6" t="s">
        <v>718</v>
      </c>
      <c r="E85" s="6" t="s">
        <v>719</v>
      </c>
      <c r="F85" s="6" t="s">
        <v>720</v>
      </c>
    </row>
    <row r="86" customFormat="false" ht="15" hidden="false" customHeight="false" outlineLevel="0" collapsed="false">
      <c r="A86" s="34" t="n">
        <v>15</v>
      </c>
      <c r="B86" s="9" t="n">
        <f aca="false">px/A86</f>
        <v>50.4113333333333</v>
      </c>
      <c r="C86" s="9" t="n">
        <f aca="false">PL!F14</f>
        <v>32.7253427721069</v>
      </c>
      <c r="D86" s="36" t="n">
        <f aca="false">B86/C86-1</f>
        <v>0.540437137187175</v>
      </c>
      <c r="E86" s="9" t="n">
        <f aca="false">PL!F40</f>
        <v>25.0436967936318</v>
      </c>
      <c r="F86" s="36" t="n">
        <f aca="false">B86/E86-1</f>
        <v>1.0129349811547</v>
      </c>
    </row>
    <row r="87" customFormat="false" ht="15" hidden="false" customHeight="false" outlineLevel="0" collapsed="false">
      <c r="A87" s="34" t="n">
        <v>20</v>
      </c>
      <c r="B87" s="9" t="n">
        <f aca="false">px/A87</f>
        <v>37.8085</v>
      </c>
      <c r="C87" s="9" t="n">
        <f aca="false">PL!F14</f>
        <v>32.7253427721069</v>
      </c>
      <c r="D87" s="36" t="n">
        <f aca="false">B87/C87-1</f>
        <v>0.155327852890381</v>
      </c>
      <c r="E87" s="9" t="n">
        <f aca="false">PL!F40</f>
        <v>25.0436967936318</v>
      </c>
      <c r="F87" s="36" t="n">
        <f aca="false">B87/E87-1</f>
        <v>0.509701235866026</v>
      </c>
    </row>
    <row r="88" customFormat="false" ht="15" hidden="false" customHeight="false" outlineLevel="0" collapsed="false">
      <c r="A88" s="34" t="n">
        <v>30</v>
      </c>
      <c r="B88" s="9" t="n">
        <f aca="false">px/A88</f>
        <v>25.2056666666667</v>
      </c>
      <c r="C88" s="9" t="n">
        <f aca="false">PL!F14</f>
        <v>32.7253427721069</v>
      </c>
      <c r="D88" s="36" t="n">
        <f aca="false">B88/C88-1</f>
        <v>-0.229781431406413</v>
      </c>
      <c r="E88" s="9" t="n">
        <f aca="false">PL!F40</f>
        <v>25.0436967936318</v>
      </c>
      <c r="F88" s="36" t="n">
        <f aca="false">B88/E88-1</f>
        <v>0.00646749057735074</v>
      </c>
    </row>
    <row r="89" customFormat="false" ht="15" hidden="false" customHeight="false" outlineLevel="0" collapsed="false">
      <c r="A89" s="18" t="n">
        <f aca="false">pe_mid</f>
        <v>17.68</v>
      </c>
      <c r="B89" s="9" t="n">
        <f aca="false">px/A89</f>
        <v>42.7697963800905</v>
      </c>
      <c r="C89" s="9" t="n">
        <f aca="false">PL!F14</f>
        <v>32.7253427721069</v>
      </c>
      <c r="D89" s="36" t="n">
        <f aca="false">B89/C89-1</f>
        <v>0.306931960283237</v>
      </c>
      <c r="E89" s="9" t="n">
        <f aca="false">PL!F40</f>
        <v>25.0436967936318</v>
      </c>
      <c r="F89" s="36" t="n">
        <f aca="false">B89/E89-1</f>
        <v>0.707806827902745</v>
      </c>
    </row>
    <row r="90" customFormat="false" ht="17.15" hidden="false" customHeight="false" outlineLevel="0" collapsed="false">
      <c r="A90" s="5" t="s">
        <v>721</v>
      </c>
    </row>
    <row r="92" customFormat="false" ht="17.15" hidden="false" customHeight="false" outlineLevel="0" collapsed="false">
      <c r="A92" s="5" t="s">
        <v>722</v>
      </c>
    </row>
    <row r="97" customFormat="false" ht="17.15" hidden="false" customHeight="false" outlineLevel="0" collapsed="false">
      <c r="A97" s="1" t="s">
        <v>723</v>
      </c>
    </row>
    <row r="98" customFormat="false" ht="17.15" hidden="false" customHeight="false" outlineLevel="0" collapsed="false">
      <c r="A98" s="5" t="s">
        <v>724</v>
      </c>
    </row>
    <row r="100" customFormat="false" ht="17.15" hidden="false" customHeight="false" outlineLevel="0" collapsed="false">
      <c r="A100" s="1" t="s">
        <v>725</v>
      </c>
    </row>
    <row r="101" customFormat="false" ht="17.15" hidden="false" customHeight="false" outlineLevel="0" collapsed="false">
      <c r="A101" s="6" t="s">
        <v>726</v>
      </c>
      <c r="B101" s="6" t="s">
        <v>727</v>
      </c>
      <c r="C101" s="14" t="s">
        <v>728</v>
      </c>
      <c r="D101" s="6" t="s">
        <v>729</v>
      </c>
    </row>
    <row r="102" customFormat="false" ht="17.15" hidden="false" customHeight="false" outlineLevel="0" collapsed="false">
      <c r="A102" s="0" t="s">
        <v>730</v>
      </c>
      <c r="B102" s="9" t="n">
        <f aca="false">38.65/((1.29+1.94)/2)</f>
        <v>23.9318885448916</v>
      </c>
      <c r="C102" s="41" t="n">
        <v>161</v>
      </c>
      <c r="D102" s="5" t="s">
        <v>731</v>
      </c>
    </row>
    <row r="103" customFormat="false" ht="17.15" hidden="false" customHeight="false" outlineLevel="0" collapsed="false">
      <c r="A103" s="0" t="s">
        <v>732</v>
      </c>
      <c r="B103" s="9" t="n">
        <f aca="false">48.9/((1.94+3.82)/2)</f>
        <v>16.9791666666667</v>
      </c>
      <c r="C103" s="41" t="n">
        <v>32.6</v>
      </c>
      <c r="D103" s="8" t="s">
        <v>733</v>
      </c>
    </row>
    <row r="104" customFormat="false" ht="15" hidden="false" customHeight="false" outlineLevel="0" collapsed="false">
      <c r="A104" s="0" t="s">
        <v>734</v>
      </c>
      <c r="B104" s="9" t="n">
        <f aca="false">42.01/((3.82+4.25)/2)</f>
        <v>10.4114002478315</v>
      </c>
      <c r="C104" s="41" t="n">
        <v>27.5</v>
      </c>
    </row>
    <row r="105" customFormat="false" ht="15" hidden="false" customHeight="false" outlineLevel="0" collapsed="false">
      <c r="A105" s="0" t="s">
        <v>735</v>
      </c>
      <c r="B105" s="9" t="n">
        <f aca="false">79.3/((4.25+4.95)/2)</f>
        <v>17.2391304347826</v>
      </c>
    </row>
    <row r="106" customFormat="false" ht="15" hidden="false" customHeight="false" outlineLevel="0" collapsed="false">
      <c r="A106" s="0" t="s">
        <v>736</v>
      </c>
      <c r="B106" s="9" t="n">
        <f aca="false">94.8/((4.95+5.84)/2)</f>
        <v>17.5718257645969</v>
      </c>
      <c r="C106" s="41" t="n">
        <v>37.8</v>
      </c>
    </row>
    <row r="107" customFormat="false" ht="15" hidden="false" customHeight="false" outlineLevel="0" collapsed="false">
      <c r="A107" s="0" t="s">
        <v>737</v>
      </c>
      <c r="B107" s="9" t="n">
        <f aca="false">105.77/((5.84+6.05)/2)</f>
        <v>17.7914213624895</v>
      </c>
      <c r="C107" s="41" t="n">
        <v>20.5</v>
      </c>
    </row>
    <row r="108" customFormat="false" ht="15" hidden="false" customHeight="false" outlineLevel="0" collapsed="false">
      <c r="A108" s="0" t="s">
        <v>738</v>
      </c>
      <c r="B108" s="9" t="n">
        <f aca="false">52.17/((6.05+4.56)/2)</f>
        <v>9.83411875589067</v>
      </c>
      <c r="C108" s="41" t="n">
        <v>130</v>
      </c>
    </row>
    <row r="109" customFormat="false" ht="15" hidden="false" customHeight="false" outlineLevel="0" collapsed="false">
      <c r="A109" s="0" t="s">
        <v>739</v>
      </c>
      <c r="B109" s="9" t="n">
        <f aca="false">52.42/((4.56+1.01)/2)</f>
        <v>18.8222621184919</v>
      </c>
    </row>
    <row r="110" customFormat="false" ht="15" hidden="false" customHeight="false" outlineLevel="0" collapsed="false">
      <c r="A110" s="0" t="s">
        <v>740</v>
      </c>
      <c r="B110" s="9" t="n">
        <f aca="false">83.95/((1.01+2.06)/2)</f>
        <v>54.6905537459283</v>
      </c>
    </row>
    <row r="111" customFormat="false" ht="15" hidden="false" customHeight="false" outlineLevel="0" collapsed="false">
      <c r="A111" s="0" t="s">
        <v>741</v>
      </c>
      <c r="B111" s="9" t="n">
        <f aca="false">368.59/((2.06+8.67)/2)</f>
        <v>68.7027027027027</v>
      </c>
      <c r="C111" s="41" t="n">
        <v>103</v>
      </c>
    </row>
    <row r="112" customFormat="false" ht="17.15" hidden="false" customHeight="false" outlineLevel="0" collapsed="false">
      <c r="A112" s="0" t="s">
        <v>742</v>
      </c>
      <c r="B112" s="9" t="n">
        <f aca="false">PERCENTILE(B102:B111,0.25)</f>
        <v>17.0441576086957</v>
      </c>
      <c r="C112" s="9" t="n">
        <f aca="false">PERCENTILE(C102:C111,0.25)</f>
        <v>30.05</v>
      </c>
    </row>
    <row r="113" customFormat="false" ht="15" hidden="false" customHeight="false" outlineLevel="0" collapsed="false">
      <c r="A113" s="5" t="s">
        <v>743</v>
      </c>
      <c r="B113" s="9" t="n">
        <f aca="false">MEDIAN(B102:B111)</f>
        <v>17.6816235635432</v>
      </c>
      <c r="C113" s="9" t="n">
        <f aca="false">MEDIAN(C102:C111)</f>
        <v>37.8</v>
      </c>
    </row>
    <row r="114" customFormat="false" ht="17.15" hidden="false" customHeight="false" outlineLevel="0" collapsed="false">
      <c r="A114" s="0" t="s">
        <v>744</v>
      </c>
      <c r="B114" s="9" t="n">
        <f aca="false">PERCENTILE(B102:B111,0.75)</f>
        <v>22.6544819382917</v>
      </c>
      <c r="C114" s="9" t="n">
        <f aca="false">PERCENTILE(C102:C111,0.75)</f>
        <v>116.5</v>
      </c>
    </row>
    <row r="115" customFormat="false" ht="15" hidden="false" customHeight="false" outlineLevel="0" collapsed="false">
      <c r="A115" s="5" t="s">
        <v>745</v>
      </c>
      <c r="B115" s="9" t="n">
        <f aca="false">MIN(B102:B111)</f>
        <v>9.83411875589067</v>
      </c>
      <c r="C115" s="9" t="n">
        <f aca="false">MIN(C102:C111)</f>
        <v>20.5</v>
      </c>
    </row>
    <row r="116" customFormat="false" ht="15" hidden="false" customHeight="false" outlineLevel="0" collapsed="false">
      <c r="A116" s="5" t="s">
        <v>746</v>
      </c>
      <c r="B116" s="9" t="n">
        <f aca="false">MAX(B102:B111)</f>
        <v>68.7027027027027</v>
      </c>
      <c r="C116" s="9" t="n">
        <f aca="false">MAX(C102:C111)</f>
        <v>161</v>
      </c>
    </row>
    <row r="117" customFormat="false" ht="17.15" hidden="false" customHeight="false" outlineLevel="0" collapsed="false">
      <c r="A117" s="3" t="s">
        <v>747</v>
      </c>
      <c r="B117" s="9" t="n">
        <f aca="false">ROUND(AVERAGE(B112),2)</f>
        <v>17.04</v>
      </c>
    </row>
    <row r="118" customFormat="false" ht="17.15" hidden="false" customHeight="false" outlineLevel="0" collapsed="false">
      <c r="A118" s="3" t="s">
        <v>748</v>
      </c>
      <c r="B118" s="9" t="n">
        <f aca="false">ROUND(AVERAGE(B113),2)</f>
        <v>17.68</v>
      </c>
    </row>
    <row r="119" customFormat="false" ht="17.15" hidden="false" customHeight="false" outlineLevel="0" collapsed="false">
      <c r="A119" s="3" t="s">
        <v>749</v>
      </c>
      <c r="B119" s="9" t="n">
        <f aca="false">ROUND(AVERAGE(B114),2)</f>
        <v>22.65</v>
      </c>
    </row>
    <row r="120" customFormat="false" ht="17.15" hidden="false" customHeight="false" outlineLevel="0" collapsed="false">
      <c r="A120" s="3" t="s">
        <v>750</v>
      </c>
      <c r="B120" s="9" t="n">
        <f aca="false">ROUND(MIN(B115),2)</f>
        <v>9.83</v>
      </c>
    </row>
    <row r="121" customFormat="false" ht="17.15" hidden="false" customHeight="false" outlineLevel="0" collapsed="false">
      <c r="A121" s="3" t="s">
        <v>751</v>
      </c>
      <c r="B121" s="9" t="n">
        <f aca="false">ROUND(MAX(B116),2)</f>
        <v>68.7</v>
      </c>
    </row>
    <row r="122" customFormat="false" ht="17.15" hidden="false" customHeight="false" outlineLevel="0" collapsed="false">
      <c r="A122" s="5" t="s">
        <v>752</v>
      </c>
      <c r="B122" s="9" t="n">
        <f aca="false">ROUND(C112,2)</f>
        <v>30.05</v>
      </c>
    </row>
    <row r="123" customFormat="false" ht="17.15" hidden="false" customHeight="false" outlineLevel="0" collapsed="false">
      <c r="A123" s="5" t="s">
        <v>753</v>
      </c>
      <c r="B123" s="9" t="n">
        <f aca="false">ROUND(C113,2)</f>
        <v>37.8</v>
      </c>
    </row>
    <row r="124" customFormat="false" ht="17.15" hidden="false" customHeight="false" outlineLevel="0" collapsed="false">
      <c r="A124" s="5" t="s">
        <v>754</v>
      </c>
      <c r="B124" s="9" t="n">
        <f aca="false">ROUND(C114,2)</f>
        <v>116.5</v>
      </c>
    </row>
    <row r="126" customFormat="false" ht="17.15" hidden="false" customHeight="false" outlineLevel="0" collapsed="false">
      <c r="A126" s="1" t="s">
        <v>755</v>
      </c>
    </row>
    <row r="127" customFormat="false" ht="17.15" hidden="false" customHeight="false" outlineLevel="0" collapsed="false">
      <c r="A127" s="6" t="s">
        <v>756</v>
      </c>
      <c r="B127" s="6" t="s">
        <v>757</v>
      </c>
      <c r="C127" s="6" t="s">
        <v>758</v>
      </c>
      <c r="D127" s="6" t="s">
        <v>23</v>
      </c>
      <c r="E127" s="6" t="s">
        <v>759</v>
      </c>
      <c r="F127" s="6" t="s">
        <v>711</v>
      </c>
      <c r="G127" s="6" t="s">
        <v>760</v>
      </c>
      <c r="H127" s="6" t="s">
        <v>761</v>
      </c>
    </row>
    <row r="128" customFormat="false" ht="17.15" hidden="false" customHeight="false" outlineLevel="0" collapsed="false">
      <c r="A128" s="5" t="s">
        <v>762</v>
      </c>
      <c r="B128" s="0" t="s">
        <v>763</v>
      </c>
      <c r="C128" s="9" t="n">
        <f aca="false">B117</f>
        <v>17.04</v>
      </c>
      <c r="D128" s="8" t="s">
        <v>764</v>
      </c>
      <c r="E128" s="19" t="n">
        <f aca="false">B80</f>
        <v>23.4751848981243</v>
      </c>
      <c r="F128" s="15" t="n">
        <f aca="false">C128*E128</f>
        <v>400.017150664038</v>
      </c>
      <c r="G128" s="16" t="n">
        <f aca="false">F128/px-1</f>
        <v>-0.470995740820135</v>
      </c>
      <c r="H128" s="9" t="n">
        <f aca="false">px/E128</f>
        <v>32.2114608801407</v>
      </c>
    </row>
    <row r="129" customFormat="false" ht="17.15" hidden="false" customHeight="false" outlineLevel="0" collapsed="false">
      <c r="A129" s="5" t="s">
        <v>765</v>
      </c>
      <c r="B129" s="5" t="s">
        <v>766</v>
      </c>
      <c r="C129" s="9" t="n">
        <f aca="false">B118</f>
        <v>17.68</v>
      </c>
      <c r="D129" s="8" t="s">
        <v>764</v>
      </c>
      <c r="E129" s="19" t="n">
        <f aca="false">B80</f>
        <v>23.4751848981243</v>
      </c>
      <c r="F129" s="15" t="n">
        <f aca="false">C129*E129</f>
        <v>415.041268998838</v>
      </c>
      <c r="G129" s="16" t="n">
        <f aca="false">F129/px-1</f>
        <v>-0.45112703625</v>
      </c>
      <c r="H129" s="9" t="n">
        <f aca="false">px/E129</f>
        <v>32.2114608801407</v>
      </c>
    </row>
    <row r="130" customFormat="false" ht="17.15" hidden="false" customHeight="false" outlineLevel="0" collapsed="false">
      <c r="A130" s="5" t="s">
        <v>767</v>
      </c>
      <c r="B130" s="0" t="s">
        <v>768</v>
      </c>
      <c r="C130" s="9" t="n">
        <f aca="false">B119</f>
        <v>22.65</v>
      </c>
      <c r="D130" s="8" t="s">
        <v>764</v>
      </c>
      <c r="E130" s="19" t="n">
        <f aca="false">B80</f>
        <v>23.4751848981243</v>
      </c>
      <c r="F130" s="15" t="n">
        <f aca="false">C130*E130</f>
        <v>531.712937942516</v>
      </c>
      <c r="G130" s="16" t="n">
        <f aca="false">F130/px-1</f>
        <v>-0.296834127322539</v>
      </c>
      <c r="H130" s="9" t="n">
        <f aca="false">px/E130</f>
        <v>32.2114608801407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769</v>
      </c>
    </row>
    <row r="3" customFormat="false" ht="17.15" hidden="false" customHeight="false" outlineLevel="0" collapsed="false">
      <c r="A3" s="6" t="s">
        <v>20</v>
      </c>
      <c r="B3" s="6" t="s">
        <v>770</v>
      </c>
      <c r="C3" s="6" t="s">
        <v>771</v>
      </c>
      <c r="D3" s="6" t="s">
        <v>772</v>
      </c>
      <c r="E3" s="6" t="s">
        <v>773</v>
      </c>
      <c r="F3" s="6" t="s">
        <v>774</v>
      </c>
      <c r="G3" s="6" t="s">
        <v>775</v>
      </c>
      <c r="H3" s="6" t="s">
        <v>776</v>
      </c>
      <c r="I3" s="6" t="s">
        <v>777</v>
      </c>
      <c r="J3" s="6" t="s">
        <v>480</v>
      </c>
    </row>
    <row r="4" customFormat="false" ht="17.15" hidden="false" customHeight="false" outlineLevel="0" collapsed="false">
      <c r="A4" s="1" t="s">
        <v>778</v>
      </c>
    </row>
    <row r="5" customFormat="false" ht="17.15" hidden="false" customHeight="false" outlineLevel="0" collapsed="false">
      <c r="A5" s="0" t="s">
        <v>779</v>
      </c>
      <c r="B5" s="19" t="n">
        <f aca="false">cons_rev27</f>
        <v>6.3</v>
      </c>
      <c r="C5" s="19" t="n">
        <f aca="false">PL!E93</f>
        <v>6.61316929394506</v>
      </c>
      <c r="D5" s="16" t="n">
        <f aca="false">C5/B5-1</f>
        <v>0.0497094117373111</v>
      </c>
      <c r="E5" s="19" t="n">
        <f aca="false">PL!E145</f>
        <v>6.5334968031409</v>
      </c>
      <c r="F5" s="16" t="n">
        <f aca="false">E5/B5-1</f>
        <v>0.037062984625539</v>
      </c>
      <c r="G5" s="19" t="n">
        <f aca="false">PL!E197</f>
        <v>6.49366055773881</v>
      </c>
      <c r="H5" s="16" t="n">
        <f aca="false">G5/B5-1</f>
        <v>0.0307397710696529</v>
      </c>
      <c r="I5" s="8" t="s">
        <v>780</v>
      </c>
      <c r="J5" s="8" t="s">
        <v>781</v>
      </c>
    </row>
    <row r="6" customFormat="false" ht="17.15" hidden="false" customHeight="false" outlineLevel="0" collapsed="false">
      <c r="A6" s="0" t="s">
        <v>782</v>
      </c>
      <c r="B6" s="19" t="n">
        <f aca="false">cons_eps27</f>
        <v>21.79</v>
      </c>
      <c r="C6" s="19" t="n">
        <f aca="false">PL!E108</f>
        <v>23.4751848981243</v>
      </c>
      <c r="D6" s="16" t="n">
        <f aca="false">C6/B6-1</f>
        <v>0.0773375354806938</v>
      </c>
      <c r="E6" s="19" t="n">
        <f aca="false">PL!E160</f>
        <v>23.160264954235</v>
      </c>
      <c r="F6" s="16" t="n">
        <f aca="false">E6/B6-1</f>
        <v>0.0628850369084426</v>
      </c>
      <c r="G6" s="19" t="n">
        <f aca="false">PL!E212</f>
        <v>23.0028049822903</v>
      </c>
      <c r="H6" s="16" t="n">
        <f aca="false">G6/B6-1</f>
        <v>0.0556587876223174</v>
      </c>
      <c r="I6" s="8" t="s">
        <v>783</v>
      </c>
    </row>
    <row r="7" customFormat="false" ht="17.15" hidden="false" customHeight="false" outlineLevel="0" collapsed="false">
      <c r="A7" s="0" t="s">
        <v>784</v>
      </c>
      <c r="B7" s="19" t="n">
        <f aca="false">cons_eps28</f>
        <v>23.6</v>
      </c>
      <c r="C7" s="19" t="n">
        <f aca="false">PL!F108</f>
        <v>32.7253427721069</v>
      </c>
      <c r="D7" s="16" t="n">
        <f aca="false">C7/B7-1</f>
        <v>0.386667066614699</v>
      </c>
      <c r="E7" s="19" t="n">
        <f aca="false">PL!F160</f>
        <v>28.4356327983334</v>
      </c>
      <c r="F7" s="16" t="n">
        <f aca="false">E7/B7-1</f>
        <v>0.204899694844636</v>
      </c>
      <c r="G7" s="19" t="n">
        <f aca="false">PL!F212</f>
        <v>25.0436967936318</v>
      </c>
      <c r="H7" s="16" t="n">
        <f aca="false">G7/B7-1</f>
        <v>0.0611735929505008</v>
      </c>
      <c r="I7" s="8" t="s">
        <v>785</v>
      </c>
      <c r="J7" s="5" t="s">
        <v>786</v>
      </c>
    </row>
    <row r="8" customFormat="false" ht="17.15" hidden="false" customHeight="false" outlineLevel="0" collapsed="false">
      <c r="A8" s="0" t="s">
        <v>787</v>
      </c>
      <c r="B8" s="19" t="n">
        <f aca="false">cons_ni28</f>
        <v>2.4</v>
      </c>
      <c r="C8" s="19" t="n">
        <f aca="false">PL!F105</f>
        <v>3.37136481238245</v>
      </c>
      <c r="D8" s="16" t="n">
        <f aca="false">C8/B8-1</f>
        <v>0.404735338492688</v>
      </c>
      <c r="E8" s="19" t="n">
        <f aca="false">PL!F157</f>
        <v>2.92943889088431</v>
      </c>
      <c r="F8" s="16" t="n">
        <f aca="false">E8/B8-1</f>
        <v>0.220599537868461</v>
      </c>
      <c r="G8" s="19" t="n">
        <f aca="false">PL!F209</f>
        <v>2.58000164367995</v>
      </c>
      <c r="H8" s="16" t="n">
        <f aca="false">G8/B8-1</f>
        <v>0.0750006848666458</v>
      </c>
      <c r="I8" s="8" t="s">
        <v>788</v>
      </c>
      <c r="J8" s="5" t="s">
        <v>346</v>
      </c>
    </row>
    <row r="9" customFormat="false" ht="17.15" hidden="false" customHeight="false" outlineLevel="0" collapsed="false">
      <c r="A9" s="1" t="s">
        <v>789</v>
      </c>
    </row>
    <row r="10" customFormat="false" ht="17.15" hidden="false" customHeight="false" outlineLevel="0" collapsed="false">
      <c r="A10" s="0" t="s">
        <v>790</v>
      </c>
      <c r="B10" s="15" t="n">
        <f aca="false">kgi_m26</f>
        <v>67.2</v>
      </c>
      <c r="C10" s="15" t="n">
        <f aca="false">PL!C65</f>
        <v>59.506524</v>
      </c>
      <c r="D10" s="16" t="n">
        <f aca="false">C10/B10-1</f>
        <v>-0.11448625</v>
      </c>
      <c r="E10" s="15" t="n">
        <f aca="false">PL!C117</f>
        <v>59.506524</v>
      </c>
      <c r="F10" s="16" t="n">
        <f aca="false">E10/B10-1</f>
        <v>-0.11448625</v>
      </c>
      <c r="G10" s="15" t="n">
        <f aca="false">PL!C169</f>
        <v>59.506524</v>
      </c>
      <c r="H10" s="16" t="n">
        <f aca="false">G10/B10-1</f>
        <v>-0.11448625</v>
      </c>
      <c r="I10" s="5" t="s">
        <v>791</v>
      </c>
      <c r="J10" s="5" t="s">
        <v>792</v>
      </c>
    </row>
    <row r="11" customFormat="false" ht="17.15" hidden="false" customHeight="false" outlineLevel="0" collapsed="false">
      <c r="A11" s="0" t="s">
        <v>793</v>
      </c>
      <c r="B11" s="15" t="n">
        <f aca="false">kgi_m27</f>
        <v>107.5</v>
      </c>
      <c r="C11" s="15" t="n">
        <f aca="false">PL!D65</f>
        <v>103.001375</v>
      </c>
      <c r="D11" s="16" t="n">
        <f aca="false">C11/B11-1</f>
        <v>-0.0418476744186046</v>
      </c>
      <c r="E11" s="15" t="n">
        <f aca="false">PL!D117</f>
        <v>105.169825</v>
      </c>
      <c r="F11" s="16" t="n">
        <f aca="false">E11/B11-1</f>
        <v>-0.021676046511628</v>
      </c>
      <c r="G11" s="15" t="n">
        <f aca="false">PL!D169</f>
        <v>106.25405</v>
      </c>
      <c r="H11" s="16" t="n">
        <f aca="false">G11/B11-1</f>
        <v>-0.0115902325581395</v>
      </c>
      <c r="I11" s="5" t="s">
        <v>791</v>
      </c>
      <c r="J11" s="5" t="s">
        <v>792</v>
      </c>
    </row>
    <row r="12" customFormat="false" ht="17.15" hidden="false" customHeight="false" outlineLevel="0" collapsed="false">
      <c r="A12" s="0" t="s">
        <v>794</v>
      </c>
      <c r="B12" s="15" t="n">
        <f aca="false">kgi_m28</f>
        <v>151.1</v>
      </c>
      <c r="C12" s="15" t="n">
        <f aca="false">PL!E65</f>
        <v>107.391666666667</v>
      </c>
      <c r="D12" s="16" t="n">
        <f aca="false">C12/B12-1</f>
        <v>-0.289267593205383</v>
      </c>
      <c r="E12" s="15" t="n">
        <f aca="false">PL!E117</f>
        <v>90.6862962962963</v>
      </c>
      <c r="F12" s="16" t="n">
        <f aca="false">E12/B12-1</f>
        <v>-0.399825967595657</v>
      </c>
      <c r="G12" s="15" t="n">
        <f aca="false">PL!E169</f>
        <v>69.4466111111111</v>
      </c>
      <c r="H12" s="16" t="n">
        <f aca="false">G12/B12-1</f>
        <v>-0.540393043606148</v>
      </c>
      <c r="I12" s="5" t="s">
        <v>791</v>
      </c>
      <c r="J12" s="5" t="s">
        <v>792</v>
      </c>
    </row>
    <row r="13" customFormat="false" ht="17.15" hidden="false" customHeight="false" outlineLevel="0" collapsed="false">
      <c r="A13" s="0" t="s">
        <v>795</v>
      </c>
      <c r="B13" s="16" t="n">
        <f aca="false">tf_eml3</f>
        <v>0.72</v>
      </c>
      <c r="C13" s="16" t="n">
        <f aca="false">PL!C71</f>
        <v>0.43826657190933</v>
      </c>
      <c r="D13" s="16" t="n">
        <f aca="false">C13-B13</f>
        <v>-0.28173342809067</v>
      </c>
      <c r="E13" s="16" t="n">
        <f aca="false">PL!C123</f>
        <v>0.43826657190933</v>
      </c>
      <c r="F13" s="16" t="n">
        <f aca="false">E13-B13</f>
        <v>-0.28173342809067</v>
      </c>
      <c r="G13" s="16" t="n">
        <f aca="false">PL!C175</f>
        <v>0.43826657190933</v>
      </c>
      <c r="H13" s="16" t="n">
        <f aca="false">G13-B13</f>
        <v>-0.28173342809067</v>
      </c>
      <c r="I13" s="8" t="s">
        <v>796</v>
      </c>
      <c r="J13" s="5" t="s">
        <v>797</v>
      </c>
    </row>
    <row r="14" customFormat="false" ht="17.15" hidden="false" customHeight="false" outlineLevel="0" collapsed="false">
      <c r="A14" s="0" t="s">
        <v>798</v>
      </c>
      <c r="C14" s="16" t="n">
        <f aca="false">PL!C72/(c26_rev/1000)</f>
        <v>0.41765404170493</v>
      </c>
      <c r="E14" s="16" t="n">
        <f aca="false">PL!C124/(c26_rev/1000)</f>
        <v>0.41765404170493</v>
      </c>
      <c r="G14" s="16" t="n">
        <f aca="false">PL!C176/(c26_rev/1000)</f>
        <v>0.41765404170493</v>
      </c>
      <c r="I14" s="8" t="s">
        <v>799</v>
      </c>
    </row>
    <row r="15" customFormat="false" ht="17.15" hidden="false" customHeight="false" outlineLevel="0" collapsed="false">
      <c r="A15" s="0" t="s">
        <v>800</v>
      </c>
      <c r="B15" s="16" t="n">
        <f aca="false">Q!B27</f>
        <v>0.645334393322071</v>
      </c>
      <c r="C15" s="16" t="n">
        <f aca="false">(PL!C72+PL!C83+PL!C81+PL!C84/2)/(c26_rev/1000)</f>
        <v>0.630434295697359</v>
      </c>
      <c r="D15" s="16" t="n">
        <f aca="false">C15-B15</f>
        <v>-0.0149000976247117</v>
      </c>
      <c r="E15" s="16" t="n">
        <f aca="false">(PL!C124+PL!C135+PL!C133+PL!C136/2)/(c26_rev/1000)</f>
        <v>0.630434295697359</v>
      </c>
      <c r="F15" s="16" t="n">
        <f aca="false">E15-B15</f>
        <v>-0.0149000976247117</v>
      </c>
      <c r="G15" s="16" t="n">
        <f aca="false">(PL!C176+PL!C187+PL!C185+PL!C188/2)/(c26_rev/1000)</f>
        <v>0.630434295697359</v>
      </c>
      <c r="H15" s="16" t="n">
        <f aca="false">G15-B15</f>
        <v>-0.0149000976247117</v>
      </c>
      <c r="I15" s="5" t="s">
        <v>801</v>
      </c>
      <c r="J15" s="8" t="s">
        <v>802</v>
      </c>
    </row>
    <row r="16" customFormat="false" ht="17.15" hidden="false" customHeight="false" outlineLevel="0" collapsed="false">
      <c r="A16" s="0" t="s">
        <v>803</v>
      </c>
      <c r="C16" s="16" t="n">
        <f aca="false">PL!D78/4</f>
        <v>0.285714285714286</v>
      </c>
      <c r="E16" s="16" t="n">
        <f aca="false">PL!D130/4</f>
        <v>0.285714285714286</v>
      </c>
      <c r="G16" s="16" t="n">
        <f aca="false">PL!D182/4</f>
        <v>0.285714285714286</v>
      </c>
      <c r="I16" s="5" t="s">
        <v>804</v>
      </c>
    </row>
    <row r="17" customFormat="false" ht="17.15" hidden="false" customHeight="false" outlineLevel="0" collapsed="false">
      <c r="A17" s="0" t="s">
        <v>805</v>
      </c>
      <c r="C17" s="21" t="n">
        <f aca="false">PL!D82/itc_27</f>
        <v>0.0045905229459866</v>
      </c>
      <c r="E17" s="21" t="n">
        <f aca="false">PL!D134/itc_27</f>
        <v>0.00448223027158075</v>
      </c>
      <c r="G17" s="21" t="n">
        <f aca="false">PL!D186/itc_27</f>
        <v>0.00442808393437783</v>
      </c>
      <c r="I17" s="8" t="s">
        <v>806</v>
      </c>
      <c r="J17" s="5" t="s">
        <v>807</v>
      </c>
    </row>
    <row r="18" customFormat="false" ht="17.15" hidden="false" customHeight="false" outlineLevel="0" collapsed="false">
      <c r="A18" s="0" t="s">
        <v>808</v>
      </c>
      <c r="C18" s="16" t="n">
        <f aca="false">PL!E71</f>
        <v>0.416353243313864</v>
      </c>
      <c r="E18" s="16" t="n">
        <f aca="false">PL!E123</f>
        <v>0.416353243313864</v>
      </c>
      <c r="G18" s="16" t="n">
        <f aca="false">PL!E175</f>
        <v>0.416353243313864</v>
      </c>
      <c r="I18" s="8" t="s">
        <v>102</v>
      </c>
    </row>
    <row r="19" customFormat="false" ht="17.15" hidden="false" customHeight="false" outlineLevel="0" collapsed="false">
      <c r="A19" s="1" t="s">
        <v>809</v>
      </c>
    </row>
    <row r="20" customFormat="false" ht="17.15" hidden="false" customHeight="false" outlineLevel="0" collapsed="false">
      <c r="A20" s="0" t="s">
        <v>810</v>
      </c>
      <c r="B20" s="9" t="n">
        <f aca="false">a25_eps_in</f>
        <v>2.06</v>
      </c>
      <c r="C20" s="9" t="n">
        <f aca="false">Q!B13</f>
        <v>2.06</v>
      </c>
      <c r="D20" s="16" t="n">
        <f aca="false">C20/B20-1</f>
        <v>0</v>
      </c>
      <c r="E20" s="9" t="n">
        <f aca="false">Q!B13</f>
        <v>2.06</v>
      </c>
      <c r="F20" s="16" t="n">
        <f aca="false">E20/B20-1</f>
        <v>0</v>
      </c>
      <c r="G20" s="9" t="n">
        <f aca="false">Q!B13</f>
        <v>2.06</v>
      </c>
      <c r="H20" s="16" t="n">
        <f aca="false">G20/B20-1</f>
        <v>0</v>
      </c>
      <c r="I20" s="5" t="s">
        <v>811</v>
      </c>
      <c r="J20" s="5" t="s">
        <v>812</v>
      </c>
    </row>
    <row r="21" customFormat="false" ht="17.15" hidden="false" customHeight="false" outlineLevel="0" collapsed="false">
      <c r="A21" s="0" t="s">
        <v>813</v>
      </c>
      <c r="B21" s="9" t="n">
        <f aca="false">a26_eps_in</f>
        <v>8.67</v>
      </c>
      <c r="C21" s="9" t="n">
        <f aca="false">PL!D108</f>
        <v>8.67</v>
      </c>
      <c r="D21" s="16" t="n">
        <f aca="false">C21/B21-1</f>
        <v>0</v>
      </c>
      <c r="E21" s="9" t="n">
        <f aca="false">PL!D160</f>
        <v>8.67</v>
      </c>
      <c r="F21" s="16" t="n">
        <f aca="false">E21/B21-1</f>
        <v>0</v>
      </c>
      <c r="G21" s="9" t="n">
        <f aca="false">PL!D212</f>
        <v>8.67</v>
      </c>
      <c r="H21" s="16" t="n">
        <f aca="false">G21/B21-1</f>
        <v>0</v>
      </c>
      <c r="I21" s="5" t="s">
        <v>811</v>
      </c>
      <c r="J21" s="5" t="s">
        <v>814</v>
      </c>
    </row>
    <row r="22" customFormat="false" ht="17.15" hidden="false" customHeight="false" outlineLevel="0" collapsed="false">
      <c r="A22" s="0" t="s">
        <v>815</v>
      </c>
      <c r="C22" s="17" t="n">
        <f aca="false">oi_oth</f>
        <v>0.0522155688622756</v>
      </c>
      <c r="E22" s="17" t="n">
        <f aca="false">oi_oth</f>
        <v>0.0522155688622756</v>
      </c>
      <c r="G22" s="17" t="n">
        <f aca="false">oi_oth</f>
        <v>0.0522155688622756</v>
      </c>
      <c r="I22" s="8" t="s">
        <v>816</v>
      </c>
    </row>
    <row r="23" customFormat="false" ht="17.15" hidden="false" customHeight="false" outlineLevel="0" collapsed="false">
      <c r="A23" s="1" t="s">
        <v>817</v>
      </c>
    </row>
    <row r="24" customFormat="false" ht="17.15" hidden="false" customHeight="false" outlineLevel="0" collapsed="false">
      <c r="A24" s="0" t="s">
        <v>818</v>
      </c>
      <c r="J24" s="5" t="s">
        <v>819</v>
      </c>
    </row>
    <row r="25" customFormat="false" ht="17.15" hidden="false" customHeight="false" outlineLevel="0" collapsed="false">
      <c r="A25" s="0" t="s">
        <v>820</v>
      </c>
      <c r="J25" s="5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821</v>
      </c>
    </row>
    <row r="3" customFormat="false" ht="17.15" hidden="false" customHeight="false" outlineLevel="0" collapsed="false">
      <c r="A3" s="6" t="s">
        <v>822</v>
      </c>
      <c r="B3" s="6" t="s">
        <v>823</v>
      </c>
      <c r="C3" s="14" t="s">
        <v>824</v>
      </c>
      <c r="D3" s="14" t="s">
        <v>825</v>
      </c>
      <c r="E3" s="14" t="s">
        <v>826</v>
      </c>
      <c r="F3" s="14" t="s">
        <v>709</v>
      </c>
      <c r="G3" s="14" t="s">
        <v>827</v>
      </c>
      <c r="H3" s="14" t="s">
        <v>828</v>
      </c>
      <c r="I3" s="14" t="s">
        <v>829</v>
      </c>
      <c r="J3" s="14" t="s">
        <v>830</v>
      </c>
      <c r="K3" s="14" t="s">
        <v>831</v>
      </c>
      <c r="L3" s="14" t="s">
        <v>832</v>
      </c>
    </row>
    <row r="4" customFormat="false" ht="17.15" hidden="false" customHeight="false" outlineLevel="0" collapsed="false">
      <c r="A4" s="5" t="s">
        <v>833</v>
      </c>
      <c r="B4" s="0" t="s">
        <v>834</v>
      </c>
      <c r="C4" s="19" t="n">
        <f aca="false">PL!E93</f>
        <v>6.61316929394506</v>
      </c>
      <c r="D4" s="19" t="n">
        <f aca="false">PL!E91</f>
        <v>5.40409212896197</v>
      </c>
      <c r="E4" s="16" t="n">
        <f aca="false">PL!E99</f>
        <v>0.52</v>
      </c>
      <c r="F4" s="9" t="n">
        <f aca="false">PL!E108</f>
        <v>23.4751848981243</v>
      </c>
      <c r="G4" s="16" t="n">
        <f aca="false">F4/F$4-1</f>
        <v>0</v>
      </c>
      <c r="H4" s="19" t="n">
        <f aca="false">PL!F93</f>
        <v>9.14381002223568</v>
      </c>
      <c r="I4" s="19" t="n">
        <f aca="false">PL!F91</f>
        <v>7.82685937223568</v>
      </c>
      <c r="J4" s="16" t="n">
        <f aca="false">PL!F99</f>
        <v>0.51</v>
      </c>
      <c r="K4" s="9" t="n">
        <f aca="false">PL!F108</f>
        <v>32.7253427721069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835</v>
      </c>
      <c r="B5" s="5" t="s">
        <v>836</v>
      </c>
      <c r="C5" s="19" t="n">
        <f aca="false">E73</f>
        <v>6.43813095814386</v>
      </c>
      <c r="D5" s="19" t="n">
        <f aca="false">E71</f>
        <v>5.22905379316077</v>
      </c>
      <c r="E5" s="16" t="n">
        <f aca="false">E79</f>
        <v>0.52</v>
      </c>
      <c r="F5" s="9" t="n">
        <f aca="false">E88</f>
        <v>22.7833141867581</v>
      </c>
      <c r="G5" s="16" t="n">
        <f aca="false">F5/F$4-1</f>
        <v>-0.0294724286248983</v>
      </c>
      <c r="H5" s="19" t="n">
        <f aca="false">F73</f>
        <v>8.69756395290188</v>
      </c>
      <c r="I5" s="19" t="n">
        <f aca="false">F71</f>
        <v>7.38061330290188</v>
      </c>
      <c r="J5" s="16" t="n">
        <f aca="false">F79</f>
        <v>0.51</v>
      </c>
      <c r="K5" s="9" t="n">
        <f aca="false">F88</f>
        <v>30.9743170637483</v>
      </c>
      <c r="L5" s="16" t="n">
        <f aca="false">K5/K$4-1</f>
        <v>-0.05350671864776</v>
      </c>
    </row>
    <row r="6" customFormat="false" ht="17.15" hidden="false" customHeight="false" outlineLevel="0" collapsed="false">
      <c r="A6" s="5" t="s">
        <v>837</v>
      </c>
      <c r="B6" s="5" t="s">
        <v>838</v>
      </c>
      <c r="C6" s="19" t="n">
        <f aca="false">E125</f>
        <v>6.70068846184566</v>
      </c>
      <c r="D6" s="19" t="n">
        <f aca="false">E123</f>
        <v>5.49161129686257</v>
      </c>
      <c r="E6" s="16" t="n">
        <f aca="false">E131</f>
        <v>0.52</v>
      </c>
      <c r="F6" s="9" t="n">
        <f aca="false">E140</f>
        <v>23.8211202538075</v>
      </c>
      <c r="G6" s="16" t="n">
        <f aca="false">F6/F$4-1</f>
        <v>0.0147362143124496</v>
      </c>
      <c r="H6" s="19" t="n">
        <f aca="false">F125</f>
        <v>9.40841012591401</v>
      </c>
      <c r="I6" s="19" t="n">
        <f aca="false">F123</f>
        <v>8.09145947591401</v>
      </c>
      <c r="J6" s="16" t="n">
        <f aca="false">F131</f>
        <v>0.51</v>
      </c>
      <c r="K6" s="9" t="n">
        <f aca="false">F140</f>
        <v>33.7655523868803</v>
      </c>
      <c r="L6" s="16" t="n">
        <f aca="false">K6/K$4-1</f>
        <v>0.0317860571245119</v>
      </c>
    </row>
    <row r="7" customFormat="false" ht="17.15" hidden="false" customHeight="false" outlineLevel="0" collapsed="false">
      <c r="A7" s="5" t="s">
        <v>839</v>
      </c>
      <c r="B7" s="0" t="s">
        <v>840</v>
      </c>
      <c r="C7" s="19" t="n">
        <f aca="false">E177</f>
        <v>6.31083035028845</v>
      </c>
      <c r="D7" s="19" t="n">
        <f aca="false">E175</f>
        <v>5.10175318530536</v>
      </c>
      <c r="E7" s="16" t="n">
        <f aca="false">E183</f>
        <v>0.52</v>
      </c>
      <c r="F7" s="9" t="n">
        <f aca="false">E192</f>
        <v>22.2801354875826</v>
      </c>
      <c r="G7" s="16" t="n">
        <f aca="false">F7/F$4-1</f>
        <v>-0.0509069221702789</v>
      </c>
      <c r="H7" s="19" t="n">
        <f aca="false">F177</f>
        <v>8.48764889319982</v>
      </c>
      <c r="I7" s="19" t="n">
        <f aca="false">F175</f>
        <v>7.17069824319982</v>
      </c>
      <c r="J7" s="16" t="n">
        <f aca="false">F183</f>
        <v>0.51</v>
      </c>
      <c r="K7" s="9" t="n">
        <f aca="false">F192</f>
        <v>30.1548371900316</v>
      </c>
      <c r="L7" s="16" t="n">
        <f aca="false">K7/K$4-1</f>
        <v>-0.0785478581531086</v>
      </c>
    </row>
    <row r="8" customFormat="false" ht="17.15" hidden="false" customHeight="false" outlineLevel="0" collapsed="false">
      <c r="A8" s="5" t="s">
        <v>841</v>
      </c>
      <c r="B8" s="0" t="s">
        <v>842</v>
      </c>
      <c r="C8" s="19" t="n">
        <f aca="false">E229</f>
        <v>6.28059645592279</v>
      </c>
      <c r="D8" s="19" t="n">
        <f aca="false">E227</f>
        <v>5.0715192909397</v>
      </c>
      <c r="E8" s="16" t="n">
        <f aca="false">E235</f>
        <v>0.52</v>
      </c>
      <c r="F8" s="9" t="n">
        <f aca="false">E244</f>
        <v>22.1606305465284</v>
      </c>
      <c r="G8" s="16" t="n">
        <f aca="false">F8/F$4-1</f>
        <v>-0.0559976143873067</v>
      </c>
      <c r="H8" s="19" t="n">
        <f aca="false">F229</f>
        <v>8.34848011124929</v>
      </c>
      <c r="I8" s="19" t="n">
        <f aca="false">F227</f>
        <v>7.03152946124929</v>
      </c>
      <c r="J8" s="16" t="n">
        <f aca="false">F235</f>
        <v>0.51</v>
      </c>
      <c r="K8" s="9" t="n">
        <f aca="false">F244</f>
        <v>29.6071499231669</v>
      </c>
      <c r="L8" s="16" t="n">
        <f aca="false">K8/K$4-1</f>
        <v>-0.0952837337917141</v>
      </c>
    </row>
    <row r="9" customFormat="false" ht="17.15" hidden="false" customHeight="false" outlineLevel="0" collapsed="false">
      <c r="A9" s="5" t="s">
        <v>843</v>
      </c>
      <c r="B9" s="0" t="s">
        <v>844</v>
      </c>
      <c r="C9" s="19" t="n">
        <f aca="false">E281</f>
        <v>6.83488451929325</v>
      </c>
      <c r="D9" s="19" t="n">
        <f aca="false">E279</f>
        <v>5.62580735431016</v>
      </c>
      <c r="E9" s="16" t="n">
        <f aca="false">E287</f>
        <v>0.52</v>
      </c>
      <c r="F9" s="9" t="n">
        <f aca="false">E296</f>
        <v>24.3515544658549</v>
      </c>
      <c r="G9" s="16" t="n">
        <f aca="false">F9/F$4-1</f>
        <v>0.0373317429248719</v>
      </c>
      <c r="H9" s="19" t="n">
        <f aca="false">F281</f>
        <v>9.70905504339182</v>
      </c>
      <c r="I9" s="19" t="n">
        <f aca="false">F279</f>
        <v>8.39210439339182</v>
      </c>
      <c r="J9" s="16" t="n">
        <f aca="false">F287</f>
        <v>0.51</v>
      </c>
      <c r="K9" s="9" t="n">
        <f aca="false">F296</f>
        <v>34.9449416616522</v>
      </c>
      <c r="L9" s="16" t="n">
        <f aca="false">K9/K$4-1</f>
        <v>0.0678250768831417</v>
      </c>
    </row>
    <row r="10" customFormat="false" ht="17.15" hidden="false" customHeight="false" outlineLevel="0" collapsed="false">
      <c r="A10" s="5" t="s">
        <v>845</v>
      </c>
      <c r="B10" s="0" t="s">
        <v>846</v>
      </c>
      <c r="C10" s="19" t="n">
        <f aca="false">E333</f>
        <v>6.30138225829918</v>
      </c>
      <c r="D10" s="19" t="n">
        <f aca="false">E331</f>
        <v>5.09230509331609</v>
      </c>
      <c r="E10" s="16" t="n">
        <f aca="false">E339</f>
        <v>0.52</v>
      </c>
      <c r="F10" s="9" t="n">
        <f aca="false">E348</f>
        <v>22.2427901935032</v>
      </c>
      <c r="G10" s="16" t="n">
        <f aca="false">F10/F$4-1</f>
        <v>-0.0524977634881001</v>
      </c>
      <c r="H10" s="19" t="n">
        <f aca="false">F333</f>
        <v>8.46772331696981</v>
      </c>
      <c r="I10" s="19" t="n">
        <f aca="false">F331</f>
        <v>7.15077266696981</v>
      </c>
      <c r="J10" s="16" t="n">
        <f aca="false">F339</f>
        <v>0.51</v>
      </c>
      <c r="K10" s="9" t="n">
        <f aca="false">F348</f>
        <v>30.0768407340648</v>
      </c>
      <c r="L10" s="16" t="n">
        <f aca="false">K10/K$4-1</f>
        <v>-0.0809312237456376</v>
      </c>
    </row>
    <row r="11" customFormat="false" ht="17.15" hidden="false" customHeight="false" outlineLevel="0" collapsed="false">
      <c r="A11" s="5" t="s">
        <v>847</v>
      </c>
      <c r="B11" s="5" t="s">
        <v>848</v>
      </c>
      <c r="C11" s="19" t="n">
        <f aca="false">E385</f>
        <v>6.4439539921069</v>
      </c>
      <c r="D11" s="19" t="n">
        <f aca="false">E383</f>
        <v>5.23487682712381</v>
      </c>
      <c r="E11" s="16" t="n">
        <f aca="false">E391</f>
        <v>0.52</v>
      </c>
      <c r="F11" s="9" t="n">
        <f aca="false">E400</f>
        <v>22.8063307827047</v>
      </c>
      <c r="G11" s="16" t="n">
        <f aca="false">F11/F$4-1</f>
        <v>-0.0284919636766324</v>
      </c>
      <c r="H11" s="19" t="n">
        <f aca="false">F385</f>
        <v>8.67817242962483</v>
      </c>
      <c r="I11" s="19" t="n">
        <f aca="false">F383</f>
        <v>7.36122177962483</v>
      </c>
      <c r="J11" s="16" t="n">
        <f aca="false">F391</f>
        <v>0.51</v>
      </c>
      <c r="K11" s="9" t="n">
        <f aca="false">F400</f>
        <v>30.8971035854294</v>
      </c>
      <c r="L11" s="16" t="n">
        <f aca="false">K11/K$4-1</f>
        <v>-0.0558661585123488</v>
      </c>
    </row>
    <row r="12" customFormat="false" ht="17.15" hidden="false" customHeight="false" outlineLevel="0" collapsed="false">
      <c r="A12" s="5" t="s">
        <v>849</v>
      </c>
      <c r="B12" s="5" t="s">
        <v>850</v>
      </c>
      <c r="C12" s="19" t="n">
        <f aca="false">E437</f>
        <v>6.78238459578322</v>
      </c>
      <c r="D12" s="19" t="n">
        <f aca="false">E435</f>
        <v>5.57330743080014</v>
      </c>
      <c r="E12" s="16" t="n">
        <f aca="false">E443</f>
        <v>0.52</v>
      </c>
      <c r="F12" s="9" t="n">
        <f aca="false">E452</f>
        <v>24.1440390135439</v>
      </c>
      <c r="G12" s="16" t="n">
        <f aca="false">F12/F$4-1</f>
        <v>0.0284919636766325</v>
      </c>
      <c r="H12" s="19" t="n">
        <f aca="false">F437</f>
        <v>9.60944761484654</v>
      </c>
      <c r="I12" s="19" t="n">
        <f aca="false">F435</f>
        <v>8.29249696484654</v>
      </c>
      <c r="J12" s="16" t="n">
        <f aca="false">F443</f>
        <v>0.51</v>
      </c>
      <c r="K12" s="9" t="n">
        <f aca="false">F452</f>
        <v>34.5548379402529</v>
      </c>
      <c r="L12" s="16" t="n">
        <f aca="false">K12/K$4-1</f>
        <v>0.0559045379871586</v>
      </c>
    </row>
    <row r="13" customFormat="false" ht="17.15" hidden="false" customHeight="false" outlineLevel="0" collapsed="false">
      <c r="A13" s="0" t="s">
        <v>851</v>
      </c>
      <c r="B13" s="5" t="s">
        <v>852</v>
      </c>
      <c r="C13" s="19" t="n">
        <f aca="false">E489</f>
        <v>6.47888357965935</v>
      </c>
      <c r="D13" s="19" t="n">
        <f aca="false">E487</f>
        <v>5.26980641467626</v>
      </c>
      <c r="E13" s="16" t="n">
        <f aca="false">E495</f>
        <v>0.52</v>
      </c>
      <c r="F13" s="9" t="n">
        <f aca="false">E504</f>
        <v>22.9443963011926</v>
      </c>
      <c r="G13" s="16" t="n">
        <f aca="false">F13/F$4-1</f>
        <v>-0.022610624761219</v>
      </c>
      <c r="H13" s="19" t="n">
        <f aca="false">F489</f>
        <v>8.73601781444347</v>
      </c>
      <c r="I13" s="19" t="n">
        <f aca="false">F487</f>
        <v>7.41906716444347</v>
      </c>
      <c r="J13" s="16" t="n">
        <f aca="false">F495</f>
        <v>0.51</v>
      </c>
      <c r="K13" s="9" t="n">
        <f aca="false">F504</f>
        <v>31.1229511805968</v>
      </c>
      <c r="L13" s="16" t="n">
        <f aca="false">K13/K$4-1</f>
        <v>-0.0489648527952424</v>
      </c>
    </row>
    <row r="14" customFormat="false" ht="17.15" hidden="false" customHeight="false" outlineLevel="0" collapsed="false">
      <c r="A14" s="0" t="s">
        <v>853</v>
      </c>
      <c r="B14" s="0" t="s">
        <v>854</v>
      </c>
      <c r="C14" s="19" t="n">
        <f aca="false">E541</f>
        <v>6.74745500823078</v>
      </c>
      <c r="D14" s="19" t="n">
        <f aca="false">E539</f>
        <v>5.53837784324769</v>
      </c>
      <c r="E14" s="16" t="n">
        <f aca="false">E547</f>
        <v>0.52</v>
      </c>
      <c r="F14" s="9" t="n">
        <f aca="false">E556</f>
        <v>24.0059734950561</v>
      </c>
      <c r="G14" s="16" t="n">
        <f aca="false">F14/F$4-1</f>
        <v>0.0226106247612199</v>
      </c>
      <c r="H14" s="19" t="n">
        <f aca="false">F541</f>
        <v>9.55160223002789</v>
      </c>
      <c r="I14" s="19" t="n">
        <f aca="false">F539</f>
        <v>8.23465158002789</v>
      </c>
      <c r="J14" s="16" t="n">
        <f aca="false">F547</f>
        <v>0.51</v>
      </c>
      <c r="K14" s="9" t="n">
        <f aca="false">F556</f>
        <v>34.3286897676151</v>
      </c>
      <c r="L14" s="16" t="n">
        <f aca="false">K14/K$4-1</f>
        <v>0.048994047416818</v>
      </c>
    </row>
    <row r="15" customFormat="false" ht="17.15" hidden="false" customHeight="false" outlineLevel="0" collapsed="false">
      <c r="A15" s="0" t="s">
        <v>855</v>
      </c>
      <c r="B15" s="0" t="s">
        <v>856</v>
      </c>
      <c r="C15" s="19" t="n">
        <f aca="false">E593</f>
        <v>6.41443085144506</v>
      </c>
      <c r="D15" s="19" t="n">
        <f aca="false">E591</f>
        <v>5.20535368646197</v>
      </c>
      <c r="E15" s="16" t="n">
        <f aca="false">E599</f>
        <v>0.52</v>
      </c>
      <c r="F15" s="9" t="n">
        <f aca="false">E608</f>
        <v>22.6896352243405</v>
      </c>
      <c r="G15" s="16" t="n">
        <f aca="false">F15/F$4-1</f>
        <v>-0.033462981322316</v>
      </c>
      <c r="H15" s="19" t="n">
        <f aca="false">F593</f>
        <v>8.46543396473568</v>
      </c>
      <c r="I15" s="19" t="n">
        <f aca="false">F591</f>
        <v>7.14848331473568</v>
      </c>
      <c r="J15" s="16" t="n">
        <f aca="false">F599</f>
        <v>0.51</v>
      </c>
      <c r="K15" s="9" t="n">
        <f aca="false">F608</f>
        <v>30.0581057220128</v>
      </c>
      <c r="L15" s="16" t="n">
        <f aca="false">K15/K$4-1</f>
        <v>-0.0815037162075953</v>
      </c>
    </row>
    <row r="16" customFormat="false" ht="17.15" hidden="false" customHeight="false" outlineLevel="0" collapsed="false">
      <c r="A16" s="0" t="s">
        <v>857</v>
      </c>
      <c r="B16" s="0" t="s">
        <v>858</v>
      </c>
      <c r="C16" s="19" t="n">
        <f aca="false">E645</f>
        <v>6.74566158894506</v>
      </c>
      <c r="D16" s="19" t="n">
        <f aca="false">E643</f>
        <v>5.53658442396197</v>
      </c>
      <c r="E16" s="16" t="n">
        <f aca="false">E651</f>
        <v>0.52</v>
      </c>
      <c r="F16" s="9" t="n">
        <f aca="false">E660</f>
        <v>23.9988846806469</v>
      </c>
      <c r="G16" s="16" t="n">
        <f aca="false">F16/F$4-1</f>
        <v>0.0223086542148776</v>
      </c>
      <c r="H16" s="19" t="n">
        <f aca="false">F645</f>
        <v>9.59606072723568</v>
      </c>
      <c r="I16" s="19" t="n">
        <f aca="false">F643</f>
        <v>8.27911007723568</v>
      </c>
      <c r="J16" s="16" t="n">
        <f aca="false">F651</f>
        <v>0.51</v>
      </c>
      <c r="K16" s="9" t="n">
        <f aca="false">F660</f>
        <v>34.5049428345406</v>
      </c>
      <c r="L16" s="16" t="n">
        <f aca="false">K16/K$4-1</f>
        <v>0.0543798754019635</v>
      </c>
    </row>
    <row r="17" customFormat="false" ht="17.15" hidden="false" customHeight="false" outlineLevel="0" collapsed="false">
      <c r="A17" s="5" t="s">
        <v>859</v>
      </c>
      <c r="B17" s="0" t="s">
        <v>860</v>
      </c>
      <c r="C17" s="19" t="n">
        <f aca="false">E697</f>
        <v>6.61316929394506</v>
      </c>
      <c r="D17" s="19" t="n">
        <f aca="false">E695</f>
        <v>5.40409212896197</v>
      </c>
      <c r="E17" s="16" t="n">
        <f aca="false">E703</f>
        <v>0.49</v>
      </c>
      <c r="F17" s="9" t="n">
        <f aca="false">E712</f>
        <v>21.8510683215231</v>
      </c>
      <c r="G17" s="16" t="n">
        <f aca="false">F17/F$4-1</f>
        <v>-0.0691843997672188</v>
      </c>
      <c r="H17" s="19" t="n">
        <f aca="false">F697</f>
        <v>9.14381002223568</v>
      </c>
      <c r="I17" s="19" t="n">
        <f aca="false">F695</f>
        <v>7.82685937223568</v>
      </c>
      <c r="J17" s="16" t="n">
        <f aca="false">F703</f>
        <v>0.46</v>
      </c>
      <c r="K17" s="9" t="n">
        <f aca="false">F712</f>
        <v>29.0197121331209</v>
      </c>
      <c r="L17" s="16" t="n">
        <f aca="false">K17/K$4-1</f>
        <v>-0.113234280379929</v>
      </c>
    </row>
    <row r="18" customFormat="false" ht="17.15" hidden="false" customHeight="false" outlineLevel="0" collapsed="false">
      <c r="A18" s="5" t="s">
        <v>861</v>
      </c>
      <c r="B18" s="0" t="s">
        <v>862</v>
      </c>
      <c r="C18" s="19" t="n">
        <f aca="false">E749</f>
        <v>6.61316929394506</v>
      </c>
      <c r="D18" s="19" t="n">
        <f aca="false">E747</f>
        <v>5.40409212896197</v>
      </c>
      <c r="E18" s="16" t="n">
        <f aca="false">E755</f>
        <v>0.54</v>
      </c>
      <c r="F18" s="9" t="n">
        <f aca="false">E764</f>
        <v>24.5579292825251</v>
      </c>
      <c r="G18" s="16" t="n">
        <f aca="false">F18/F$4-1</f>
        <v>0.0461229331781461</v>
      </c>
      <c r="H18" s="19" t="n">
        <f aca="false">F749</f>
        <v>9.14381002223568</v>
      </c>
      <c r="I18" s="19" t="n">
        <f aca="false">F747</f>
        <v>7.82685937223568</v>
      </c>
      <c r="J18" s="16" t="n">
        <f aca="false">F755</f>
        <v>0.54</v>
      </c>
      <c r="K18" s="9" t="n">
        <f aca="false">F764</f>
        <v>34.9487211554985</v>
      </c>
      <c r="L18" s="16" t="n">
        <f aca="false">K18/K$4-1</f>
        <v>0.0679405682279572</v>
      </c>
    </row>
    <row r="19" customFormat="false" ht="17.15" hidden="false" customHeight="false" outlineLevel="0" collapsed="false">
      <c r="A19" s="0" t="s">
        <v>863</v>
      </c>
      <c r="B19" s="0" t="s">
        <v>864</v>
      </c>
      <c r="C19" s="19" t="n">
        <f aca="false">E801</f>
        <v>6.11138115408462</v>
      </c>
      <c r="D19" s="19" t="n">
        <f aca="false">E799</f>
        <v>4.90230398910153</v>
      </c>
      <c r="E19" s="16" t="n">
        <f aca="false">E807</f>
        <v>0.52</v>
      </c>
      <c r="F19" s="9" t="n">
        <f aca="false">E816</f>
        <v>21.4917764311088</v>
      </c>
      <c r="G19" s="16" t="n">
        <f aca="false">F19/F$4-1</f>
        <v>-0.0844895780639394</v>
      </c>
      <c r="H19" s="19" t="n">
        <f aca="false">F801</f>
        <v>8.07952453924959</v>
      </c>
      <c r="I19" s="19" t="n">
        <f aca="false">F799</f>
        <v>6.76257388924958</v>
      </c>
      <c r="J19" s="16" t="n">
        <f aca="false">F807</f>
        <v>0.51</v>
      </c>
      <c r="K19" s="9" t="n">
        <f aca="false">F816</f>
        <v>28.5582542032688</v>
      </c>
      <c r="L19" s="16" t="n">
        <f aca="false">K19/K$4-1</f>
        <v>-0.127335215336227</v>
      </c>
    </row>
    <row r="20" customFormat="false" ht="17.15" hidden="false" customHeight="false" outlineLevel="0" collapsed="false">
      <c r="A20" s="0" t="s">
        <v>865</v>
      </c>
      <c r="B20" s="0" t="s">
        <v>866</v>
      </c>
      <c r="C20" s="19" t="n">
        <f aca="false">E853</f>
        <v>7.1149574338055</v>
      </c>
      <c r="D20" s="19" t="n">
        <f aca="false">E851</f>
        <v>5.90588026882241</v>
      </c>
      <c r="E20" s="16" t="n">
        <f aca="false">E859</f>
        <v>0.52</v>
      </c>
      <c r="F20" s="9" t="n">
        <f aca="false">E868</f>
        <v>25.4585933651398</v>
      </c>
      <c r="G20" s="16" t="n">
        <f aca="false">F20/F$4-1</f>
        <v>0.0844895780639399</v>
      </c>
      <c r="H20" s="19" t="n">
        <f aca="false">F853</f>
        <v>10.2080955052218</v>
      </c>
      <c r="I20" s="19" t="n">
        <f aca="false">F851</f>
        <v>8.89114485522178</v>
      </c>
      <c r="J20" s="16" t="n">
        <f aca="false">F859</f>
        <v>0.51</v>
      </c>
      <c r="K20" s="9" t="n">
        <f aca="false">F868</f>
        <v>36.8984179819138</v>
      </c>
      <c r="L20" s="16" t="n">
        <f aca="false">K20/K$4-1</f>
        <v>0.127518151264829</v>
      </c>
    </row>
    <row r="21" customFormat="false" ht="17.15" hidden="false" customHeight="false" outlineLevel="0" collapsed="false">
      <c r="A21" s="5" t="s">
        <v>867</v>
      </c>
      <c r="B21" s="5" t="s">
        <v>868</v>
      </c>
      <c r="C21" s="19" t="n">
        <f aca="false">E905</f>
        <v>6.36020104114006</v>
      </c>
      <c r="D21" s="19" t="n">
        <f aca="false">E903</f>
        <v>5.18851887615697</v>
      </c>
      <c r="E21" s="16" t="n">
        <f aca="false">E911</f>
        <v>0.52</v>
      </c>
      <c r="F21" s="9" t="n">
        <f aca="false">E920</f>
        <v>22.4752820812919</v>
      </c>
      <c r="G21" s="16" t="n">
        <f aca="false">F21/F$4-1</f>
        <v>-0.0425940337071558</v>
      </c>
      <c r="H21" s="19" t="n">
        <f aca="false">F905</f>
        <v>9.0983928991249</v>
      </c>
      <c r="I21" s="19" t="n">
        <f aca="false">F903</f>
        <v>7.7859390991249</v>
      </c>
      <c r="J21" s="16" t="n">
        <f aca="false">F911</f>
        <v>0.51</v>
      </c>
      <c r="K21" s="9" t="n">
        <f aca="false">F920</f>
        <v>32.5659913868497</v>
      </c>
      <c r="L21" s="16" t="n">
        <f aca="false">K21/K$4-1</f>
        <v>-0.00486935725522952</v>
      </c>
    </row>
    <row r="22" customFormat="false" ht="17.15" hidden="false" customHeight="false" outlineLevel="0" collapsed="false">
      <c r="A22" s="5" t="s">
        <v>869</v>
      </c>
      <c r="B22" s="5" t="s">
        <v>870</v>
      </c>
      <c r="C22" s="19" t="n">
        <f aca="false">E957</f>
        <v>6.61316929394506</v>
      </c>
      <c r="D22" s="19" t="n">
        <f aca="false">E955</f>
        <v>5.40409212896197</v>
      </c>
      <c r="E22" s="16" t="n">
        <f aca="false">E963</f>
        <v>0.52</v>
      </c>
      <c r="F22" s="9" t="n">
        <f aca="false">E972</f>
        <v>22.3924405137235</v>
      </c>
      <c r="G22" s="16" t="n">
        <f aca="false">F22/F$4-1</f>
        <v>-0.0461229331781459</v>
      </c>
      <c r="H22" s="19" t="n">
        <f aca="false">F957</f>
        <v>9.14381002223568</v>
      </c>
      <c r="I22" s="19" t="n">
        <f aca="false">F955</f>
        <v>7.82685937223568</v>
      </c>
      <c r="J22" s="16" t="n">
        <f aca="false">F963</f>
        <v>0.51</v>
      </c>
      <c r="K22" s="9" t="n">
        <f aca="false">F972</f>
        <v>31.2430905165125</v>
      </c>
      <c r="L22" s="16" t="n">
        <f aca="false">K22/K$4-1</f>
        <v>-0.0452937121519715</v>
      </c>
    </row>
    <row r="23" customFormat="false" ht="17.15" hidden="false" customHeight="false" outlineLevel="0" collapsed="false">
      <c r="A23" s="5" t="s">
        <v>871</v>
      </c>
      <c r="B23" s="0" t="s">
        <v>872</v>
      </c>
      <c r="C23" s="19" t="n">
        <f aca="false">PL!E145</f>
        <v>6.5334968031409</v>
      </c>
      <c r="D23" s="19" t="n">
        <f aca="false">PL!E143</f>
        <v>5.32441963815781</v>
      </c>
      <c r="E23" s="16" t="n">
        <f aca="false">PL!E151</f>
        <v>0.52</v>
      </c>
      <c r="F23" s="9" t="n">
        <f aca="false">PL!E160</f>
        <v>23.160264954235</v>
      </c>
      <c r="G23" s="16" t="n">
        <f aca="false">F23/F$4-1</f>
        <v>-0.0134150144186729</v>
      </c>
      <c r="H23" s="19" t="n">
        <f aca="false">PL!F145</f>
        <v>8.05820664567095</v>
      </c>
      <c r="I23" s="19" t="n">
        <f aca="false">PL!F143</f>
        <v>6.74125599567095</v>
      </c>
      <c r="J23" s="16" t="n">
        <f aca="false">PL!F151</f>
        <v>0.51</v>
      </c>
      <c r="K23" s="9" t="n">
        <f aca="false">PL!F160</f>
        <v>28.4356327983334</v>
      </c>
      <c r="L23" s="16" t="n">
        <f aca="false">K23/K$4-1</f>
        <v>-0.131082201449996</v>
      </c>
    </row>
    <row r="24" customFormat="false" ht="17.15" hidden="false" customHeight="false" outlineLevel="0" collapsed="false">
      <c r="A24" s="5" t="s">
        <v>873</v>
      </c>
      <c r="B24" s="0" t="s">
        <v>874</v>
      </c>
      <c r="C24" s="19" t="n">
        <f aca="false">PL!E197</f>
        <v>6.49366055773881</v>
      </c>
      <c r="D24" s="19" t="n">
        <f aca="false">PL!E195</f>
        <v>5.28458339275572</v>
      </c>
      <c r="E24" s="16" t="n">
        <f aca="false">PL!E203</f>
        <v>0.52</v>
      </c>
      <c r="F24" s="9" t="n">
        <f aca="false">PL!E212</f>
        <v>23.0028049822903</v>
      </c>
      <c r="G24" s="16" t="n">
        <f aca="false">F24/F$4-1</f>
        <v>-0.0201225216280092</v>
      </c>
      <c r="H24" s="19" t="n">
        <f aca="false">PL!F197</f>
        <v>7.20000119684873</v>
      </c>
      <c r="I24" s="19" t="n">
        <f aca="false">PL!F195</f>
        <v>5.88305054684873</v>
      </c>
      <c r="J24" s="16" t="n">
        <f aca="false">PL!F203</f>
        <v>0.51</v>
      </c>
      <c r="K24" s="9" t="n">
        <f aca="false">PL!F212</f>
        <v>25.0436967936318</v>
      </c>
      <c r="L24" s="16" t="n">
        <f aca="false">K24/K$4-1</f>
        <v>-0.2347308027289</v>
      </c>
    </row>
    <row r="26" customFormat="false" ht="17.15" hidden="false" customHeight="false" outlineLevel="0" collapsed="false">
      <c r="A26" s="5" t="s">
        <v>875</v>
      </c>
    </row>
    <row r="28" customFormat="false" ht="17.15" hidden="false" customHeight="false" outlineLevel="0" collapsed="false">
      <c r="A28" s="3" t="s">
        <v>876</v>
      </c>
    </row>
    <row r="29" customFormat="false" ht="17.15" hidden="false" customHeight="false" outlineLevel="0" collapsed="false">
      <c r="A29" s="6" t="s">
        <v>822</v>
      </c>
      <c r="B29" s="6" t="s">
        <v>823</v>
      </c>
      <c r="C29" s="14" t="s">
        <v>877</v>
      </c>
      <c r="D29" s="14" t="s">
        <v>878</v>
      </c>
      <c r="E29" s="6" t="s">
        <v>879</v>
      </c>
      <c r="F29" s="6" t="s">
        <v>880</v>
      </c>
    </row>
    <row r="30" customFormat="false" ht="17.15" hidden="false" customHeight="false" outlineLevel="0" collapsed="false">
      <c r="A30" s="5" t="s">
        <v>23</v>
      </c>
      <c r="B30" s="0" t="s">
        <v>881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0" s="9" t="n">
        <f aca="false">Val!B35</f>
        <v>859.716606119792</v>
      </c>
      <c r="E30" s="9" t="n">
        <f aca="false">tp_w_dcf*C30+(1-tp_w_dcf)*D30</f>
        <v>623.399886042049</v>
      </c>
      <c r="F30" s="16" t="n">
        <f aca="false">E30/E$30-1</f>
        <v>0</v>
      </c>
    </row>
    <row r="31" customFormat="false" ht="17.15" hidden="false" customHeight="false" outlineLevel="0" collapsed="false">
      <c r="A31" s="5" t="s">
        <v>882</v>
      </c>
      <c r="B31" s="0" t="s">
        <v>883</v>
      </c>
      <c r="C31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334.852157895929</v>
      </c>
      <c r="D31" s="9" t="n">
        <f aca="false">Val!B35</f>
        <v>859.716606119792</v>
      </c>
      <c r="E31" s="9" t="n">
        <f aca="false">tp_w_dcf*C31+(1-tp_w_dcf)*D31</f>
        <v>597.284382007861</v>
      </c>
      <c r="F31" s="16" t="n">
        <f aca="false">E31/E$30-1</f>
        <v>-0.0418920577608622</v>
      </c>
    </row>
    <row r="32" customFormat="false" ht="17.15" hidden="false" customHeight="false" outlineLevel="0" collapsed="false">
      <c r="A32" s="5" t="s">
        <v>884</v>
      </c>
      <c r="B32" s="0" t="s">
        <v>885</v>
      </c>
      <c r="C32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460.182992983261</v>
      </c>
      <c r="D32" s="9" t="n">
        <f aca="false">Val!B35</f>
        <v>859.716606119792</v>
      </c>
      <c r="E32" s="9" t="n">
        <f aca="false">tp_w_dcf*C32+(1-tp_w_dcf)*D32</f>
        <v>659.949799551526</v>
      </c>
      <c r="F32" s="16" t="n">
        <f aca="false">E32/E$30-1</f>
        <v>0.0586299650157649</v>
      </c>
    </row>
    <row r="33" customFormat="false" ht="17.15" hidden="false" customHeight="false" outlineLevel="0" collapsed="false">
      <c r="A33" s="5" t="s">
        <v>886</v>
      </c>
      <c r="B33" s="0" t="s">
        <v>887</v>
      </c>
      <c r="C33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417.598871043894</v>
      </c>
      <c r="D33" s="9" t="n">
        <f aca="false">Val!B35</f>
        <v>859.716606119792</v>
      </c>
      <c r="E33" s="9" t="n">
        <f aca="false">tp_w_dcf*C33+(1-tp_w_dcf)*D33</f>
        <v>638.657738581843</v>
      </c>
      <c r="F33" s="16" t="n">
        <f aca="false">E33/E$30-1</f>
        <v>0.0244752251025668</v>
      </c>
    </row>
    <row r="34" customFormat="false" ht="17.15" hidden="false" customHeight="false" outlineLevel="0" collapsed="false">
      <c r="A34" s="5" t="s">
        <v>888</v>
      </c>
      <c r="B34" s="0" t="s">
        <v>889</v>
      </c>
      <c r="C34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366.98810906612</v>
      </c>
      <c r="D34" s="9" t="n">
        <f aca="false">Val!B35</f>
        <v>859.716606119792</v>
      </c>
      <c r="E34" s="9" t="n">
        <f aca="false">tp_w_dcf*C34+(1-tp_w_dcf)*D34</f>
        <v>613.352357592956</v>
      </c>
      <c r="F34" s="16" t="n">
        <f aca="false">E34/E$30-1</f>
        <v>-0.0161173087677072</v>
      </c>
    </row>
    <row r="35" customFormat="false" ht="17.15" hidden="false" customHeight="false" outlineLevel="0" collapsed="false">
      <c r="A35" s="0" t="s">
        <v>890</v>
      </c>
      <c r="B35" s="0" t="s">
        <v>891</v>
      </c>
      <c r="C3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5" s="9" t="n">
        <f aca="false">Val!B35</f>
        <v>859.716606119792</v>
      </c>
      <c r="E35" s="9" t="n">
        <f aca="false">0.3*C35+(1-0.3)*D35</f>
        <v>717.926574073146</v>
      </c>
      <c r="F35" s="16" t="n">
        <f aca="false">E35/E$30-1</f>
        <v>0.151630903610273</v>
      </c>
    </row>
    <row r="36" customFormat="false" ht="17.15" hidden="false" customHeight="false" outlineLevel="0" collapsed="false">
      <c r="A36" s="0" t="s">
        <v>892</v>
      </c>
      <c r="B36" s="0" t="s">
        <v>893</v>
      </c>
      <c r="C36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6" s="9" t="n">
        <f aca="false">Val!B35</f>
        <v>859.716606119792</v>
      </c>
      <c r="E36" s="9" t="n">
        <f aca="false">0.7*C36+(1-0.7)*D36</f>
        <v>528.873198010952</v>
      </c>
      <c r="F36" s="16" t="n">
        <f aca="false">E36/E$30-1</f>
        <v>-0.151630903610273</v>
      </c>
    </row>
    <row r="40" customFormat="false" ht="17.15" hidden="false" customHeight="false" outlineLevel="0" collapsed="false">
      <c r="A40" s="3" t="s">
        <v>894</v>
      </c>
    </row>
    <row r="41" customFormat="false" ht="17.15" hidden="false" customHeight="false" outlineLevel="0" collapsed="false">
      <c r="A41" s="1" t="s">
        <v>561</v>
      </c>
    </row>
    <row r="42" customFormat="false" ht="17.15" hidden="false" customHeight="false" outlineLevel="0" collapsed="false">
      <c r="A42" s="6" t="s">
        <v>20</v>
      </c>
      <c r="B42" s="6" t="s">
        <v>21</v>
      </c>
      <c r="C42" s="14" t="s">
        <v>562</v>
      </c>
      <c r="D42" s="14" t="s">
        <v>517</v>
      </c>
      <c r="E42" s="14" t="s">
        <v>518</v>
      </c>
      <c r="F42" s="14" t="s">
        <v>519</v>
      </c>
      <c r="G42" s="14"/>
      <c r="H42" s="6" t="s">
        <v>480</v>
      </c>
    </row>
    <row r="43" customFormat="false" ht="17.15" hidden="false" customHeight="false" outlineLevel="0" collapsed="false">
      <c r="A43" s="0" t="s">
        <v>563</v>
      </c>
      <c r="B43" s="0" t="s">
        <v>31</v>
      </c>
      <c r="C43" s="26" t="n">
        <f aca="false">mpl_26*1</f>
        <v>29.753262</v>
      </c>
      <c r="D43" s="26" t="n">
        <f aca="false">mpl_27*1*1</f>
        <v>53.560715</v>
      </c>
      <c r="E43" s="26" t="n">
        <f aca="false">mpl_28*um28_A*1</f>
        <v>57.9915</v>
      </c>
      <c r="F43" s="26" t="n">
        <f aca="false">mpl_29*um29_A*1</f>
        <v>72.9348</v>
      </c>
    </row>
    <row r="44" customFormat="false" ht="17.15" hidden="false" customHeight="false" outlineLevel="0" collapsed="false">
      <c r="A44" s="5" t="s">
        <v>564</v>
      </c>
      <c r="B44" s="0" t="s">
        <v>97</v>
      </c>
      <c r="C44" s="20" t="n">
        <f aca="false">asp_26</f>
        <v>500</v>
      </c>
      <c r="D44" s="20" t="n">
        <f aca="false">asp_27</f>
        <v>520</v>
      </c>
      <c r="E44" s="20" t="n">
        <f aca="false">asp_28</f>
        <v>540</v>
      </c>
      <c r="F44" s="20" t="n">
        <f aca="false">asp_29</f>
        <v>560</v>
      </c>
    </row>
    <row r="45" customFormat="false" ht="17.15" hidden="false" customHeight="false" outlineLevel="0" collapsed="false">
      <c r="A45" s="5" t="s">
        <v>565</v>
      </c>
      <c r="B45" s="5" t="s">
        <v>349</v>
      </c>
      <c r="C45" s="15" t="n">
        <f aca="false">C43*1000/C44</f>
        <v>59.506524</v>
      </c>
      <c r="D45" s="15" t="n">
        <f aca="false">D43*1000/D44</f>
        <v>103.001375</v>
      </c>
      <c r="E45" s="15" t="n">
        <f aca="false">E43*1000/E44</f>
        <v>107.391666666667</v>
      </c>
      <c r="F45" s="15" t="n">
        <f aca="false">F43*1000/F44</f>
        <v>130.240714285714</v>
      </c>
    </row>
    <row r="46" customFormat="false" ht="17.15" hidden="false" customHeight="false" outlineLevel="0" collapsed="false">
      <c r="A46" s="5" t="s">
        <v>566</v>
      </c>
      <c r="B46" s="5" t="s">
        <v>109</v>
      </c>
      <c r="C46" s="18" t="n">
        <f aca="false">lpm_26</f>
        <v>5.5</v>
      </c>
      <c r="D46" s="18" t="n">
        <f aca="false">lpm_27</f>
        <v>5.5</v>
      </c>
      <c r="E46" s="18" t="n">
        <f aca="false">lpm_28</f>
        <v>5</v>
      </c>
      <c r="F46" s="18" t="n">
        <f aca="false">lpm_29</f>
        <v>4.8</v>
      </c>
    </row>
    <row r="47" customFormat="false" ht="17.15" hidden="false" customHeight="false" outlineLevel="0" collapsed="false">
      <c r="A47" s="5" t="s">
        <v>567</v>
      </c>
      <c r="B47" s="0" t="s">
        <v>121</v>
      </c>
      <c r="C47" s="18" t="n">
        <f aca="false">lasp_26</f>
        <v>13</v>
      </c>
      <c r="D47" s="18" t="n">
        <f aca="false">lasp_27</f>
        <v>15</v>
      </c>
      <c r="E47" s="18" t="n">
        <f aca="false">lasp_28</f>
        <v>15</v>
      </c>
      <c r="F47" s="18" t="n">
        <f aca="false">lasp_29</f>
        <v>14</v>
      </c>
    </row>
    <row r="48" customFormat="false" ht="17.15" hidden="false" customHeight="false" outlineLevel="0" collapsed="false">
      <c r="A48" s="5" t="s">
        <v>568</v>
      </c>
      <c r="B48" s="0" t="s">
        <v>31</v>
      </c>
      <c r="C48" s="26" t="n">
        <f aca="false">C45*C46*C47/1000</f>
        <v>4.254716466</v>
      </c>
      <c r="D48" s="26" t="n">
        <f aca="false">D45*D46*D47/1000</f>
        <v>8.4976134375</v>
      </c>
      <c r="E48" s="26" t="n">
        <f aca="false">E45*E46*E47/1000</f>
        <v>8.054375</v>
      </c>
      <c r="F48" s="26" t="n">
        <f aca="false">F45*F46*F47/1000</f>
        <v>8.752176</v>
      </c>
    </row>
    <row r="49" customFormat="false" ht="17.15" hidden="false" customHeight="false" outlineLevel="0" collapsed="false">
      <c r="A49" s="0" t="s">
        <v>569</v>
      </c>
      <c r="B49" s="0" t="s">
        <v>164</v>
      </c>
      <c r="C49" s="16" t="n">
        <f aca="false">c26_las/1000/C48</f>
        <v>0.43826657190933</v>
      </c>
      <c r="H49" s="8" t="s">
        <v>570</v>
      </c>
    </row>
    <row r="50" customFormat="false" ht="17.15" hidden="false" customHeight="false" outlineLevel="0" collapsed="false">
      <c r="A50" s="5" t="s">
        <v>571</v>
      </c>
      <c r="B50" s="0" t="s">
        <v>75</v>
      </c>
      <c r="C50" s="9" t="n">
        <f aca="false">1</f>
        <v>1</v>
      </c>
      <c r="D50" s="9" t="n">
        <f aca="false">LRLO_27</f>
        <v>0.85</v>
      </c>
      <c r="E50" s="9" t="n">
        <f aca="false">LRLO_28</f>
        <v>0.8</v>
      </c>
      <c r="F50" s="9" t="n">
        <f aca="false">LRLO_29</f>
        <v>0.7</v>
      </c>
    </row>
    <row r="51" customFormat="false" ht="15" hidden="false" customHeight="false" outlineLevel="0" collapsed="false">
      <c r="A51" s="5" t="s">
        <v>572</v>
      </c>
      <c r="B51" s="0" t="s">
        <v>164</v>
      </c>
      <c r="C51" s="16" t="n">
        <f aca="false">$C$49*C50</f>
        <v>0.43826657190933</v>
      </c>
      <c r="D51" s="16" t="n">
        <f aca="false">$C$49*D50</f>
        <v>0.372526586122931</v>
      </c>
      <c r="E51" s="16" t="n">
        <f aca="false">$C$49*E50</f>
        <v>0.350613257527464</v>
      </c>
      <c r="F51" s="16" t="n">
        <f aca="false">$C$49*F50</f>
        <v>0.306786600336531</v>
      </c>
    </row>
    <row r="52" customFormat="false" ht="17.15" hidden="false" customHeight="false" outlineLevel="0" collapsed="false">
      <c r="A52" s="5" t="s">
        <v>573</v>
      </c>
      <c r="B52" s="0" t="s">
        <v>31</v>
      </c>
      <c r="C52" s="26" t="n">
        <f aca="false">C48*C51</f>
        <v>1.8647</v>
      </c>
      <c r="D52" s="26" t="n">
        <f aca="false">D48*D51</f>
        <v>3.16558692406422</v>
      </c>
      <c r="E52" s="26" t="n">
        <f aca="false">E48*E51</f>
        <v>2.82397065609777</v>
      </c>
      <c r="F52" s="26" t="n">
        <f aca="false">F48*F51</f>
        <v>2.68505032058698</v>
      </c>
    </row>
    <row r="53" customFormat="false" ht="17.15" hidden="false" customHeight="false" outlineLevel="0" collapsed="false">
      <c r="A53" s="5" t="s">
        <v>574</v>
      </c>
      <c r="B53" s="0" t="s">
        <v>164</v>
      </c>
      <c r="C53" s="16" t="n">
        <f aca="false">c26_xcvr/1000/C43</f>
        <v>0.0336097601668012</v>
      </c>
    </row>
    <row r="54" customFormat="false" ht="15" hidden="false" customHeight="false" outlineLevel="0" collapsed="false">
      <c r="A54" s="5" t="s">
        <v>575</v>
      </c>
      <c r="B54" s="0" t="s">
        <v>164</v>
      </c>
      <c r="C54" s="16" t="n">
        <f aca="false">C53</f>
        <v>0.0336097601668012</v>
      </c>
      <c r="D54" s="16" t="n">
        <f aca="false">$C$53*mrel_27</f>
        <v>0.0336097601668012</v>
      </c>
      <c r="E54" s="16" t="n">
        <f aca="false">$C$53*mrel_28</f>
        <v>0.0336097601668012</v>
      </c>
      <c r="F54" s="16" t="n">
        <f aca="false">$C$53*mrel_29</f>
        <v>0.0336097601668012</v>
      </c>
    </row>
    <row r="55" customFormat="false" ht="15" hidden="false" customHeight="false" outlineLevel="0" collapsed="false">
      <c r="A55" s="5" t="s">
        <v>576</v>
      </c>
      <c r="B55" s="0" t="s">
        <v>31</v>
      </c>
      <c r="C55" s="26" t="n">
        <f aca="false">C43*C54</f>
        <v>1</v>
      </c>
      <c r="D55" s="26" t="n">
        <f aca="false">D43*D54</f>
        <v>1.80016278551239</v>
      </c>
      <c r="E55" s="26" t="n">
        <f aca="false">E43*E54</f>
        <v>1.94908040671305</v>
      </c>
      <c r="F55" s="26" t="n">
        <f aca="false">F43*F54</f>
        <v>2.45132113581361</v>
      </c>
    </row>
    <row r="56" customFormat="false" ht="17.15" hidden="false" customHeight="false" outlineLevel="0" collapsed="false">
      <c r="A56" s="0" t="s">
        <v>577</v>
      </c>
      <c r="B56" s="5" t="s">
        <v>54</v>
      </c>
      <c r="C56" s="19" t="n">
        <f aca="false">tpu_26*1</f>
        <v>3.85</v>
      </c>
      <c r="D56" s="19" t="n">
        <f aca="false">tpu_27*1</f>
        <v>5.5</v>
      </c>
      <c r="E56" s="19" t="n">
        <f aca="false">tpu_28*um28_A</f>
        <v>7</v>
      </c>
      <c r="F56" s="19" t="n">
        <f aca="false">tpu_29*um29_A</f>
        <v>8.05</v>
      </c>
    </row>
    <row r="57" customFormat="false" ht="17.15" hidden="false" customHeight="false" outlineLevel="0" collapsed="false">
      <c r="A57" s="0" t="s">
        <v>578</v>
      </c>
      <c r="B57" s="0" t="s">
        <v>121</v>
      </c>
      <c r="C57" s="20" t="n">
        <f aca="false">c26_ocs/C56</f>
        <v>129.87012987013</v>
      </c>
      <c r="D57" s="20" t="n">
        <f aca="false">$C57*ocsk_27</f>
        <v>207.792207792208</v>
      </c>
      <c r="E57" s="20" t="n">
        <f aca="false">$C57*ocsk_28</f>
        <v>233.766233766234</v>
      </c>
      <c r="F57" s="20" t="n">
        <f aca="false">$C57*ocsk_29</f>
        <v>233.766233766234</v>
      </c>
    </row>
    <row r="58" customFormat="false" ht="17.15" hidden="false" customHeight="false" outlineLevel="0" collapsed="false">
      <c r="A58" s="0" t="s">
        <v>531</v>
      </c>
      <c r="B58" s="0" t="s">
        <v>31</v>
      </c>
      <c r="C58" s="26" t="n">
        <f aca="false">C56*C57/1000</f>
        <v>0.5</v>
      </c>
      <c r="D58" s="26" t="n">
        <f aca="false">D56*D57/1000</f>
        <v>1.14285714285714</v>
      </c>
      <c r="E58" s="26" t="n">
        <f aca="false">E56*E57/1000</f>
        <v>1.63636363636364</v>
      </c>
      <c r="F58" s="26" t="n">
        <f aca="false">F56*F57/1000</f>
        <v>1.88181818181818</v>
      </c>
    </row>
    <row r="59" customFormat="false" ht="17.15" hidden="false" customHeight="false" outlineLevel="0" collapsed="false">
      <c r="A59" s="0" t="s">
        <v>579</v>
      </c>
      <c r="B59" s="0" t="s">
        <v>31</v>
      </c>
      <c r="C59" s="26" t="n">
        <f aca="false">mcp_26*1</f>
        <v>0.300538</v>
      </c>
      <c r="D59" s="26" t="n">
        <f aca="false">mcp_27*1</f>
        <v>2.818985</v>
      </c>
      <c r="E59" s="26" t="n">
        <f aca="false">mcp_28*um28_A</f>
        <v>6.4435</v>
      </c>
      <c r="F59" s="26" t="n">
        <f aca="false">mcp_29*um29_A</f>
        <v>11.74736</v>
      </c>
    </row>
    <row r="60" customFormat="false" ht="17.15" hidden="false" customHeight="false" outlineLevel="0" collapsed="false">
      <c r="A60" s="0" t="s">
        <v>532</v>
      </c>
      <c r="B60" s="0" t="s">
        <v>164</v>
      </c>
      <c r="C60" s="16" t="n">
        <f aca="false">c26_cpo/1000/C59</f>
        <v>0.166368312825666</v>
      </c>
      <c r="D60" s="16" t="n">
        <f aca="false">cpo_27</f>
        <v>0.25</v>
      </c>
      <c r="E60" s="16" t="n">
        <f aca="false">cpo_28</f>
        <v>0.25</v>
      </c>
      <c r="F60" s="16" t="n">
        <f aca="false">cpo_29</f>
        <v>0.2</v>
      </c>
    </row>
    <row r="61" customFormat="false" ht="17.15" hidden="false" customHeight="false" outlineLevel="0" collapsed="false">
      <c r="A61" s="0" t="s">
        <v>580</v>
      </c>
      <c r="B61" s="0" t="s">
        <v>31</v>
      </c>
      <c r="C61" s="26" t="n">
        <f aca="false">C59*C60</f>
        <v>0.05</v>
      </c>
      <c r="D61" s="26" t="n">
        <f aca="false">D59*D60</f>
        <v>0.70474625</v>
      </c>
      <c r="E61" s="26" t="n">
        <f aca="false">E59*E60</f>
        <v>1.610875</v>
      </c>
      <c r="F61" s="26" t="n">
        <f aca="false">F59*F60</f>
        <v>2.349472</v>
      </c>
    </row>
    <row r="62" customFormat="false" ht="17.15" hidden="false" customHeight="false" outlineLevel="0" collapsed="false">
      <c r="A62" s="0" t="s">
        <v>581</v>
      </c>
      <c r="B62" s="0" t="s">
        <v>31</v>
      </c>
      <c r="C62" s="26" t="n">
        <f aca="false">C52+C55+C58+C61</f>
        <v>3.4147</v>
      </c>
      <c r="D62" s="26" t="n">
        <f aca="false">D52+D55+D58+D61</f>
        <v>6.81335310243375</v>
      </c>
      <c r="E62" s="26" t="n">
        <f aca="false">E52+E55+E58+E61</f>
        <v>8.02028969917446</v>
      </c>
      <c r="F62" s="26" t="n">
        <f aca="false">F52+F55+F58+F61</f>
        <v>9.36766163821877</v>
      </c>
    </row>
    <row r="63" customFormat="false" ht="17.15" hidden="false" customHeight="false" outlineLevel="0" collapsed="false">
      <c r="A63" s="5" t="s">
        <v>582</v>
      </c>
      <c r="B63" s="0" t="s">
        <v>31</v>
      </c>
      <c r="C63" s="26" t="n">
        <f aca="false">c26_tel/1000</f>
        <v>0.75</v>
      </c>
      <c r="D63" s="26" t="n">
        <f aca="false">C63*(1+g_tel_27)</f>
        <v>0.9375</v>
      </c>
      <c r="E63" s="26" t="n">
        <f aca="false">D63*(1+g_tel_28)</f>
        <v>1.078125</v>
      </c>
      <c r="F63" s="26" t="n">
        <f aca="false">E63*(1+g_tel_29)</f>
        <v>1.1859375</v>
      </c>
    </row>
    <row r="64" customFormat="false" ht="17.15" hidden="false" customHeight="false" outlineLevel="0" collapsed="false">
      <c r="A64" s="5" t="s">
        <v>583</v>
      </c>
      <c r="B64" s="0" t="s">
        <v>31</v>
      </c>
      <c r="C64" s="26" t="n">
        <f aca="false">c26_ind/1000</f>
        <v>0.3</v>
      </c>
      <c r="D64" s="26" t="n">
        <f aca="false">C64*(1+g_ind)</f>
        <v>0.309</v>
      </c>
      <c r="E64" s="26" t="n">
        <f aca="false">D64*(1+g_ind)</f>
        <v>0.31827</v>
      </c>
      <c r="F64" s="26" t="n">
        <f aca="false">E64*(1+g_ind)</f>
        <v>0.3278181</v>
      </c>
    </row>
    <row r="65" customFormat="false" ht="17.15" hidden="false" customHeight="false" outlineLevel="0" collapsed="false">
      <c r="A65" s="5" t="s">
        <v>584</v>
      </c>
      <c r="B65" s="0" t="s">
        <v>31</v>
      </c>
      <c r="C65" s="26" t="n">
        <f aca="false">C52+C63+C61+C64/2</f>
        <v>2.8147</v>
      </c>
      <c r="D65" s="26" t="n">
        <f aca="false">D52+D63+D61+D64/2</f>
        <v>4.96233317406422</v>
      </c>
      <c r="E65" s="26" t="n">
        <f aca="false">E52+E63+E61+E64/2</f>
        <v>5.67210565609777</v>
      </c>
      <c r="F65" s="26" t="n">
        <f aca="false">F52+F63+F61+F64/2</f>
        <v>6.38436887058698</v>
      </c>
      <c r="H65" s="5" t="s">
        <v>585</v>
      </c>
    </row>
    <row r="66" customFormat="false" ht="17.15" hidden="false" customHeight="false" outlineLevel="0" collapsed="false">
      <c r="A66" s="5" t="s">
        <v>586</v>
      </c>
      <c r="B66" s="0" t="s">
        <v>31</v>
      </c>
      <c r="C66" s="26" t="n">
        <f aca="false">C55+C58+C64/2</f>
        <v>1.65</v>
      </c>
      <c r="D66" s="26" t="n">
        <f aca="false">D55+D58+D64/2</f>
        <v>3.09751992836953</v>
      </c>
      <c r="E66" s="26" t="n">
        <f aca="false">E55+E58+E64/2</f>
        <v>3.74457904307669</v>
      </c>
      <c r="F66" s="26" t="n">
        <f aca="false">F55+F58+F64/2</f>
        <v>4.49704836763179</v>
      </c>
    </row>
    <row r="67" customFormat="false" ht="15" hidden="false" customHeight="false" outlineLevel="0" collapsed="false">
      <c r="A67" s="5" t="s">
        <v>587</v>
      </c>
      <c r="B67" s="0" t="s">
        <v>31</v>
      </c>
      <c r="C67" s="26" t="n">
        <f aca="false">C62+C63+C64</f>
        <v>4.4647</v>
      </c>
      <c r="D67" s="26" t="n">
        <f aca="false">D62+D63+D64</f>
        <v>8.05985310243375</v>
      </c>
      <c r="E67" s="26" t="n">
        <f aca="false">E62+E63+E64</f>
        <v>9.41668469917446</v>
      </c>
      <c r="F67" s="26" t="n">
        <f aca="false">F62+F63+F64</f>
        <v>10.8814172382188</v>
      </c>
    </row>
    <row r="68" customFormat="false" ht="15" hidden="false" customHeight="false" outlineLevel="0" collapsed="false">
      <c r="A68" s="5" t="s">
        <v>588</v>
      </c>
      <c r="B68" s="0" t="s">
        <v>164</v>
      </c>
      <c r="D68" s="16" t="n">
        <f aca="false">D67/C67-1</f>
        <v>0.805239568713184</v>
      </c>
      <c r="E68" s="16" t="n">
        <f aca="false">E67/D67-1</f>
        <v>0.168344457336449</v>
      </c>
      <c r="F68" s="16" t="n">
        <f aca="false">F67/E67-1</f>
        <v>0.155546520440758</v>
      </c>
    </row>
    <row r="69" customFormat="false" ht="17.15" hidden="false" customHeight="false" outlineLevel="0" collapsed="false">
      <c r="A69" s="1" t="s">
        <v>589</v>
      </c>
    </row>
    <row r="70" customFormat="false" ht="17.15" hidden="false" customHeight="false" outlineLevel="0" collapsed="false">
      <c r="A70" s="6" t="s">
        <v>20</v>
      </c>
      <c r="B70" s="6" t="s">
        <v>21</v>
      </c>
      <c r="C70" s="14" t="s">
        <v>472</v>
      </c>
      <c r="D70" s="14" t="s">
        <v>539</v>
      </c>
      <c r="E70" s="14" t="s">
        <v>540</v>
      </c>
      <c r="F70" s="14" t="s">
        <v>541</v>
      </c>
      <c r="G70" s="14" t="s">
        <v>542</v>
      </c>
      <c r="H70" s="6" t="s">
        <v>480</v>
      </c>
    </row>
    <row r="71" customFormat="false" ht="17.15" hidden="false" customHeight="false" outlineLevel="0" collapsed="false">
      <c r="A71" s="0" t="s">
        <v>590</v>
      </c>
      <c r="B71" s="0" t="s">
        <v>31</v>
      </c>
      <c r="E71" s="26" t="n">
        <f aca="false">w2h_26*C62+h_1h*D62</f>
        <v>5.22905379316077</v>
      </c>
      <c r="F71" s="26" t="n">
        <f aca="false">(1-h_1h)*D62+h_1h*E62</f>
        <v>7.38061330290188</v>
      </c>
      <c r="G71" s="26" t="n">
        <f aca="false">(1-h_1h)*E62+h_1h*F62</f>
        <v>8.65355451052529</v>
      </c>
      <c r="H71" s="8" t="s">
        <v>591</v>
      </c>
    </row>
    <row r="72" customFormat="false" ht="17.15" hidden="false" customHeight="false" outlineLevel="0" collapsed="false">
      <c r="A72" s="5" t="s">
        <v>592</v>
      </c>
      <c r="B72" s="0" t="s">
        <v>31</v>
      </c>
      <c r="E72" s="26" t="n">
        <f aca="false">w2h_26*C63+h_1h*D63+w2h_26*C64+h_1h*D64</f>
        <v>1.20907716498309</v>
      </c>
      <c r="F72" s="26" t="n">
        <f aca="false">(1-h_1h)*D63+h_1h*E63+(1-h_1h)*D64+h_1h*E64</f>
        <v>1.31695065</v>
      </c>
      <c r="G72" s="26" t="n">
        <f aca="false">(1-h_1h)*E63+h_1h*F63+(1-h_1h)*E64+h_1h*F64</f>
        <v>1.451554482</v>
      </c>
    </row>
    <row r="73" customFormat="false" ht="15" hidden="false" customHeight="false" outlineLevel="0" collapsed="false">
      <c r="A73" s="5" t="s">
        <v>481</v>
      </c>
      <c r="B73" s="0" t="s">
        <v>31</v>
      </c>
      <c r="C73" s="26" t="n">
        <f aca="false">a25_rev/1000</f>
        <v>1.645</v>
      </c>
      <c r="D73" s="26" t="n">
        <f aca="false">a26_rev/1000</f>
        <v>3.014</v>
      </c>
      <c r="E73" s="26" t="n">
        <f aca="false">E71+E72</f>
        <v>6.43813095814386</v>
      </c>
      <c r="F73" s="26" t="n">
        <f aca="false">F71+F72</f>
        <v>8.69756395290188</v>
      </c>
      <c r="G73" s="26" t="n">
        <f aca="false">G71+G72</f>
        <v>10.1051089925253</v>
      </c>
    </row>
    <row r="74" customFormat="false" ht="17.15" hidden="false" customHeight="false" outlineLevel="0" collapsed="false">
      <c r="A74" s="5" t="s">
        <v>593</v>
      </c>
      <c r="B74" s="0" t="s">
        <v>31</v>
      </c>
      <c r="C74" s="26" t="n">
        <f aca="false">a25_cmp/1000</f>
        <v>1.1163</v>
      </c>
      <c r="D74" s="26" t="n">
        <f aca="false">a26_cmp/1000</f>
        <v>2.0056</v>
      </c>
      <c r="E74" s="26" t="n">
        <f aca="false">w2h_26*C65+h_1h*D65</f>
        <v>4.00294747540818</v>
      </c>
      <c r="F74" s="26" t="n">
        <f aca="false">(1-h_1h)*D65+h_1h*E65</f>
        <v>5.29592624061999</v>
      </c>
      <c r="G74" s="26" t="n">
        <f aca="false">(1-h_1h)*E65+h_1h*F65</f>
        <v>6.0068693669077</v>
      </c>
      <c r="H74" s="5" t="s">
        <v>594</v>
      </c>
    </row>
    <row r="75" customFormat="false" ht="17.15" hidden="false" customHeight="false" outlineLevel="0" collapsed="false">
      <c r="A75" s="5" t="s">
        <v>595</v>
      </c>
      <c r="B75" s="0" t="s">
        <v>31</v>
      </c>
      <c r="C75" s="26" t="n">
        <f aca="false">a25_sys/1000</f>
        <v>0.5287</v>
      </c>
      <c r="D75" s="26" t="n">
        <f aca="false">a26_sys/1000</f>
        <v>1.0084</v>
      </c>
      <c r="E75" s="26" t="n">
        <f aca="false">w2h_26*C66+h_1h*D66</f>
        <v>2.43518348273568</v>
      </c>
      <c r="F75" s="26" t="n">
        <f aca="false">(1-h_1h)*D66+h_1h*E66</f>
        <v>3.4016377122819</v>
      </c>
      <c r="G75" s="26" t="n">
        <f aca="false">(1-h_1h)*E66+h_1h*F66</f>
        <v>4.09823962561759</v>
      </c>
      <c r="H75" s="5" t="s">
        <v>596</v>
      </c>
    </row>
    <row r="76" customFormat="false" ht="15" hidden="false" customHeight="false" outlineLevel="0" collapsed="false">
      <c r="A76" s="5" t="s">
        <v>597</v>
      </c>
      <c r="B76" s="0" t="s">
        <v>31</v>
      </c>
      <c r="C76" s="17" t="n">
        <f aca="false">C74+C75-C73</f>
        <v>0</v>
      </c>
      <c r="D76" s="17" t="n">
        <f aca="false">D74+D75-D73</f>
        <v>0</v>
      </c>
      <c r="E76" s="17" t="n">
        <f aca="false">E74+E75-E73</f>
        <v>0</v>
      </c>
      <c r="F76" s="17" t="n">
        <f aca="false">F74+F75-F73</f>
        <v>0</v>
      </c>
      <c r="G76" s="17" t="n">
        <f aca="false">G74+G75-G73</f>
        <v>0</v>
      </c>
    </row>
    <row r="77" customFormat="false" ht="15" hidden="false" customHeight="false" outlineLevel="0" collapsed="false">
      <c r="A77" s="5" t="s">
        <v>598</v>
      </c>
      <c r="B77" s="0" t="s">
        <v>164</v>
      </c>
      <c r="D77" s="16" t="n">
        <f aca="false">D73/C73-1</f>
        <v>0.832218844984802</v>
      </c>
      <c r="E77" s="16" t="n">
        <f aca="false">E73/D73-1</f>
        <v>1.13607530130851</v>
      </c>
      <c r="F77" s="16" t="n">
        <f aca="false">F73/E73-1</f>
        <v>0.350945485490625</v>
      </c>
      <c r="G77" s="16" t="n">
        <f aca="false">G73/F73-1</f>
        <v>0.161832100027708</v>
      </c>
    </row>
    <row r="78" customFormat="false" ht="17.15" hidden="false" customHeight="false" outlineLevel="0" collapsed="false">
      <c r="A78" s="0" t="s">
        <v>599</v>
      </c>
      <c r="B78" s="0" t="s">
        <v>164</v>
      </c>
      <c r="E78" s="16" t="n">
        <f aca="false">E71/E73</f>
        <v>0.812200594731041</v>
      </c>
      <c r="F78" s="16" t="n">
        <f aca="false">F71/F73</f>
        <v>0.848583964759396</v>
      </c>
      <c r="G78" s="16" t="n">
        <f aca="false">G71/G73</f>
        <v>0.856354396268886</v>
      </c>
    </row>
    <row r="79" customFormat="false" ht="17.15" hidden="false" customHeight="false" outlineLevel="0" collapsed="false">
      <c r="A79" s="5" t="s">
        <v>484</v>
      </c>
      <c r="B79" s="0" t="s">
        <v>164</v>
      </c>
      <c r="C79" s="16" t="n">
        <f aca="false">a25_gm</f>
        <v>0.347</v>
      </c>
      <c r="D79" s="16" t="n">
        <f aca="false">a26_gm</f>
        <v>0.46</v>
      </c>
      <c r="E79" s="16" t="n">
        <f aca="false">gm_27</f>
        <v>0.52</v>
      </c>
      <c r="F79" s="16" t="n">
        <f aca="false">gm_28</f>
        <v>0.51</v>
      </c>
      <c r="G79" s="16" t="n">
        <f aca="false">gm_29</f>
        <v>0.49</v>
      </c>
    </row>
    <row r="80" customFormat="false" ht="15" hidden="false" customHeight="false" outlineLevel="0" collapsed="false">
      <c r="A80" s="5" t="s">
        <v>485</v>
      </c>
      <c r="B80" s="0" t="s">
        <v>31</v>
      </c>
      <c r="C80" s="26" t="n">
        <f aca="false">C73*C79</f>
        <v>0.570815</v>
      </c>
      <c r="D80" s="26" t="n">
        <f aca="false">D73*D79</f>
        <v>1.38644</v>
      </c>
      <c r="E80" s="26" t="n">
        <f aca="false">E73*E79</f>
        <v>3.34782809823481</v>
      </c>
      <c r="F80" s="26" t="n">
        <f aca="false">F73*F79</f>
        <v>4.43575761597996</v>
      </c>
      <c r="G80" s="26" t="n">
        <f aca="false">G73*G79</f>
        <v>4.95150340633739</v>
      </c>
    </row>
    <row r="81" customFormat="false" ht="15" hidden="false" customHeight="false" outlineLevel="0" collapsed="false">
      <c r="A81" s="5" t="s">
        <v>600</v>
      </c>
      <c r="B81" s="0" t="s">
        <v>31</v>
      </c>
      <c r="C81" s="26" t="n">
        <f aca="false">a25_opx/1000</f>
        <v>0.4114</v>
      </c>
      <c r="D81" s="26" t="n">
        <f aca="false">a26_opx/1000</f>
        <v>0.4897</v>
      </c>
      <c r="E81" s="26" t="n">
        <f aca="false">D81*(1+MAX(0,phi*E77))</f>
        <v>0.616932233505082</v>
      </c>
      <c r="F81" s="26" t="n">
        <f aca="false">E81*(1+MAX(0,phi*F77))</f>
        <v>0.666447263995116</v>
      </c>
      <c r="G81" s="26" t="n">
        <f aca="false">F81*(1+MAX(0,phi*G77))</f>
        <v>0.691112790374458</v>
      </c>
    </row>
    <row r="82" customFormat="false" ht="15" hidden="false" customHeight="false" outlineLevel="0" collapsed="false">
      <c r="A82" s="5" t="s">
        <v>601</v>
      </c>
      <c r="B82" s="0" t="s">
        <v>31</v>
      </c>
      <c r="C82" s="26" t="n">
        <f aca="false">C81</f>
        <v>0.4114</v>
      </c>
      <c r="D82" s="26" t="n">
        <f aca="false">D81</f>
        <v>0.4897</v>
      </c>
      <c r="E82" s="26" t="n">
        <f aca="false">E81+0*E73</f>
        <v>0.616932233505082</v>
      </c>
      <c r="F82" s="26" t="n">
        <f aca="false">F81+0*F73</f>
        <v>0.666447263995116</v>
      </c>
      <c r="G82" s="26" t="n">
        <f aca="false">G81+0*G73</f>
        <v>0.691112790374458</v>
      </c>
    </row>
    <row r="83" customFormat="false" ht="15" hidden="false" customHeight="false" outlineLevel="0" collapsed="false">
      <c r="A83" s="5" t="s">
        <v>602</v>
      </c>
      <c r="B83" s="0" t="s">
        <v>31</v>
      </c>
      <c r="C83" s="26" t="n">
        <f aca="false">C80-C82</f>
        <v>0.159415</v>
      </c>
      <c r="D83" s="26" t="n">
        <f aca="false">D80-D82</f>
        <v>0.89674</v>
      </c>
      <c r="E83" s="26" t="n">
        <f aca="false">E80-E82</f>
        <v>2.73089586472973</v>
      </c>
      <c r="F83" s="26" t="n">
        <f aca="false">F80-F82</f>
        <v>3.76931035198484</v>
      </c>
      <c r="G83" s="26" t="n">
        <f aca="false">G80-G82</f>
        <v>4.26039061596293</v>
      </c>
    </row>
    <row r="84" customFormat="false" ht="15" hidden="false" customHeight="false" outlineLevel="0" collapsed="false">
      <c r="A84" s="5" t="s">
        <v>489</v>
      </c>
      <c r="B84" s="0" t="s">
        <v>164</v>
      </c>
      <c r="C84" s="16" t="n">
        <f aca="false">C83/C73</f>
        <v>0.0969088145896656</v>
      </c>
      <c r="D84" s="16" t="n">
        <f aca="false">D83/D73</f>
        <v>0.297524883875249</v>
      </c>
      <c r="E84" s="16" t="n">
        <f aca="false">E83/E73</f>
        <v>0.424175258702264</v>
      </c>
      <c r="F84" s="16" t="n">
        <f aca="false">F83/F73</f>
        <v>0.433375410907699</v>
      </c>
      <c r="G84" s="16" t="n">
        <f aca="false">G83/G73</f>
        <v>0.421607586728093</v>
      </c>
    </row>
    <row r="85" customFormat="false" ht="17.15" hidden="false" customHeight="false" outlineLevel="0" collapsed="false">
      <c r="A85" s="5" t="s">
        <v>490</v>
      </c>
      <c r="B85" s="0" t="s">
        <v>31</v>
      </c>
      <c r="C85" s="26" t="n">
        <f aca="false">a25_ni/1000</f>
        <v>0.1464</v>
      </c>
      <c r="D85" s="26" t="n">
        <f aca="false">a26_ni/1000</f>
        <v>0.7823</v>
      </c>
      <c r="E85" s="26" t="n">
        <f aca="false">(E83+oi_oth)*(1-tx)</f>
        <v>2.32389804704932</v>
      </c>
      <c r="F85" s="26" t="n">
        <f aca="false">(F83+oi_oth)*(1-tx)</f>
        <v>3.19097414390735</v>
      </c>
      <c r="G85" s="26" t="n">
        <f aca="false">(G83+oi_oth)*(1-tx)</f>
        <v>3.60102616432905</v>
      </c>
    </row>
    <row r="86" customFormat="false" ht="15" hidden="false" customHeight="false" outlineLevel="0" collapsed="false">
      <c r="A86" s="5" t="s">
        <v>552</v>
      </c>
      <c r="B86" s="0" t="s">
        <v>164</v>
      </c>
      <c r="C86" s="16" t="n">
        <f aca="false">C85/C73</f>
        <v>0.0889969604863222</v>
      </c>
      <c r="D86" s="16" t="n">
        <f aca="false">D85/D73</f>
        <v>0.259555408095554</v>
      </c>
      <c r="E86" s="16" t="n">
        <f aca="false">E85/E73</f>
        <v>0.360958492792031</v>
      </c>
      <c r="F86" s="16" t="n">
        <f aca="false">F85/F73</f>
        <v>0.36688136599935</v>
      </c>
      <c r="G86" s="16" t="n">
        <f aca="false">G85/G73</f>
        <v>0.356356984075354</v>
      </c>
    </row>
    <row r="87" customFormat="false" ht="17.15" hidden="false" customHeight="false" outlineLevel="0" collapsed="false">
      <c r="A87" s="5" t="s">
        <v>494</v>
      </c>
      <c r="B87" s="5" t="s">
        <v>238</v>
      </c>
      <c r="C87" s="15" t="n">
        <f aca="false">a25_sh</f>
        <v>71.0679611650485</v>
      </c>
      <c r="D87" s="15" t="n">
        <f aca="false">a26_sh</f>
        <v>90.2306805074971</v>
      </c>
      <c r="E87" s="15" t="n">
        <f aca="false">sh_q1</f>
        <v>102</v>
      </c>
      <c r="F87" s="15" t="n">
        <f aca="false">E87*(1+sh_g)</f>
        <v>103.02</v>
      </c>
      <c r="G87" s="15" t="n">
        <f aca="false">F87*(1+sh_g)</f>
        <v>104.0502</v>
      </c>
    </row>
    <row r="88" customFormat="false" ht="17.15" hidden="false" customHeight="false" outlineLevel="0" collapsed="false">
      <c r="A88" s="0" t="s">
        <v>496</v>
      </c>
      <c r="B88" s="0" t="s">
        <v>233</v>
      </c>
      <c r="C88" s="9" t="n">
        <f aca="false">C85*1000/C87</f>
        <v>2.06</v>
      </c>
      <c r="D88" s="9" t="n">
        <f aca="false">D85*1000/D87</f>
        <v>8.67</v>
      </c>
      <c r="E88" s="9" t="n">
        <f aca="false">E85*1000/E87</f>
        <v>22.7833141867581</v>
      </c>
      <c r="F88" s="9" t="n">
        <f aca="false">F85*1000/F87</f>
        <v>30.9743170637483</v>
      </c>
      <c r="G88" s="9" t="n">
        <f aca="false">G85*1000/G87</f>
        <v>34.6085463010071</v>
      </c>
    </row>
    <row r="89" customFormat="false" ht="17.15" hidden="false" customHeight="false" outlineLevel="0" collapsed="false">
      <c r="A89" s="0" t="s">
        <v>603</v>
      </c>
      <c r="B89" s="0" t="s">
        <v>164</v>
      </c>
      <c r="D89" s="16" t="n">
        <f aca="false">D88/C88-1</f>
        <v>3.20873786407767</v>
      </c>
      <c r="E89" s="16" t="n">
        <f aca="false">E88/D88-1</f>
        <v>1.6278332395338</v>
      </c>
      <c r="F89" s="16" t="n">
        <f aca="false">F88/E88-1</f>
        <v>0.359517619335246</v>
      </c>
      <c r="G89" s="16" t="n">
        <f aca="false">G88/F88-1</f>
        <v>0.117330407310651</v>
      </c>
    </row>
    <row r="92" customFormat="false" ht="17.15" hidden="false" customHeight="false" outlineLevel="0" collapsed="false">
      <c r="A92" s="3" t="s">
        <v>895</v>
      </c>
    </row>
    <row r="93" customFormat="false" ht="17.15" hidden="false" customHeight="false" outlineLevel="0" collapsed="false">
      <c r="A93" s="1" t="s">
        <v>561</v>
      </c>
    </row>
    <row r="94" customFormat="false" ht="17.15" hidden="false" customHeight="false" outlineLevel="0" collapsed="false">
      <c r="A94" s="6" t="s">
        <v>20</v>
      </c>
      <c r="B94" s="6" t="s">
        <v>21</v>
      </c>
      <c r="C94" s="14" t="s">
        <v>562</v>
      </c>
      <c r="D94" s="14" t="s">
        <v>517</v>
      </c>
      <c r="E94" s="14" t="s">
        <v>518</v>
      </c>
      <c r="F94" s="14" t="s">
        <v>519</v>
      </c>
      <c r="G94" s="14"/>
      <c r="H94" s="6" t="s">
        <v>480</v>
      </c>
    </row>
    <row r="95" customFormat="false" ht="17.15" hidden="false" customHeight="false" outlineLevel="0" collapsed="false">
      <c r="A95" s="0" t="s">
        <v>563</v>
      </c>
      <c r="B95" s="0" t="s">
        <v>31</v>
      </c>
      <c r="C95" s="26" t="n">
        <f aca="false">mpl_26*1</f>
        <v>29.753262</v>
      </c>
      <c r="D95" s="26" t="n">
        <f aca="false">mpl_27*1*1</f>
        <v>53.560715</v>
      </c>
      <c r="E95" s="26" t="n">
        <f aca="false">mpl_28*um28_A*1</f>
        <v>57.9915</v>
      </c>
      <c r="F95" s="26" t="n">
        <f aca="false">mpl_29*um29_A*1</f>
        <v>72.9348</v>
      </c>
    </row>
    <row r="96" customFormat="false" ht="17.15" hidden="false" customHeight="false" outlineLevel="0" collapsed="false">
      <c r="A96" s="5" t="s">
        <v>564</v>
      </c>
      <c r="B96" s="0" t="s">
        <v>97</v>
      </c>
      <c r="C96" s="20" t="n">
        <f aca="false">asp_26</f>
        <v>500</v>
      </c>
      <c r="D96" s="20" t="n">
        <f aca="false">asp_27</f>
        <v>520</v>
      </c>
      <c r="E96" s="20" t="n">
        <f aca="false">asp_28</f>
        <v>540</v>
      </c>
      <c r="F96" s="20" t="n">
        <f aca="false">asp_29</f>
        <v>560</v>
      </c>
    </row>
    <row r="97" customFormat="false" ht="17.15" hidden="false" customHeight="false" outlineLevel="0" collapsed="false">
      <c r="A97" s="5" t="s">
        <v>565</v>
      </c>
      <c r="B97" s="5" t="s">
        <v>349</v>
      </c>
      <c r="C97" s="15" t="n">
        <f aca="false">C95*1000/C96</f>
        <v>59.506524</v>
      </c>
      <c r="D97" s="15" t="n">
        <f aca="false">D95*1000/D96</f>
        <v>103.001375</v>
      </c>
      <c r="E97" s="15" t="n">
        <f aca="false">E95*1000/E96</f>
        <v>107.391666666667</v>
      </c>
      <c r="F97" s="15" t="n">
        <f aca="false">F95*1000/F96</f>
        <v>130.240714285714</v>
      </c>
    </row>
    <row r="98" customFormat="false" ht="17.15" hidden="false" customHeight="false" outlineLevel="0" collapsed="false">
      <c r="A98" s="5" t="s">
        <v>566</v>
      </c>
      <c r="B98" s="5" t="s">
        <v>109</v>
      </c>
      <c r="C98" s="18" t="n">
        <f aca="false">lpm_26</f>
        <v>5.5</v>
      </c>
      <c r="D98" s="18" t="n">
        <f aca="false">lpm_27</f>
        <v>5.5</v>
      </c>
      <c r="E98" s="18" t="n">
        <f aca="false">lpm_28</f>
        <v>5</v>
      </c>
      <c r="F98" s="18" t="n">
        <f aca="false">lpm_29</f>
        <v>4.8</v>
      </c>
    </row>
    <row r="99" customFormat="false" ht="17.15" hidden="false" customHeight="false" outlineLevel="0" collapsed="false">
      <c r="A99" s="5" t="s">
        <v>567</v>
      </c>
      <c r="B99" s="0" t="s">
        <v>121</v>
      </c>
      <c r="C99" s="18" t="n">
        <f aca="false">lasp_26</f>
        <v>13</v>
      </c>
      <c r="D99" s="18" t="n">
        <f aca="false">lasp_27</f>
        <v>15</v>
      </c>
      <c r="E99" s="18" t="n">
        <f aca="false">lasp_28</f>
        <v>15</v>
      </c>
      <c r="F99" s="18" t="n">
        <f aca="false">lasp_29</f>
        <v>14</v>
      </c>
    </row>
    <row r="100" customFormat="false" ht="17.15" hidden="false" customHeight="false" outlineLevel="0" collapsed="false">
      <c r="A100" s="5" t="s">
        <v>568</v>
      </c>
      <c r="B100" s="0" t="s">
        <v>31</v>
      </c>
      <c r="C100" s="26" t="n">
        <f aca="false">C97*C98*C99/1000</f>
        <v>4.254716466</v>
      </c>
      <c r="D100" s="26" t="n">
        <f aca="false">D97*D98*D99/1000</f>
        <v>8.4976134375</v>
      </c>
      <c r="E100" s="26" t="n">
        <f aca="false">E97*E98*E99/1000</f>
        <v>8.054375</v>
      </c>
      <c r="F100" s="26" t="n">
        <f aca="false">F97*F98*F99/1000</f>
        <v>8.752176</v>
      </c>
    </row>
    <row r="101" customFormat="false" ht="17.15" hidden="false" customHeight="false" outlineLevel="0" collapsed="false">
      <c r="A101" s="0" t="s">
        <v>569</v>
      </c>
      <c r="B101" s="0" t="s">
        <v>164</v>
      </c>
      <c r="C101" s="16" t="n">
        <f aca="false">c26_las/1000/C100</f>
        <v>0.43826657190933</v>
      </c>
      <c r="H101" s="8" t="s">
        <v>570</v>
      </c>
    </row>
    <row r="102" customFormat="false" ht="17.15" hidden="false" customHeight="false" outlineLevel="0" collapsed="false">
      <c r="A102" s="5" t="s">
        <v>571</v>
      </c>
      <c r="B102" s="0" t="s">
        <v>75</v>
      </c>
      <c r="C102" s="9" t="n">
        <f aca="false">1</f>
        <v>1</v>
      </c>
      <c r="D102" s="9" t="n">
        <f aca="false">LRHI_27</f>
        <v>1</v>
      </c>
      <c r="E102" s="9" t="n">
        <f aca="false">LRHI_28</f>
        <v>1.05</v>
      </c>
      <c r="F102" s="9" t="n">
        <f aca="false">LRHI_29</f>
        <v>1.05</v>
      </c>
    </row>
    <row r="103" customFormat="false" ht="15" hidden="false" customHeight="false" outlineLevel="0" collapsed="false">
      <c r="A103" s="5" t="s">
        <v>572</v>
      </c>
      <c r="B103" s="0" t="s">
        <v>164</v>
      </c>
      <c r="C103" s="16" t="n">
        <f aca="false">$C$101*C102</f>
        <v>0.43826657190933</v>
      </c>
      <c r="D103" s="16" t="n">
        <f aca="false">$C$101*D102</f>
        <v>0.43826657190933</v>
      </c>
      <c r="E103" s="16" t="n">
        <f aca="false">$C$101*E102</f>
        <v>0.460179900504797</v>
      </c>
      <c r="F103" s="16" t="n">
        <f aca="false">$C$101*F102</f>
        <v>0.460179900504797</v>
      </c>
    </row>
    <row r="104" customFormat="false" ht="17.15" hidden="false" customHeight="false" outlineLevel="0" collapsed="false">
      <c r="A104" s="5" t="s">
        <v>573</v>
      </c>
      <c r="B104" s="0" t="s">
        <v>31</v>
      </c>
      <c r="C104" s="26" t="n">
        <f aca="false">C100*C103</f>
        <v>1.8647</v>
      </c>
      <c r="D104" s="26" t="n">
        <f aca="false">D100*D103</f>
        <v>3.72421991066378</v>
      </c>
      <c r="E104" s="26" t="n">
        <f aca="false">E100*E103</f>
        <v>3.70646148612832</v>
      </c>
      <c r="F104" s="26" t="n">
        <f aca="false">F100*F103</f>
        <v>4.02757548088047</v>
      </c>
    </row>
    <row r="105" customFormat="false" ht="17.15" hidden="false" customHeight="false" outlineLevel="0" collapsed="false">
      <c r="A105" s="5" t="s">
        <v>574</v>
      </c>
      <c r="B105" s="0" t="s">
        <v>164</v>
      </c>
      <c r="C105" s="16" t="n">
        <f aca="false">c26_xcvr/1000/C95</f>
        <v>0.0336097601668012</v>
      </c>
    </row>
    <row r="106" customFormat="false" ht="15" hidden="false" customHeight="false" outlineLevel="0" collapsed="false">
      <c r="A106" s="5" t="s">
        <v>575</v>
      </c>
      <c r="B106" s="0" t="s">
        <v>164</v>
      </c>
      <c r="C106" s="16" t="n">
        <f aca="false">C105</f>
        <v>0.0336097601668012</v>
      </c>
      <c r="D106" s="16" t="n">
        <f aca="false">$C$105*mrel_27</f>
        <v>0.0336097601668012</v>
      </c>
      <c r="E106" s="16" t="n">
        <f aca="false">$C$105*mrel_28</f>
        <v>0.0336097601668012</v>
      </c>
      <c r="F106" s="16" t="n">
        <f aca="false">$C$105*mrel_29</f>
        <v>0.0336097601668012</v>
      </c>
    </row>
    <row r="107" customFormat="false" ht="15" hidden="false" customHeight="false" outlineLevel="0" collapsed="false">
      <c r="A107" s="5" t="s">
        <v>576</v>
      </c>
      <c r="B107" s="0" t="s">
        <v>31</v>
      </c>
      <c r="C107" s="26" t="n">
        <f aca="false">C95*C106</f>
        <v>1</v>
      </c>
      <c r="D107" s="26" t="n">
        <f aca="false">D95*D106</f>
        <v>1.80016278551239</v>
      </c>
      <c r="E107" s="26" t="n">
        <f aca="false">E95*E106</f>
        <v>1.94908040671305</v>
      </c>
      <c r="F107" s="26" t="n">
        <f aca="false">F95*F106</f>
        <v>2.45132113581361</v>
      </c>
    </row>
    <row r="108" customFormat="false" ht="17.15" hidden="false" customHeight="false" outlineLevel="0" collapsed="false">
      <c r="A108" s="0" t="s">
        <v>577</v>
      </c>
      <c r="B108" s="5" t="s">
        <v>54</v>
      </c>
      <c r="C108" s="19" t="n">
        <f aca="false">tpu_26*1</f>
        <v>3.85</v>
      </c>
      <c r="D108" s="19" t="n">
        <f aca="false">tpu_27*1</f>
        <v>5.5</v>
      </c>
      <c r="E108" s="19" t="n">
        <f aca="false">tpu_28*um28_A</f>
        <v>7</v>
      </c>
      <c r="F108" s="19" t="n">
        <f aca="false">tpu_29*um29_A</f>
        <v>8.05</v>
      </c>
    </row>
    <row r="109" customFormat="false" ht="17.15" hidden="false" customHeight="false" outlineLevel="0" collapsed="false">
      <c r="A109" s="0" t="s">
        <v>578</v>
      </c>
      <c r="B109" s="0" t="s">
        <v>121</v>
      </c>
      <c r="C109" s="20" t="n">
        <f aca="false">c26_ocs/C108</f>
        <v>129.87012987013</v>
      </c>
      <c r="D109" s="20" t="n">
        <f aca="false">$C109*ocsk_27</f>
        <v>207.792207792208</v>
      </c>
      <c r="E109" s="20" t="n">
        <f aca="false">$C109*ocsk_28</f>
        <v>233.766233766234</v>
      </c>
      <c r="F109" s="20" t="n">
        <f aca="false">$C109*ocsk_29</f>
        <v>233.766233766234</v>
      </c>
    </row>
    <row r="110" customFormat="false" ht="17.15" hidden="false" customHeight="false" outlineLevel="0" collapsed="false">
      <c r="A110" s="0" t="s">
        <v>531</v>
      </c>
      <c r="B110" s="0" t="s">
        <v>31</v>
      </c>
      <c r="C110" s="26" t="n">
        <f aca="false">C108*C109/1000</f>
        <v>0.5</v>
      </c>
      <c r="D110" s="26" t="n">
        <f aca="false">D108*D109/1000</f>
        <v>1.14285714285714</v>
      </c>
      <c r="E110" s="26" t="n">
        <f aca="false">E108*E109/1000</f>
        <v>1.63636363636364</v>
      </c>
      <c r="F110" s="26" t="n">
        <f aca="false">F108*F109/1000</f>
        <v>1.88181818181818</v>
      </c>
    </row>
    <row r="111" customFormat="false" ht="17.15" hidden="false" customHeight="false" outlineLevel="0" collapsed="false">
      <c r="A111" s="0" t="s">
        <v>579</v>
      </c>
      <c r="B111" s="0" t="s">
        <v>31</v>
      </c>
      <c r="C111" s="26" t="n">
        <f aca="false">mcp_26*1</f>
        <v>0.300538</v>
      </c>
      <c r="D111" s="26" t="n">
        <f aca="false">mcp_27*1</f>
        <v>2.818985</v>
      </c>
      <c r="E111" s="26" t="n">
        <f aca="false">mcp_28*um28_A</f>
        <v>6.4435</v>
      </c>
      <c r="F111" s="26" t="n">
        <f aca="false">mcp_29*um29_A</f>
        <v>11.74736</v>
      </c>
    </row>
    <row r="112" customFormat="false" ht="17.15" hidden="false" customHeight="false" outlineLevel="0" collapsed="false">
      <c r="A112" s="0" t="s">
        <v>532</v>
      </c>
      <c r="B112" s="0" t="s">
        <v>164</v>
      </c>
      <c r="C112" s="16" t="n">
        <f aca="false">c26_cpo/1000/C111</f>
        <v>0.166368312825666</v>
      </c>
      <c r="D112" s="16" t="n">
        <f aca="false">cpo_27</f>
        <v>0.25</v>
      </c>
      <c r="E112" s="16" t="n">
        <f aca="false">cpo_28</f>
        <v>0.25</v>
      </c>
      <c r="F112" s="16" t="n">
        <f aca="false">cpo_29</f>
        <v>0.2</v>
      </c>
    </row>
    <row r="113" customFormat="false" ht="17.15" hidden="false" customHeight="false" outlineLevel="0" collapsed="false">
      <c r="A113" s="0" t="s">
        <v>580</v>
      </c>
      <c r="B113" s="0" t="s">
        <v>31</v>
      </c>
      <c r="C113" s="26" t="n">
        <f aca="false">C111*C112</f>
        <v>0.05</v>
      </c>
      <c r="D113" s="26" t="n">
        <f aca="false">D111*D112</f>
        <v>0.70474625</v>
      </c>
      <c r="E113" s="26" t="n">
        <f aca="false">E111*E112</f>
        <v>1.610875</v>
      </c>
      <c r="F113" s="26" t="n">
        <f aca="false">F111*F112</f>
        <v>2.349472</v>
      </c>
    </row>
    <row r="114" customFormat="false" ht="17.15" hidden="false" customHeight="false" outlineLevel="0" collapsed="false">
      <c r="A114" s="0" t="s">
        <v>581</v>
      </c>
      <c r="B114" s="0" t="s">
        <v>31</v>
      </c>
      <c r="C114" s="26" t="n">
        <f aca="false">C104+C107+C110+C113</f>
        <v>3.4147</v>
      </c>
      <c r="D114" s="26" t="n">
        <f aca="false">D104+D107+D110+D113</f>
        <v>7.37198608903332</v>
      </c>
      <c r="E114" s="26" t="n">
        <f aca="false">E104+E107+E110+E113</f>
        <v>8.90278052920501</v>
      </c>
      <c r="F114" s="26" t="n">
        <f aca="false">F104+F107+F110+F113</f>
        <v>10.7101867985123</v>
      </c>
    </row>
    <row r="115" customFormat="false" ht="17.15" hidden="false" customHeight="false" outlineLevel="0" collapsed="false">
      <c r="A115" s="5" t="s">
        <v>582</v>
      </c>
      <c r="B115" s="0" t="s">
        <v>31</v>
      </c>
      <c r="C115" s="26" t="n">
        <f aca="false">c26_tel/1000</f>
        <v>0.75</v>
      </c>
      <c r="D115" s="26" t="n">
        <f aca="false">C115*(1+g_tel_27)</f>
        <v>0.9375</v>
      </c>
      <c r="E115" s="26" t="n">
        <f aca="false">D115*(1+g_tel_28)</f>
        <v>1.078125</v>
      </c>
      <c r="F115" s="26" t="n">
        <f aca="false">E115*(1+g_tel_29)</f>
        <v>1.1859375</v>
      </c>
    </row>
    <row r="116" customFormat="false" ht="17.15" hidden="false" customHeight="false" outlineLevel="0" collapsed="false">
      <c r="A116" s="5" t="s">
        <v>583</v>
      </c>
      <c r="B116" s="0" t="s">
        <v>31</v>
      </c>
      <c r="C116" s="26" t="n">
        <f aca="false">c26_ind/1000</f>
        <v>0.3</v>
      </c>
      <c r="D116" s="26" t="n">
        <f aca="false">C116*(1+g_ind)</f>
        <v>0.309</v>
      </c>
      <c r="E116" s="26" t="n">
        <f aca="false">D116*(1+g_ind)</f>
        <v>0.31827</v>
      </c>
      <c r="F116" s="26" t="n">
        <f aca="false">E116*(1+g_ind)</f>
        <v>0.3278181</v>
      </c>
    </row>
    <row r="117" customFormat="false" ht="17.15" hidden="false" customHeight="false" outlineLevel="0" collapsed="false">
      <c r="A117" s="5" t="s">
        <v>584</v>
      </c>
      <c r="B117" s="0" t="s">
        <v>31</v>
      </c>
      <c r="C117" s="26" t="n">
        <f aca="false">C104+C115+C113+C116/2</f>
        <v>2.8147</v>
      </c>
      <c r="D117" s="26" t="n">
        <f aca="false">D104+D115+D113+D116/2</f>
        <v>5.52096616066378</v>
      </c>
      <c r="E117" s="26" t="n">
        <f aca="false">E104+E115+E113+E116/2</f>
        <v>6.55459648612832</v>
      </c>
      <c r="F117" s="26" t="n">
        <f aca="false">F104+F115+F113+F116/2</f>
        <v>7.72689403088047</v>
      </c>
      <c r="H117" s="5" t="s">
        <v>585</v>
      </c>
    </row>
    <row r="118" customFormat="false" ht="17.15" hidden="false" customHeight="false" outlineLevel="0" collapsed="false">
      <c r="A118" s="5" t="s">
        <v>586</v>
      </c>
      <c r="B118" s="0" t="s">
        <v>31</v>
      </c>
      <c r="C118" s="26" t="n">
        <f aca="false">C107+C110+C116/2</f>
        <v>1.65</v>
      </c>
      <c r="D118" s="26" t="n">
        <f aca="false">D107+D110+D116/2</f>
        <v>3.09751992836953</v>
      </c>
      <c r="E118" s="26" t="n">
        <f aca="false">E107+E110+E116/2</f>
        <v>3.74457904307669</v>
      </c>
      <c r="F118" s="26" t="n">
        <f aca="false">F107+F110+F116/2</f>
        <v>4.49704836763179</v>
      </c>
    </row>
    <row r="119" customFormat="false" ht="15" hidden="false" customHeight="false" outlineLevel="0" collapsed="false">
      <c r="A119" s="5" t="s">
        <v>587</v>
      </c>
      <c r="B119" s="0" t="s">
        <v>31</v>
      </c>
      <c r="C119" s="26" t="n">
        <f aca="false">C114+C115+C116</f>
        <v>4.4647</v>
      </c>
      <c r="D119" s="26" t="n">
        <f aca="false">D114+D115+D116</f>
        <v>8.61848608903332</v>
      </c>
      <c r="E119" s="26" t="n">
        <f aca="false">E114+E115+E116</f>
        <v>10.299175529205</v>
      </c>
      <c r="F119" s="26" t="n">
        <f aca="false">F114+F115+F116</f>
        <v>12.2239423985123</v>
      </c>
    </row>
    <row r="120" customFormat="false" ht="15" hidden="false" customHeight="false" outlineLevel="0" collapsed="false">
      <c r="A120" s="5" t="s">
        <v>588</v>
      </c>
      <c r="B120" s="0" t="s">
        <v>164</v>
      </c>
      <c r="D120" s="16" t="n">
        <f aca="false">D119/C119-1</f>
        <v>0.9303617463734</v>
      </c>
      <c r="E120" s="16" t="n">
        <f aca="false">E119/D119-1</f>
        <v>0.195009822236681</v>
      </c>
      <c r="F120" s="16" t="n">
        <f aca="false">F119/E119-1</f>
        <v>0.186885529220204</v>
      </c>
    </row>
    <row r="121" customFormat="false" ht="17.15" hidden="false" customHeight="false" outlineLevel="0" collapsed="false">
      <c r="A121" s="1" t="s">
        <v>589</v>
      </c>
    </row>
    <row r="122" customFormat="false" ht="17.15" hidden="false" customHeight="false" outlineLevel="0" collapsed="false">
      <c r="A122" s="6" t="s">
        <v>20</v>
      </c>
      <c r="B122" s="6" t="s">
        <v>21</v>
      </c>
      <c r="C122" s="14" t="s">
        <v>472</v>
      </c>
      <c r="D122" s="14" t="s">
        <v>539</v>
      </c>
      <c r="E122" s="14" t="s">
        <v>540</v>
      </c>
      <c r="F122" s="14" t="s">
        <v>541</v>
      </c>
      <c r="G122" s="14" t="s">
        <v>542</v>
      </c>
      <c r="H122" s="6" t="s">
        <v>480</v>
      </c>
    </row>
    <row r="123" customFormat="false" ht="17.15" hidden="false" customHeight="false" outlineLevel="0" collapsed="false">
      <c r="A123" s="0" t="s">
        <v>590</v>
      </c>
      <c r="B123" s="0" t="s">
        <v>31</v>
      </c>
      <c r="E123" s="26" t="n">
        <f aca="false">w2h_26*C114+h_1h*D114</f>
        <v>5.49161129686257</v>
      </c>
      <c r="F123" s="26" t="n">
        <f aca="false">(1-h_1h)*D114+h_1h*E114</f>
        <v>8.09145947591401</v>
      </c>
      <c r="G123" s="26" t="n">
        <f aca="false">(1-h_1h)*E114+h_1h*F114</f>
        <v>9.75226147577942</v>
      </c>
      <c r="H123" s="8" t="s">
        <v>591</v>
      </c>
    </row>
    <row r="124" customFormat="false" ht="17.15" hidden="false" customHeight="false" outlineLevel="0" collapsed="false">
      <c r="A124" s="5" t="s">
        <v>592</v>
      </c>
      <c r="B124" s="0" t="s">
        <v>31</v>
      </c>
      <c r="E124" s="26" t="n">
        <f aca="false">w2h_26*C115+h_1h*D115+w2h_26*C116+h_1h*D116</f>
        <v>1.20907716498309</v>
      </c>
      <c r="F124" s="26" t="n">
        <f aca="false">(1-h_1h)*D115+h_1h*E115+(1-h_1h)*D116+h_1h*E116</f>
        <v>1.31695065</v>
      </c>
      <c r="G124" s="26" t="n">
        <f aca="false">(1-h_1h)*E115+h_1h*F115+(1-h_1h)*E116+h_1h*F116</f>
        <v>1.451554482</v>
      </c>
    </row>
    <row r="125" customFormat="false" ht="15" hidden="false" customHeight="false" outlineLevel="0" collapsed="false">
      <c r="A125" s="5" t="s">
        <v>481</v>
      </c>
      <c r="B125" s="0" t="s">
        <v>31</v>
      </c>
      <c r="C125" s="26" t="n">
        <f aca="false">a25_rev/1000</f>
        <v>1.645</v>
      </c>
      <c r="D125" s="26" t="n">
        <f aca="false">a26_rev/1000</f>
        <v>3.014</v>
      </c>
      <c r="E125" s="26" t="n">
        <f aca="false">E123+E124</f>
        <v>6.70068846184566</v>
      </c>
      <c r="F125" s="26" t="n">
        <f aca="false">F123+F124</f>
        <v>9.40841012591401</v>
      </c>
      <c r="G125" s="26" t="n">
        <f aca="false">G123+G124</f>
        <v>11.2038159577794</v>
      </c>
    </row>
    <row r="126" customFormat="false" ht="17.15" hidden="false" customHeight="false" outlineLevel="0" collapsed="false">
      <c r="A126" s="5" t="s">
        <v>593</v>
      </c>
      <c r="B126" s="0" t="s">
        <v>31</v>
      </c>
      <c r="C126" s="26" t="n">
        <f aca="false">a25_cmp/1000</f>
        <v>1.1163</v>
      </c>
      <c r="D126" s="26" t="n">
        <f aca="false">a26_cmp/1000</f>
        <v>2.0056</v>
      </c>
      <c r="E126" s="26" t="n">
        <f aca="false">w2h_26*C117+h_1h*D117</f>
        <v>4.26550497910998</v>
      </c>
      <c r="F126" s="26" t="n">
        <f aca="false">(1-h_1h)*D117+h_1h*E117</f>
        <v>6.00677241363212</v>
      </c>
      <c r="G126" s="26" t="n">
        <f aca="false">(1-h_1h)*E117+h_1h*F117</f>
        <v>7.10557633216183</v>
      </c>
      <c r="H126" s="5" t="s">
        <v>594</v>
      </c>
    </row>
    <row r="127" customFormat="false" ht="17.15" hidden="false" customHeight="false" outlineLevel="0" collapsed="false">
      <c r="A127" s="5" t="s">
        <v>595</v>
      </c>
      <c r="B127" s="0" t="s">
        <v>31</v>
      </c>
      <c r="C127" s="26" t="n">
        <f aca="false">a25_sys/1000</f>
        <v>0.5287</v>
      </c>
      <c r="D127" s="26" t="n">
        <f aca="false">a26_sys/1000</f>
        <v>1.0084</v>
      </c>
      <c r="E127" s="26" t="n">
        <f aca="false">w2h_26*C118+h_1h*D118</f>
        <v>2.43518348273568</v>
      </c>
      <c r="F127" s="26" t="n">
        <f aca="false">(1-h_1h)*D118+h_1h*E118</f>
        <v>3.4016377122819</v>
      </c>
      <c r="G127" s="26" t="n">
        <f aca="false">(1-h_1h)*E118+h_1h*F118</f>
        <v>4.09823962561759</v>
      </c>
      <c r="H127" s="5" t="s">
        <v>596</v>
      </c>
    </row>
    <row r="128" customFormat="false" ht="15" hidden="false" customHeight="false" outlineLevel="0" collapsed="false">
      <c r="A128" s="5" t="s">
        <v>597</v>
      </c>
      <c r="B128" s="0" t="s">
        <v>31</v>
      </c>
      <c r="C128" s="17" t="n">
        <f aca="false">C126+C127-C125</f>
        <v>0</v>
      </c>
      <c r="D128" s="17" t="n">
        <f aca="false">D126+D127-D125</f>
        <v>0</v>
      </c>
      <c r="E128" s="17" t="n">
        <f aca="false">E126+E127-E125</f>
        <v>0</v>
      </c>
      <c r="F128" s="17" t="n">
        <f aca="false">F126+F127-F125</f>
        <v>0</v>
      </c>
      <c r="G128" s="17" t="n">
        <f aca="false">G126+G127-G125</f>
        <v>0</v>
      </c>
    </row>
    <row r="129" customFormat="false" ht="15" hidden="false" customHeight="false" outlineLevel="0" collapsed="false">
      <c r="A129" s="5" t="s">
        <v>598</v>
      </c>
      <c r="B129" s="0" t="s">
        <v>164</v>
      </c>
      <c r="D129" s="16" t="n">
        <f aca="false">D125/C125-1</f>
        <v>0.832218844984802</v>
      </c>
      <c r="E129" s="16" t="n">
        <f aca="false">E125/D125-1</f>
        <v>1.22318794354534</v>
      </c>
      <c r="F129" s="16" t="n">
        <f aca="false">F125/E125-1</f>
        <v>0.404096038711003</v>
      </c>
      <c r="G129" s="16" t="n">
        <f aca="false">G125/F125-1</f>
        <v>0.190829886010203</v>
      </c>
    </row>
    <row r="130" customFormat="false" ht="17.15" hidden="false" customHeight="false" outlineLevel="0" collapsed="false">
      <c r="A130" s="0" t="s">
        <v>599</v>
      </c>
      <c r="B130" s="0" t="s">
        <v>164</v>
      </c>
      <c r="E130" s="16" t="n">
        <f aca="false">E123/E125</f>
        <v>0.819559262922357</v>
      </c>
      <c r="F130" s="16" t="n">
        <f aca="false">F123/F125</f>
        <v>0.860024102651237</v>
      </c>
      <c r="G130" s="16" t="n">
        <f aca="false">G123/G125</f>
        <v>0.870441063342164</v>
      </c>
    </row>
    <row r="131" customFormat="false" ht="17.15" hidden="false" customHeight="false" outlineLevel="0" collapsed="false">
      <c r="A131" s="5" t="s">
        <v>484</v>
      </c>
      <c r="B131" s="0" t="s">
        <v>164</v>
      </c>
      <c r="C131" s="16" t="n">
        <f aca="false">a25_gm</f>
        <v>0.347</v>
      </c>
      <c r="D131" s="16" t="n">
        <f aca="false">a26_gm</f>
        <v>0.46</v>
      </c>
      <c r="E131" s="16" t="n">
        <f aca="false">gm_27</f>
        <v>0.52</v>
      </c>
      <c r="F131" s="16" t="n">
        <f aca="false">gm_28</f>
        <v>0.51</v>
      </c>
      <c r="G131" s="16" t="n">
        <f aca="false">gm_29</f>
        <v>0.49</v>
      </c>
    </row>
    <row r="132" customFormat="false" ht="15" hidden="false" customHeight="false" outlineLevel="0" collapsed="false">
      <c r="A132" s="5" t="s">
        <v>485</v>
      </c>
      <c r="B132" s="0" t="s">
        <v>31</v>
      </c>
      <c r="C132" s="26" t="n">
        <f aca="false">C125*C131</f>
        <v>0.570815</v>
      </c>
      <c r="D132" s="26" t="n">
        <f aca="false">D125*D131</f>
        <v>1.38644</v>
      </c>
      <c r="E132" s="26" t="n">
        <f aca="false">E125*E131</f>
        <v>3.48435800015974</v>
      </c>
      <c r="F132" s="26" t="n">
        <f aca="false">F125*F131</f>
        <v>4.79828916421615</v>
      </c>
      <c r="G132" s="26" t="n">
        <f aca="false">G125*G131</f>
        <v>5.48986981931192</v>
      </c>
    </row>
    <row r="133" customFormat="false" ht="15" hidden="false" customHeight="false" outlineLevel="0" collapsed="false">
      <c r="A133" s="5" t="s">
        <v>600</v>
      </c>
      <c r="B133" s="0" t="s">
        <v>31</v>
      </c>
      <c r="C133" s="26" t="n">
        <f aca="false">a25_opx/1000</f>
        <v>0.4114</v>
      </c>
      <c r="D133" s="26" t="n">
        <f aca="false">a26_opx/1000</f>
        <v>0.4897</v>
      </c>
      <c r="E133" s="26" t="n">
        <f aca="false">D133*(1+MAX(0,phi*E129))</f>
        <v>0.626688220652725</v>
      </c>
      <c r="F133" s="26" t="n">
        <f aca="false">E133*(1+MAX(0,phi*F129))</f>
        <v>0.684603886495896</v>
      </c>
      <c r="G133" s="26" t="n">
        <f aca="false">F133*(1+MAX(0,phi*G129))</f>
        <v>0.714481484526564</v>
      </c>
    </row>
    <row r="134" customFormat="false" ht="15" hidden="false" customHeight="false" outlineLevel="0" collapsed="false">
      <c r="A134" s="5" t="s">
        <v>601</v>
      </c>
      <c r="B134" s="0" t="s">
        <v>31</v>
      </c>
      <c r="C134" s="26" t="n">
        <f aca="false">C133</f>
        <v>0.4114</v>
      </c>
      <c r="D134" s="26" t="n">
        <f aca="false">D133</f>
        <v>0.4897</v>
      </c>
      <c r="E134" s="26" t="n">
        <f aca="false">E133+0*E125</f>
        <v>0.626688220652725</v>
      </c>
      <c r="F134" s="26" t="n">
        <f aca="false">F133+0*F125</f>
        <v>0.684603886495896</v>
      </c>
      <c r="G134" s="26" t="n">
        <f aca="false">G133+0*G125</f>
        <v>0.714481484526564</v>
      </c>
    </row>
    <row r="135" customFormat="false" ht="15" hidden="false" customHeight="false" outlineLevel="0" collapsed="false">
      <c r="A135" s="5" t="s">
        <v>602</v>
      </c>
      <c r="B135" s="0" t="s">
        <v>31</v>
      </c>
      <c r="C135" s="26" t="n">
        <f aca="false">C132-C134</f>
        <v>0.159415</v>
      </c>
      <c r="D135" s="26" t="n">
        <f aca="false">D132-D134</f>
        <v>0.89674</v>
      </c>
      <c r="E135" s="26" t="n">
        <f aca="false">E132-E134</f>
        <v>2.85766977950702</v>
      </c>
      <c r="F135" s="26" t="n">
        <f aca="false">F132-F134</f>
        <v>4.11368527772025</v>
      </c>
      <c r="G135" s="26" t="n">
        <f aca="false">G132-G134</f>
        <v>4.77538833478535</v>
      </c>
    </row>
    <row r="136" customFormat="false" ht="15" hidden="false" customHeight="false" outlineLevel="0" collapsed="false">
      <c r="A136" s="5" t="s">
        <v>489</v>
      </c>
      <c r="B136" s="0" t="s">
        <v>164</v>
      </c>
      <c r="C136" s="16" t="n">
        <f aca="false">C135/C125</f>
        <v>0.0969088145896656</v>
      </c>
      <c r="D136" s="16" t="n">
        <f aca="false">D135/D125</f>
        <v>0.297524883875249</v>
      </c>
      <c r="E136" s="16" t="n">
        <f aca="false">E135/E125</f>
        <v>0.42647405498388</v>
      </c>
      <c r="F136" s="16" t="n">
        <f aca="false">F135/F125</f>
        <v>0.437234901823608</v>
      </c>
      <c r="G136" s="16" t="n">
        <f aca="false">G135/G125</f>
        <v>0.426228737849763</v>
      </c>
    </row>
    <row r="137" customFormat="false" ht="17.15" hidden="false" customHeight="false" outlineLevel="0" collapsed="false">
      <c r="A137" s="5" t="s">
        <v>490</v>
      </c>
      <c r="B137" s="0" t="s">
        <v>31</v>
      </c>
      <c r="C137" s="26" t="n">
        <f aca="false">a25_ni/1000</f>
        <v>0.1464</v>
      </c>
      <c r="D137" s="26" t="n">
        <f aca="false">a26_ni/1000</f>
        <v>0.7823</v>
      </c>
      <c r="E137" s="26" t="n">
        <f aca="false">(E135+oi_oth)*(1-tx)</f>
        <v>2.42975426588836</v>
      </c>
      <c r="F137" s="26" t="n">
        <f aca="false">(F135+oi_oth)*(1-tx)</f>
        <v>3.47852720689641</v>
      </c>
      <c r="G137" s="26" t="n">
        <f aca="false">(G135+oi_oth)*(1-tx)</f>
        <v>4.03104925954577</v>
      </c>
    </row>
    <row r="138" customFormat="false" ht="15" hidden="false" customHeight="false" outlineLevel="0" collapsed="false">
      <c r="A138" s="5" t="s">
        <v>552</v>
      </c>
      <c r="B138" s="0" t="s">
        <v>164</v>
      </c>
      <c r="C138" s="16" t="n">
        <f aca="false">C137/C125</f>
        <v>0.0889969604863222</v>
      </c>
      <c r="D138" s="16" t="n">
        <f aca="false">D137/D125</f>
        <v>0.259555408095554</v>
      </c>
      <c r="E138" s="16" t="n">
        <f aca="false">E137/E125</f>
        <v>0.362612629989233</v>
      </c>
      <c r="F138" s="16" t="n">
        <f aca="false">F137/F125</f>
        <v>0.36972529474617</v>
      </c>
      <c r="G138" s="16" t="n">
        <f aca="false">G137/G125</f>
        <v>0.359792527361786</v>
      </c>
    </row>
    <row r="139" customFormat="false" ht="17.15" hidden="false" customHeight="false" outlineLevel="0" collapsed="false">
      <c r="A139" s="5" t="s">
        <v>494</v>
      </c>
      <c r="B139" s="5" t="s">
        <v>238</v>
      </c>
      <c r="C139" s="15" t="n">
        <f aca="false">a25_sh</f>
        <v>71.0679611650485</v>
      </c>
      <c r="D139" s="15" t="n">
        <f aca="false">a26_sh</f>
        <v>90.2306805074971</v>
      </c>
      <c r="E139" s="15" t="n">
        <f aca="false">sh_q1</f>
        <v>102</v>
      </c>
      <c r="F139" s="15" t="n">
        <f aca="false">E139*(1+sh_g)</f>
        <v>103.02</v>
      </c>
      <c r="G139" s="15" t="n">
        <f aca="false">F139*(1+sh_g)</f>
        <v>104.0502</v>
      </c>
    </row>
    <row r="140" customFormat="false" ht="17.15" hidden="false" customHeight="false" outlineLevel="0" collapsed="false">
      <c r="A140" s="0" t="s">
        <v>496</v>
      </c>
      <c r="B140" s="0" t="s">
        <v>233</v>
      </c>
      <c r="C140" s="9" t="n">
        <f aca="false">C137*1000/C139</f>
        <v>2.06</v>
      </c>
      <c r="D140" s="9" t="n">
        <f aca="false">D137*1000/D139</f>
        <v>8.67</v>
      </c>
      <c r="E140" s="9" t="n">
        <f aca="false">E137*1000/E139</f>
        <v>23.8211202538075</v>
      </c>
      <c r="F140" s="9" t="n">
        <f aca="false">F137*1000/F139</f>
        <v>33.7655523868803</v>
      </c>
      <c r="G140" s="9" t="n">
        <f aca="false">G137*1000/G139</f>
        <v>38.7413888637001</v>
      </c>
    </row>
    <row r="141" customFormat="false" ht="17.15" hidden="false" customHeight="false" outlineLevel="0" collapsed="false">
      <c r="A141" s="0" t="s">
        <v>603</v>
      </c>
      <c r="B141" s="0" t="s">
        <v>164</v>
      </c>
      <c r="D141" s="16" t="n">
        <f aca="false">D140/C140-1</f>
        <v>3.20873786407767</v>
      </c>
      <c r="E141" s="16" t="n">
        <f aca="false">E140/D140-1</f>
        <v>1.74753405464907</v>
      </c>
      <c r="F141" s="16" t="n">
        <f aca="false">F140/E140-1</f>
        <v>0.417462824045119</v>
      </c>
      <c r="G141" s="16" t="n">
        <f aca="false">G140/F140-1</f>
        <v>0.147364284754103</v>
      </c>
    </row>
    <row r="144" customFormat="false" ht="17.15" hidden="false" customHeight="false" outlineLevel="0" collapsed="false">
      <c r="A144" s="3" t="s">
        <v>896</v>
      </c>
    </row>
    <row r="145" customFormat="false" ht="17.15" hidden="false" customHeight="false" outlineLevel="0" collapsed="false">
      <c r="A145" s="1" t="s">
        <v>561</v>
      </c>
    </row>
    <row r="146" customFormat="false" ht="17.15" hidden="false" customHeight="false" outlineLevel="0" collapsed="false">
      <c r="A146" s="6" t="s">
        <v>20</v>
      </c>
      <c r="B146" s="6" t="s">
        <v>21</v>
      </c>
      <c r="C146" s="14" t="s">
        <v>562</v>
      </c>
      <c r="D146" s="14" t="s">
        <v>517</v>
      </c>
      <c r="E146" s="14" t="s">
        <v>518</v>
      </c>
      <c r="F146" s="14" t="s">
        <v>519</v>
      </c>
      <c r="G146" s="14"/>
      <c r="H146" s="6" t="s">
        <v>480</v>
      </c>
    </row>
    <row r="147" customFormat="false" ht="17.15" hidden="false" customHeight="false" outlineLevel="0" collapsed="false">
      <c r="A147" s="0" t="s">
        <v>563</v>
      </c>
      <c r="B147" s="0" t="s">
        <v>31</v>
      </c>
      <c r="C147" s="26" t="n">
        <f aca="false">mpl_26*1</f>
        <v>29.753262</v>
      </c>
      <c r="D147" s="26" t="n">
        <f aca="false">mpl_27*1*1</f>
        <v>53.560715</v>
      </c>
      <c r="E147" s="26" t="n">
        <f aca="false">mpl_28*um28_A*1</f>
        <v>57.9915</v>
      </c>
      <c r="F147" s="26" t="n">
        <f aca="false">mpl_29*um29_A*1</f>
        <v>72.9348</v>
      </c>
    </row>
    <row r="148" customFormat="false" ht="17.15" hidden="false" customHeight="false" outlineLevel="0" collapsed="false">
      <c r="A148" s="5" t="s">
        <v>564</v>
      </c>
      <c r="B148" s="0" t="s">
        <v>97</v>
      </c>
      <c r="C148" s="20" t="n">
        <f aca="false">asp_26</f>
        <v>500</v>
      </c>
      <c r="D148" s="20" t="n">
        <f aca="false">asp_27</f>
        <v>520</v>
      </c>
      <c r="E148" s="20" t="n">
        <f aca="false">asp_28</f>
        <v>540</v>
      </c>
      <c r="F148" s="20" t="n">
        <f aca="false">asp_29</f>
        <v>560</v>
      </c>
    </row>
    <row r="149" customFormat="false" ht="17.15" hidden="false" customHeight="false" outlineLevel="0" collapsed="false">
      <c r="A149" s="5" t="s">
        <v>565</v>
      </c>
      <c r="B149" s="5" t="s">
        <v>349</v>
      </c>
      <c r="C149" s="15" t="n">
        <f aca="false">C147*1000/C148</f>
        <v>59.506524</v>
      </c>
      <c r="D149" s="15" t="n">
        <f aca="false">D147*1000/D148</f>
        <v>103.001375</v>
      </c>
      <c r="E149" s="15" t="n">
        <f aca="false">E147*1000/E148</f>
        <v>107.391666666667</v>
      </c>
      <c r="F149" s="15" t="n">
        <f aca="false">F147*1000/F148</f>
        <v>130.240714285714</v>
      </c>
    </row>
    <row r="150" customFormat="false" ht="17.15" hidden="false" customHeight="false" outlineLevel="0" collapsed="false">
      <c r="A150" s="5" t="s">
        <v>566</v>
      </c>
      <c r="B150" s="5" t="s">
        <v>109</v>
      </c>
      <c r="C150" s="18" t="n">
        <f aca="false">lpm_26</f>
        <v>5.5</v>
      </c>
      <c r="D150" s="18" t="n">
        <f aca="false">LPLO_27</f>
        <v>4.5</v>
      </c>
      <c r="E150" s="18" t="n">
        <f aca="false">LPLO_28</f>
        <v>4</v>
      </c>
      <c r="F150" s="18" t="n">
        <f aca="false">LPLO_29</f>
        <v>3.5</v>
      </c>
    </row>
    <row r="151" customFormat="false" ht="17.15" hidden="false" customHeight="false" outlineLevel="0" collapsed="false">
      <c r="A151" s="5" t="s">
        <v>567</v>
      </c>
      <c r="B151" s="0" t="s">
        <v>121</v>
      </c>
      <c r="C151" s="18" t="n">
        <f aca="false">lasp_26</f>
        <v>13</v>
      </c>
      <c r="D151" s="18" t="n">
        <f aca="false">lasp_27</f>
        <v>15</v>
      </c>
      <c r="E151" s="18" t="n">
        <f aca="false">lasp_28</f>
        <v>15</v>
      </c>
      <c r="F151" s="18" t="n">
        <f aca="false">lasp_29</f>
        <v>14</v>
      </c>
    </row>
    <row r="152" customFormat="false" ht="17.15" hidden="false" customHeight="false" outlineLevel="0" collapsed="false">
      <c r="A152" s="5" t="s">
        <v>568</v>
      </c>
      <c r="B152" s="0" t="s">
        <v>31</v>
      </c>
      <c r="C152" s="26" t="n">
        <f aca="false">C149*C150*C151/1000</f>
        <v>4.254716466</v>
      </c>
      <c r="D152" s="26" t="n">
        <f aca="false">D149*D150*D151/1000</f>
        <v>6.9525928125</v>
      </c>
      <c r="E152" s="26" t="n">
        <f aca="false">E149*E150*E151/1000</f>
        <v>6.4435</v>
      </c>
      <c r="F152" s="26" t="n">
        <f aca="false">F149*F150*F151/1000</f>
        <v>6.381795</v>
      </c>
    </row>
    <row r="153" customFormat="false" ht="17.15" hidden="false" customHeight="false" outlineLevel="0" collapsed="false">
      <c r="A153" s="0" t="s">
        <v>569</v>
      </c>
      <c r="B153" s="0" t="s">
        <v>164</v>
      </c>
      <c r="C153" s="16" t="n">
        <f aca="false">c26_las/1000/C152</f>
        <v>0.43826657190933</v>
      </c>
      <c r="H153" s="8" t="s">
        <v>570</v>
      </c>
    </row>
    <row r="154" customFormat="false" ht="17.15" hidden="false" customHeight="false" outlineLevel="0" collapsed="false">
      <c r="A154" s="5" t="s">
        <v>571</v>
      </c>
      <c r="B154" s="0" t="s">
        <v>75</v>
      </c>
      <c r="C154" s="9" t="n">
        <f aca="false">1</f>
        <v>1</v>
      </c>
      <c r="D154" s="9" t="n">
        <f aca="false">lrel_27</f>
        <v>0.95</v>
      </c>
      <c r="E154" s="9" t="n">
        <f aca="false">lrel_28</f>
        <v>0.95</v>
      </c>
      <c r="F154" s="9" t="n">
        <f aca="false">lrel_29</f>
        <v>0.9</v>
      </c>
    </row>
    <row r="155" customFormat="false" ht="15" hidden="false" customHeight="false" outlineLevel="0" collapsed="false">
      <c r="A155" s="5" t="s">
        <v>572</v>
      </c>
      <c r="B155" s="0" t="s">
        <v>164</v>
      </c>
      <c r="C155" s="16" t="n">
        <f aca="false">$C$153*C154</f>
        <v>0.43826657190933</v>
      </c>
      <c r="D155" s="16" t="n">
        <f aca="false">$C$153*D154</f>
        <v>0.416353243313864</v>
      </c>
      <c r="E155" s="16" t="n">
        <f aca="false">$C$153*E154</f>
        <v>0.416353243313864</v>
      </c>
      <c r="F155" s="16" t="n">
        <f aca="false">$C$153*F154</f>
        <v>0.394439914718397</v>
      </c>
    </row>
    <row r="156" customFormat="false" ht="17.15" hidden="false" customHeight="false" outlineLevel="0" collapsed="false">
      <c r="A156" s="5" t="s">
        <v>573</v>
      </c>
      <c r="B156" s="0" t="s">
        <v>31</v>
      </c>
      <c r="C156" s="26" t="n">
        <f aca="false">C152*C155</f>
        <v>1.8647</v>
      </c>
      <c r="D156" s="26" t="n">
        <f aca="false">D152*D155</f>
        <v>2.89473456692503</v>
      </c>
      <c r="E156" s="26" t="n">
        <f aca="false">E152*E155</f>
        <v>2.68277212329288</v>
      </c>
      <c r="F156" s="26" t="n">
        <f aca="false">F152*F155</f>
        <v>2.51723467555029</v>
      </c>
    </row>
    <row r="157" customFormat="false" ht="17.15" hidden="false" customHeight="false" outlineLevel="0" collapsed="false">
      <c r="A157" s="5" t="s">
        <v>574</v>
      </c>
      <c r="B157" s="0" t="s">
        <v>164</v>
      </c>
      <c r="C157" s="16" t="n">
        <f aca="false">c26_xcvr/1000/C147</f>
        <v>0.0336097601668012</v>
      </c>
    </row>
    <row r="158" customFormat="false" ht="15" hidden="false" customHeight="false" outlineLevel="0" collapsed="false">
      <c r="A158" s="5" t="s">
        <v>575</v>
      </c>
      <c r="B158" s="0" t="s">
        <v>164</v>
      </c>
      <c r="C158" s="16" t="n">
        <f aca="false">C157</f>
        <v>0.0336097601668012</v>
      </c>
      <c r="D158" s="16" t="n">
        <f aca="false">$C$157*mrel_27</f>
        <v>0.0336097601668012</v>
      </c>
      <c r="E158" s="16" t="n">
        <f aca="false">$C$157*mrel_28</f>
        <v>0.0336097601668012</v>
      </c>
      <c r="F158" s="16" t="n">
        <f aca="false">$C$157*mrel_29</f>
        <v>0.0336097601668012</v>
      </c>
    </row>
    <row r="159" customFormat="false" ht="15" hidden="false" customHeight="false" outlineLevel="0" collapsed="false">
      <c r="A159" s="5" t="s">
        <v>576</v>
      </c>
      <c r="B159" s="0" t="s">
        <v>31</v>
      </c>
      <c r="C159" s="26" t="n">
        <f aca="false">C147*C158</f>
        <v>1</v>
      </c>
      <c r="D159" s="26" t="n">
        <f aca="false">D147*D158</f>
        <v>1.80016278551239</v>
      </c>
      <c r="E159" s="26" t="n">
        <f aca="false">E147*E158</f>
        <v>1.94908040671305</v>
      </c>
      <c r="F159" s="26" t="n">
        <f aca="false">F147*F158</f>
        <v>2.45132113581361</v>
      </c>
    </row>
    <row r="160" customFormat="false" ht="17.15" hidden="false" customHeight="false" outlineLevel="0" collapsed="false">
      <c r="A160" s="0" t="s">
        <v>577</v>
      </c>
      <c r="B160" s="5" t="s">
        <v>54</v>
      </c>
      <c r="C160" s="19" t="n">
        <f aca="false">tpu_26*1</f>
        <v>3.85</v>
      </c>
      <c r="D160" s="19" t="n">
        <f aca="false">tpu_27*1</f>
        <v>5.5</v>
      </c>
      <c r="E160" s="19" t="n">
        <f aca="false">tpu_28*um28_A</f>
        <v>7</v>
      </c>
      <c r="F160" s="19" t="n">
        <f aca="false">tpu_29*um29_A</f>
        <v>8.05</v>
      </c>
    </row>
    <row r="161" customFormat="false" ht="17.15" hidden="false" customHeight="false" outlineLevel="0" collapsed="false">
      <c r="A161" s="0" t="s">
        <v>578</v>
      </c>
      <c r="B161" s="0" t="s">
        <v>121</v>
      </c>
      <c r="C161" s="20" t="n">
        <f aca="false">c26_ocs/C160</f>
        <v>129.87012987013</v>
      </c>
      <c r="D161" s="20" t="n">
        <f aca="false">$C161*ocsk_27</f>
        <v>207.792207792208</v>
      </c>
      <c r="E161" s="20" t="n">
        <f aca="false">$C161*ocsk_28</f>
        <v>233.766233766234</v>
      </c>
      <c r="F161" s="20" t="n">
        <f aca="false">$C161*ocsk_29</f>
        <v>233.766233766234</v>
      </c>
    </row>
    <row r="162" customFormat="false" ht="17.15" hidden="false" customHeight="false" outlineLevel="0" collapsed="false">
      <c r="A162" s="0" t="s">
        <v>531</v>
      </c>
      <c r="B162" s="0" t="s">
        <v>31</v>
      </c>
      <c r="C162" s="26" t="n">
        <f aca="false">C160*C161/1000</f>
        <v>0.5</v>
      </c>
      <c r="D162" s="26" t="n">
        <f aca="false">D160*D161/1000</f>
        <v>1.14285714285714</v>
      </c>
      <c r="E162" s="26" t="n">
        <f aca="false">E160*E161/1000</f>
        <v>1.63636363636364</v>
      </c>
      <c r="F162" s="26" t="n">
        <f aca="false">F160*F161/1000</f>
        <v>1.88181818181818</v>
      </c>
    </row>
    <row r="163" customFormat="false" ht="17.15" hidden="false" customHeight="false" outlineLevel="0" collapsed="false">
      <c r="A163" s="0" t="s">
        <v>579</v>
      </c>
      <c r="B163" s="0" t="s">
        <v>31</v>
      </c>
      <c r="C163" s="26" t="n">
        <f aca="false">mcp_26*1</f>
        <v>0.300538</v>
      </c>
      <c r="D163" s="26" t="n">
        <f aca="false">mcp_27*1</f>
        <v>2.818985</v>
      </c>
      <c r="E163" s="26" t="n">
        <f aca="false">mcp_28*um28_A</f>
        <v>6.4435</v>
      </c>
      <c r="F163" s="26" t="n">
        <f aca="false">mcp_29*um29_A</f>
        <v>11.74736</v>
      </c>
    </row>
    <row r="164" customFormat="false" ht="17.15" hidden="false" customHeight="false" outlineLevel="0" collapsed="false">
      <c r="A164" s="0" t="s">
        <v>532</v>
      </c>
      <c r="B164" s="0" t="s">
        <v>164</v>
      </c>
      <c r="C164" s="16" t="n">
        <f aca="false">c26_cpo/1000/C163</f>
        <v>0.166368312825666</v>
      </c>
      <c r="D164" s="16" t="n">
        <f aca="false">cpo_27</f>
        <v>0.25</v>
      </c>
      <c r="E164" s="16" t="n">
        <f aca="false">cpo_28</f>
        <v>0.25</v>
      </c>
      <c r="F164" s="16" t="n">
        <f aca="false">cpo_29</f>
        <v>0.2</v>
      </c>
    </row>
    <row r="165" customFormat="false" ht="17.15" hidden="false" customHeight="false" outlineLevel="0" collapsed="false">
      <c r="A165" s="0" t="s">
        <v>580</v>
      </c>
      <c r="B165" s="0" t="s">
        <v>31</v>
      </c>
      <c r="C165" s="26" t="n">
        <f aca="false">C163*C164</f>
        <v>0.05</v>
      </c>
      <c r="D165" s="26" t="n">
        <f aca="false">D163*D164</f>
        <v>0.70474625</v>
      </c>
      <c r="E165" s="26" t="n">
        <f aca="false">E163*E164</f>
        <v>1.610875</v>
      </c>
      <c r="F165" s="26" t="n">
        <f aca="false">F163*F164</f>
        <v>2.349472</v>
      </c>
    </row>
    <row r="166" customFormat="false" ht="17.15" hidden="false" customHeight="false" outlineLevel="0" collapsed="false">
      <c r="A166" s="0" t="s">
        <v>581</v>
      </c>
      <c r="B166" s="0" t="s">
        <v>31</v>
      </c>
      <c r="C166" s="26" t="n">
        <f aca="false">C156+C159+C162+C165</f>
        <v>3.4147</v>
      </c>
      <c r="D166" s="26" t="n">
        <f aca="false">D156+D159+D162+D165</f>
        <v>6.54250074529457</v>
      </c>
      <c r="E166" s="26" t="n">
        <f aca="false">E156+E159+E162+E165</f>
        <v>7.87909116636957</v>
      </c>
      <c r="F166" s="26" t="n">
        <f aca="false">F156+F159+F162+F165</f>
        <v>9.19984599318209</v>
      </c>
    </row>
    <row r="167" customFormat="false" ht="17.15" hidden="false" customHeight="false" outlineLevel="0" collapsed="false">
      <c r="A167" s="5" t="s">
        <v>582</v>
      </c>
      <c r="B167" s="0" t="s">
        <v>31</v>
      </c>
      <c r="C167" s="26" t="n">
        <f aca="false">c26_tel/1000</f>
        <v>0.75</v>
      </c>
      <c r="D167" s="26" t="n">
        <f aca="false">C167*(1+g_tel_27)</f>
        <v>0.9375</v>
      </c>
      <c r="E167" s="26" t="n">
        <f aca="false">D167*(1+g_tel_28)</f>
        <v>1.078125</v>
      </c>
      <c r="F167" s="26" t="n">
        <f aca="false">E167*(1+g_tel_29)</f>
        <v>1.1859375</v>
      </c>
    </row>
    <row r="168" customFormat="false" ht="17.15" hidden="false" customHeight="false" outlineLevel="0" collapsed="false">
      <c r="A168" s="5" t="s">
        <v>583</v>
      </c>
      <c r="B168" s="0" t="s">
        <v>31</v>
      </c>
      <c r="C168" s="26" t="n">
        <f aca="false">c26_ind/1000</f>
        <v>0.3</v>
      </c>
      <c r="D168" s="26" t="n">
        <f aca="false">C168*(1+g_ind)</f>
        <v>0.309</v>
      </c>
      <c r="E168" s="26" t="n">
        <f aca="false">D168*(1+g_ind)</f>
        <v>0.31827</v>
      </c>
      <c r="F168" s="26" t="n">
        <f aca="false">E168*(1+g_ind)</f>
        <v>0.3278181</v>
      </c>
    </row>
    <row r="169" customFormat="false" ht="17.15" hidden="false" customHeight="false" outlineLevel="0" collapsed="false">
      <c r="A169" s="5" t="s">
        <v>584</v>
      </c>
      <c r="B169" s="0" t="s">
        <v>31</v>
      </c>
      <c r="C169" s="26" t="n">
        <f aca="false">C156+C167+C165+C168/2</f>
        <v>2.8147</v>
      </c>
      <c r="D169" s="26" t="n">
        <f aca="false">D156+D167+D165+D168/2</f>
        <v>4.69148081692503</v>
      </c>
      <c r="E169" s="26" t="n">
        <f aca="false">E156+E167+E165+E168/2</f>
        <v>5.53090712329288</v>
      </c>
      <c r="F169" s="26" t="n">
        <f aca="false">F156+F167+F165+F168/2</f>
        <v>6.21655322555029</v>
      </c>
      <c r="H169" s="5" t="s">
        <v>585</v>
      </c>
    </row>
    <row r="170" customFormat="false" ht="17.15" hidden="false" customHeight="false" outlineLevel="0" collapsed="false">
      <c r="A170" s="5" t="s">
        <v>586</v>
      </c>
      <c r="B170" s="0" t="s">
        <v>31</v>
      </c>
      <c r="C170" s="26" t="n">
        <f aca="false">C159+C162+C168/2</f>
        <v>1.65</v>
      </c>
      <c r="D170" s="26" t="n">
        <f aca="false">D159+D162+D168/2</f>
        <v>3.09751992836953</v>
      </c>
      <c r="E170" s="26" t="n">
        <f aca="false">E159+E162+E168/2</f>
        <v>3.74457904307669</v>
      </c>
      <c r="F170" s="26" t="n">
        <f aca="false">F159+F162+F168/2</f>
        <v>4.49704836763179</v>
      </c>
    </row>
    <row r="171" customFormat="false" ht="15" hidden="false" customHeight="false" outlineLevel="0" collapsed="false">
      <c r="A171" s="5" t="s">
        <v>587</v>
      </c>
      <c r="B171" s="0" t="s">
        <v>31</v>
      </c>
      <c r="C171" s="26" t="n">
        <f aca="false">C166+C167+C168</f>
        <v>4.4647</v>
      </c>
      <c r="D171" s="26" t="n">
        <f aca="false">D166+D167+D168</f>
        <v>7.78900074529457</v>
      </c>
      <c r="E171" s="26" t="n">
        <f aca="false">E166+E167+E168</f>
        <v>9.27548616636957</v>
      </c>
      <c r="F171" s="26" t="n">
        <f aca="false">F166+F167+F168</f>
        <v>10.7136015931821</v>
      </c>
    </row>
    <row r="172" customFormat="false" ht="15" hidden="false" customHeight="false" outlineLevel="0" collapsed="false">
      <c r="A172" s="5" t="s">
        <v>588</v>
      </c>
      <c r="B172" s="0" t="s">
        <v>164</v>
      </c>
      <c r="D172" s="16" t="n">
        <f aca="false">D171/C171-1</f>
        <v>0.744574270453685</v>
      </c>
      <c r="E172" s="16" t="n">
        <f aca="false">E171/D171-1</f>
        <v>0.190844174969813</v>
      </c>
      <c r="F172" s="16" t="n">
        <f aca="false">F171/E171-1</f>
        <v>0.155044749247402</v>
      </c>
    </row>
    <row r="173" customFormat="false" ht="17.15" hidden="false" customHeight="false" outlineLevel="0" collapsed="false">
      <c r="A173" s="1" t="s">
        <v>589</v>
      </c>
    </row>
    <row r="174" customFormat="false" ht="17.15" hidden="false" customHeight="false" outlineLevel="0" collapsed="false">
      <c r="A174" s="6" t="s">
        <v>20</v>
      </c>
      <c r="B174" s="6" t="s">
        <v>21</v>
      </c>
      <c r="C174" s="14" t="s">
        <v>472</v>
      </c>
      <c r="D174" s="14" t="s">
        <v>539</v>
      </c>
      <c r="E174" s="14" t="s">
        <v>540</v>
      </c>
      <c r="F174" s="14" t="s">
        <v>541</v>
      </c>
      <c r="G174" s="14" t="s">
        <v>542</v>
      </c>
      <c r="H174" s="6" t="s">
        <v>480</v>
      </c>
    </row>
    <row r="175" customFormat="false" ht="17.15" hidden="false" customHeight="false" outlineLevel="0" collapsed="false">
      <c r="A175" s="0" t="s">
        <v>590</v>
      </c>
      <c r="B175" s="0" t="s">
        <v>31</v>
      </c>
      <c r="E175" s="26" t="n">
        <f aca="false">w2h_26*C166+h_1h*D166</f>
        <v>5.10175318530536</v>
      </c>
      <c r="F175" s="26" t="n">
        <f aca="false">(1-h_1h)*D166+h_1h*E166</f>
        <v>7.17069824319982</v>
      </c>
      <c r="G175" s="26" t="n">
        <f aca="false">(1-h_1h)*E166+h_1h*F166</f>
        <v>8.49984593497145</v>
      </c>
      <c r="H175" s="8" t="s">
        <v>591</v>
      </c>
    </row>
    <row r="176" customFormat="false" ht="17.15" hidden="false" customHeight="false" outlineLevel="0" collapsed="false">
      <c r="A176" s="5" t="s">
        <v>592</v>
      </c>
      <c r="B176" s="0" t="s">
        <v>31</v>
      </c>
      <c r="E176" s="26" t="n">
        <f aca="false">w2h_26*C167+h_1h*D167+w2h_26*C168+h_1h*D168</f>
        <v>1.20907716498309</v>
      </c>
      <c r="F176" s="26" t="n">
        <f aca="false">(1-h_1h)*D167+h_1h*E167+(1-h_1h)*D168+h_1h*E168</f>
        <v>1.31695065</v>
      </c>
      <c r="G176" s="26" t="n">
        <f aca="false">(1-h_1h)*E167+h_1h*F167+(1-h_1h)*E168+h_1h*F168</f>
        <v>1.451554482</v>
      </c>
    </row>
    <row r="177" customFormat="false" ht="15" hidden="false" customHeight="false" outlineLevel="0" collapsed="false">
      <c r="A177" s="5" t="s">
        <v>481</v>
      </c>
      <c r="B177" s="0" t="s">
        <v>31</v>
      </c>
      <c r="C177" s="26" t="n">
        <f aca="false">a25_rev/1000</f>
        <v>1.645</v>
      </c>
      <c r="D177" s="26" t="n">
        <f aca="false">a26_rev/1000</f>
        <v>3.014</v>
      </c>
      <c r="E177" s="26" t="n">
        <f aca="false">E175+E176</f>
        <v>6.31083035028845</v>
      </c>
      <c r="F177" s="26" t="n">
        <f aca="false">F175+F176</f>
        <v>8.48764889319982</v>
      </c>
      <c r="G177" s="26" t="n">
        <f aca="false">G175+G176</f>
        <v>9.95140041697145</v>
      </c>
    </row>
    <row r="178" customFormat="false" ht="17.15" hidden="false" customHeight="false" outlineLevel="0" collapsed="false">
      <c r="A178" s="5" t="s">
        <v>593</v>
      </c>
      <c r="B178" s="0" t="s">
        <v>31</v>
      </c>
      <c r="C178" s="26" t="n">
        <f aca="false">a25_cmp/1000</f>
        <v>1.1163</v>
      </c>
      <c r="D178" s="26" t="n">
        <f aca="false">a26_cmp/1000</f>
        <v>2.0056</v>
      </c>
      <c r="E178" s="26" t="n">
        <f aca="false">w2h_26*C169+h_1h*D169</f>
        <v>3.87564686755277</v>
      </c>
      <c r="F178" s="26" t="n">
        <f aca="false">(1-h_1h)*D169+h_1h*E169</f>
        <v>5.08601118091792</v>
      </c>
      <c r="G178" s="26" t="n">
        <f aca="false">(1-h_1h)*E169+h_1h*F169</f>
        <v>5.85316079135386</v>
      </c>
      <c r="H178" s="5" t="s">
        <v>594</v>
      </c>
    </row>
    <row r="179" customFormat="false" ht="17.15" hidden="false" customHeight="false" outlineLevel="0" collapsed="false">
      <c r="A179" s="5" t="s">
        <v>595</v>
      </c>
      <c r="B179" s="0" t="s">
        <v>31</v>
      </c>
      <c r="C179" s="26" t="n">
        <f aca="false">a25_sys/1000</f>
        <v>0.5287</v>
      </c>
      <c r="D179" s="26" t="n">
        <f aca="false">a26_sys/1000</f>
        <v>1.0084</v>
      </c>
      <c r="E179" s="26" t="n">
        <f aca="false">w2h_26*C170+h_1h*D170</f>
        <v>2.43518348273568</v>
      </c>
      <c r="F179" s="26" t="n">
        <f aca="false">(1-h_1h)*D170+h_1h*E170</f>
        <v>3.4016377122819</v>
      </c>
      <c r="G179" s="26" t="n">
        <f aca="false">(1-h_1h)*E170+h_1h*F170</f>
        <v>4.09823962561759</v>
      </c>
      <c r="H179" s="5" t="s">
        <v>596</v>
      </c>
    </row>
    <row r="180" customFormat="false" ht="15" hidden="false" customHeight="false" outlineLevel="0" collapsed="false">
      <c r="A180" s="5" t="s">
        <v>597</v>
      </c>
      <c r="B180" s="0" t="s">
        <v>31</v>
      </c>
      <c r="C180" s="17" t="n">
        <f aca="false">C178+C179-C177</f>
        <v>0</v>
      </c>
      <c r="D180" s="17" t="n">
        <f aca="false">D178+D179-D177</f>
        <v>0</v>
      </c>
      <c r="E180" s="17" t="n">
        <f aca="false">E178+E179-E177</f>
        <v>0</v>
      </c>
      <c r="F180" s="17" t="n">
        <f aca="false">F178+F179-F177</f>
        <v>0</v>
      </c>
      <c r="G180" s="17" t="n">
        <f aca="false">G178+G179-G177</f>
        <v>0</v>
      </c>
    </row>
    <row r="181" customFormat="false" ht="15" hidden="false" customHeight="false" outlineLevel="0" collapsed="false">
      <c r="A181" s="5" t="s">
        <v>598</v>
      </c>
      <c r="B181" s="0" t="s">
        <v>164</v>
      </c>
      <c r="D181" s="16" t="n">
        <f aca="false">D177/C177-1</f>
        <v>0.832218844984802</v>
      </c>
      <c r="E181" s="16" t="n">
        <f aca="false">E177/D177-1</f>
        <v>1.09383886870884</v>
      </c>
      <c r="F181" s="16" t="n">
        <f aca="false">F177/E177-1</f>
        <v>0.344933776077799</v>
      </c>
      <c r="G181" s="16" t="n">
        <f aca="false">G177/F177-1</f>
        <v>0.172456653449034</v>
      </c>
    </row>
    <row r="182" customFormat="false" ht="17.15" hidden="false" customHeight="false" outlineLevel="0" collapsed="false">
      <c r="A182" s="0" t="s">
        <v>599</v>
      </c>
      <c r="B182" s="0" t="s">
        <v>164</v>
      </c>
      <c r="E182" s="16" t="n">
        <f aca="false">E175/E177</f>
        <v>0.808412348633674</v>
      </c>
      <c r="F182" s="16" t="n">
        <f aca="false">F175/F177</f>
        <v>0.844839169648603</v>
      </c>
      <c r="G182" s="16" t="n">
        <f aca="false">G175/G177</f>
        <v>0.854135657176002</v>
      </c>
    </row>
    <row r="183" customFormat="false" ht="17.15" hidden="false" customHeight="false" outlineLevel="0" collapsed="false">
      <c r="A183" s="5" t="s">
        <v>484</v>
      </c>
      <c r="B183" s="0" t="s">
        <v>164</v>
      </c>
      <c r="C183" s="16" t="n">
        <f aca="false">a25_gm</f>
        <v>0.347</v>
      </c>
      <c r="D183" s="16" t="n">
        <f aca="false">a26_gm</f>
        <v>0.46</v>
      </c>
      <c r="E183" s="16" t="n">
        <f aca="false">gm_27</f>
        <v>0.52</v>
      </c>
      <c r="F183" s="16" t="n">
        <f aca="false">gm_28</f>
        <v>0.51</v>
      </c>
      <c r="G183" s="16" t="n">
        <f aca="false">gm_29</f>
        <v>0.49</v>
      </c>
    </row>
    <row r="184" customFormat="false" ht="15" hidden="false" customHeight="false" outlineLevel="0" collapsed="false">
      <c r="A184" s="5" t="s">
        <v>485</v>
      </c>
      <c r="B184" s="0" t="s">
        <v>31</v>
      </c>
      <c r="C184" s="26" t="n">
        <f aca="false">C177*C183</f>
        <v>0.570815</v>
      </c>
      <c r="D184" s="26" t="n">
        <f aca="false">D177*D183</f>
        <v>1.38644</v>
      </c>
      <c r="E184" s="26" t="n">
        <f aca="false">E177*E183</f>
        <v>3.28163178214999</v>
      </c>
      <c r="F184" s="26" t="n">
        <f aca="false">F177*F183</f>
        <v>4.32870093553191</v>
      </c>
      <c r="G184" s="26" t="n">
        <f aca="false">G177*G183</f>
        <v>4.87618620431601</v>
      </c>
    </row>
    <row r="185" customFormat="false" ht="15" hidden="false" customHeight="false" outlineLevel="0" collapsed="false">
      <c r="A185" s="5" t="s">
        <v>600</v>
      </c>
      <c r="B185" s="0" t="s">
        <v>31</v>
      </c>
      <c r="C185" s="26" t="n">
        <f aca="false">a25_opx/1000</f>
        <v>0.4114</v>
      </c>
      <c r="D185" s="26" t="n">
        <f aca="false">a26_opx/1000</f>
        <v>0.4897</v>
      </c>
      <c r="E185" s="26" t="n">
        <f aca="false">D185*(1+MAX(0,phi*E181))</f>
        <v>0.612202057918346</v>
      </c>
      <c r="F185" s="26" t="n">
        <f aca="false">E185*(1+MAX(0,phi*F181))</f>
        <v>0.660495753116276</v>
      </c>
      <c r="G185" s="26" t="n">
        <f aca="false">F185*(1+MAX(0,phi*G181))</f>
        <v>0.68654588417907</v>
      </c>
    </row>
    <row r="186" customFormat="false" ht="15" hidden="false" customHeight="false" outlineLevel="0" collapsed="false">
      <c r="A186" s="5" t="s">
        <v>601</v>
      </c>
      <c r="B186" s="0" t="s">
        <v>31</v>
      </c>
      <c r="C186" s="26" t="n">
        <f aca="false">C185</f>
        <v>0.4114</v>
      </c>
      <c r="D186" s="26" t="n">
        <f aca="false">D185</f>
        <v>0.4897</v>
      </c>
      <c r="E186" s="26" t="n">
        <f aca="false">E185+0*E177</f>
        <v>0.612202057918346</v>
      </c>
      <c r="F186" s="26" t="n">
        <f aca="false">F185+0*F177</f>
        <v>0.660495753116276</v>
      </c>
      <c r="G186" s="26" t="n">
        <f aca="false">G185+0*G177</f>
        <v>0.68654588417907</v>
      </c>
    </row>
    <row r="187" customFormat="false" ht="15" hidden="false" customHeight="false" outlineLevel="0" collapsed="false">
      <c r="A187" s="5" t="s">
        <v>602</v>
      </c>
      <c r="B187" s="0" t="s">
        <v>31</v>
      </c>
      <c r="C187" s="26" t="n">
        <f aca="false">C184-C186</f>
        <v>0.159415</v>
      </c>
      <c r="D187" s="26" t="n">
        <f aca="false">D184-D186</f>
        <v>0.89674</v>
      </c>
      <c r="E187" s="26" t="n">
        <f aca="false">E184-E186</f>
        <v>2.66942972423165</v>
      </c>
      <c r="F187" s="26" t="n">
        <f aca="false">F184-F186</f>
        <v>3.66820518241563</v>
      </c>
      <c r="G187" s="26" t="n">
        <f aca="false">G184-G186</f>
        <v>4.18964032013694</v>
      </c>
    </row>
    <row r="188" customFormat="false" ht="15" hidden="false" customHeight="false" outlineLevel="0" collapsed="false">
      <c r="A188" s="5" t="s">
        <v>489</v>
      </c>
      <c r="B188" s="0" t="s">
        <v>164</v>
      </c>
      <c r="C188" s="16" t="n">
        <f aca="false">C187/C177</f>
        <v>0.0969088145896656</v>
      </c>
      <c r="D188" s="16" t="n">
        <f aca="false">D187/D177</f>
        <v>0.297524883875249</v>
      </c>
      <c r="E188" s="16" t="n">
        <f aca="false">E187/E177</f>
        <v>0.422991837216736</v>
      </c>
      <c r="F188" s="16" t="n">
        <f aca="false">F187/F177</f>
        <v>0.432181541504921</v>
      </c>
      <c r="G188" s="16" t="n">
        <f aca="false">G187/G177</f>
        <v>0.42101012365976</v>
      </c>
    </row>
    <row r="189" customFormat="false" ht="17.15" hidden="false" customHeight="false" outlineLevel="0" collapsed="false">
      <c r="A189" s="5" t="s">
        <v>490</v>
      </c>
      <c r="B189" s="0" t="s">
        <v>31</v>
      </c>
      <c r="C189" s="26" t="n">
        <f aca="false">a25_ni/1000</f>
        <v>0.1464</v>
      </c>
      <c r="D189" s="26" t="n">
        <f aca="false">a26_ni/1000</f>
        <v>0.7823</v>
      </c>
      <c r="E189" s="26" t="n">
        <f aca="false">(E187+oi_oth)*(1-tx)</f>
        <v>2.27257381973342</v>
      </c>
      <c r="F189" s="26" t="n">
        <f aca="false">(F187+oi_oth)*(1-tx)</f>
        <v>3.10655132731705</v>
      </c>
      <c r="G189" s="26" t="n">
        <f aca="false">(G187+oi_oth)*(1-tx)</f>
        <v>3.54194966731435</v>
      </c>
    </row>
    <row r="190" customFormat="false" ht="15" hidden="false" customHeight="false" outlineLevel="0" collapsed="false">
      <c r="A190" s="5" t="s">
        <v>552</v>
      </c>
      <c r="B190" s="0" t="s">
        <v>164</v>
      </c>
      <c r="C190" s="16" t="n">
        <f aca="false">C189/C177</f>
        <v>0.0889969604863222</v>
      </c>
      <c r="D190" s="16" t="n">
        <f aca="false">D189/D177</f>
        <v>0.259555408095554</v>
      </c>
      <c r="E190" s="16" t="n">
        <f aca="false">E189/E177</f>
        <v>0.360106942128393</v>
      </c>
      <c r="F190" s="16" t="n">
        <f aca="false">F189/F177</f>
        <v>0.366008463168873</v>
      </c>
      <c r="G190" s="16" t="n">
        <f aca="false">G189/G177</f>
        <v>0.35592474615671</v>
      </c>
    </row>
    <row r="191" customFormat="false" ht="17.15" hidden="false" customHeight="false" outlineLevel="0" collapsed="false">
      <c r="A191" s="5" t="s">
        <v>494</v>
      </c>
      <c r="B191" s="5" t="s">
        <v>238</v>
      </c>
      <c r="C191" s="15" t="n">
        <f aca="false">a25_sh</f>
        <v>71.0679611650485</v>
      </c>
      <c r="D191" s="15" t="n">
        <f aca="false">a26_sh</f>
        <v>90.2306805074971</v>
      </c>
      <c r="E191" s="15" t="n">
        <f aca="false">sh_q1</f>
        <v>102</v>
      </c>
      <c r="F191" s="15" t="n">
        <f aca="false">E191*(1+sh_g)</f>
        <v>103.02</v>
      </c>
      <c r="G191" s="15" t="n">
        <f aca="false">F191*(1+sh_g)</f>
        <v>104.0502</v>
      </c>
    </row>
    <row r="192" customFormat="false" ht="17.15" hidden="false" customHeight="false" outlineLevel="0" collapsed="false">
      <c r="A192" s="0" t="s">
        <v>496</v>
      </c>
      <c r="B192" s="0" t="s">
        <v>233</v>
      </c>
      <c r="C192" s="9" t="n">
        <f aca="false">C189*1000/C191</f>
        <v>2.06</v>
      </c>
      <c r="D192" s="9" t="n">
        <f aca="false">D189*1000/D191</f>
        <v>8.67</v>
      </c>
      <c r="E192" s="9" t="n">
        <f aca="false">E189*1000/E191</f>
        <v>22.2801354875826</v>
      </c>
      <c r="F192" s="9" t="n">
        <f aca="false">F189*1000/F191</f>
        <v>30.1548371900316</v>
      </c>
      <c r="G192" s="9" t="n">
        <f aca="false">G189*1000/G191</f>
        <v>34.0407771182982</v>
      </c>
    </row>
    <row r="193" customFormat="false" ht="17.15" hidden="false" customHeight="false" outlineLevel="0" collapsed="false">
      <c r="A193" s="0" t="s">
        <v>603</v>
      </c>
      <c r="B193" s="0" t="s">
        <v>164</v>
      </c>
      <c r="D193" s="16" t="n">
        <f aca="false">D192/C192-1</f>
        <v>3.20873786407767</v>
      </c>
      <c r="E193" s="16" t="n">
        <f aca="false">E192/D192-1</f>
        <v>1.56979648069003</v>
      </c>
      <c r="F193" s="16" t="n">
        <f aca="false">F192/E192-1</f>
        <v>0.353440476465585</v>
      </c>
      <c r="G193" s="16" t="n">
        <f aca="false">G192/F192-1</f>
        <v>0.128866221488046</v>
      </c>
    </row>
    <row r="196" customFormat="false" ht="17.15" hidden="false" customHeight="false" outlineLevel="0" collapsed="false">
      <c r="A196" s="3" t="s">
        <v>897</v>
      </c>
    </row>
    <row r="197" customFormat="false" ht="17.15" hidden="false" customHeight="false" outlineLevel="0" collapsed="false">
      <c r="A197" s="1" t="s">
        <v>561</v>
      </c>
    </row>
    <row r="198" customFormat="false" ht="17.15" hidden="false" customHeight="false" outlineLevel="0" collapsed="false">
      <c r="A198" s="6" t="s">
        <v>20</v>
      </c>
      <c r="B198" s="6" t="s">
        <v>21</v>
      </c>
      <c r="C198" s="14" t="s">
        <v>562</v>
      </c>
      <c r="D198" s="14" t="s">
        <v>517</v>
      </c>
      <c r="E198" s="14" t="s">
        <v>518</v>
      </c>
      <c r="F198" s="14" t="s">
        <v>519</v>
      </c>
      <c r="G198" s="14"/>
      <c r="H198" s="6" t="s">
        <v>480</v>
      </c>
    </row>
    <row r="199" customFormat="false" ht="17.15" hidden="false" customHeight="false" outlineLevel="0" collapsed="false">
      <c r="A199" s="0" t="s">
        <v>563</v>
      </c>
      <c r="B199" s="0" t="s">
        <v>31</v>
      </c>
      <c r="C199" s="26" t="n">
        <f aca="false">mpl_26*1</f>
        <v>29.753262</v>
      </c>
      <c r="D199" s="26" t="n">
        <f aca="false">mpl_27*1*1</f>
        <v>53.560715</v>
      </c>
      <c r="E199" s="26" t="n">
        <f aca="false">mpl_28*um28_A*1</f>
        <v>57.9915</v>
      </c>
      <c r="F199" s="26" t="n">
        <f aca="false">mpl_29*um29_A*1</f>
        <v>72.9348</v>
      </c>
    </row>
    <row r="200" customFormat="false" ht="17.15" hidden="false" customHeight="false" outlineLevel="0" collapsed="false">
      <c r="A200" s="5" t="s">
        <v>564</v>
      </c>
      <c r="B200" s="0" t="s">
        <v>97</v>
      </c>
      <c r="C200" s="20" t="n">
        <f aca="false">asp_26</f>
        <v>500</v>
      </c>
      <c r="D200" s="20" t="n">
        <f aca="false">asp_27</f>
        <v>520</v>
      </c>
      <c r="E200" s="20" t="n">
        <f aca="false">asp_28</f>
        <v>540</v>
      </c>
      <c r="F200" s="20" t="n">
        <f aca="false">asp_29</f>
        <v>560</v>
      </c>
    </row>
    <row r="201" customFormat="false" ht="17.15" hidden="false" customHeight="false" outlineLevel="0" collapsed="false">
      <c r="A201" s="5" t="s">
        <v>565</v>
      </c>
      <c r="B201" s="5" t="s">
        <v>349</v>
      </c>
      <c r="C201" s="15" t="n">
        <f aca="false">C199*1000/C200</f>
        <v>59.506524</v>
      </c>
      <c r="D201" s="15" t="n">
        <f aca="false">D199*1000/D200</f>
        <v>103.001375</v>
      </c>
      <c r="E201" s="15" t="n">
        <f aca="false">E199*1000/E200</f>
        <v>107.391666666667</v>
      </c>
      <c r="F201" s="15" t="n">
        <f aca="false">F199*1000/F200</f>
        <v>130.240714285714</v>
      </c>
    </row>
    <row r="202" customFormat="false" ht="17.15" hidden="false" customHeight="false" outlineLevel="0" collapsed="false">
      <c r="A202" s="5" t="s">
        <v>566</v>
      </c>
      <c r="B202" s="5" t="s">
        <v>109</v>
      </c>
      <c r="C202" s="18" t="n">
        <f aca="false">lpm_26</f>
        <v>5.5</v>
      </c>
      <c r="D202" s="18" t="n">
        <f aca="false">lpm_27</f>
        <v>5.5</v>
      </c>
      <c r="E202" s="18" t="n">
        <f aca="false">lpm_28</f>
        <v>5</v>
      </c>
      <c r="F202" s="18" t="n">
        <f aca="false">lpm_29</f>
        <v>4.8</v>
      </c>
    </row>
    <row r="203" customFormat="false" ht="17.15" hidden="false" customHeight="false" outlineLevel="0" collapsed="false">
      <c r="A203" s="5" t="s">
        <v>567</v>
      </c>
      <c r="B203" s="0" t="s">
        <v>121</v>
      </c>
      <c r="C203" s="18" t="n">
        <f aca="false">lasp_26</f>
        <v>13</v>
      </c>
      <c r="D203" s="18" t="n">
        <f aca="false">LALO_27</f>
        <v>12</v>
      </c>
      <c r="E203" s="18" t="n">
        <f aca="false">LALO_28</f>
        <v>11</v>
      </c>
      <c r="F203" s="18" t="n">
        <f aca="false">LALO_29</f>
        <v>10</v>
      </c>
    </row>
    <row r="204" customFormat="false" ht="17.15" hidden="false" customHeight="false" outlineLevel="0" collapsed="false">
      <c r="A204" s="5" t="s">
        <v>568</v>
      </c>
      <c r="B204" s="0" t="s">
        <v>31</v>
      </c>
      <c r="C204" s="26" t="n">
        <f aca="false">C201*C202*C203/1000</f>
        <v>4.254716466</v>
      </c>
      <c r="D204" s="26" t="n">
        <f aca="false">D201*D202*D203/1000</f>
        <v>6.79809075</v>
      </c>
      <c r="E204" s="26" t="n">
        <f aca="false">E201*E202*E203/1000</f>
        <v>5.90654166666667</v>
      </c>
      <c r="F204" s="26" t="n">
        <f aca="false">F201*F202*F203/1000</f>
        <v>6.25155428571428</v>
      </c>
    </row>
    <row r="205" customFormat="false" ht="17.15" hidden="false" customHeight="false" outlineLevel="0" collapsed="false">
      <c r="A205" s="0" t="s">
        <v>569</v>
      </c>
      <c r="B205" s="0" t="s">
        <v>164</v>
      </c>
      <c r="C205" s="16" t="n">
        <f aca="false">c26_las/1000/C204</f>
        <v>0.43826657190933</v>
      </c>
      <c r="H205" s="8" t="s">
        <v>570</v>
      </c>
    </row>
    <row r="206" customFormat="false" ht="17.15" hidden="false" customHeight="false" outlineLevel="0" collapsed="false">
      <c r="A206" s="5" t="s">
        <v>571</v>
      </c>
      <c r="B206" s="0" t="s">
        <v>75</v>
      </c>
      <c r="C206" s="9" t="n">
        <f aca="false">1</f>
        <v>1</v>
      </c>
      <c r="D206" s="9" t="n">
        <f aca="false">lrel_27</f>
        <v>0.95</v>
      </c>
      <c r="E206" s="9" t="n">
        <f aca="false">lrel_28</f>
        <v>0.95</v>
      </c>
      <c r="F206" s="9" t="n">
        <f aca="false">lrel_29</f>
        <v>0.9</v>
      </c>
    </row>
    <row r="207" customFormat="false" ht="15" hidden="false" customHeight="false" outlineLevel="0" collapsed="false">
      <c r="A207" s="5" t="s">
        <v>572</v>
      </c>
      <c r="B207" s="0" t="s">
        <v>164</v>
      </c>
      <c r="C207" s="16" t="n">
        <f aca="false">$C$205*C206</f>
        <v>0.43826657190933</v>
      </c>
      <c r="D207" s="16" t="n">
        <f aca="false">$C$205*D206</f>
        <v>0.416353243313864</v>
      </c>
      <c r="E207" s="16" t="n">
        <f aca="false">$C$205*E206</f>
        <v>0.416353243313864</v>
      </c>
      <c r="F207" s="16" t="n">
        <f aca="false">$C$205*F206</f>
        <v>0.394439914718397</v>
      </c>
    </row>
    <row r="208" customFormat="false" ht="17.15" hidden="false" customHeight="false" outlineLevel="0" collapsed="false">
      <c r="A208" s="5" t="s">
        <v>573</v>
      </c>
      <c r="B208" s="0" t="s">
        <v>31</v>
      </c>
      <c r="C208" s="26" t="n">
        <f aca="false">C204*C207</f>
        <v>1.8647</v>
      </c>
      <c r="D208" s="26" t="n">
        <f aca="false">D204*D207</f>
        <v>2.83040713210448</v>
      </c>
      <c r="E208" s="26" t="n">
        <f aca="false">E204*E207</f>
        <v>2.45920777968514</v>
      </c>
      <c r="F208" s="26" t="n">
        <f aca="false">F204*F207</f>
        <v>2.46586253931457</v>
      </c>
    </row>
    <row r="209" customFormat="false" ht="17.15" hidden="false" customHeight="false" outlineLevel="0" collapsed="false">
      <c r="A209" s="5" t="s">
        <v>574</v>
      </c>
      <c r="B209" s="0" t="s">
        <v>164</v>
      </c>
      <c r="C209" s="16" t="n">
        <f aca="false">c26_xcvr/1000/C199</f>
        <v>0.0336097601668012</v>
      </c>
    </row>
    <row r="210" customFormat="false" ht="15" hidden="false" customHeight="false" outlineLevel="0" collapsed="false">
      <c r="A210" s="5" t="s">
        <v>575</v>
      </c>
      <c r="B210" s="0" t="s">
        <v>164</v>
      </c>
      <c r="C210" s="16" t="n">
        <f aca="false">C209</f>
        <v>0.0336097601668012</v>
      </c>
      <c r="D210" s="16" t="n">
        <f aca="false">$C$209*mrel_27</f>
        <v>0.0336097601668012</v>
      </c>
      <c r="E210" s="16" t="n">
        <f aca="false">$C$209*mrel_28</f>
        <v>0.0336097601668012</v>
      </c>
      <c r="F210" s="16" t="n">
        <f aca="false">$C$209*mrel_29</f>
        <v>0.0336097601668012</v>
      </c>
    </row>
    <row r="211" customFormat="false" ht="15" hidden="false" customHeight="false" outlineLevel="0" collapsed="false">
      <c r="A211" s="5" t="s">
        <v>576</v>
      </c>
      <c r="B211" s="0" t="s">
        <v>31</v>
      </c>
      <c r="C211" s="26" t="n">
        <f aca="false">C199*C210</f>
        <v>1</v>
      </c>
      <c r="D211" s="26" t="n">
        <f aca="false">D199*D210</f>
        <v>1.80016278551239</v>
      </c>
      <c r="E211" s="26" t="n">
        <f aca="false">E199*E210</f>
        <v>1.94908040671305</v>
      </c>
      <c r="F211" s="26" t="n">
        <f aca="false">F199*F210</f>
        <v>2.45132113581361</v>
      </c>
    </row>
    <row r="212" customFormat="false" ht="17.15" hidden="false" customHeight="false" outlineLevel="0" collapsed="false">
      <c r="A212" s="0" t="s">
        <v>577</v>
      </c>
      <c r="B212" s="5" t="s">
        <v>54</v>
      </c>
      <c r="C212" s="19" t="n">
        <f aca="false">tpu_26*1</f>
        <v>3.85</v>
      </c>
      <c r="D212" s="19" t="n">
        <f aca="false">tpu_27*1</f>
        <v>5.5</v>
      </c>
      <c r="E212" s="19" t="n">
        <f aca="false">tpu_28*um28_A</f>
        <v>7</v>
      </c>
      <c r="F212" s="19" t="n">
        <f aca="false">tpu_29*um29_A</f>
        <v>8.05</v>
      </c>
    </row>
    <row r="213" customFormat="false" ht="17.15" hidden="false" customHeight="false" outlineLevel="0" collapsed="false">
      <c r="A213" s="0" t="s">
        <v>578</v>
      </c>
      <c r="B213" s="0" t="s">
        <v>121</v>
      </c>
      <c r="C213" s="20" t="n">
        <f aca="false">c26_ocs/C212</f>
        <v>129.87012987013</v>
      </c>
      <c r="D213" s="20" t="n">
        <f aca="false">$C213*ocsk_27</f>
        <v>207.792207792208</v>
      </c>
      <c r="E213" s="20" t="n">
        <f aca="false">$C213*ocsk_28</f>
        <v>233.766233766234</v>
      </c>
      <c r="F213" s="20" t="n">
        <f aca="false">$C213*ocsk_29</f>
        <v>233.766233766234</v>
      </c>
    </row>
    <row r="214" customFormat="false" ht="17.15" hidden="false" customHeight="false" outlineLevel="0" collapsed="false">
      <c r="A214" s="0" t="s">
        <v>531</v>
      </c>
      <c r="B214" s="0" t="s">
        <v>31</v>
      </c>
      <c r="C214" s="26" t="n">
        <f aca="false">C212*C213/1000</f>
        <v>0.5</v>
      </c>
      <c r="D214" s="26" t="n">
        <f aca="false">D212*D213/1000</f>
        <v>1.14285714285714</v>
      </c>
      <c r="E214" s="26" t="n">
        <f aca="false">E212*E213/1000</f>
        <v>1.63636363636364</v>
      </c>
      <c r="F214" s="26" t="n">
        <f aca="false">F212*F213/1000</f>
        <v>1.88181818181818</v>
      </c>
    </row>
    <row r="215" customFormat="false" ht="17.15" hidden="false" customHeight="false" outlineLevel="0" collapsed="false">
      <c r="A215" s="0" t="s">
        <v>579</v>
      </c>
      <c r="B215" s="0" t="s">
        <v>31</v>
      </c>
      <c r="C215" s="26" t="n">
        <f aca="false">mcp_26*1</f>
        <v>0.300538</v>
      </c>
      <c r="D215" s="26" t="n">
        <f aca="false">mcp_27*1</f>
        <v>2.818985</v>
      </c>
      <c r="E215" s="26" t="n">
        <f aca="false">mcp_28*um28_A</f>
        <v>6.4435</v>
      </c>
      <c r="F215" s="26" t="n">
        <f aca="false">mcp_29*um29_A</f>
        <v>11.74736</v>
      </c>
    </row>
    <row r="216" customFormat="false" ht="17.15" hidden="false" customHeight="false" outlineLevel="0" collapsed="false">
      <c r="A216" s="0" t="s">
        <v>532</v>
      </c>
      <c r="B216" s="0" t="s">
        <v>164</v>
      </c>
      <c r="C216" s="16" t="n">
        <f aca="false">c26_cpo/1000/C215</f>
        <v>0.166368312825666</v>
      </c>
      <c r="D216" s="16" t="n">
        <f aca="false">cpo_27</f>
        <v>0.25</v>
      </c>
      <c r="E216" s="16" t="n">
        <f aca="false">cpo_28</f>
        <v>0.25</v>
      </c>
      <c r="F216" s="16" t="n">
        <f aca="false">cpo_29</f>
        <v>0.2</v>
      </c>
    </row>
    <row r="217" customFormat="false" ht="17.15" hidden="false" customHeight="false" outlineLevel="0" collapsed="false">
      <c r="A217" s="0" t="s">
        <v>580</v>
      </c>
      <c r="B217" s="0" t="s">
        <v>31</v>
      </c>
      <c r="C217" s="26" t="n">
        <f aca="false">C215*C216</f>
        <v>0.05</v>
      </c>
      <c r="D217" s="26" t="n">
        <f aca="false">D215*D216</f>
        <v>0.70474625</v>
      </c>
      <c r="E217" s="26" t="n">
        <f aca="false">E215*E216</f>
        <v>1.610875</v>
      </c>
      <c r="F217" s="26" t="n">
        <f aca="false">F215*F216</f>
        <v>2.349472</v>
      </c>
    </row>
    <row r="218" customFormat="false" ht="17.15" hidden="false" customHeight="false" outlineLevel="0" collapsed="false">
      <c r="A218" s="0" t="s">
        <v>581</v>
      </c>
      <c r="B218" s="0" t="s">
        <v>31</v>
      </c>
      <c r="C218" s="26" t="n">
        <f aca="false">C208+C211+C214+C217</f>
        <v>3.4147</v>
      </c>
      <c r="D218" s="26" t="n">
        <f aca="false">D208+D211+D214+D217</f>
        <v>6.47817331047401</v>
      </c>
      <c r="E218" s="26" t="n">
        <f aca="false">E208+E211+E214+E217</f>
        <v>7.65552682276183</v>
      </c>
      <c r="F218" s="26" t="n">
        <f aca="false">F208+F211+F214+F217</f>
        <v>9.14847385694637</v>
      </c>
    </row>
    <row r="219" customFormat="false" ht="17.15" hidden="false" customHeight="false" outlineLevel="0" collapsed="false">
      <c r="A219" s="5" t="s">
        <v>582</v>
      </c>
      <c r="B219" s="0" t="s">
        <v>31</v>
      </c>
      <c r="C219" s="26" t="n">
        <f aca="false">c26_tel/1000</f>
        <v>0.75</v>
      </c>
      <c r="D219" s="26" t="n">
        <f aca="false">C219*(1+g_tel_27)</f>
        <v>0.9375</v>
      </c>
      <c r="E219" s="26" t="n">
        <f aca="false">D219*(1+g_tel_28)</f>
        <v>1.078125</v>
      </c>
      <c r="F219" s="26" t="n">
        <f aca="false">E219*(1+g_tel_29)</f>
        <v>1.1859375</v>
      </c>
    </row>
    <row r="220" customFormat="false" ht="17.15" hidden="false" customHeight="false" outlineLevel="0" collapsed="false">
      <c r="A220" s="5" t="s">
        <v>583</v>
      </c>
      <c r="B220" s="0" t="s">
        <v>31</v>
      </c>
      <c r="C220" s="26" t="n">
        <f aca="false">c26_ind/1000</f>
        <v>0.3</v>
      </c>
      <c r="D220" s="26" t="n">
        <f aca="false">C220*(1+g_ind)</f>
        <v>0.309</v>
      </c>
      <c r="E220" s="26" t="n">
        <f aca="false">D220*(1+g_ind)</f>
        <v>0.31827</v>
      </c>
      <c r="F220" s="26" t="n">
        <f aca="false">E220*(1+g_ind)</f>
        <v>0.3278181</v>
      </c>
    </row>
    <row r="221" customFormat="false" ht="17.15" hidden="false" customHeight="false" outlineLevel="0" collapsed="false">
      <c r="A221" s="5" t="s">
        <v>584</v>
      </c>
      <c r="B221" s="0" t="s">
        <v>31</v>
      </c>
      <c r="C221" s="26" t="n">
        <f aca="false">C208+C219+C217+C220/2</f>
        <v>2.8147</v>
      </c>
      <c r="D221" s="26" t="n">
        <f aca="false">D208+D219+D217+D220/2</f>
        <v>4.62715338210448</v>
      </c>
      <c r="E221" s="26" t="n">
        <f aca="false">E208+E219+E217+E220/2</f>
        <v>5.30734277968514</v>
      </c>
      <c r="F221" s="26" t="n">
        <f aca="false">F208+F219+F217+F220/2</f>
        <v>6.16518108931457</v>
      </c>
      <c r="H221" s="5" t="s">
        <v>585</v>
      </c>
    </row>
    <row r="222" customFormat="false" ht="17.15" hidden="false" customHeight="false" outlineLevel="0" collapsed="false">
      <c r="A222" s="5" t="s">
        <v>586</v>
      </c>
      <c r="B222" s="0" t="s">
        <v>31</v>
      </c>
      <c r="C222" s="26" t="n">
        <f aca="false">C211+C214+C220/2</f>
        <v>1.65</v>
      </c>
      <c r="D222" s="26" t="n">
        <f aca="false">D211+D214+D220/2</f>
        <v>3.09751992836953</v>
      </c>
      <c r="E222" s="26" t="n">
        <f aca="false">E211+E214+E220/2</f>
        <v>3.74457904307669</v>
      </c>
      <c r="F222" s="26" t="n">
        <f aca="false">F211+F214+F220/2</f>
        <v>4.49704836763179</v>
      </c>
    </row>
    <row r="223" customFormat="false" ht="15" hidden="false" customHeight="false" outlineLevel="0" collapsed="false">
      <c r="A223" s="5" t="s">
        <v>587</v>
      </c>
      <c r="B223" s="0" t="s">
        <v>31</v>
      </c>
      <c r="C223" s="26" t="n">
        <f aca="false">C218+C219+C220</f>
        <v>4.4647</v>
      </c>
      <c r="D223" s="26" t="n">
        <f aca="false">D218+D219+D220</f>
        <v>7.72467331047401</v>
      </c>
      <c r="E223" s="26" t="n">
        <f aca="false">E218+E219+E220</f>
        <v>9.05192182276183</v>
      </c>
      <c r="F223" s="26" t="n">
        <f aca="false">F218+F219+F220</f>
        <v>10.6622294569464</v>
      </c>
    </row>
    <row r="224" customFormat="false" ht="15" hidden="false" customHeight="false" outlineLevel="0" collapsed="false">
      <c r="A224" s="5" t="s">
        <v>588</v>
      </c>
      <c r="B224" s="0" t="s">
        <v>164</v>
      </c>
      <c r="D224" s="16" t="n">
        <f aca="false">D223/C223-1</f>
        <v>0.730166262117054</v>
      </c>
      <c r="E224" s="16" t="n">
        <f aca="false">E223/D223-1</f>
        <v>0.171819371375638</v>
      </c>
      <c r="F224" s="16" t="n">
        <f aca="false">F223/E223-1</f>
        <v>0.177896767748842</v>
      </c>
    </row>
    <row r="225" customFormat="false" ht="17.15" hidden="false" customHeight="false" outlineLevel="0" collapsed="false">
      <c r="A225" s="1" t="s">
        <v>589</v>
      </c>
    </row>
    <row r="226" customFormat="false" ht="17.15" hidden="false" customHeight="false" outlineLevel="0" collapsed="false">
      <c r="A226" s="6" t="s">
        <v>20</v>
      </c>
      <c r="B226" s="6" t="s">
        <v>21</v>
      </c>
      <c r="C226" s="14" t="s">
        <v>472</v>
      </c>
      <c r="D226" s="14" t="s">
        <v>539</v>
      </c>
      <c r="E226" s="14" t="s">
        <v>540</v>
      </c>
      <c r="F226" s="14" t="s">
        <v>541</v>
      </c>
      <c r="G226" s="14" t="s">
        <v>542</v>
      </c>
      <c r="H226" s="6" t="s">
        <v>480</v>
      </c>
    </row>
    <row r="227" customFormat="false" ht="17.15" hidden="false" customHeight="false" outlineLevel="0" collapsed="false">
      <c r="A227" s="0" t="s">
        <v>590</v>
      </c>
      <c r="B227" s="0" t="s">
        <v>31</v>
      </c>
      <c r="E227" s="26" t="n">
        <f aca="false">w2h_26*C218+h_1h*D218</f>
        <v>5.0715192909397</v>
      </c>
      <c r="F227" s="26" t="n">
        <f aca="false">(1-h_1h)*D218+h_1h*E218</f>
        <v>7.03152946124929</v>
      </c>
      <c r="G227" s="26" t="n">
        <f aca="false">(1-h_1h)*E218+h_1h*F218</f>
        <v>8.35721192882856</v>
      </c>
      <c r="H227" s="8" t="s">
        <v>591</v>
      </c>
    </row>
    <row r="228" customFormat="false" ht="17.15" hidden="false" customHeight="false" outlineLevel="0" collapsed="false">
      <c r="A228" s="5" t="s">
        <v>592</v>
      </c>
      <c r="B228" s="0" t="s">
        <v>31</v>
      </c>
      <c r="E228" s="26" t="n">
        <f aca="false">w2h_26*C219+h_1h*D219+w2h_26*C220+h_1h*D220</f>
        <v>1.20907716498309</v>
      </c>
      <c r="F228" s="26" t="n">
        <f aca="false">(1-h_1h)*D219+h_1h*E219+(1-h_1h)*D220+h_1h*E220</f>
        <v>1.31695065</v>
      </c>
      <c r="G228" s="26" t="n">
        <f aca="false">(1-h_1h)*E219+h_1h*F219+(1-h_1h)*E220+h_1h*F220</f>
        <v>1.451554482</v>
      </c>
    </row>
    <row r="229" customFormat="false" ht="15" hidden="false" customHeight="false" outlineLevel="0" collapsed="false">
      <c r="A229" s="5" t="s">
        <v>481</v>
      </c>
      <c r="B229" s="0" t="s">
        <v>31</v>
      </c>
      <c r="C229" s="26" t="n">
        <f aca="false">a25_rev/1000</f>
        <v>1.645</v>
      </c>
      <c r="D229" s="26" t="n">
        <f aca="false">a26_rev/1000</f>
        <v>3.014</v>
      </c>
      <c r="E229" s="26" t="n">
        <f aca="false">E227+E228</f>
        <v>6.28059645592279</v>
      </c>
      <c r="F229" s="26" t="n">
        <f aca="false">F227+F228</f>
        <v>8.34848011124929</v>
      </c>
      <c r="G229" s="26" t="n">
        <f aca="false">G227+G228</f>
        <v>9.80876641082856</v>
      </c>
    </row>
    <row r="230" customFormat="false" ht="17.15" hidden="false" customHeight="false" outlineLevel="0" collapsed="false">
      <c r="A230" s="5" t="s">
        <v>593</v>
      </c>
      <c r="B230" s="0" t="s">
        <v>31</v>
      </c>
      <c r="C230" s="26" t="n">
        <f aca="false">a25_cmp/1000</f>
        <v>1.1163</v>
      </c>
      <c r="D230" s="26" t="n">
        <f aca="false">a26_cmp/1000</f>
        <v>2.0056</v>
      </c>
      <c r="E230" s="26" t="n">
        <f aca="false">w2h_26*C221+h_1h*D221</f>
        <v>3.84541297318711</v>
      </c>
      <c r="F230" s="26" t="n">
        <f aca="false">(1-h_1h)*D221+h_1h*E221</f>
        <v>4.94684239896739</v>
      </c>
      <c r="G230" s="26" t="n">
        <f aca="false">(1-h_1h)*E221+h_1h*F221</f>
        <v>5.71052678521097</v>
      </c>
      <c r="H230" s="5" t="s">
        <v>594</v>
      </c>
    </row>
    <row r="231" customFormat="false" ht="17.15" hidden="false" customHeight="false" outlineLevel="0" collapsed="false">
      <c r="A231" s="5" t="s">
        <v>595</v>
      </c>
      <c r="B231" s="0" t="s">
        <v>31</v>
      </c>
      <c r="C231" s="26" t="n">
        <f aca="false">a25_sys/1000</f>
        <v>0.5287</v>
      </c>
      <c r="D231" s="26" t="n">
        <f aca="false">a26_sys/1000</f>
        <v>1.0084</v>
      </c>
      <c r="E231" s="26" t="n">
        <f aca="false">w2h_26*C222+h_1h*D222</f>
        <v>2.43518348273568</v>
      </c>
      <c r="F231" s="26" t="n">
        <f aca="false">(1-h_1h)*D222+h_1h*E222</f>
        <v>3.4016377122819</v>
      </c>
      <c r="G231" s="26" t="n">
        <f aca="false">(1-h_1h)*E222+h_1h*F222</f>
        <v>4.09823962561759</v>
      </c>
      <c r="H231" s="5" t="s">
        <v>596</v>
      </c>
    </row>
    <row r="232" customFormat="false" ht="15" hidden="false" customHeight="false" outlineLevel="0" collapsed="false">
      <c r="A232" s="5" t="s">
        <v>597</v>
      </c>
      <c r="B232" s="0" t="s">
        <v>31</v>
      </c>
      <c r="C232" s="17" t="n">
        <f aca="false">C230+C231-C229</f>
        <v>0</v>
      </c>
      <c r="D232" s="17" t="n">
        <f aca="false">D230+D231-D229</f>
        <v>0</v>
      </c>
      <c r="E232" s="17" t="n">
        <f aca="false">E230+E231-E229</f>
        <v>0</v>
      </c>
      <c r="F232" s="17" t="n">
        <f aca="false">F230+F231-F229</f>
        <v>0</v>
      </c>
      <c r="G232" s="17" t="n">
        <f aca="false">G230+G231-G229</f>
        <v>0</v>
      </c>
    </row>
    <row r="233" customFormat="false" ht="15" hidden="false" customHeight="false" outlineLevel="0" collapsed="false">
      <c r="A233" s="5" t="s">
        <v>598</v>
      </c>
      <c r="B233" s="0" t="s">
        <v>164</v>
      </c>
      <c r="D233" s="16" t="n">
        <f aca="false">D229/C229-1</f>
        <v>0.832218844984802</v>
      </c>
      <c r="E233" s="16" t="n">
        <f aca="false">E229/D229-1</f>
        <v>1.08380771596642</v>
      </c>
      <c r="F233" s="16" t="n">
        <f aca="false">F229/E229-1</f>
        <v>0.32924956568041</v>
      </c>
      <c r="G233" s="16" t="n">
        <f aca="false">G229/F229-1</f>
        <v>0.17491642551937</v>
      </c>
    </row>
    <row r="234" customFormat="false" ht="17.15" hidden="false" customHeight="false" outlineLevel="0" collapsed="false">
      <c r="A234" s="0" t="s">
        <v>599</v>
      </c>
      <c r="B234" s="0" t="s">
        <v>164</v>
      </c>
      <c r="E234" s="16" t="n">
        <f aca="false">E227/E229</f>
        <v>0.807490073041885</v>
      </c>
      <c r="F234" s="16" t="n">
        <f aca="false">F227/F229</f>
        <v>0.842252645697095</v>
      </c>
      <c r="G234" s="16" t="n">
        <f aca="false">G227/G229</f>
        <v>0.852014573372088</v>
      </c>
    </row>
    <row r="235" customFormat="false" ht="17.15" hidden="false" customHeight="false" outlineLevel="0" collapsed="false">
      <c r="A235" s="5" t="s">
        <v>484</v>
      </c>
      <c r="B235" s="0" t="s">
        <v>164</v>
      </c>
      <c r="C235" s="16" t="n">
        <f aca="false">a25_gm</f>
        <v>0.347</v>
      </c>
      <c r="D235" s="16" t="n">
        <f aca="false">a26_gm</f>
        <v>0.46</v>
      </c>
      <c r="E235" s="16" t="n">
        <f aca="false">gm_27</f>
        <v>0.52</v>
      </c>
      <c r="F235" s="16" t="n">
        <f aca="false">gm_28</f>
        <v>0.51</v>
      </c>
      <c r="G235" s="16" t="n">
        <f aca="false">gm_29</f>
        <v>0.49</v>
      </c>
    </row>
    <row r="236" customFormat="false" ht="15" hidden="false" customHeight="false" outlineLevel="0" collapsed="false">
      <c r="A236" s="5" t="s">
        <v>485</v>
      </c>
      <c r="B236" s="0" t="s">
        <v>31</v>
      </c>
      <c r="C236" s="26" t="n">
        <f aca="false">C229*C235</f>
        <v>0.570815</v>
      </c>
      <c r="D236" s="26" t="n">
        <f aca="false">D229*D235</f>
        <v>1.38644</v>
      </c>
      <c r="E236" s="26" t="n">
        <f aca="false">E229*E235</f>
        <v>3.26591015707985</v>
      </c>
      <c r="F236" s="26" t="n">
        <f aca="false">F229*F235</f>
        <v>4.25772485673714</v>
      </c>
      <c r="G236" s="26" t="n">
        <f aca="false">G229*G235</f>
        <v>4.806295541306</v>
      </c>
    </row>
    <row r="237" customFormat="false" ht="15" hidden="false" customHeight="false" outlineLevel="0" collapsed="false">
      <c r="A237" s="5" t="s">
        <v>600</v>
      </c>
      <c r="B237" s="0" t="s">
        <v>31</v>
      </c>
      <c r="C237" s="26" t="n">
        <f aca="false">a25_opx/1000</f>
        <v>0.4114</v>
      </c>
      <c r="D237" s="26" t="n">
        <f aca="false">a26_opx/1000</f>
        <v>0.4897</v>
      </c>
      <c r="E237" s="26" t="n">
        <f aca="false">D237*(1+MAX(0,phi*E233))</f>
        <v>0.611078641216496</v>
      </c>
      <c r="F237" s="26" t="n">
        <f aca="false">E237*(1+MAX(0,phi*F233))</f>
        <v>0.657091820707616</v>
      </c>
      <c r="G237" s="26" t="n">
        <f aca="false">F237*(1+MAX(0,phi*G233))</f>
        <v>0.683377341368452</v>
      </c>
    </row>
    <row r="238" customFormat="false" ht="15" hidden="false" customHeight="false" outlineLevel="0" collapsed="false">
      <c r="A238" s="5" t="s">
        <v>601</v>
      </c>
      <c r="B238" s="0" t="s">
        <v>31</v>
      </c>
      <c r="C238" s="26" t="n">
        <f aca="false">C237</f>
        <v>0.4114</v>
      </c>
      <c r="D238" s="26" t="n">
        <f aca="false">D237</f>
        <v>0.4897</v>
      </c>
      <c r="E238" s="26" t="n">
        <f aca="false">E237+0*E229</f>
        <v>0.611078641216496</v>
      </c>
      <c r="F238" s="26" t="n">
        <f aca="false">F237+0*F229</f>
        <v>0.657091820707616</v>
      </c>
      <c r="G238" s="26" t="n">
        <f aca="false">G237+0*G229</f>
        <v>0.683377341368452</v>
      </c>
    </row>
    <row r="239" customFormat="false" ht="15" hidden="false" customHeight="false" outlineLevel="0" collapsed="false">
      <c r="A239" s="5" t="s">
        <v>602</v>
      </c>
      <c r="B239" s="0" t="s">
        <v>31</v>
      </c>
      <c r="C239" s="26" t="n">
        <f aca="false">C236-C238</f>
        <v>0.159415</v>
      </c>
      <c r="D239" s="26" t="n">
        <f aca="false">D236-D238</f>
        <v>0.89674</v>
      </c>
      <c r="E239" s="26" t="n">
        <f aca="false">E236-E238</f>
        <v>2.65483151586335</v>
      </c>
      <c r="F239" s="26" t="n">
        <f aca="false">F236-F238</f>
        <v>3.60063303602952</v>
      </c>
      <c r="G239" s="26" t="n">
        <f aca="false">G236-G238</f>
        <v>4.12291819993754</v>
      </c>
    </row>
    <row r="240" customFormat="false" ht="15" hidden="false" customHeight="false" outlineLevel="0" collapsed="false">
      <c r="A240" s="5" t="s">
        <v>489</v>
      </c>
      <c r="B240" s="0" t="s">
        <v>164</v>
      </c>
      <c r="C240" s="16" t="n">
        <f aca="false">C239/C229</f>
        <v>0.0969088145896656</v>
      </c>
      <c r="D240" s="16" t="n">
        <f aca="false">D239/D229</f>
        <v>0.297524883875249</v>
      </c>
      <c r="E240" s="16" t="n">
        <f aca="false">E239/E229</f>
        <v>0.422703724796674</v>
      </c>
      <c r="F240" s="16" t="n">
        <f aca="false">F239/F229</f>
        <v>0.431292042150019</v>
      </c>
      <c r="G240" s="16" t="n">
        <f aca="false">G239/G229</f>
        <v>0.420329940305845</v>
      </c>
    </row>
    <row r="241" customFormat="false" ht="17.15" hidden="false" customHeight="false" outlineLevel="0" collapsed="false">
      <c r="A241" s="5" t="s">
        <v>490</v>
      </c>
      <c r="B241" s="0" t="s">
        <v>31</v>
      </c>
      <c r="C241" s="26" t="n">
        <f aca="false">a25_ni/1000</f>
        <v>0.1464</v>
      </c>
      <c r="D241" s="26" t="n">
        <f aca="false">a26_ni/1000</f>
        <v>0.7823</v>
      </c>
      <c r="E241" s="26" t="n">
        <f aca="false">(E239+oi_oth)*(1-tx)</f>
        <v>2.2603843157459</v>
      </c>
      <c r="F241" s="26" t="n">
        <f aca="false">(F239+oi_oth)*(1-tx)</f>
        <v>3.05012858508465</v>
      </c>
      <c r="G241" s="26" t="n">
        <f aca="false">(G239+oi_oth)*(1-tx)</f>
        <v>3.48623669694785</v>
      </c>
    </row>
    <row r="242" customFormat="false" ht="15" hidden="false" customHeight="false" outlineLevel="0" collapsed="false">
      <c r="A242" s="5" t="s">
        <v>552</v>
      </c>
      <c r="B242" s="0" t="s">
        <v>164</v>
      </c>
      <c r="C242" s="16" t="n">
        <f aca="false">C241/C229</f>
        <v>0.0889969604863222</v>
      </c>
      <c r="D242" s="16" t="n">
        <f aca="false">D241/D229</f>
        <v>0.259555408095554</v>
      </c>
      <c r="E242" s="16" t="n">
        <f aca="false">E241/E229</f>
        <v>0.35989962603222</v>
      </c>
      <c r="F242" s="16" t="n">
        <f aca="false">F241/F229</f>
        <v>0.365351362695913</v>
      </c>
      <c r="G242" s="16" t="n">
        <f aca="false">G241/G229</f>
        <v>0.355420503550697</v>
      </c>
    </row>
    <row r="243" customFormat="false" ht="17.15" hidden="false" customHeight="false" outlineLevel="0" collapsed="false">
      <c r="A243" s="5" t="s">
        <v>494</v>
      </c>
      <c r="B243" s="5" t="s">
        <v>238</v>
      </c>
      <c r="C243" s="15" t="n">
        <f aca="false">a25_sh</f>
        <v>71.0679611650485</v>
      </c>
      <c r="D243" s="15" t="n">
        <f aca="false">a26_sh</f>
        <v>90.2306805074971</v>
      </c>
      <c r="E243" s="15" t="n">
        <f aca="false">sh_q1</f>
        <v>102</v>
      </c>
      <c r="F243" s="15" t="n">
        <f aca="false">E243*(1+sh_g)</f>
        <v>103.02</v>
      </c>
      <c r="G243" s="15" t="n">
        <f aca="false">F243*(1+sh_g)</f>
        <v>104.0502</v>
      </c>
    </row>
    <row r="244" customFormat="false" ht="17.15" hidden="false" customHeight="false" outlineLevel="0" collapsed="false">
      <c r="A244" s="0" t="s">
        <v>496</v>
      </c>
      <c r="B244" s="0" t="s">
        <v>233</v>
      </c>
      <c r="C244" s="9" t="n">
        <f aca="false">C241*1000/C243</f>
        <v>2.06</v>
      </c>
      <c r="D244" s="9" t="n">
        <f aca="false">D241*1000/D243</f>
        <v>8.67</v>
      </c>
      <c r="E244" s="9" t="n">
        <f aca="false">E241*1000/E243</f>
        <v>22.1606305465284</v>
      </c>
      <c r="F244" s="9" t="n">
        <f aca="false">F241*1000/F243</f>
        <v>29.6071499231669</v>
      </c>
      <c r="G244" s="9" t="n">
        <f aca="false">G241*1000/G243</f>
        <v>33.5053339344648</v>
      </c>
    </row>
    <row r="245" customFormat="false" ht="17.15" hidden="false" customHeight="false" outlineLevel="0" collapsed="false">
      <c r="A245" s="0" t="s">
        <v>603</v>
      </c>
      <c r="B245" s="0" t="s">
        <v>164</v>
      </c>
      <c r="D245" s="16" t="n">
        <f aca="false">D244/C244-1</f>
        <v>3.20873786407767</v>
      </c>
      <c r="E245" s="16" t="n">
        <f aca="false">E244/D244-1</f>
        <v>1.55601275046464</v>
      </c>
      <c r="F245" s="16" t="n">
        <f aca="false">F244/E244-1</f>
        <v>0.336024706562556</v>
      </c>
      <c r="G245" s="16" t="n">
        <f aca="false">G244/F244-1</f>
        <v>0.131663602251958</v>
      </c>
    </row>
    <row r="248" customFormat="false" ht="17.15" hidden="false" customHeight="false" outlineLevel="0" collapsed="false">
      <c r="A248" s="3" t="s">
        <v>898</v>
      </c>
    </row>
    <row r="249" customFormat="false" ht="17.15" hidden="false" customHeight="false" outlineLevel="0" collapsed="false">
      <c r="A249" s="1" t="s">
        <v>561</v>
      </c>
    </row>
    <row r="250" customFormat="false" ht="17.15" hidden="false" customHeight="false" outlineLevel="0" collapsed="false">
      <c r="A250" s="6" t="s">
        <v>20</v>
      </c>
      <c r="B250" s="6" t="s">
        <v>21</v>
      </c>
      <c r="C250" s="14" t="s">
        <v>562</v>
      </c>
      <c r="D250" s="14" t="s">
        <v>517</v>
      </c>
      <c r="E250" s="14" t="s">
        <v>518</v>
      </c>
      <c r="F250" s="14" t="s">
        <v>519</v>
      </c>
      <c r="G250" s="14"/>
      <c r="H250" s="6" t="s">
        <v>480</v>
      </c>
    </row>
    <row r="251" customFormat="false" ht="17.15" hidden="false" customHeight="false" outlineLevel="0" collapsed="false">
      <c r="A251" s="0" t="s">
        <v>563</v>
      </c>
      <c r="B251" s="0" t="s">
        <v>31</v>
      </c>
      <c r="C251" s="26" t="n">
        <f aca="false">mpl_26*1</f>
        <v>29.753262</v>
      </c>
      <c r="D251" s="26" t="n">
        <f aca="false">mpl_27*1*1</f>
        <v>53.560715</v>
      </c>
      <c r="E251" s="26" t="n">
        <f aca="false">mpl_28*um28_A*1</f>
        <v>57.9915</v>
      </c>
      <c r="F251" s="26" t="n">
        <f aca="false">mpl_29*um29_A*1</f>
        <v>72.9348</v>
      </c>
    </row>
    <row r="252" customFormat="false" ht="17.15" hidden="false" customHeight="false" outlineLevel="0" collapsed="false">
      <c r="A252" s="5" t="s">
        <v>564</v>
      </c>
      <c r="B252" s="0" t="s">
        <v>97</v>
      </c>
      <c r="C252" s="20" t="n">
        <f aca="false">asp_26</f>
        <v>500</v>
      </c>
      <c r="D252" s="20" t="n">
        <f aca="false">asp_27</f>
        <v>520</v>
      </c>
      <c r="E252" s="20" t="n">
        <f aca="false">asp_28</f>
        <v>540</v>
      </c>
      <c r="F252" s="20" t="n">
        <f aca="false">asp_29</f>
        <v>560</v>
      </c>
    </row>
    <row r="253" customFormat="false" ht="17.15" hidden="false" customHeight="false" outlineLevel="0" collapsed="false">
      <c r="A253" s="5" t="s">
        <v>565</v>
      </c>
      <c r="B253" s="5" t="s">
        <v>349</v>
      </c>
      <c r="C253" s="15" t="n">
        <f aca="false">C251*1000/C252</f>
        <v>59.506524</v>
      </c>
      <c r="D253" s="15" t="n">
        <f aca="false">D251*1000/D252</f>
        <v>103.001375</v>
      </c>
      <c r="E253" s="15" t="n">
        <f aca="false">E251*1000/E252</f>
        <v>107.391666666667</v>
      </c>
      <c r="F253" s="15" t="n">
        <f aca="false">F251*1000/F252</f>
        <v>130.240714285714</v>
      </c>
    </row>
    <row r="254" customFormat="false" ht="17.15" hidden="false" customHeight="false" outlineLevel="0" collapsed="false">
      <c r="A254" s="5" t="s">
        <v>566</v>
      </c>
      <c r="B254" s="5" t="s">
        <v>109</v>
      </c>
      <c r="C254" s="18" t="n">
        <f aca="false">lpm_26</f>
        <v>5.5</v>
      </c>
      <c r="D254" s="18" t="n">
        <f aca="false">lpm_27</f>
        <v>5.5</v>
      </c>
      <c r="E254" s="18" t="n">
        <f aca="false">lpm_28</f>
        <v>5</v>
      </c>
      <c r="F254" s="18" t="n">
        <f aca="false">lpm_29</f>
        <v>4.8</v>
      </c>
    </row>
    <row r="255" customFormat="false" ht="17.15" hidden="false" customHeight="false" outlineLevel="0" collapsed="false">
      <c r="A255" s="5" t="s">
        <v>567</v>
      </c>
      <c r="B255" s="0" t="s">
        <v>121</v>
      </c>
      <c r="C255" s="18" t="n">
        <f aca="false">lasp_26</f>
        <v>13</v>
      </c>
      <c r="D255" s="18" t="n">
        <f aca="false">LAHI_27</f>
        <v>17</v>
      </c>
      <c r="E255" s="18" t="n">
        <f aca="false">LAHI_28</f>
        <v>18</v>
      </c>
      <c r="F255" s="18" t="n">
        <f aca="false">LAHI_29</f>
        <v>18</v>
      </c>
    </row>
    <row r="256" customFormat="false" ht="17.15" hidden="false" customHeight="false" outlineLevel="0" collapsed="false">
      <c r="A256" s="5" t="s">
        <v>568</v>
      </c>
      <c r="B256" s="0" t="s">
        <v>31</v>
      </c>
      <c r="C256" s="26" t="n">
        <f aca="false">C253*C254*C255/1000</f>
        <v>4.254716466</v>
      </c>
      <c r="D256" s="26" t="n">
        <f aca="false">D253*D254*D255/1000</f>
        <v>9.6306285625</v>
      </c>
      <c r="E256" s="26" t="n">
        <f aca="false">E253*E254*E255/1000</f>
        <v>9.66525</v>
      </c>
      <c r="F256" s="26" t="n">
        <f aca="false">F253*F254*F255/1000</f>
        <v>11.2527977142857</v>
      </c>
    </row>
    <row r="257" customFormat="false" ht="17.15" hidden="false" customHeight="false" outlineLevel="0" collapsed="false">
      <c r="A257" s="0" t="s">
        <v>569</v>
      </c>
      <c r="B257" s="0" t="s">
        <v>164</v>
      </c>
      <c r="C257" s="16" t="n">
        <f aca="false">c26_las/1000/C256</f>
        <v>0.43826657190933</v>
      </c>
      <c r="H257" s="8" t="s">
        <v>570</v>
      </c>
    </row>
    <row r="258" customFormat="false" ht="17.15" hidden="false" customHeight="false" outlineLevel="0" collapsed="false">
      <c r="A258" s="5" t="s">
        <v>571</v>
      </c>
      <c r="B258" s="0" t="s">
        <v>75</v>
      </c>
      <c r="C258" s="9" t="n">
        <f aca="false">1</f>
        <v>1</v>
      </c>
      <c r="D258" s="9" t="n">
        <f aca="false">lrel_27</f>
        <v>0.95</v>
      </c>
      <c r="E258" s="9" t="n">
        <f aca="false">lrel_28</f>
        <v>0.95</v>
      </c>
      <c r="F258" s="9" t="n">
        <f aca="false">lrel_29</f>
        <v>0.9</v>
      </c>
    </row>
    <row r="259" customFormat="false" ht="15" hidden="false" customHeight="false" outlineLevel="0" collapsed="false">
      <c r="A259" s="5" t="s">
        <v>572</v>
      </c>
      <c r="B259" s="0" t="s">
        <v>164</v>
      </c>
      <c r="C259" s="16" t="n">
        <f aca="false">$C$257*C258</f>
        <v>0.43826657190933</v>
      </c>
      <c r="D259" s="16" t="n">
        <f aca="false">$C$257*D258</f>
        <v>0.416353243313864</v>
      </c>
      <c r="E259" s="16" t="n">
        <f aca="false">$C$257*E258</f>
        <v>0.416353243313864</v>
      </c>
      <c r="F259" s="16" t="n">
        <f aca="false">$C$257*F258</f>
        <v>0.394439914718397</v>
      </c>
    </row>
    <row r="260" customFormat="false" ht="17.15" hidden="false" customHeight="false" outlineLevel="0" collapsed="false">
      <c r="A260" s="5" t="s">
        <v>573</v>
      </c>
      <c r="B260" s="0" t="s">
        <v>31</v>
      </c>
      <c r="C260" s="26" t="n">
        <f aca="false">C256*C259</f>
        <v>1.8647</v>
      </c>
      <c r="D260" s="26" t="n">
        <f aca="false">D256*D259</f>
        <v>4.00974343714801</v>
      </c>
      <c r="E260" s="26" t="n">
        <f aca="false">E256*E259</f>
        <v>4.02415818493932</v>
      </c>
      <c r="F260" s="26" t="n">
        <f aca="false">F256*F259</f>
        <v>4.43855257076623</v>
      </c>
    </row>
    <row r="261" customFormat="false" ht="17.15" hidden="false" customHeight="false" outlineLevel="0" collapsed="false">
      <c r="A261" s="5" t="s">
        <v>574</v>
      </c>
      <c r="B261" s="0" t="s">
        <v>164</v>
      </c>
      <c r="C261" s="16" t="n">
        <f aca="false">c26_xcvr/1000/C251</f>
        <v>0.0336097601668012</v>
      </c>
    </row>
    <row r="262" customFormat="false" ht="15" hidden="false" customHeight="false" outlineLevel="0" collapsed="false">
      <c r="A262" s="5" t="s">
        <v>575</v>
      </c>
      <c r="B262" s="0" t="s">
        <v>164</v>
      </c>
      <c r="C262" s="16" t="n">
        <f aca="false">C261</f>
        <v>0.0336097601668012</v>
      </c>
      <c r="D262" s="16" t="n">
        <f aca="false">$C$261*mrel_27</f>
        <v>0.0336097601668012</v>
      </c>
      <c r="E262" s="16" t="n">
        <f aca="false">$C$261*mrel_28</f>
        <v>0.0336097601668012</v>
      </c>
      <c r="F262" s="16" t="n">
        <f aca="false">$C$261*mrel_29</f>
        <v>0.0336097601668012</v>
      </c>
    </row>
    <row r="263" customFormat="false" ht="15" hidden="false" customHeight="false" outlineLevel="0" collapsed="false">
      <c r="A263" s="5" t="s">
        <v>576</v>
      </c>
      <c r="B263" s="0" t="s">
        <v>31</v>
      </c>
      <c r="C263" s="26" t="n">
        <f aca="false">C251*C262</f>
        <v>1</v>
      </c>
      <c r="D263" s="26" t="n">
        <f aca="false">D251*D262</f>
        <v>1.80016278551239</v>
      </c>
      <c r="E263" s="26" t="n">
        <f aca="false">E251*E262</f>
        <v>1.94908040671305</v>
      </c>
      <c r="F263" s="26" t="n">
        <f aca="false">F251*F262</f>
        <v>2.45132113581361</v>
      </c>
    </row>
    <row r="264" customFormat="false" ht="17.15" hidden="false" customHeight="false" outlineLevel="0" collapsed="false">
      <c r="A264" s="0" t="s">
        <v>577</v>
      </c>
      <c r="B264" s="5" t="s">
        <v>54</v>
      </c>
      <c r="C264" s="19" t="n">
        <f aca="false">tpu_26*1</f>
        <v>3.85</v>
      </c>
      <c r="D264" s="19" t="n">
        <f aca="false">tpu_27*1</f>
        <v>5.5</v>
      </c>
      <c r="E264" s="19" t="n">
        <f aca="false">tpu_28*um28_A</f>
        <v>7</v>
      </c>
      <c r="F264" s="19" t="n">
        <f aca="false">tpu_29*um29_A</f>
        <v>8.05</v>
      </c>
    </row>
    <row r="265" customFormat="false" ht="17.15" hidden="false" customHeight="false" outlineLevel="0" collapsed="false">
      <c r="A265" s="0" t="s">
        <v>578</v>
      </c>
      <c r="B265" s="0" t="s">
        <v>121</v>
      </c>
      <c r="C265" s="20" t="n">
        <f aca="false">c26_ocs/C264</f>
        <v>129.87012987013</v>
      </c>
      <c r="D265" s="20" t="n">
        <f aca="false">$C265*ocsk_27</f>
        <v>207.792207792208</v>
      </c>
      <c r="E265" s="20" t="n">
        <f aca="false">$C265*ocsk_28</f>
        <v>233.766233766234</v>
      </c>
      <c r="F265" s="20" t="n">
        <f aca="false">$C265*ocsk_29</f>
        <v>233.766233766234</v>
      </c>
    </row>
    <row r="266" customFormat="false" ht="17.15" hidden="false" customHeight="false" outlineLevel="0" collapsed="false">
      <c r="A266" s="0" t="s">
        <v>531</v>
      </c>
      <c r="B266" s="0" t="s">
        <v>31</v>
      </c>
      <c r="C266" s="26" t="n">
        <f aca="false">C264*C265/1000</f>
        <v>0.5</v>
      </c>
      <c r="D266" s="26" t="n">
        <f aca="false">D264*D265/1000</f>
        <v>1.14285714285714</v>
      </c>
      <c r="E266" s="26" t="n">
        <f aca="false">E264*E265/1000</f>
        <v>1.63636363636364</v>
      </c>
      <c r="F266" s="26" t="n">
        <f aca="false">F264*F265/1000</f>
        <v>1.88181818181818</v>
      </c>
    </row>
    <row r="267" customFormat="false" ht="17.15" hidden="false" customHeight="false" outlineLevel="0" collapsed="false">
      <c r="A267" s="0" t="s">
        <v>579</v>
      </c>
      <c r="B267" s="0" t="s">
        <v>31</v>
      </c>
      <c r="C267" s="26" t="n">
        <f aca="false">mcp_26*1</f>
        <v>0.300538</v>
      </c>
      <c r="D267" s="26" t="n">
        <f aca="false">mcp_27*1</f>
        <v>2.818985</v>
      </c>
      <c r="E267" s="26" t="n">
        <f aca="false">mcp_28*um28_A</f>
        <v>6.4435</v>
      </c>
      <c r="F267" s="26" t="n">
        <f aca="false">mcp_29*um29_A</f>
        <v>11.74736</v>
      </c>
    </row>
    <row r="268" customFormat="false" ht="17.15" hidden="false" customHeight="false" outlineLevel="0" collapsed="false">
      <c r="A268" s="0" t="s">
        <v>532</v>
      </c>
      <c r="B268" s="0" t="s">
        <v>164</v>
      </c>
      <c r="C268" s="16" t="n">
        <f aca="false">c26_cpo/1000/C267</f>
        <v>0.166368312825666</v>
      </c>
      <c r="D268" s="16" t="n">
        <f aca="false">cpo_27</f>
        <v>0.25</v>
      </c>
      <c r="E268" s="16" t="n">
        <f aca="false">cpo_28</f>
        <v>0.25</v>
      </c>
      <c r="F268" s="16" t="n">
        <f aca="false">cpo_29</f>
        <v>0.2</v>
      </c>
    </row>
    <row r="269" customFormat="false" ht="17.15" hidden="false" customHeight="false" outlineLevel="0" collapsed="false">
      <c r="A269" s="0" t="s">
        <v>580</v>
      </c>
      <c r="B269" s="0" t="s">
        <v>31</v>
      </c>
      <c r="C269" s="26" t="n">
        <f aca="false">C267*C268</f>
        <v>0.05</v>
      </c>
      <c r="D269" s="26" t="n">
        <f aca="false">D267*D268</f>
        <v>0.70474625</v>
      </c>
      <c r="E269" s="26" t="n">
        <f aca="false">E267*E268</f>
        <v>1.610875</v>
      </c>
      <c r="F269" s="26" t="n">
        <f aca="false">F267*F268</f>
        <v>2.349472</v>
      </c>
    </row>
    <row r="270" customFormat="false" ht="17.15" hidden="false" customHeight="false" outlineLevel="0" collapsed="false">
      <c r="A270" s="0" t="s">
        <v>581</v>
      </c>
      <c r="B270" s="0" t="s">
        <v>31</v>
      </c>
      <c r="C270" s="26" t="n">
        <f aca="false">C260+C263+C266+C269</f>
        <v>3.4147</v>
      </c>
      <c r="D270" s="26" t="n">
        <f aca="false">D260+D263+D266+D269</f>
        <v>7.65750961551754</v>
      </c>
      <c r="E270" s="26" t="n">
        <f aca="false">E260+E263+E266+E269</f>
        <v>9.22047722801601</v>
      </c>
      <c r="F270" s="26" t="n">
        <f aca="false">F260+F263+F266+F269</f>
        <v>11.121163888398</v>
      </c>
    </row>
    <row r="271" customFormat="false" ht="17.15" hidden="false" customHeight="false" outlineLevel="0" collapsed="false">
      <c r="A271" s="5" t="s">
        <v>582</v>
      </c>
      <c r="B271" s="0" t="s">
        <v>31</v>
      </c>
      <c r="C271" s="26" t="n">
        <f aca="false">c26_tel/1000</f>
        <v>0.75</v>
      </c>
      <c r="D271" s="26" t="n">
        <f aca="false">C271*(1+g_tel_27)</f>
        <v>0.9375</v>
      </c>
      <c r="E271" s="26" t="n">
        <f aca="false">D271*(1+g_tel_28)</f>
        <v>1.078125</v>
      </c>
      <c r="F271" s="26" t="n">
        <f aca="false">E271*(1+g_tel_29)</f>
        <v>1.1859375</v>
      </c>
    </row>
    <row r="272" customFormat="false" ht="17.15" hidden="false" customHeight="false" outlineLevel="0" collapsed="false">
      <c r="A272" s="5" t="s">
        <v>583</v>
      </c>
      <c r="B272" s="0" t="s">
        <v>31</v>
      </c>
      <c r="C272" s="26" t="n">
        <f aca="false">c26_ind/1000</f>
        <v>0.3</v>
      </c>
      <c r="D272" s="26" t="n">
        <f aca="false">C272*(1+g_ind)</f>
        <v>0.309</v>
      </c>
      <c r="E272" s="26" t="n">
        <f aca="false">D272*(1+g_ind)</f>
        <v>0.31827</v>
      </c>
      <c r="F272" s="26" t="n">
        <f aca="false">E272*(1+g_ind)</f>
        <v>0.3278181</v>
      </c>
    </row>
    <row r="273" customFormat="false" ht="17.15" hidden="false" customHeight="false" outlineLevel="0" collapsed="false">
      <c r="A273" s="5" t="s">
        <v>584</v>
      </c>
      <c r="B273" s="0" t="s">
        <v>31</v>
      </c>
      <c r="C273" s="26" t="n">
        <f aca="false">C260+C271+C269+C272/2</f>
        <v>2.8147</v>
      </c>
      <c r="D273" s="26" t="n">
        <f aca="false">D260+D271+D269+D272/2</f>
        <v>5.80648968714801</v>
      </c>
      <c r="E273" s="26" t="n">
        <f aca="false">E260+E271+E269+E272/2</f>
        <v>6.87229318493932</v>
      </c>
      <c r="F273" s="26" t="n">
        <f aca="false">F260+F271+F269+F272/2</f>
        <v>8.13787112076623</v>
      </c>
      <c r="H273" s="5" t="s">
        <v>585</v>
      </c>
    </row>
    <row r="274" customFormat="false" ht="17.15" hidden="false" customHeight="false" outlineLevel="0" collapsed="false">
      <c r="A274" s="5" t="s">
        <v>586</v>
      </c>
      <c r="B274" s="0" t="s">
        <v>31</v>
      </c>
      <c r="C274" s="26" t="n">
        <f aca="false">C263+C266+C272/2</f>
        <v>1.65</v>
      </c>
      <c r="D274" s="26" t="n">
        <f aca="false">D263+D266+D272/2</f>
        <v>3.09751992836953</v>
      </c>
      <c r="E274" s="26" t="n">
        <f aca="false">E263+E266+E272/2</f>
        <v>3.74457904307669</v>
      </c>
      <c r="F274" s="26" t="n">
        <f aca="false">F263+F266+F272/2</f>
        <v>4.49704836763179</v>
      </c>
    </row>
    <row r="275" customFormat="false" ht="15" hidden="false" customHeight="false" outlineLevel="0" collapsed="false">
      <c r="A275" s="5" t="s">
        <v>587</v>
      </c>
      <c r="B275" s="0" t="s">
        <v>31</v>
      </c>
      <c r="C275" s="26" t="n">
        <f aca="false">C270+C271+C272</f>
        <v>4.4647</v>
      </c>
      <c r="D275" s="26" t="n">
        <f aca="false">D270+D271+D272</f>
        <v>8.90400961551754</v>
      </c>
      <c r="E275" s="26" t="n">
        <f aca="false">E270+E271+E272</f>
        <v>10.616872228016</v>
      </c>
      <c r="F275" s="26" t="n">
        <f aca="false">F270+F271+F272</f>
        <v>12.634919488398</v>
      </c>
    </row>
    <row r="276" customFormat="false" ht="15" hidden="false" customHeight="false" outlineLevel="0" collapsed="false">
      <c r="A276" s="5" t="s">
        <v>588</v>
      </c>
      <c r="B276" s="0" t="s">
        <v>164</v>
      </c>
      <c r="D276" s="16" t="n">
        <f aca="false">D275/C275-1</f>
        <v>0.994313081621955</v>
      </c>
      <c r="E276" s="16" t="n">
        <f aca="false">E275/D275-1</f>
        <v>0.192369807138725</v>
      </c>
      <c r="F276" s="16" t="n">
        <f aca="false">F275/E275-1</f>
        <v>0.190079264122323</v>
      </c>
    </row>
    <row r="277" customFormat="false" ht="17.15" hidden="false" customHeight="false" outlineLevel="0" collapsed="false">
      <c r="A277" s="1" t="s">
        <v>589</v>
      </c>
    </row>
    <row r="278" customFormat="false" ht="17.15" hidden="false" customHeight="false" outlineLevel="0" collapsed="false">
      <c r="A278" s="6" t="s">
        <v>20</v>
      </c>
      <c r="B278" s="6" t="s">
        <v>21</v>
      </c>
      <c r="C278" s="14" t="s">
        <v>472</v>
      </c>
      <c r="D278" s="14" t="s">
        <v>539</v>
      </c>
      <c r="E278" s="14" t="s">
        <v>540</v>
      </c>
      <c r="F278" s="14" t="s">
        <v>541</v>
      </c>
      <c r="G278" s="14" t="s">
        <v>542</v>
      </c>
      <c r="H278" s="6" t="s">
        <v>480</v>
      </c>
    </row>
    <row r="279" customFormat="false" ht="17.15" hidden="false" customHeight="false" outlineLevel="0" collapsed="false">
      <c r="A279" s="0" t="s">
        <v>590</v>
      </c>
      <c r="B279" s="0" t="s">
        <v>31</v>
      </c>
      <c r="E279" s="26" t="n">
        <f aca="false">w2h_26*C270+h_1h*D270</f>
        <v>5.62580735431016</v>
      </c>
      <c r="F279" s="26" t="n">
        <f aca="false">(1-h_1h)*D270+h_1h*E270</f>
        <v>8.39210439339182</v>
      </c>
      <c r="G279" s="26" t="n">
        <f aca="false">(1-h_1h)*E270+h_1h*F270</f>
        <v>10.1137999583956</v>
      </c>
      <c r="H279" s="8" t="s">
        <v>591</v>
      </c>
    </row>
    <row r="280" customFormat="false" ht="17.15" hidden="false" customHeight="false" outlineLevel="0" collapsed="false">
      <c r="A280" s="5" t="s">
        <v>592</v>
      </c>
      <c r="B280" s="0" t="s">
        <v>31</v>
      </c>
      <c r="E280" s="26" t="n">
        <f aca="false">w2h_26*C271+h_1h*D271+w2h_26*C272+h_1h*D272</f>
        <v>1.20907716498309</v>
      </c>
      <c r="F280" s="26" t="n">
        <f aca="false">(1-h_1h)*D271+h_1h*E271+(1-h_1h)*D272+h_1h*E272</f>
        <v>1.31695065</v>
      </c>
      <c r="G280" s="26" t="n">
        <f aca="false">(1-h_1h)*E271+h_1h*F271+(1-h_1h)*E272+h_1h*F272</f>
        <v>1.451554482</v>
      </c>
    </row>
    <row r="281" customFormat="false" ht="15" hidden="false" customHeight="false" outlineLevel="0" collapsed="false">
      <c r="A281" s="5" t="s">
        <v>481</v>
      </c>
      <c r="B281" s="0" t="s">
        <v>31</v>
      </c>
      <c r="C281" s="26" t="n">
        <f aca="false">a25_rev/1000</f>
        <v>1.645</v>
      </c>
      <c r="D281" s="26" t="n">
        <f aca="false">a26_rev/1000</f>
        <v>3.014</v>
      </c>
      <c r="E281" s="26" t="n">
        <f aca="false">E279+E280</f>
        <v>6.83488451929325</v>
      </c>
      <c r="F281" s="26" t="n">
        <f aca="false">F279+F280</f>
        <v>9.70905504339182</v>
      </c>
      <c r="G281" s="26" t="n">
        <f aca="false">G279+G280</f>
        <v>11.5653544403956</v>
      </c>
    </row>
    <row r="282" customFormat="false" ht="17.15" hidden="false" customHeight="false" outlineLevel="0" collapsed="false">
      <c r="A282" s="5" t="s">
        <v>593</v>
      </c>
      <c r="B282" s="0" t="s">
        <v>31</v>
      </c>
      <c r="C282" s="26" t="n">
        <f aca="false">a25_cmp/1000</f>
        <v>1.1163</v>
      </c>
      <c r="D282" s="26" t="n">
        <f aca="false">a26_cmp/1000</f>
        <v>2.0056</v>
      </c>
      <c r="E282" s="26" t="n">
        <f aca="false">w2h_26*C273+h_1h*D273</f>
        <v>4.39970103655757</v>
      </c>
      <c r="F282" s="26" t="n">
        <f aca="false">(1-h_1h)*D273+h_1h*E273</f>
        <v>6.30741733110992</v>
      </c>
      <c r="G282" s="26" t="n">
        <f aca="false">(1-h_1h)*E273+h_1h*F273</f>
        <v>7.46711481477797</v>
      </c>
      <c r="H282" s="5" t="s">
        <v>594</v>
      </c>
    </row>
    <row r="283" customFormat="false" ht="17.15" hidden="false" customHeight="false" outlineLevel="0" collapsed="false">
      <c r="A283" s="5" t="s">
        <v>595</v>
      </c>
      <c r="B283" s="0" t="s">
        <v>31</v>
      </c>
      <c r="C283" s="26" t="n">
        <f aca="false">a25_sys/1000</f>
        <v>0.5287</v>
      </c>
      <c r="D283" s="26" t="n">
        <f aca="false">a26_sys/1000</f>
        <v>1.0084</v>
      </c>
      <c r="E283" s="26" t="n">
        <f aca="false">w2h_26*C274+h_1h*D274</f>
        <v>2.43518348273568</v>
      </c>
      <c r="F283" s="26" t="n">
        <f aca="false">(1-h_1h)*D274+h_1h*E274</f>
        <v>3.4016377122819</v>
      </c>
      <c r="G283" s="26" t="n">
        <f aca="false">(1-h_1h)*E274+h_1h*F274</f>
        <v>4.09823962561759</v>
      </c>
      <c r="H283" s="5" t="s">
        <v>596</v>
      </c>
    </row>
    <row r="284" customFormat="false" ht="15" hidden="false" customHeight="false" outlineLevel="0" collapsed="false">
      <c r="A284" s="5" t="s">
        <v>597</v>
      </c>
      <c r="B284" s="0" t="s">
        <v>31</v>
      </c>
      <c r="C284" s="17" t="n">
        <f aca="false">C282+C283-C281</f>
        <v>0</v>
      </c>
      <c r="D284" s="17" t="n">
        <f aca="false">D282+D283-D281</f>
        <v>0</v>
      </c>
      <c r="E284" s="17" t="n">
        <f aca="false">E282+E283-E281</f>
        <v>0</v>
      </c>
      <c r="F284" s="17" t="n">
        <f aca="false">F282+F283-F281</f>
        <v>0</v>
      </c>
      <c r="G284" s="17" t="n">
        <f aca="false">G282+G283-G281</f>
        <v>0</v>
      </c>
    </row>
    <row r="285" customFormat="false" ht="15" hidden="false" customHeight="false" outlineLevel="0" collapsed="false">
      <c r="A285" s="5" t="s">
        <v>598</v>
      </c>
      <c r="B285" s="0" t="s">
        <v>164</v>
      </c>
      <c r="D285" s="16" t="n">
        <f aca="false">D281/C281-1</f>
        <v>0.832218844984802</v>
      </c>
      <c r="E285" s="16" t="n">
        <f aca="false">E281/D281-1</f>
        <v>1.26771218291083</v>
      </c>
      <c r="F285" s="16" t="n">
        <f aca="false">F281/E281-1</f>
        <v>0.420514862538713</v>
      </c>
      <c r="G285" s="16" t="n">
        <f aca="false">G281/F281-1</f>
        <v>0.191192591730868</v>
      </c>
    </row>
    <row r="286" customFormat="false" ht="17.15" hidden="false" customHeight="false" outlineLevel="0" collapsed="false">
      <c r="A286" s="0" t="s">
        <v>599</v>
      </c>
      <c r="B286" s="0" t="s">
        <v>164</v>
      </c>
      <c r="E286" s="16" t="n">
        <f aca="false">E279/E281</f>
        <v>0.82310203463275</v>
      </c>
      <c r="F286" s="16" t="n">
        <f aca="false">F279/F281</f>
        <v>0.864358514385358</v>
      </c>
      <c r="G286" s="16" t="n">
        <f aca="false">G279/G281</f>
        <v>0.874491137346383</v>
      </c>
    </row>
    <row r="287" customFormat="false" ht="17.15" hidden="false" customHeight="false" outlineLevel="0" collapsed="false">
      <c r="A287" s="5" t="s">
        <v>484</v>
      </c>
      <c r="B287" s="0" t="s">
        <v>164</v>
      </c>
      <c r="C287" s="16" t="n">
        <f aca="false">a25_gm</f>
        <v>0.347</v>
      </c>
      <c r="D287" s="16" t="n">
        <f aca="false">a26_gm</f>
        <v>0.46</v>
      </c>
      <c r="E287" s="16" t="n">
        <f aca="false">gm_27</f>
        <v>0.52</v>
      </c>
      <c r="F287" s="16" t="n">
        <f aca="false">gm_28</f>
        <v>0.51</v>
      </c>
      <c r="G287" s="16" t="n">
        <f aca="false">gm_29</f>
        <v>0.49</v>
      </c>
    </row>
    <row r="288" customFormat="false" ht="15" hidden="false" customHeight="false" outlineLevel="0" collapsed="false">
      <c r="A288" s="5" t="s">
        <v>485</v>
      </c>
      <c r="B288" s="0" t="s">
        <v>31</v>
      </c>
      <c r="C288" s="26" t="n">
        <f aca="false">C281*C287</f>
        <v>0.570815</v>
      </c>
      <c r="D288" s="26" t="n">
        <f aca="false">D281*D287</f>
        <v>1.38644</v>
      </c>
      <c r="E288" s="26" t="n">
        <f aca="false">E281*E287</f>
        <v>3.55413995003249</v>
      </c>
      <c r="F288" s="26" t="n">
        <f aca="false">F281*F287</f>
        <v>4.95161807212983</v>
      </c>
      <c r="G288" s="26" t="n">
        <f aca="false">G281*G287</f>
        <v>5.66702367579382</v>
      </c>
    </row>
    <row r="289" customFormat="false" ht="15" hidden="false" customHeight="false" outlineLevel="0" collapsed="false">
      <c r="A289" s="5" t="s">
        <v>600</v>
      </c>
      <c r="B289" s="0" t="s">
        <v>31</v>
      </c>
      <c r="C289" s="26" t="n">
        <f aca="false">a25_opx/1000</f>
        <v>0.4114</v>
      </c>
      <c r="D289" s="26" t="n">
        <f aca="false">a26_opx/1000</f>
        <v>0.4897</v>
      </c>
      <c r="E289" s="26" t="n">
        <f aca="false">D289*(1+MAX(0,phi*E285))</f>
        <v>0.631674614083743</v>
      </c>
      <c r="F289" s="26" t="n">
        <f aca="false">E289*(1+MAX(0,phi*F285))</f>
        <v>0.692422994305388</v>
      </c>
      <c r="G289" s="26" t="n">
        <f aca="false">F289*(1+MAX(0,phi*G285))</f>
        <v>0.722699271370458</v>
      </c>
    </row>
    <row r="290" customFormat="false" ht="15" hidden="false" customHeight="false" outlineLevel="0" collapsed="false">
      <c r="A290" s="5" t="s">
        <v>601</v>
      </c>
      <c r="B290" s="0" t="s">
        <v>31</v>
      </c>
      <c r="C290" s="26" t="n">
        <f aca="false">C289</f>
        <v>0.4114</v>
      </c>
      <c r="D290" s="26" t="n">
        <f aca="false">D289</f>
        <v>0.4897</v>
      </c>
      <c r="E290" s="26" t="n">
        <f aca="false">E289+0*E281</f>
        <v>0.631674614083743</v>
      </c>
      <c r="F290" s="26" t="n">
        <f aca="false">F289+0*F281</f>
        <v>0.692422994305388</v>
      </c>
      <c r="G290" s="26" t="n">
        <f aca="false">G289+0*G281</f>
        <v>0.722699271370458</v>
      </c>
    </row>
    <row r="291" customFormat="false" ht="15" hidden="false" customHeight="false" outlineLevel="0" collapsed="false">
      <c r="A291" s="5" t="s">
        <v>602</v>
      </c>
      <c r="B291" s="0" t="s">
        <v>31</v>
      </c>
      <c r="C291" s="26" t="n">
        <f aca="false">C288-C290</f>
        <v>0.159415</v>
      </c>
      <c r="D291" s="26" t="n">
        <f aca="false">D288-D290</f>
        <v>0.89674</v>
      </c>
      <c r="E291" s="26" t="n">
        <f aca="false">E288-E290</f>
        <v>2.92246533594875</v>
      </c>
      <c r="F291" s="26" t="n">
        <f aca="false">F288-F290</f>
        <v>4.25919507782444</v>
      </c>
      <c r="G291" s="26" t="n">
        <f aca="false">G288-G290</f>
        <v>4.94432440442337</v>
      </c>
    </row>
    <row r="292" customFormat="false" ht="15" hidden="false" customHeight="false" outlineLevel="0" collapsed="false">
      <c r="A292" s="5" t="s">
        <v>489</v>
      </c>
      <c r="B292" s="0" t="s">
        <v>164</v>
      </c>
      <c r="C292" s="16" t="n">
        <f aca="false">C291/C281</f>
        <v>0.0969088145896656</v>
      </c>
      <c r="D292" s="16" t="n">
        <f aca="false">D291/D281</f>
        <v>0.297524883875249</v>
      </c>
      <c r="E292" s="16" t="n">
        <f aca="false">E291/E281</f>
        <v>0.427580791994265</v>
      </c>
      <c r="F292" s="16" t="n">
        <f aca="false">F291/F281</f>
        <v>0.438682761482884</v>
      </c>
      <c r="G292" s="16" t="n">
        <f aca="false">G291/G281</f>
        <v>0.427511705750564</v>
      </c>
    </row>
    <row r="293" customFormat="false" ht="17.15" hidden="false" customHeight="false" outlineLevel="0" collapsed="false">
      <c r="A293" s="5" t="s">
        <v>490</v>
      </c>
      <c r="B293" s="0" t="s">
        <v>31</v>
      </c>
      <c r="C293" s="26" t="n">
        <f aca="false">a25_ni/1000</f>
        <v>0.1464</v>
      </c>
      <c r="D293" s="26" t="n">
        <f aca="false">a26_ni/1000</f>
        <v>0.7823</v>
      </c>
      <c r="E293" s="26" t="n">
        <f aca="false">(E291+oi_oth)*(1-tx)</f>
        <v>2.4838585555172</v>
      </c>
      <c r="F293" s="26" t="n">
        <f aca="false">(F291+oi_oth)*(1-tx)</f>
        <v>3.60002788998341</v>
      </c>
      <c r="G293" s="26" t="n">
        <f aca="false">(G291+oi_oth)*(1-tx)</f>
        <v>4.17211087769351</v>
      </c>
    </row>
    <row r="294" customFormat="false" ht="15" hidden="false" customHeight="false" outlineLevel="0" collapsed="false">
      <c r="A294" s="5" t="s">
        <v>552</v>
      </c>
      <c r="B294" s="0" t="s">
        <v>164</v>
      </c>
      <c r="C294" s="16" t="n">
        <f aca="false">C293/C281</f>
        <v>0.0889969604863222</v>
      </c>
      <c r="D294" s="16" t="n">
        <f aca="false">D293/D281</f>
        <v>0.259555408095554</v>
      </c>
      <c r="E294" s="16" t="n">
        <f aca="false">E293/E281</f>
        <v>0.363409001060056</v>
      </c>
      <c r="F294" s="16" t="n">
        <f aca="false">F293/F281</f>
        <v>0.370790759130948</v>
      </c>
      <c r="G294" s="16" t="n">
        <f aca="false">G293/G281</f>
        <v>0.360742154440259</v>
      </c>
    </row>
    <row r="295" customFormat="false" ht="17.15" hidden="false" customHeight="false" outlineLevel="0" collapsed="false">
      <c r="A295" s="5" t="s">
        <v>494</v>
      </c>
      <c r="B295" s="5" t="s">
        <v>238</v>
      </c>
      <c r="C295" s="15" t="n">
        <f aca="false">a25_sh</f>
        <v>71.0679611650485</v>
      </c>
      <c r="D295" s="15" t="n">
        <f aca="false">a26_sh</f>
        <v>90.2306805074971</v>
      </c>
      <c r="E295" s="15" t="n">
        <f aca="false">sh_q1</f>
        <v>102</v>
      </c>
      <c r="F295" s="15" t="n">
        <f aca="false">E295*(1+sh_g)</f>
        <v>103.02</v>
      </c>
      <c r="G295" s="15" t="n">
        <f aca="false">F295*(1+sh_g)</f>
        <v>104.0502</v>
      </c>
    </row>
    <row r="296" customFormat="false" ht="17.15" hidden="false" customHeight="false" outlineLevel="0" collapsed="false">
      <c r="A296" s="0" t="s">
        <v>496</v>
      </c>
      <c r="B296" s="0" t="s">
        <v>233</v>
      </c>
      <c r="C296" s="9" t="n">
        <f aca="false">C293*1000/C295</f>
        <v>2.06</v>
      </c>
      <c r="D296" s="9" t="n">
        <f aca="false">D293*1000/D295</f>
        <v>8.67</v>
      </c>
      <c r="E296" s="9" t="n">
        <f aca="false">E293*1000/E295</f>
        <v>24.3515544658549</v>
      </c>
      <c r="F296" s="9" t="n">
        <f aca="false">F293*1000/F295</f>
        <v>34.9449416616522</v>
      </c>
      <c r="G296" s="9" t="n">
        <f aca="false">G293*1000/G295</f>
        <v>40.0970961871626</v>
      </c>
    </row>
    <row r="297" customFormat="false" ht="17.15" hidden="false" customHeight="false" outlineLevel="0" collapsed="false">
      <c r="A297" s="0" t="s">
        <v>603</v>
      </c>
      <c r="B297" s="0" t="s">
        <v>164</v>
      </c>
      <c r="D297" s="16" t="n">
        <f aca="false">D296/C296-1</f>
        <v>3.20873786407767</v>
      </c>
      <c r="E297" s="16" t="n">
        <f aca="false">E296/D296-1</f>
        <v>1.80871447126354</v>
      </c>
      <c r="F297" s="16" t="n">
        <f aca="false">F296/E296-1</f>
        <v>0.435018931159036</v>
      </c>
      <c r="G297" s="16" t="n">
        <f aca="false">G296/F296-1</f>
        <v>0.14743634645023</v>
      </c>
    </row>
    <row r="300" customFormat="false" ht="17.15" hidden="false" customHeight="false" outlineLevel="0" collapsed="false">
      <c r="A300" s="3" t="s">
        <v>899</v>
      </c>
    </row>
    <row r="301" customFormat="false" ht="17.15" hidden="false" customHeight="false" outlineLevel="0" collapsed="false">
      <c r="A301" s="1" t="s">
        <v>561</v>
      </c>
    </row>
    <row r="302" customFormat="false" ht="17.15" hidden="false" customHeight="false" outlineLevel="0" collapsed="false">
      <c r="A302" s="6" t="s">
        <v>20</v>
      </c>
      <c r="B302" s="6" t="s">
        <v>21</v>
      </c>
      <c r="C302" s="14" t="s">
        <v>562</v>
      </c>
      <c r="D302" s="14" t="s">
        <v>517</v>
      </c>
      <c r="E302" s="14" t="s">
        <v>518</v>
      </c>
      <c r="F302" s="14" t="s">
        <v>519</v>
      </c>
      <c r="G302" s="14"/>
      <c r="H302" s="6" t="s">
        <v>480</v>
      </c>
    </row>
    <row r="303" customFormat="false" ht="17.15" hidden="false" customHeight="false" outlineLevel="0" collapsed="false">
      <c r="A303" s="0" t="s">
        <v>563</v>
      </c>
      <c r="B303" s="0" t="s">
        <v>31</v>
      </c>
      <c r="C303" s="26" t="n">
        <f aca="false">mpl_26*1</f>
        <v>29.753262</v>
      </c>
      <c r="D303" s="26" t="n">
        <f aca="false">mpl_27*1*1</f>
        <v>53.560715</v>
      </c>
      <c r="E303" s="26" t="n">
        <f aca="false">mpl_28*um28_A*1</f>
        <v>57.9915</v>
      </c>
      <c r="F303" s="26" t="n">
        <f aca="false">mpl_29*um29_A*1</f>
        <v>72.9348</v>
      </c>
    </row>
    <row r="304" customFormat="false" ht="17.15" hidden="false" customHeight="false" outlineLevel="0" collapsed="false">
      <c r="A304" s="5" t="s">
        <v>564</v>
      </c>
      <c r="B304" s="0" t="s">
        <v>97</v>
      </c>
      <c r="C304" s="20" t="n">
        <f aca="false">asp_26</f>
        <v>500</v>
      </c>
      <c r="D304" s="20" t="n">
        <f aca="false">ASHI_27</f>
        <v>640</v>
      </c>
      <c r="E304" s="20" t="n">
        <f aca="false">ASHI_28</f>
        <v>680</v>
      </c>
      <c r="F304" s="20" t="n">
        <f aca="false">ASHI_29</f>
        <v>720</v>
      </c>
    </row>
    <row r="305" customFormat="false" ht="17.15" hidden="false" customHeight="false" outlineLevel="0" collapsed="false">
      <c r="A305" s="5" t="s">
        <v>565</v>
      </c>
      <c r="B305" s="5" t="s">
        <v>349</v>
      </c>
      <c r="C305" s="15" t="n">
        <f aca="false">C303*1000/C304</f>
        <v>59.506524</v>
      </c>
      <c r="D305" s="15" t="n">
        <f aca="false">D303*1000/D304</f>
        <v>83.6886171875</v>
      </c>
      <c r="E305" s="15" t="n">
        <f aca="false">E303*1000/E304</f>
        <v>85.2816176470588</v>
      </c>
      <c r="F305" s="15" t="n">
        <f aca="false">F303*1000/F304</f>
        <v>101.298333333333</v>
      </c>
    </row>
    <row r="306" customFormat="false" ht="17.15" hidden="false" customHeight="false" outlineLevel="0" collapsed="false">
      <c r="A306" s="5" t="s">
        <v>566</v>
      </c>
      <c r="B306" s="5" t="s">
        <v>109</v>
      </c>
      <c r="C306" s="18" t="n">
        <f aca="false">lpm_26</f>
        <v>5.5</v>
      </c>
      <c r="D306" s="18" t="n">
        <f aca="false">lpm_27</f>
        <v>5.5</v>
      </c>
      <c r="E306" s="18" t="n">
        <f aca="false">lpm_28</f>
        <v>5</v>
      </c>
      <c r="F306" s="18" t="n">
        <f aca="false">lpm_29</f>
        <v>4.8</v>
      </c>
    </row>
    <row r="307" customFormat="false" ht="17.15" hidden="false" customHeight="false" outlineLevel="0" collapsed="false">
      <c r="A307" s="5" t="s">
        <v>567</v>
      </c>
      <c r="B307" s="0" t="s">
        <v>121</v>
      </c>
      <c r="C307" s="18" t="n">
        <f aca="false">lasp_26</f>
        <v>13</v>
      </c>
      <c r="D307" s="18" t="n">
        <f aca="false">lasp_27</f>
        <v>15</v>
      </c>
      <c r="E307" s="18" t="n">
        <f aca="false">lasp_28</f>
        <v>15</v>
      </c>
      <c r="F307" s="18" t="n">
        <f aca="false">lasp_29</f>
        <v>14</v>
      </c>
    </row>
    <row r="308" customFormat="false" ht="17.15" hidden="false" customHeight="false" outlineLevel="0" collapsed="false">
      <c r="A308" s="5" t="s">
        <v>568</v>
      </c>
      <c r="B308" s="0" t="s">
        <v>31</v>
      </c>
      <c r="C308" s="26" t="n">
        <f aca="false">C305*C306*C307/1000</f>
        <v>4.254716466</v>
      </c>
      <c r="D308" s="26" t="n">
        <f aca="false">D305*D306*D307/1000</f>
        <v>6.90431091796875</v>
      </c>
      <c r="E308" s="26" t="n">
        <f aca="false">E305*E306*E307/1000</f>
        <v>6.39612132352941</v>
      </c>
      <c r="F308" s="26" t="n">
        <f aca="false">F305*F306*F307/1000</f>
        <v>6.807248</v>
      </c>
    </row>
    <row r="309" customFormat="false" ht="17.15" hidden="false" customHeight="false" outlineLevel="0" collapsed="false">
      <c r="A309" s="0" t="s">
        <v>569</v>
      </c>
      <c r="B309" s="0" t="s">
        <v>164</v>
      </c>
      <c r="C309" s="16" t="n">
        <f aca="false">c26_las/1000/C308</f>
        <v>0.43826657190933</v>
      </c>
      <c r="H309" s="8" t="s">
        <v>570</v>
      </c>
    </row>
    <row r="310" customFormat="false" ht="17.15" hidden="false" customHeight="false" outlineLevel="0" collapsed="false">
      <c r="A310" s="5" t="s">
        <v>571</v>
      </c>
      <c r="B310" s="0" t="s">
        <v>75</v>
      </c>
      <c r="C310" s="9" t="n">
        <f aca="false">1</f>
        <v>1</v>
      </c>
      <c r="D310" s="9" t="n">
        <f aca="false">lrel_27</f>
        <v>0.95</v>
      </c>
      <c r="E310" s="9" t="n">
        <f aca="false">lrel_28</f>
        <v>0.95</v>
      </c>
      <c r="F310" s="9" t="n">
        <f aca="false">lrel_29</f>
        <v>0.9</v>
      </c>
    </row>
    <row r="311" customFormat="false" ht="15" hidden="false" customHeight="false" outlineLevel="0" collapsed="false">
      <c r="A311" s="5" t="s">
        <v>572</v>
      </c>
      <c r="B311" s="0" t="s">
        <v>164</v>
      </c>
      <c r="C311" s="16" t="n">
        <f aca="false">$C$309*C310</f>
        <v>0.43826657190933</v>
      </c>
      <c r="D311" s="16" t="n">
        <f aca="false">$C$309*D310</f>
        <v>0.416353243313864</v>
      </c>
      <c r="E311" s="16" t="n">
        <f aca="false">$C$309*E310</f>
        <v>0.416353243313864</v>
      </c>
      <c r="F311" s="16" t="n">
        <f aca="false">$C$309*F310</f>
        <v>0.394439914718397</v>
      </c>
    </row>
    <row r="312" customFormat="false" ht="17.15" hidden="false" customHeight="false" outlineLevel="0" collapsed="false">
      <c r="A312" s="5" t="s">
        <v>573</v>
      </c>
      <c r="B312" s="0" t="s">
        <v>31</v>
      </c>
      <c r="C312" s="26" t="n">
        <f aca="false">C308*C311</f>
        <v>1.8647</v>
      </c>
      <c r="D312" s="26" t="n">
        <f aca="false">D308*D311</f>
        <v>2.87463224354361</v>
      </c>
      <c r="E312" s="26" t="n">
        <f aca="false">E308*E311</f>
        <v>2.66304585768043</v>
      </c>
      <c r="F312" s="26" t="n">
        <f aca="false">F308*F311</f>
        <v>2.68505032058698</v>
      </c>
    </row>
    <row r="313" customFormat="false" ht="17.15" hidden="false" customHeight="false" outlineLevel="0" collapsed="false">
      <c r="A313" s="5" t="s">
        <v>574</v>
      </c>
      <c r="B313" s="0" t="s">
        <v>164</v>
      </c>
      <c r="C313" s="16" t="n">
        <f aca="false">c26_xcvr/1000/C303</f>
        <v>0.0336097601668012</v>
      </c>
    </row>
    <row r="314" customFormat="false" ht="15" hidden="false" customHeight="false" outlineLevel="0" collapsed="false">
      <c r="A314" s="5" t="s">
        <v>575</v>
      </c>
      <c r="B314" s="0" t="s">
        <v>164</v>
      </c>
      <c r="C314" s="16" t="n">
        <f aca="false">C313</f>
        <v>0.0336097601668012</v>
      </c>
      <c r="D314" s="16" t="n">
        <f aca="false">$C$313*mrel_27</f>
        <v>0.0336097601668012</v>
      </c>
      <c r="E314" s="16" t="n">
        <f aca="false">$C$313*mrel_28</f>
        <v>0.0336097601668012</v>
      </c>
      <c r="F314" s="16" t="n">
        <f aca="false">$C$313*mrel_29</f>
        <v>0.0336097601668012</v>
      </c>
    </row>
    <row r="315" customFormat="false" ht="15" hidden="false" customHeight="false" outlineLevel="0" collapsed="false">
      <c r="A315" s="5" t="s">
        <v>576</v>
      </c>
      <c r="B315" s="0" t="s">
        <v>31</v>
      </c>
      <c r="C315" s="26" t="n">
        <f aca="false">C303*C314</f>
        <v>1</v>
      </c>
      <c r="D315" s="26" t="n">
        <f aca="false">D303*D314</f>
        <v>1.80016278551239</v>
      </c>
      <c r="E315" s="26" t="n">
        <f aca="false">E303*E314</f>
        <v>1.94908040671305</v>
      </c>
      <c r="F315" s="26" t="n">
        <f aca="false">F303*F314</f>
        <v>2.45132113581361</v>
      </c>
    </row>
    <row r="316" customFormat="false" ht="17.15" hidden="false" customHeight="false" outlineLevel="0" collapsed="false">
      <c r="A316" s="0" t="s">
        <v>577</v>
      </c>
      <c r="B316" s="5" t="s">
        <v>54</v>
      </c>
      <c r="C316" s="19" t="n">
        <f aca="false">tpu_26*1</f>
        <v>3.85</v>
      </c>
      <c r="D316" s="19" t="n">
        <f aca="false">tpu_27*1</f>
        <v>5.5</v>
      </c>
      <c r="E316" s="19" t="n">
        <f aca="false">tpu_28*um28_A</f>
        <v>7</v>
      </c>
      <c r="F316" s="19" t="n">
        <f aca="false">tpu_29*um29_A</f>
        <v>8.05</v>
      </c>
    </row>
    <row r="317" customFormat="false" ht="17.15" hidden="false" customHeight="false" outlineLevel="0" collapsed="false">
      <c r="A317" s="0" t="s">
        <v>578</v>
      </c>
      <c r="B317" s="0" t="s">
        <v>121</v>
      </c>
      <c r="C317" s="20" t="n">
        <f aca="false">c26_ocs/C316</f>
        <v>129.87012987013</v>
      </c>
      <c r="D317" s="20" t="n">
        <f aca="false">$C317*ocsk_27</f>
        <v>207.792207792208</v>
      </c>
      <c r="E317" s="20" t="n">
        <f aca="false">$C317*ocsk_28</f>
        <v>233.766233766234</v>
      </c>
      <c r="F317" s="20" t="n">
        <f aca="false">$C317*ocsk_29</f>
        <v>233.766233766234</v>
      </c>
    </row>
    <row r="318" customFormat="false" ht="17.15" hidden="false" customHeight="false" outlineLevel="0" collapsed="false">
      <c r="A318" s="0" t="s">
        <v>531</v>
      </c>
      <c r="B318" s="0" t="s">
        <v>31</v>
      </c>
      <c r="C318" s="26" t="n">
        <f aca="false">C316*C317/1000</f>
        <v>0.5</v>
      </c>
      <c r="D318" s="26" t="n">
        <f aca="false">D316*D317/1000</f>
        <v>1.14285714285714</v>
      </c>
      <c r="E318" s="26" t="n">
        <f aca="false">E316*E317/1000</f>
        <v>1.63636363636364</v>
      </c>
      <c r="F318" s="26" t="n">
        <f aca="false">F316*F317/1000</f>
        <v>1.88181818181818</v>
      </c>
    </row>
    <row r="319" customFormat="false" ht="17.15" hidden="false" customHeight="false" outlineLevel="0" collapsed="false">
      <c r="A319" s="0" t="s">
        <v>579</v>
      </c>
      <c r="B319" s="0" t="s">
        <v>31</v>
      </c>
      <c r="C319" s="26" t="n">
        <f aca="false">mcp_26*1</f>
        <v>0.300538</v>
      </c>
      <c r="D319" s="26" t="n">
        <f aca="false">mcp_27*1</f>
        <v>2.818985</v>
      </c>
      <c r="E319" s="26" t="n">
        <f aca="false">mcp_28*um28_A</f>
        <v>6.4435</v>
      </c>
      <c r="F319" s="26" t="n">
        <f aca="false">mcp_29*um29_A</f>
        <v>11.74736</v>
      </c>
    </row>
    <row r="320" customFormat="false" ht="17.15" hidden="false" customHeight="false" outlineLevel="0" collapsed="false">
      <c r="A320" s="0" t="s">
        <v>532</v>
      </c>
      <c r="B320" s="0" t="s">
        <v>164</v>
      </c>
      <c r="C320" s="16" t="n">
        <f aca="false">c26_cpo/1000/C319</f>
        <v>0.166368312825666</v>
      </c>
      <c r="D320" s="16" t="n">
        <f aca="false">cpo_27</f>
        <v>0.25</v>
      </c>
      <c r="E320" s="16" t="n">
        <f aca="false">cpo_28</f>
        <v>0.25</v>
      </c>
      <c r="F320" s="16" t="n">
        <f aca="false">cpo_29</f>
        <v>0.2</v>
      </c>
    </row>
    <row r="321" customFormat="false" ht="17.15" hidden="false" customHeight="false" outlineLevel="0" collapsed="false">
      <c r="A321" s="0" t="s">
        <v>580</v>
      </c>
      <c r="B321" s="0" t="s">
        <v>31</v>
      </c>
      <c r="C321" s="26" t="n">
        <f aca="false">C319*C320</f>
        <v>0.05</v>
      </c>
      <c r="D321" s="26" t="n">
        <f aca="false">D319*D320</f>
        <v>0.70474625</v>
      </c>
      <c r="E321" s="26" t="n">
        <f aca="false">E319*E320</f>
        <v>1.610875</v>
      </c>
      <c r="F321" s="26" t="n">
        <f aca="false">F319*F320</f>
        <v>2.349472</v>
      </c>
    </row>
    <row r="322" customFormat="false" ht="17.15" hidden="false" customHeight="false" outlineLevel="0" collapsed="false">
      <c r="A322" s="0" t="s">
        <v>581</v>
      </c>
      <c r="B322" s="0" t="s">
        <v>31</v>
      </c>
      <c r="C322" s="26" t="n">
        <f aca="false">C312+C315+C318+C321</f>
        <v>3.4147</v>
      </c>
      <c r="D322" s="26" t="n">
        <f aca="false">D312+D315+D318+D321</f>
        <v>6.52239842191314</v>
      </c>
      <c r="E322" s="26" t="n">
        <f aca="false">E312+E315+E318+E321</f>
        <v>7.85936490075712</v>
      </c>
      <c r="F322" s="26" t="n">
        <f aca="false">F312+F315+F318+F321</f>
        <v>9.36766163821877</v>
      </c>
    </row>
    <row r="323" customFormat="false" ht="17.15" hidden="false" customHeight="false" outlineLevel="0" collapsed="false">
      <c r="A323" s="5" t="s">
        <v>582</v>
      </c>
      <c r="B323" s="0" t="s">
        <v>31</v>
      </c>
      <c r="C323" s="26" t="n">
        <f aca="false">c26_tel/1000</f>
        <v>0.75</v>
      </c>
      <c r="D323" s="26" t="n">
        <f aca="false">C323*(1+g_tel_27)</f>
        <v>0.9375</v>
      </c>
      <c r="E323" s="26" t="n">
        <f aca="false">D323*(1+g_tel_28)</f>
        <v>1.078125</v>
      </c>
      <c r="F323" s="26" t="n">
        <f aca="false">E323*(1+g_tel_29)</f>
        <v>1.1859375</v>
      </c>
    </row>
    <row r="324" customFormat="false" ht="17.15" hidden="false" customHeight="false" outlineLevel="0" collapsed="false">
      <c r="A324" s="5" t="s">
        <v>583</v>
      </c>
      <c r="B324" s="0" t="s">
        <v>31</v>
      </c>
      <c r="C324" s="26" t="n">
        <f aca="false">c26_ind/1000</f>
        <v>0.3</v>
      </c>
      <c r="D324" s="26" t="n">
        <f aca="false">C324*(1+g_ind)</f>
        <v>0.309</v>
      </c>
      <c r="E324" s="26" t="n">
        <f aca="false">D324*(1+g_ind)</f>
        <v>0.31827</v>
      </c>
      <c r="F324" s="26" t="n">
        <f aca="false">E324*(1+g_ind)</f>
        <v>0.3278181</v>
      </c>
    </row>
    <row r="325" customFormat="false" ht="17.15" hidden="false" customHeight="false" outlineLevel="0" collapsed="false">
      <c r="A325" s="5" t="s">
        <v>584</v>
      </c>
      <c r="B325" s="0" t="s">
        <v>31</v>
      </c>
      <c r="C325" s="26" t="n">
        <f aca="false">C312+C323+C321+C324/2</f>
        <v>2.8147</v>
      </c>
      <c r="D325" s="26" t="n">
        <f aca="false">D312+D323+D321+D324/2</f>
        <v>4.67137849354361</v>
      </c>
      <c r="E325" s="26" t="n">
        <f aca="false">E312+E323+E321+E324/2</f>
        <v>5.51118085768043</v>
      </c>
      <c r="F325" s="26" t="n">
        <f aca="false">F312+F323+F321+F324/2</f>
        <v>6.38436887058698</v>
      </c>
      <c r="H325" s="5" t="s">
        <v>585</v>
      </c>
    </row>
    <row r="326" customFormat="false" ht="17.15" hidden="false" customHeight="false" outlineLevel="0" collapsed="false">
      <c r="A326" s="5" t="s">
        <v>586</v>
      </c>
      <c r="B326" s="0" t="s">
        <v>31</v>
      </c>
      <c r="C326" s="26" t="n">
        <f aca="false">C315+C318+C324/2</f>
        <v>1.65</v>
      </c>
      <c r="D326" s="26" t="n">
        <f aca="false">D315+D318+D324/2</f>
        <v>3.09751992836953</v>
      </c>
      <c r="E326" s="26" t="n">
        <f aca="false">E315+E318+E324/2</f>
        <v>3.74457904307669</v>
      </c>
      <c r="F326" s="26" t="n">
        <f aca="false">F315+F318+F324/2</f>
        <v>4.49704836763179</v>
      </c>
    </row>
    <row r="327" customFormat="false" ht="15" hidden="false" customHeight="false" outlineLevel="0" collapsed="false">
      <c r="A327" s="5" t="s">
        <v>587</v>
      </c>
      <c r="B327" s="0" t="s">
        <v>31</v>
      </c>
      <c r="C327" s="26" t="n">
        <f aca="false">C322+C323+C324</f>
        <v>4.4647</v>
      </c>
      <c r="D327" s="26" t="n">
        <f aca="false">D322+D323+D324</f>
        <v>7.76889842191314</v>
      </c>
      <c r="E327" s="26" t="n">
        <f aca="false">E322+E323+E324</f>
        <v>9.25575990075712</v>
      </c>
      <c r="F327" s="26" t="n">
        <f aca="false">F322+F323+F324</f>
        <v>10.8814172382188</v>
      </c>
    </row>
    <row r="328" customFormat="false" ht="15" hidden="false" customHeight="false" outlineLevel="0" collapsed="false">
      <c r="A328" s="5" t="s">
        <v>588</v>
      </c>
      <c r="B328" s="0" t="s">
        <v>164</v>
      </c>
      <c r="D328" s="16" t="n">
        <f aca="false">D327/C327-1</f>
        <v>0.740071767848488</v>
      </c>
      <c r="E328" s="16" t="n">
        <f aca="false">E327/D327-1</f>
        <v>0.191386397156398</v>
      </c>
      <c r="F328" s="16" t="n">
        <f aca="false">F327/E327-1</f>
        <v>0.175637371203705</v>
      </c>
    </row>
    <row r="329" customFormat="false" ht="17.15" hidden="false" customHeight="false" outlineLevel="0" collapsed="false">
      <c r="A329" s="1" t="s">
        <v>589</v>
      </c>
    </row>
    <row r="330" customFormat="false" ht="17.15" hidden="false" customHeight="false" outlineLevel="0" collapsed="false">
      <c r="A330" s="6" t="s">
        <v>20</v>
      </c>
      <c r="B330" s="6" t="s">
        <v>21</v>
      </c>
      <c r="C330" s="14" t="s">
        <v>472</v>
      </c>
      <c r="D330" s="14" t="s">
        <v>539</v>
      </c>
      <c r="E330" s="14" t="s">
        <v>540</v>
      </c>
      <c r="F330" s="14" t="s">
        <v>541</v>
      </c>
      <c r="G330" s="14" t="s">
        <v>542</v>
      </c>
      <c r="H330" s="6" t="s">
        <v>480</v>
      </c>
    </row>
    <row r="331" customFormat="false" ht="17.15" hidden="false" customHeight="false" outlineLevel="0" collapsed="false">
      <c r="A331" s="0" t="s">
        <v>590</v>
      </c>
      <c r="B331" s="0" t="s">
        <v>31</v>
      </c>
      <c r="E331" s="26" t="n">
        <f aca="false">w2h_26*C322+h_1h*D322</f>
        <v>5.09230509331609</v>
      </c>
      <c r="F331" s="26" t="n">
        <f aca="false">(1-h_1h)*D322+h_1h*E322</f>
        <v>7.15077266696981</v>
      </c>
      <c r="G331" s="26" t="n">
        <f aca="false">(1-h_1h)*E322+h_1h*F322</f>
        <v>8.5682643673641</v>
      </c>
      <c r="H331" s="8" t="s">
        <v>591</v>
      </c>
    </row>
    <row r="332" customFormat="false" ht="17.15" hidden="false" customHeight="false" outlineLevel="0" collapsed="false">
      <c r="A332" s="5" t="s">
        <v>592</v>
      </c>
      <c r="B332" s="0" t="s">
        <v>31</v>
      </c>
      <c r="E332" s="26" t="n">
        <f aca="false">w2h_26*C323+h_1h*D323+w2h_26*C324+h_1h*D324</f>
        <v>1.20907716498309</v>
      </c>
      <c r="F332" s="26" t="n">
        <f aca="false">(1-h_1h)*D323+h_1h*E323+(1-h_1h)*D324+h_1h*E324</f>
        <v>1.31695065</v>
      </c>
      <c r="G332" s="26" t="n">
        <f aca="false">(1-h_1h)*E323+h_1h*F323+(1-h_1h)*E324+h_1h*F324</f>
        <v>1.451554482</v>
      </c>
    </row>
    <row r="333" customFormat="false" ht="15" hidden="false" customHeight="false" outlineLevel="0" collapsed="false">
      <c r="A333" s="5" t="s">
        <v>481</v>
      </c>
      <c r="B333" s="0" t="s">
        <v>31</v>
      </c>
      <c r="C333" s="26" t="n">
        <f aca="false">a25_rev/1000</f>
        <v>1.645</v>
      </c>
      <c r="D333" s="26" t="n">
        <f aca="false">a26_rev/1000</f>
        <v>3.014</v>
      </c>
      <c r="E333" s="26" t="n">
        <f aca="false">E331+E332</f>
        <v>6.30138225829918</v>
      </c>
      <c r="F333" s="26" t="n">
        <f aca="false">F331+F332</f>
        <v>8.46772331696981</v>
      </c>
      <c r="G333" s="26" t="n">
        <f aca="false">G331+G332</f>
        <v>10.0198188493641</v>
      </c>
    </row>
    <row r="334" customFormat="false" ht="17.15" hidden="false" customHeight="false" outlineLevel="0" collapsed="false">
      <c r="A334" s="5" t="s">
        <v>593</v>
      </c>
      <c r="B334" s="0" t="s">
        <v>31</v>
      </c>
      <c r="C334" s="26" t="n">
        <f aca="false">a25_cmp/1000</f>
        <v>1.1163</v>
      </c>
      <c r="D334" s="26" t="n">
        <f aca="false">a26_cmp/1000</f>
        <v>2.0056</v>
      </c>
      <c r="E334" s="26" t="n">
        <f aca="false">w2h_26*C325+h_1h*D325</f>
        <v>3.8661987755635</v>
      </c>
      <c r="F334" s="26" t="n">
        <f aca="false">(1-h_1h)*D325+h_1h*E325</f>
        <v>5.06608560468792</v>
      </c>
      <c r="G334" s="26" t="n">
        <f aca="false">(1-h_1h)*E325+h_1h*F325</f>
        <v>5.92157922374651</v>
      </c>
      <c r="H334" s="5" t="s">
        <v>594</v>
      </c>
    </row>
    <row r="335" customFormat="false" ht="17.15" hidden="false" customHeight="false" outlineLevel="0" collapsed="false">
      <c r="A335" s="5" t="s">
        <v>595</v>
      </c>
      <c r="B335" s="0" t="s">
        <v>31</v>
      </c>
      <c r="C335" s="26" t="n">
        <f aca="false">a25_sys/1000</f>
        <v>0.5287</v>
      </c>
      <c r="D335" s="26" t="n">
        <f aca="false">a26_sys/1000</f>
        <v>1.0084</v>
      </c>
      <c r="E335" s="26" t="n">
        <f aca="false">w2h_26*C326+h_1h*D326</f>
        <v>2.43518348273568</v>
      </c>
      <c r="F335" s="26" t="n">
        <f aca="false">(1-h_1h)*D326+h_1h*E326</f>
        <v>3.4016377122819</v>
      </c>
      <c r="G335" s="26" t="n">
        <f aca="false">(1-h_1h)*E326+h_1h*F326</f>
        <v>4.09823962561759</v>
      </c>
      <c r="H335" s="5" t="s">
        <v>596</v>
      </c>
    </row>
    <row r="336" customFormat="false" ht="15" hidden="false" customHeight="false" outlineLevel="0" collapsed="false">
      <c r="A336" s="5" t="s">
        <v>597</v>
      </c>
      <c r="B336" s="0" t="s">
        <v>31</v>
      </c>
      <c r="C336" s="17" t="n">
        <f aca="false">C334+C335-C333</f>
        <v>0</v>
      </c>
      <c r="D336" s="17" t="n">
        <f aca="false">D334+D335-D333</f>
        <v>0</v>
      </c>
      <c r="E336" s="17" t="n">
        <f aca="false">E334+E335-E333</f>
        <v>0</v>
      </c>
      <c r="F336" s="17" t="n">
        <f aca="false">F334+F335-F333</f>
        <v>0</v>
      </c>
      <c r="G336" s="17" t="n">
        <f aca="false">G334+G335-G333</f>
        <v>0</v>
      </c>
    </row>
    <row r="337" customFormat="false" ht="15" hidden="false" customHeight="false" outlineLevel="0" collapsed="false">
      <c r="A337" s="5" t="s">
        <v>598</v>
      </c>
      <c r="B337" s="0" t="s">
        <v>164</v>
      </c>
      <c r="D337" s="16" t="n">
        <f aca="false">D333/C333-1</f>
        <v>0.832218844984802</v>
      </c>
      <c r="E337" s="16" t="n">
        <f aca="false">E333/D333-1</f>
        <v>1.09070413347683</v>
      </c>
      <c r="F337" s="16" t="n">
        <f aca="false">F333/E333-1</f>
        <v>0.343788230878626</v>
      </c>
      <c r="G337" s="16" t="n">
        <f aca="false">G333/F333-1</f>
        <v>0.183295494467066</v>
      </c>
    </row>
    <row r="338" customFormat="false" ht="17.15" hidden="false" customHeight="false" outlineLevel="0" collapsed="false">
      <c r="A338" s="0" t="s">
        <v>599</v>
      </c>
      <c r="B338" s="0" t="s">
        <v>164</v>
      </c>
      <c r="E338" s="16" t="n">
        <f aca="false">E331/E333</f>
        <v>0.808125088207324</v>
      </c>
      <c r="F338" s="16" t="n">
        <f aca="false">F331/F333</f>
        <v>0.844474057464684</v>
      </c>
      <c r="G338" s="16" t="n">
        <f aca="false">G331/G333</f>
        <v>0.855131664172539</v>
      </c>
    </row>
    <row r="339" customFormat="false" ht="17.15" hidden="false" customHeight="false" outlineLevel="0" collapsed="false">
      <c r="A339" s="5" t="s">
        <v>484</v>
      </c>
      <c r="B339" s="0" t="s">
        <v>164</v>
      </c>
      <c r="C339" s="16" t="n">
        <f aca="false">a25_gm</f>
        <v>0.347</v>
      </c>
      <c r="D339" s="16" t="n">
        <f aca="false">a26_gm</f>
        <v>0.46</v>
      </c>
      <c r="E339" s="16" t="n">
        <f aca="false">gm_27</f>
        <v>0.52</v>
      </c>
      <c r="F339" s="16" t="n">
        <f aca="false">gm_28</f>
        <v>0.51</v>
      </c>
      <c r="G339" s="16" t="n">
        <f aca="false">gm_29</f>
        <v>0.49</v>
      </c>
    </row>
    <row r="340" customFormat="false" ht="15" hidden="false" customHeight="false" outlineLevel="0" collapsed="false">
      <c r="A340" s="5" t="s">
        <v>485</v>
      </c>
      <c r="B340" s="0" t="s">
        <v>31</v>
      </c>
      <c r="C340" s="26" t="n">
        <f aca="false">C333*C339</f>
        <v>0.570815</v>
      </c>
      <c r="D340" s="26" t="n">
        <f aca="false">D333*D339</f>
        <v>1.38644</v>
      </c>
      <c r="E340" s="26" t="n">
        <f aca="false">E333*E339</f>
        <v>3.27671877431557</v>
      </c>
      <c r="F340" s="26" t="n">
        <f aca="false">F333*F339</f>
        <v>4.31853889165461</v>
      </c>
      <c r="G340" s="26" t="n">
        <f aca="false">G333*G339</f>
        <v>4.90971123618841</v>
      </c>
    </row>
    <row r="341" customFormat="false" ht="15" hidden="false" customHeight="false" outlineLevel="0" collapsed="false">
      <c r="A341" s="5" t="s">
        <v>600</v>
      </c>
      <c r="B341" s="0" t="s">
        <v>31</v>
      </c>
      <c r="C341" s="26" t="n">
        <f aca="false">a25_opx/1000</f>
        <v>0.4114</v>
      </c>
      <c r="D341" s="26" t="n">
        <f aca="false">a26_opx/1000</f>
        <v>0.4897</v>
      </c>
      <c r="E341" s="26" t="n">
        <f aca="false">D341*(1+MAX(0,phi*E337))</f>
        <v>0.611850990199018</v>
      </c>
      <c r="F341" s="26" t="n">
        <f aca="false">E341*(1+MAX(0,phi*F337))</f>
        <v>0.659956697135613</v>
      </c>
      <c r="G341" s="26" t="n">
        <f aca="false">F341*(1+MAX(0,phi*G337))</f>
        <v>0.687621473195659</v>
      </c>
    </row>
    <row r="342" customFormat="false" ht="15" hidden="false" customHeight="false" outlineLevel="0" collapsed="false">
      <c r="A342" s="5" t="s">
        <v>601</v>
      </c>
      <c r="B342" s="0" t="s">
        <v>31</v>
      </c>
      <c r="C342" s="26" t="n">
        <f aca="false">C341</f>
        <v>0.4114</v>
      </c>
      <c r="D342" s="26" t="n">
        <f aca="false">D341</f>
        <v>0.4897</v>
      </c>
      <c r="E342" s="26" t="n">
        <f aca="false">E341+0*E333</f>
        <v>0.611850990199018</v>
      </c>
      <c r="F342" s="26" t="n">
        <f aca="false">F341+0*F333</f>
        <v>0.659956697135613</v>
      </c>
      <c r="G342" s="26" t="n">
        <f aca="false">G341+0*G333</f>
        <v>0.687621473195659</v>
      </c>
    </row>
    <row r="343" customFormat="false" ht="15" hidden="false" customHeight="false" outlineLevel="0" collapsed="false">
      <c r="A343" s="5" t="s">
        <v>602</v>
      </c>
      <c r="B343" s="0" t="s">
        <v>31</v>
      </c>
      <c r="C343" s="26" t="n">
        <f aca="false">C340-C342</f>
        <v>0.159415</v>
      </c>
      <c r="D343" s="26" t="n">
        <f aca="false">D340-D342</f>
        <v>0.89674</v>
      </c>
      <c r="E343" s="26" t="n">
        <f aca="false">E340-E342</f>
        <v>2.66486778411655</v>
      </c>
      <c r="F343" s="26" t="n">
        <f aca="false">F340-F342</f>
        <v>3.65858219451899</v>
      </c>
      <c r="G343" s="26" t="n">
        <f aca="false">G340-G342</f>
        <v>4.22208976299275</v>
      </c>
    </row>
    <row r="344" customFormat="false" ht="15" hidden="false" customHeight="false" outlineLevel="0" collapsed="false">
      <c r="A344" s="5" t="s">
        <v>489</v>
      </c>
      <c r="B344" s="0" t="s">
        <v>164</v>
      </c>
      <c r="C344" s="16" t="n">
        <f aca="false">C343/C333</f>
        <v>0.0969088145896656</v>
      </c>
      <c r="D344" s="16" t="n">
        <f aca="false">D343/D333</f>
        <v>0.297524883875249</v>
      </c>
      <c r="E344" s="16" t="n">
        <f aca="false">E343/E333</f>
        <v>0.422902099076249</v>
      </c>
      <c r="F344" s="16" t="n">
        <f aca="false">F343/F333</f>
        <v>0.432062085352621</v>
      </c>
      <c r="G344" s="16" t="n">
        <f aca="false">G343/G333</f>
        <v>0.421373861789996</v>
      </c>
    </row>
    <row r="345" customFormat="false" ht="17.15" hidden="false" customHeight="false" outlineLevel="0" collapsed="false">
      <c r="A345" s="5" t="s">
        <v>490</v>
      </c>
      <c r="B345" s="0" t="s">
        <v>31</v>
      </c>
      <c r="C345" s="26" t="n">
        <f aca="false">a25_ni/1000</f>
        <v>0.1464</v>
      </c>
      <c r="D345" s="26" t="n">
        <f aca="false">a26_ni/1000</f>
        <v>0.7823</v>
      </c>
      <c r="E345" s="26" t="n">
        <f aca="false">(E343+oi_oth)*(1-tx)</f>
        <v>2.26876459973732</v>
      </c>
      <c r="F345" s="26" t="n">
        <f aca="false">(F343+oi_oth)*(1-tx)</f>
        <v>3.09851613242336</v>
      </c>
      <c r="G345" s="26" t="n">
        <f aca="false">(G343+oi_oth)*(1-tx)</f>
        <v>3.56904495209895</v>
      </c>
    </row>
    <row r="346" customFormat="false" ht="15" hidden="false" customHeight="false" outlineLevel="0" collapsed="false">
      <c r="A346" s="5" t="s">
        <v>552</v>
      </c>
      <c r="B346" s="0" t="s">
        <v>164</v>
      </c>
      <c r="C346" s="16" t="n">
        <f aca="false">C345/C333</f>
        <v>0.0889969604863222</v>
      </c>
      <c r="D346" s="16" t="n">
        <f aca="false">D345/D333</f>
        <v>0.259555408095554</v>
      </c>
      <c r="E346" s="16" t="n">
        <f aca="false">E345/E333</f>
        <v>0.360042369553008</v>
      </c>
      <c r="F346" s="16" t="n">
        <f aca="false">F345/F333</f>
        <v>0.365920804971715</v>
      </c>
      <c r="G346" s="16" t="n">
        <f aca="false">G345/G333</f>
        <v>0.356198550667955</v>
      </c>
    </row>
    <row r="347" customFormat="false" ht="17.15" hidden="false" customHeight="false" outlineLevel="0" collapsed="false">
      <c r="A347" s="5" t="s">
        <v>494</v>
      </c>
      <c r="B347" s="5" t="s">
        <v>238</v>
      </c>
      <c r="C347" s="15" t="n">
        <f aca="false">a25_sh</f>
        <v>71.0679611650485</v>
      </c>
      <c r="D347" s="15" t="n">
        <f aca="false">a26_sh</f>
        <v>90.2306805074971</v>
      </c>
      <c r="E347" s="15" t="n">
        <f aca="false">sh_q1</f>
        <v>102</v>
      </c>
      <c r="F347" s="15" t="n">
        <f aca="false">E347*(1+sh_g)</f>
        <v>103.02</v>
      </c>
      <c r="G347" s="15" t="n">
        <f aca="false">F347*(1+sh_g)</f>
        <v>104.0502</v>
      </c>
    </row>
    <row r="348" customFormat="false" ht="17.15" hidden="false" customHeight="false" outlineLevel="0" collapsed="false">
      <c r="A348" s="0" t="s">
        <v>496</v>
      </c>
      <c r="B348" s="0" t="s">
        <v>233</v>
      </c>
      <c r="C348" s="9" t="n">
        <f aca="false">C345*1000/C347</f>
        <v>2.06</v>
      </c>
      <c r="D348" s="9" t="n">
        <f aca="false">D345*1000/D347</f>
        <v>8.67</v>
      </c>
      <c r="E348" s="9" t="n">
        <f aca="false">E345*1000/E347</f>
        <v>22.2427901935032</v>
      </c>
      <c r="F348" s="9" t="n">
        <f aca="false">F345*1000/F347</f>
        <v>30.0768407340648</v>
      </c>
      <c r="G348" s="9" t="n">
        <f aca="false">G345*1000/G347</f>
        <v>34.3011830068462</v>
      </c>
    </row>
    <row r="349" customFormat="false" ht="17.15" hidden="false" customHeight="false" outlineLevel="0" collapsed="false">
      <c r="A349" s="0" t="s">
        <v>603</v>
      </c>
      <c r="B349" s="0" t="s">
        <v>164</v>
      </c>
      <c r="D349" s="16" t="n">
        <f aca="false">D348/C348-1</f>
        <v>3.20873786407767</v>
      </c>
      <c r="E349" s="16" t="n">
        <f aca="false">E348/D348-1</f>
        <v>1.5654890649946</v>
      </c>
      <c r="F349" s="16" t="n">
        <f aca="false">F348/E348-1</f>
        <v>0.352206286729705</v>
      </c>
      <c r="G349" s="16" t="n">
        <f aca="false">G348/F348-1</f>
        <v>0.140451662132083</v>
      </c>
    </row>
    <row r="352" customFormat="false" ht="17.15" hidden="false" customHeight="false" outlineLevel="0" collapsed="false">
      <c r="A352" s="3" t="s">
        <v>900</v>
      </c>
    </row>
    <row r="353" customFormat="false" ht="17.15" hidden="false" customHeight="false" outlineLevel="0" collapsed="false">
      <c r="A353" s="1" t="s">
        <v>561</v>
      </c>
    </row>
    <row r="354" customFormat="false" ht="17.15" hidden="false" customHeight="false" outlineLevel="0" collapsed="false">
      <c r="A354" s="6" t="s">
        <v>20</v>
      </c>
      <c r="B354" s="6" t="s">
        <v>21</v>
      </c>
      <c r="C354" s="14" t="s">
        <v>562</v>
      </c>
      <c r="D354" s="14" t="s">
        <v>517</v>
      </c>
      <c r="E354" s="14" t="s">
        <v>518</v>
      </c>
      <c r="F354" s="14" t="s">
        <v>519</v>
      </c>
      <c r="G354" s="14"/>
      <c r="H354" s="6" t="s">
        <v>480</v>
      </c>
    </row>
    <row r="355" customFormat="false" ht="17.15" hidden="false" customHeight="false" outlineLevel="0" collapsed="false">
      <c r="A355" s="0" t="s">
        <v>563</v>
      </c>
      <c r="B355" s="0" t="s">
        <v>31</v>
      </c>
      <c r="C355" s="26" t="n">
        <f aca="false">mpl_26*1</f>
        <v>29.753262</v>
      </c>
      <c r="D355" s="26" t="n">
        <f aca="false">mpl_27*1*1</f>
        <v>53.560715</v>
      </c>
      <c r="E355" s="26" t="n">
        <f aca="false">mpl_28*um28_A*1</f>
        <v>57.9915</v>
      </c>
      <c r="F355" s="26" t="n">
        <f aca="false">mpl_29*um29_A*1</f>
        <v>72.9348</v>
      </c>
    </row>
    <row r="356" customFormat="false" ht="17.15" hidden="false" customHeight="false" outlineLevel="0" collapsed="false">
      <c r="A356" s="5" t="s">
        <v>564</v>
      </c>
      <c r="B356" s="0" t="s">
        <v>97</v>
      </c>
      <c r="C356" s="20" t="n">
        <f aca="false">asp_26</f>
        <v>500</v>
      </c>
      <c r="D356" s="20" t="n">
        <f aca="false">asp_27</f>
        <v>520</v>
      </c>
      <c r="E356" s="20" t="n">
        <f aca="false">asp_28</f>
        <v>540</v>
      </c>
      <c r="F356" s="20" t="n">
        <f aca="false">asp_29</f>
        <v>560</v>
      </c>
    </row>
    <row r="357" customFormat="false" ht="17.15" hidden="false" customHeight="false" outlineLevel="0" collapsed="false">
      <c r="A357" s="5" t="s">
        <v>565</v>
      </c>
      <c r="B357" s="5" t="s">
        <v>349</v>
      </c>
      <c r="C357" s="15" t="n">
        <f aca="false">C355*1000/C356</f>
        <v>59.506524</v>
      </c>
      <c r="D357" s="15" t="n">
        <f aca="false">D355*1000/D356</f>
        <v>103.001375</v>
      </c>
      <c r="E357" s="15" t="n">
        <f aca="false">E355*1000/E356</f>
        <v>107.391666666667</v>
      </c>
      <c r="F357" s="15" t="n">
        <f aca="false">F355*1000/F356</f>
        <v>130.240714285714</v>
      </c>
    </row>
    <row r="358" customFormat="false" ht="17.15" hidden="false" customHeight="false" outlineLevel="0" collapsed="false">
      <c r="A358" s="5" t="s">
        <v>566</v>
      </c>
      <c r="B358" s="5" t="s">
        <v>109</v>
      </c>
      <c r="C358" s="18" t="n">
        <f aca="false">lpm_26</f>
        <v>5.5</v>
      </c>
      <c r="D358" s="18" t="n">
        <f aca="false">lpm_27</f>
        <v>5.5</v>
      </c>
      <c r="E358" s="18" t="n">
        <f aca="false">lpm_28</f>
        <v>5</v>
      </c>
      <c r="F358" s="18" t="n">
        <f aca="false">lpm_29</f>
        <v>4.8</v>
      </c>
    </row>
    <row r="359" customFormat="false" ht="17.15" hidden="false" customHeight="false" outlineLevel="0" collapsed="false">
      <c r="A359" s="5" t="s">
        <v>567</v>
      </c>
      <c r="B359" s="0" t="s">
        <v>121</v>
      </c>
      <c r="C359" s="18" t="n">
        <f aca="false">lasp_26</f>
        <v>13</v>
      </c>
      <c r="D359" s="18" t="n">
        <f aca="false">lasp_27</f>
        <v>15</v>
      </c>
      <c r="E359" s="18" t="n">
        <f aca="false">lasp_28</f>
        <v>15</v>
      </c>
      <c r="F359" s="18" t="n">
        <f aca="false">lasp_29</f>
        <v>14</v>
      </c>
    </row>
    <row r="360" customFormat="false" ht="17.15" hidden="false" customHeight="false" outlineLevel="0" collapsed="false">
      <c r="A360" s="5" t="s">
        <v>568</v>
      </c>
      <c r="B360" s="0" t="s">
        <v>31</v>
      </c>
      <c r="C360" s="26" t="n">
        <f aca="false">C357*C358*C359/1000</f>
        <v>4.254716466</v>
      </c>
      <c r="D360" s="26" t="n">
        <f aca="false">D357*D358*D359/1000</f>
        <v>8.4976134375</v>
      </c>
      <c r="E360" s="26" t="n">
        <f aca="false">E357*E358*E359/1000</f>
        <v>8.054375</v>
      </c>
      <c r="F360" s="26" t="n">
        <f aca="false">F357*F358*F359/1000</f>
        <v>8.752176</v>
      </c>
    </row>
    <row r="361" customFormat="false" ht="17.15" hidden="false" customHeight="false" outlineLevel="0" collapsed="false">
      <c r="A361" s="0" t="s">
        <v>569</v>
      </c>
      <c r="B361" s="0" t="s">
        <v>164</v>
      </c>
      <c r="C361" s="16" t="n">
        <f aca="false">c26_las/1000/C360</f>
        <v>0.43826657190933</v>
      </c>
      <c r="H361" s="8" t="s">
        <v>570</v>
      </c>
    </row>
    <row r="362" customFormat="false" ht="17.15" hidden="false" customHeight="false" outlineLevel="0" collapsed="false">
      <c r="A362" s="5" t="s">
        <v>571</v>
      </c>
      <c r="B362" s="0" t="s">
        <v>75</v>
      </c>
      <c r="C362" s="9" t="n">
        <f aca="false">1</f>
        <v>1</v>
      </c>
      <c r="D362" s="9" t="n">
        <f aca="false">lrel_27</f>
        <v>0.95</v>
      </c>
      <c r="E362" s="9" t="n">
        <f aca="false">lrel_28</f>
        <v>0.95</v>
      </c>
      <c r="F362" s="9" t="n">
        <f aca="false">lrel_29</f>
        <v>0.9</v>
      </c>
    </row>
    <row r="363" customFormat="false" ht="15" hidden="false" customHeight="false" outlineLevel="0" collapsed="false">
      <c r="A363" s="5" t="s">
        <v>572</v>
      </c>
      <c r="B363" s="0" t="s">
        <v>164</v>
      </c>
      <c r="C363" s="16" t="n">
        <f aca="false">$C$361*C362</f>
        <v>0.43826657190933</v>
      </c>
      <c r="D363" s="16" t="n">
        <f aca="false">$C$361*D362</f>
        <v>0.416353243313864</v>
      </c>
      <c r="E363" s="16" t="n">
        <f aca="false">$C$361*E362</f>
        <v>0.416353243313864</v>
      </c>
      <c r="F363" s="16" t="n">
        <f aca="false">$C$361*F362</f>
        <v>0.394439914718397</v>
      </c>
    </row>
    <row r="364" customFormat="false" ht="17.15" hidden="false" customHeight="false" outlineLevel="0" collapsed="false">
      <c r="A364" s="5" t="s">
        <v>573</v>
      </c>
      <c r="B364" s="0" t="s">
        <v>31</v>
      </c>
      <c r="C364" s="26" t="n">
        <f aca="false">C360*C363</f>
        <v>1.8647</v>
      </c>
      <c r="D364" s="26" t="n">
        <f aca="false">D360*D363</f>
        <v>3.53800891513059</v>
      </c>
      <c r="E364" s="26" t="n">
        <f aca="false">E360*E363</f>
        <v>3.3534651541161</v>
      </c>
      <c r="F364" s="26" t="n">
        <f aca="false">F360*F363</f>
        <v>3.4522075550404</v>
      </c>
    </row>
    <row r="365" customFormat="false" ht="17.15" hidden="false" customHeight="false" outlineLevel="0" collapsed="false">
      <c r="A365" s="5" t="s">
        <v>574</v>
      </c>
      <c r="B365" s="0" t="s">
        <v>164</v>
      </c>
      <c r="C365" s="16" t="n">
        <f aca="false">c26_xcvr/1000/C355</f>
        <v>0.0336097601668012</v>
      </c>
    </row>
    <row r="366" customFormat="false" ht="15" hidden="false" customHeight="false" outlineLevel="0" collapsed="false">
      <c r="A366" s="5" t="s">
        <v>575</v>
      </c>
      <c r="B366" s="0" t="s">
        <v>164</v>
      </c>
      <c r="C366" s="16" t="n">
        <f aca="false">C365</f>
        <v>0.0336097601668012</v>
      </c>
      <c r="D366" s="16" t="n">
        <f aca="false">$C$365*MRLO_27</f>
        <v>0.026887808133441</v>
      </c>
      <c r="E366" s="16" t="n">
        <f aca="false">$C$365*MRLO_28</f>
        <v>0.0235268321167608</v>
      </c>
      <c r="F366" s="16" t="n">
        <f aca="false">$C$365*MRLO_29</f>
        <v>0.0201658561000807</v>
      </c>
    </row>
    <row r="367" customFormat="false" ht="15" hidden="false" customHeight="false" outlineLevel="0" collapsed="false">
      <c r="A367" s="5" t="s">
        <v>576</v>
      </c>
      <c r="B367" s="0" t="s">
        <v>31</v>
      </c>
      <c r="C367" s="26" t="n">
        <f aca="false">C355*C366</f>
        <v>1</v>
      </c>
      <c r="D367" s="26" t="n">
        <f aca="false">D355*D366</f>
        <v>1.44013022840991</v>
      </c>
      <c r="E367" s="26" t="n">
        <f aca="false">E355*E366</f>
        <v>1.36435628469914</v>
      </c>
      <c r="F367" s="26" t="n">
        <f aca="false">F355*F366</f>
        <v>1.47079268148817</v>
      </c>
    </row>
    <row r="368" customFormat="false" ht="17.15" hidden="false" customHeight="false" outlineLevel="0" collapsed="false">
      <c r="A368" s="0" t="s">
        <v>577</v>
      </c>
      <c r="B368" s="5" t="s">
        <v>54</v>
      </c>
      <c r="C368" s="19" t="n">
        <f aca="false">tpu_26*1</f>
        <v>3.85</v>
      </c>
      <c r="D368" s="19" t="n">
        <f aca="false">tpu_27*1</f>
        <v>5.5</v>
      </c>
      <c r="E368" s="19" t="n">
        <f aca="false">tpu_28*um28_A</f>
        <v>7</v>
      </c>
      <c r="F368" s="19" t="n">
        <f aca="false">tpu_29*um29_A</f>
        <v>8.05</v>
      </c>
    </row>
    <row r="369" customFormat="false" ht="17.15" hidden="false" customHeight="false" outlineLevel="0" collapsed="false">
      <c r="A369" s="0" t="s">
        <v>578</v>
      </c>
      <c r="B369" s="0" t="s">
        <v>121</v>
      </c>
      <c r="C369" s="20" t="n">
        <f aca="false">c26_ocs/C368</f>
        <v>129.87012987013</v>
      </c>
      <c r="D369" s="20" t="n">
        <f aca="false">$C369*ocsk_27</f>
        <v>207.792207792208</v>
      </c>
      <c r="E369" s="20" t="n">
        <f aca="false">$C369*ocsk_28</f>
        <v>233.766233766234</v>
      </c>
      <c r="F369" s="20" t="n">
        <f aca="false">$C369*ocsk_29</f>
        <v>233.766233766234</v>
      </c>
    </row>
    <row r="370" customFormat="false" ht="17.15" hidden="false" customHeight="false" outlineLevel="0" collapsed="false">
      <c r="A370" s="0" t="s">
        <v>531</v>
      </c>
      <c r="B370" s="0" t="s">
        <v>31</v>
      </c>
      <c r="C370" s="26" t="n">
        <f aca="false">C368*C369/1000</f>
        <v>0.5</v>
      </c>
      <c r="D370" s="26" t="n">
        <f aca="false">D368*D369/1000</f>
        <v>1.14285714285714</v>
      </c>
      <c r="E370" s="26" t="n">
        <f aca="false">E368*E369/1000</f>
        <v>1.63636363636364</v>
      </c>
      <c r="F370" s="26" t="n">
        <f aca="false">F368*F369/1000</f>
        <v>1.88181818181818</v>
      </c>
    </row>
    <row r="371" customFormat="false" ht="17.15" hidden="false" customHeight="false" outlineLevel="0" collapsed="false">
      <c r="A371" s="0" t="s">
        <v>579</v>
      </c>
      <c r="B371" s="0" t="s">
        <v>31</v>
      </c>
      <c r="C371" s="26" t="n">
        <f aca="false">mcp_26*1</f>
        <v>0.300538</v>
      </c>
      <c r="D371" s="26" t="n">
        <f aca="false">mcp_27*1</f>
        <v>2.818985</v>
      </c>
      <c r="E371" s="26" t="n">
        <f aca="false">mcp_28*um28_A</f>
        <v>6.4435</v>
      </c>
      <c r="F371" s="26" t="n">
        <f aca="false">mcp_29*um29_A</f>
        <v>11.74736</v>
      </c>
    </row>
    <row r="372" customFormat="false" ht="17.15" hidden="false" customHeight="false" outlineLevel="0" collapsed="false">
      <c r="A372" s="0" t="s">
        <v>532</v>
      </c>
      <c r="B372" s="0" t="s">
        <v>164</v>
      </c>
      <c r="C372" s="16" t="n">
        <f aca="false">c26_cpo/1000/C371</f>
        <v>0.166368312825666</v>
      </c>
      <c r="D372" s="16" t="n">
        <f aca="false">cpo_27</f>
        <v>0.25</v>
      </c>
      <c r="E372" s="16" t="n">
        <f aca="false">cpo_28</f>
        <v>0.25</v>
      </c>
      <c r="F372" s="16" t="n">
        <f aca="false">cpo_29</f>
        <v>0.2</v>
      </c>
    </row>
    <row r="373" customFormat="false" ht="17.15" hidden="false" customHeight="false" outlineLevel="0" collapsed="false">
      <c r="A373" s="0" t="s">
        <v>580</v>
      </c>
      <c r="B373" s="0" t="s">
        <v>31</v>
      </c>
      <c r="C373" s="26" t="n">
        <f aca="false">C371*C372</f>
        <v>0.05</v>
      </c>
      <c r="D373" s="26" t="n">
        <f aca="false">D371*D372</f>
        <v>0.70474625</v>
      </c>
      <c r="E373" s="26" t="n">
        <f aca="false">E371*E372</f>
        <v>1.610875</v>
      </c>
      <c r="F373" s="26" t="n">
        <f aca="false">F371*F372</f>
        <v>2.349472</v>
      </c>
    </row>
    <row r="374" customFormat="false" ht="17.15" hidden="false" customHeight="false" outlineLevel="0" collapsed="false">
      <c r="A374" s="0" t="s">
        <v>581</v>
      </c>
      <c r="B374" s="0" t="s">
        <v>31</v>
      </c>
      <c r="C374" s="26" t="n">
        <f aca="false">C364+C367+C370+C373</f>
        <v>3.4147</v>
      </c>
      <c r="D374" s="26" t="n">
        <f aca="false">D364+D367+D370+D373</f>
        <v>6.82574253639765</v>
      </c>
      <c r="E374" s="26" t="n">
        <f aca="false">E364+E367+E370+E373</f>
        <v>7.96506007517887</v>
      </c>
      <c r="F374" s="26" t="n">
        <f aca="false">F364+F367+F370+F373</f>
        <v>9.15429041834675</v>
      </c>
    </row>
    <row r="375" customFormat="false" ht="17.15" hidden="false" customHeight="false" outlineLevel="0" collapsed="false">
      <c r="A375" s="5" t="s">
        <v>582</v>
      </c>
      <c r="B375" s="0" t="s">
        <v>31</v>
      </c>
      <c r="C375" s="26" t="n">
        <f aca="false">c26_tel/1000</f>
        <v>0.75</v>
      </c>
      <c r="D375" s="26" t="n">
        <f aca="false">C375*(1+g_tel_27)</f>
        <v>0.9375</v>
      </c>
      <c r="E375" s="26" t="n">
        <f aca="false">D375*(1+g_tel_28)</f>
        <v>1.078125</v>
      </c>
      <c r="F375" s="26" t="n">
        <f aca="false">E375*(1+g_tel_29)</f>
        <v>1.1859375</v>
      </c>
    </row>
    <row r="376" customFormat="false" ht="17.15" hidden="false" customHeight="false" outlineLevel="0" collapsed="false">
      <c r="A376" s="5" t="s">
        <v>583</v>
      </c>
      <c r="B376" s="0" t="s">
        <v>31</v>
      </c>
      <c r="C376" s="26" t="n">
        <f aca="false">c26_ind/1000</f>
        <v>0.3</v>
      </c>
      <c r="D376" s="26" t="n">
        <f aca="false">C376*(1+g_ind)</f>
        <v>0.309</v>
      </c>
      <c r="E376" s="26" t="n">
        <f aca="false">D376*(1+g_ind)</f>
        <v>0.31827</v>
      </c>
      <c r="F376" s="26" t="n">
        <f aca="false">E376*(1+g_ind)</f>
        <v>0.3278181</v>
      </c>
    </row>
    <row r="377" customFormat="false" ht="17.15" hidden="false" customHeight="false" outlineLevel="0" collapsed="false">
      <c r="A377" s="5" t="s">
        <v>584</v>
      </c>
      <c r="B377" s="0" t="s">
        <v>31</v>
      </c>
      <c r="C377" s="26" t="n">
        <f aca="false">C364+C375+C373+C376/2</f>
        <v>2.8147</v>
      </c>
      <c r="D377" s="26" t="n">
        <f aca="false">D364+D375+D373+D376/2</f>
        <v>5.3347551651306</v>
      </c>
      <c r="E377" s="26" t="n">
        <f aca="false">E364+E375+E373+E376/2</f>
        <v>6.2016001541161</v>
      </c>
      <c r="F377" s="26" t="n">
        <f aca="false">F364+F375+F373+F376/2</f>
        <v>7.1515261050404</v>
      </c>
      <c r="H377" s="5" t="s">
        <v>585</v>
      </c>
    </row>
    <row r="378" customFormat="false" ht="17.15" hidden="false" customHeight="false" outlineLevel="0" collapsed="false">
      <c r="A378" s="5" t="s">
        <v>586</v>
      </c>
      <c r="B378" s="0" t="s">
        <v>31</v>
      </c>
      <c r="C378" s="26" t="n">
        <f aca="false">C367+C370+C376/2</f>
        <v>1.65</v>
      </c>
      <c r="D378" s="26" t="n">
        <f aca="false">D367+D370+D376/2</f>
        <v>2.73748737126706</v>
      </c>
      <c r="E378" s="26" t="n">
        <f aca="false">E367+E370+E376/2</f>
        <v>3.15985492106277</v>
      </c>
      <c r="F378" s="26" t="n">
        <f aca="false">F367+F370+F376/2</f>
        <v>3.51651991330635</v>
      </c>
    </row>
    <row r="379" customFormat="false" ht="15" hidden="false" customHeight="false" outlineLevel="0" collapsed="false">
      <c r="A379" s="5" t="s">
        <v>587</v>
      </c>
      <c r="B379" s="0" t="s">
        <v>31</v>
      </c>
      <c r="C379" s="26" t="n">
        <f aca="false">C374+C375+C376</f>
        <v>4.4647</v>
      </c>
      <c r="D379" s="26" t="n">
        <f aca="false">D374+D375+D376</f>
        <v>8.07224253639765</v>
      </c>
      <c r="E379" s="26" t="n">
        <f aca="false">E374+E375+E376</f>
        <v>9.36145507517887</v>
      </c>
      <c r="F379" s="26" t="n">
        <f aca="false">F374+F375+F376</f>
        <v>10.6680460183468</v>
      </c>
    </row>
    <row r="380" customFormat="false" ht="15" hidden="false" customHeight="false" outlineLevel="0" collapsed="false">
      <c r="A380" s="5" t="s">
        <v>588</v>
      </c>
      <c r="B380" s="0" t="s">
        <v>164</v>
      </c>
      <c r="D380" s="16" t="n">
        <f aca="false">D379/C379-1</f>
        <v>0.808014544403353</v>
      </c>
      <c r="E380" s="16" t="n">
        <f aca="false">E379/D379-1</f>
        <v>0.159709341359378</v>
      </c>
      <c r="F380" s="16" t="n">
        <f aca="false">F379/E379-1</f>
        <v>0.139571352174962</v>
      </c>
    </row>
    <row r="381" customFormat="false" ht="17.15" hidden="false" customHeight="false" outlineLevel="0" collapsed="false">
      <c r="A381" s="1" t="s">
        <v>589</v>
      </c>
    </row>
    <row r="382" customFormat="false" ht="17.15" hidden="false" customHeight="false" outlineLevel="0" collapsed="false">
      <c r="A382" s="6" t="s">
        <v>20</v>
      </c>
      <c r="B382" s="6" t="s">
        <v>21</v>
      </c>
      <c r="C382" s="14" t="s">
        <v>472</v>
      </c>
      <c r="D382" s="14" t="s">
        <v>539</v>
      </c>
      <c r="E382" s="14" t="s">
        <v>540</v>
      </c>
      <c r="F382" s="14" t="s">
        <v>541</v>
      </c>
      <c r="G382" s="14" t="s">
        <v>542</v>
      </c>
      <c r="H382" s="6" t="s">
        <v>480</v>
      </c>
    </row>
    <row r="383" customFormat="false" ht="17.15" hidden="false" customHeight="false" outlineLevel="0" collapsed="false">
      <c r="A383" s="0" t="s">
        <v>590</v>
      </c>
      <c r="B383" s="0" t="s">
        <v>31</v>
      </c>
      <c r="E383" s="26" t="n">
        <f aca="false">w2h_26*C374+h_1h*D374</f>
        <v>5.23487682712381</v>
      </c>
      <c r="F383" s="26" t="n">
        <f aca="false">(1-h_1h)*D374+h_1h*E374</f>
        <v>7.36122177962483</v>
      </c>
      <c r="G383" s="26" t="n">
        <f aca="false">(1-h_1h)*E374+h_1h*F374</f>
        <v>8.52399833646778</v>
      </c>
      <c r="H383" s="8" t="s">
        <v>591</v>
      </c>
    </row>
    <row r="384" customFormat="false" ht="17.15" hidden="false" customHeight="false" outlineLevel="0" collapsed="false">
      <c r="A384" s="5" t="s">
        <v>592</v>
      </c>
      <c r="B384" s="0" t="s">
        <v>31</v>
      </c>
      <c r="E384" s="26" t="n">
        <f aca="false">w2h_26*C375+h_1h*D375+w2h_26*C376+h_1h*D376</f>
        <v>1.20907716498309</v>
      </c>
      <c r="F384" s="26" t="n">
        <f aca="false">(1-h_1h)*D375+h_1h*E375+(1-h_1h)*D376+h_1h*E376</f>
        <v>1.31695065</v>
      </c>
      <c r="G384" s="26" t="n">
        <f aca="false">(1-h_1h)*E375+h_1h*F375+(1-h_1h)*E376+h_1h*F376</f>
        <v>1.451554482</v>
      </c>
    </row>
    <row r="385" customFormat="false" ht="15" hidden="false" customHeight="false" outlineLevel="0" collapsed="false">
      <c r="A385" s="5" t="s">
        <v>481</v>
      </c>
      <c r="B385" s="0" t="s">
        <v>31</v>
      </c>
      <c r="C385" s="26" t="n">
        <f aca="false">a25_rev/1000</f>
        <v>1.645</v>
      </c>
      <c r="D385" s="26" t="n">
        <f aca="false">a26_rev/1000</f>
        <v>3.014</v>
      </c>
      <c r="E385" s="26" t="n">
        <f aca="false">E383+E384</f>
        <v>6.4439539921069</v>
      </c>
      <c r="F385" s="26" t="n">
        <f aca="false">F383+F384</f>
        <v>8.67817242962483</v>
      </c>
      <c r="G385" s="26" t="n">
        <f aca="false">G383+G384</f>
        <v>9.97555281846778</v>
      </c>
    </row>
    <row r="386" customFormat="false" ht="17.15" hidden="false" customHeight="false" outlineLevel="0" collapsed="false">
      <c r="A386" s="5" t="s">
        <v>593</v>
      </c>
      <c r="B386" s="0" t="s">
        <v>31</v>
      </c>
      <c r="C386" s="26" t="n">
        <f aca="false">a25_cmp/1000</f>
        <v>1.1163</v>
      </c>
      <c r="D386" s="26" t="n">
        <f aca="false">a26_cmp/1000</f>
        <v>2.0056</v>
      </c>
      <c r="E386" s="26" t="n">
        <f aca="false">w2h_26*C377+h_1h*D377</f>
        <v>4.17798581120938</v>
      </c>
      <c r="F386" s="26" t="n">
        <f aca="false">(1-h_1h)*D377+h_1h*E377</f>
        <v>5.74217230995378</v>
      </c>
      <c r="G386" s="26" t="n">
        <f aca="false">(1-h_1h)*E377+h_1h*F377</f>
        <v>6.64806535105052</v>
      </c>
      <c r="H386" s="5" t="s">
        <v>594</v>
      </c>
    </row>
    <row r="387" customFormat="false" ht="17.15" hidden="false" customHeight="false" outlineLevel="0" collapsed="false">
      <c r="A387" s="5" t="s">
        <v>595</v>
      </c>
      <c r="B387" s="0" t="s">
        <v>31</v>
      </c>
      <c r="C387" s="26" t="n">
        <f aca="false">a25_sys/1000</f>
        <v>0.5287</v>
      </c>
      <c r="D387" s="26" t="n">
        <f aca="false">a26_sys/1000</f>
        <v>1.0084</v>
      </c>
      <c r="E387" s="26" t="n">
        <f aca="false">w2h_26*C378+h_1h*D378</f>
        <v>2.26596818089751</v>
      </c>
      <c r="F387" s="26" t="n">
        <f aca="false">(1-h_1h)*D378+h_1h*E378</f>
        <v>2.93600011967104</v>
      </c>
      <c r="G387" s="26" t="n">
        <f aca="false">(1-h_1h)*E378+h_1h*F378</f>
        <v>3.32748746741725</v>
      </c>
      <c r="H387" s="5" t="s">
        <v>596</v>
      </c>
    </row>
    <row r="388" customFormat="false" ht="15" hidden="false" customHeight="false" outlineLevel="0" collapsed="false">
      <c r="A388" s="5" t="s">
        <v>597</v>
      </c>
      <c r="B388" s="0" t="s">
        <v>31</v>
      </c>
      <c r="C388" s="17" t="n">
        <f aca="false">C386+C387-C385</f>
        <v>0</v>
      </c>
      <c r="D388" s="17" t="n">
        <f aca="false">D386+D387-D385</f>
        <v>0</v>
      </c>
      <c r="E388" s="17" t="n">
        <f aca="false">E386+E387-E385</f>
        <v>0</v>
      </c>
      <c r="F388" s="17" t="n">
        <f aca="false">F386+F387-F385</f>
        <v>0</v>
      </c>
      <c r="G388" s="17" t="n">
        <f aca="false">G386+G387-G385</f>
        <v>0</v>
      </c>
    </row>
    <row r="389" customFormat="false" ht="15" hidden="false" customHeight="false" outlineLevel="0" collapsed="false">
      <c r="A389" s="5" t="s">
        <v>598</v>
      </c>
      <c r="B389" s="0" t="s">
        <v>164</v>
      </c>
      <c r="D389" s="16" t="n">
        <f aca="false">D385/C385-1</f>
        <v>0.832218844984802</v>
      </c>
      <c r="E389" s="16" t="n">
        <f aca="false">E385/D385-1</f>
        <v>1.13800729665126</v>
      </c>
      <c r="F389" s="16" t="n">
        <f aca="false">F385/E385-1</f>
        <v>0.34671545455703</v>
      </c>
      <c r="G389" s="16" t="n">
        <f aca="false">G385/F385-1</f>
        <v>0.149499263740608</v>
      </c>
    </row>
    <row r="390" customFormat="false" ht="17.15" hidden="false" customHeight="false" outlineLevel="0" collapsed="false">
      <c r="A390" s="0" t="s">
        <v>599</v>
      </c>
      <c r="B390" s="0" t="s">
        <v>164</v>
      </c>
      <c r="E390" s="16" t="n">
        <f aca="false">E383/E385</f>
        <v>0.81237029835035</v>
      </c>
      <c r="F390" s="16" t="n">
        <f aca="false">F383/F385</f>
        <v>0.848245623064102</v>
      </c>
      <c r="G390" s="16" t="n">
        <f aca="false">G383/G385</f>
        <v>0.854488817971799</v>
      </c>
    </row>
    <row r="391" customFormat="false" ht="17.15" hidden="false" customHeight="false" outlineLevel="0" collapsed="false">
      <c r="A391" s="5" t="s">
        <v>484</v>
      </c>
      <c r="B391" s="0" t="s">
        <v>164</v>
      </c>
      <c r="C391" s="16" t="n">
        <f aca="false">a25_gm</f>
        <v>0.347</v>
      </c>
      <c r="D391" s="16" t="n">
        <f aca="false">a26_gm</f>
        <v>0.46</v>
      </c>
      <c r="E391" s="16" t="n">
        <f aca="false">gm_27</f>
        <v>0.52</v>
      </c>
      <c r="F391" s="16" t="n">
        <f aca="false">gm_28</f>
        <v>0.51</v>
      </c>
      <c r="G391" s="16" t="n">
        <f aca="false">gm_29</f>
        <v>0.49</v>
      </c>
    </row>
    <row r="392" customFormat="false" ht="15" hidden="false" customHeight="false" outlineLevel="0" collapsed="false">
      <c r="A392" s="5" t="s">
        <v>485</v>
      </c>
      <c r="B392" s="0" t="s">
        <v>31</v>
      </c>
      <c r="C392" s="26" t="n">
        <f aca="false">C385*C391</f>
        <v>0.570815</v>
      </c>
      <c r="D392" s="26" t="n">
        <f aca="false">D385*D391</f>
        <v>1.38644</v>
      </c>
      <c r="E392" s="26" t="n">
        <f aca="false">E385*E391</f>
        <v>3.35085607589559</v>
      </c>
      <c r="F392" s="26" t="n">
        <f aca="false">F385*F391</f>
        <v>4.42586793910866</v>
      </c>
      <c r="G392" s="26" t="n">
        <f aca="false">G385*G391</f>
        <v>4.88802088104921</v>
      </c>
    </row>
    <row r="393" customFormat="false" ht="15" hidden="false" customHeight="false" outlineLevel="0" collapsed="false">
      <c r="A393" s="5" t="s">
        <v>600</v>
      </c>
      <c r="B393" s="0" t="s">
        <v>31</v>
      </c>
      <c r="C393" s="26" t="n">
        <f aca="false">a25_opx/1000</f>
        <v>0.4114</v>
      </c>
      <c r="D393" s="26" t="n">
        <f aca="false">a26_opx/1000</f>
        <v>0.4897</v>
      </c>
      <c r="E393" s="26" t="n">
        <f aca="false">D393*(1+MAX(0,phi*E389))</f>
        <v>0.617148603038242</v>
      </c>
      <c r="F393" s="26" t="n">
        <f aca="false">E393*(1+MAX(0,phi*F389))</f>
        <v>0.666083973394963</v>
      </c>
      <c r="G393" s="26" t="n">
        <f aca="false">F393*(1+MAX(0,phi*G389))</f>
        <v>0.68885737825198</v>
      </c>
    </row>
    <row r="394" customFormat="false" ht="15" hidden="false" customHeight="false" outlineLevel="0" collapsed="false">
      <c r="A394" s="5" t="s">
        <v>601</v>
      </c>
      <c r="B394" s="0" t="s">
        <v>31</v>
      </c>
      <c r="C394" s="26" t="n">
        <f aca="false">C393</f>
        <v>0.4114</v>
      </c>
      <c r="D394" s="26" t="n">
        <f aca="false">D393</f>
        <v>0.4897</v>
      </c>
      <c r="E394" s="26" t="n">
        <f aca="false">E393+0*E385</f>
        <v>0.617148603038242</v>
      </c>
      <c r="F394" s="26" t="n">
        <f aca="false">F393+0*F385</f>
        <v>0.666083973394963</v>
      </c>
      <c r="G394" s="26" t="n">
        <f aca="false">G393+0*G385</f>
        <v>0.68885737825198</v>
      </c>
    </row>
    <row r="395" customFormat="false" ht="15" hidden="false" customHeight="false" outlineLevel="0" collapsed="false">
      <c r="A395" s="5" t="s">
        <v>602</v>
      </c>
      <c r="B395" s="0" t="s">
        <v>31</v>
      </c>
      <c r="C395" s="26" t="n">
        <f aca="false">C392-C394</f>
        <v>0.159415</v>
      </c>
      <c r="D395" s="26" t="n">
        <f aca="false">D392-D394</f>
        <v>0.89674</v>
      </c>
      <c r="E395" s="26" t="n">
        <f aca="false">E392-E394</f>
        <v>2.73370747285734</v>
      </c>
      <c r="F395" s="26" t="n">
        <f aca="false">F392-F394</f>
        <v>3.7597839657137</v>
      </c>
      <c r="G395" s="26" t="n">
        <f aca="false">G392-G394</f>
        <v>4.19916350279723</v>
      </c>
    </row>
    <row r="396" customFormat="false" ht="15" hidden="false" customHeight="false" outlineLevel="0" collapsed="false">
      <c r="A396" s="5" t="s">
        <v>489</v>
      </c>
      <c r="B396" s="0" t="s">
        <v>164</v>
      </c>
      <c r="C396" s="16" t="n">
        <f aca="false">C395/C385</f>
        <v>0.0969088145896656</v>
      </c>
      <c r="D396" s="16" t="n">
        <f aca="false">D395/D385</f>
        <v>0.297524883875249</v>
      </c>
      <c r="E396" s="16" t="n">
        <f aca="false">E395/E385</f>
        <v>0.424228272921536</v>
      </c>
      <c r="F396" s="16" t="n">
        <f aca="false">F395/F385</f>
        <v>0.433246054535499</v>
      </c>
      <c r="G396" s="16" t="n">
        <f aca="false">G395/G385</f>
        <v>0.420945443246344</v>
      </c>
    </row>
    <row r="397" customFormat="false" ht="17.15" hidden="false" customHeight="false" outlineLevel="0" collapsed="false">
      <c r="A397" s="5" t="s">
        <v>490</v>
      </c>
      <c r="B397" s="0" t="s">
        <v>31</v>
      </c>
      <c r="C397" s="26" t="n">
        <f aca="false">a25_ni/1000</f>
        <v>0.1464</v>
      </c>
      <c r="D397" s="26" t="n">
        <f aca="false">a26_ni/1000</f>
        <v>0.7823</v>
      </c>
      <c r="E397" s="26" t="n">
        <f aca="false">(E395+oi_oth)*(1-tx)</f>
        <v>2.32624573983588</v>
      </c>
      <c r="F397" s="26" t="n">
        <f aca="false">(F395+oi_oth)*(1-tx)</f>
        <v>3.18301961137094</v>
      </c>
      <c r="G397" s="26" t="n">
        <f aca="false">(G395+oi_oth)*(1-tx)</f>
        <v>3.54990152483569</v>
      </c>
    </row>
    <row r="398" customFormat="false" ht="15" hidden="false" customHeight="false" outlineLevel="0" collapsed="false">
      <c r="A398" s="5" t="s">
        <v>552</v>
      </c>
      <c r="B398" s="0" t="s">
        <v>164</v>
      </c>
      <c r="C398" s="16" t="n">
        <f aca="false">C397/C385</f>
        <v>0.0889969604863222</v>
      </c>
      <c r="D398" s="16" t="n">
        <f aca="false">D397/D385</f>
        <v>0.259555408095554</v>
      </c>
      <c r="E398" s="16" t="n">
        <f aca="false">E397/E385</f>
        <v>0.360996640057528</v>
      </c>
      <c r="F398" s="16" t="n">
        <f aca="false">F397/F385</f>
        <v>0.366784554833805</v>
      </c>
      <c r="G398" s="16" t="n">
        <f aca="false">G397/G385</f>
        <v>0.355860130203886</v>
      </c>
    </row>
    <row r="399" customFormat="false" ht="17.15" hidden="false" customHeight="false" outlineLevel="0" collapsed="false">
      <c r="A399" s="5" t="s">
        <v>494</v>
      </c>
      <c r="B399" s="5" t="s">
        <v>238</v>
      </c>
      <c r="C399" s="15" t="n">
        <f aca="false">a25_sh</f>
        <v>71.0679611650485</v>
      </c>
      <c r="D399" s="15" t="n">
        <f aca="false">a26_sh</f>
        <v>90.2306805074971</v>
      </c>
      <c r="E399" s="15" t="n">
        <f aca="false">sh_q1</f>
        <v>102</v>
      </c>
      <c r="F399" s="15" t="n">
        <f aca="false">E399*(1+sh_g)</f>
        <v>103.02</v>
      </c>
      <c r="G399" s="15" t="n">
        <f aca="false">F399*(1+sh_g)</f>
        <v>104.0502</v>
      </c>
    </row>
    <row r="400" customFormat="false" ht="17.15" hidden="false" customHeight="false" outlineLevel="0" collapsed="false">
      <c r="A400" s="0" t="s">
        <v>496</v>
      </c>
      <c r="B400" s="0" t="s">
        <v>233</v>
      </c>
      <c r="C400" s="9" t="n">
        <f aca="false">C397*1000/C399</f>
        <v>2.06</v>
      </c>
      <c r="D400" s="9" t="n">
        <f aca="false">D397*1000/D399</f>
        <v>8.67</v>
      </c>
      <c r="E400" s="9" t="n">
        <f aca="false">E397*1000/E399</f>
        <v>22.8063307827047</v>
      </c>
      <c r="F400" s="9" t="n">
        <f aca="false">F397*1000/F399</f>
        <v>30.8971035854294</v>
      </c>
      <c r="G400" s="9" t="n">
        <f aca="false">G397*1000/G399</f>
        <v>34.1172003978434</v>
      </c>
    </row>
    <row r="401" customFormat="false" ht="17.15" hidden="false" customHeight="false" outlineLevel="0" collapsed="false">
      <c r="A401" s="0" t="s">
        <v>603</v>
      </c>
      <c r="B401" s="0" t="s">
        <v>164</v>
      </c>
      <c r="D401" s="16" t="n">
        <f aca="false">D400/C400-1</f>
        <v>3.20873786407767</v>
      </c>
      <c r="E401" s="16" t="n">
        <f aca="false">E400/D400-1</f>
        <v>1.63048797955072</v>
      </c>
      <c r="F401" s="16" t="n">
        <f aca="false">F400/E400-1</f>
        <v>0.354759951515759</v>
      </c>
      <c r="G401" s="16" t="n">
        <f aca="false">G400/F400-1</f>
        <v>0.104220021903042</v>
      </c>
    </row>
    <row r="404" customFormat="false" ht="17.15" hidden="false" customHeight="false" outlineLevel="0" collapsed="false">
      <c r="A404" s="3" t="s">
        <v>901</v>
      </c>
    </row>
    <row r="405" customFormat="false" ht="17.15" hidden="false" customHeight="false" outlineLevel="0" collapsed="false">
      <c r="A405" s="1" t="s">
        <v>561</v>
      </c>
    </row>
    <row r="406" customFormat="false" ht="17.15" hidden="false" customHeight="false" outlineLevel="0" collapsed="false">
      <c r="A406" s="6" t="s">
        <v>20</v>
      </c>
      <c r="B406" s="6" t="s">
        <v>21</v>
      </c>
      <c r="C406" s="14" t="s">
        <v>562</v>
      </c>
      <c r="D406" s="14" t="s">
        <v>517</v>
      </c>
      <c r="E406" s="14" t="s">
        <v>518</v>
      </c>
      <c r="F406" s="14" t="s">
        <v>519</v>
      </c>
      <c r="G406" s="14"/>
      <c r="H406" s="6" t="s">
        <v>480</v>
      </c>
    </row>
    <row r="407" customFormat="false" ht="17.15" hidden="false" customHeight="false" outlineLevel="0" collapsed="false">
      <c r="A407" s="0" t="s">
        <v>563</v>
      </c>
      <c r="B407" s="0" t="s">
        <v>31</v>
      </c>
      <c r="C407" s="26" t="n">
        <f aca="false">mpl_26*1</f>
        <v>29.753262</v>
      </c>
      <c r="D407" s="26" t="n">
        <f aca="false">mpl_27*1*1</f>
        <v>53.560715</v>
      </c>
      <c r="E407" s="26" t="n">
        <f aca="false">mpl_28*um28_A*1</f>
        <v>57.9915</v>
      </c>
      <c r="F407" s="26" t="n">
        <f aca="false">mpl_29*um29_A*1</f>
        <v>72.9348</v>
      </c>
    </row>
    <row r="408" customFormat="false" ht="17.15" hidden="false" customHeight="false" outlineLevel="0" collapsed="false">
      <c r="A408" s="5" t="s">
        <v>564</v>
      </c>
      <c r="B408" s="0" t="s">
        <v>97</v>
      </c>
      <c r="C408" s="20" t="n">
        <f aca="false">asp_26</f>
        <v>500</v>
      </c>
      <c r="D408" s="20" t="n">
        <f aca="false">asp_27</f>
        <v>520</v>
      </c>
      <c r="E408" s="20" t="n">
        <f aca="false">asp_28</f>
        <v>540</v>
      </c>
      <c r="F408" s="20" t="n">
        <f aca="false">asp_29</f>
        <v>560</v>
      </c>
    </row>
    <row r="409" customFormat="false" ht="17.15" hidden="false" customHeight="false" outlineLevel="0" collapsed="false">
      <c r="A409" s="5" t="s">
        <v>565</v>
      </c>
      <c r="B409" s="5" t="s">
        <v>349</v>
      </c>
      <c r="C409" s="15" t="n">
        <f aca="false">C407*1000/C408</f>
        <v>59.506524</v>
      </c>
      <c r="D409" s="15" t="n">
        <f aca="false">D407*1000/D408</f>
        <v>103.001375</v>
      </c>
      <c r="E409" s="15" t="n">
        <f aca="false">E407*1000/E408</f>
        <v>107.391666666667</v>
      </c>
      <c r="F409" s="15" t="n">
        <f aca="false">F407*1000/F408</f>
        <v>130.240714285714</v>
      </c>
    </row>
    <row r="410" customFormat="false" ht="17.15" hidden="false" customHeight="false" outlineLevel="0" collapsed="false">
      <c r="A410" s="5" t="s">
        <v>566</v>
      </c>
      <c r="B410" s="5" t="s">
        <v>109</v>
      </c>
      <c r="C410" s="18" t="n">
        <f aca="false">lpm_26</f>
        <v>5.5</v>
      </c>
      <c r="D410" s="18" t="n">
        <f aca="false">lpm_27</f>
        <v>5.5</v>
      </c>
      <c r="E410" s="18" t="n">
        <f aca="false">lpm_28</f>
        <v>5</v>
      </c>
      <c r="F410" s="18" t="n">
        <f aca="false">lpm_29</f>
        <v>4.8</v>
      </c>
    </row>
    <row r="411" customFormat="false" ht="17.15" hidden="false" customHeight="false" outlineLevel="0" collapsed="false">
      <c r="A411" s="5" t="s">
        <v>567</v>
      </c>
      <c r="B411" s="0" t="s">
        <v>121</v>
      </c>
      <c r="C411" s="18" t="n">
        <f aca="false">lasp_26</f>
        <v>13</v>
      </c>
      <c r="D411" s="18" t="n">
        <f aca="false">lasp_27</f>
        <v>15</v>
      </c>
      <c r="E411" s="18" t="n">
        <f aca="false">lasp_28</f>
        <v>15</v>
      </c>
      <c r="F411" s="18" t="n">
        <f aca="false">lasp_29</f>
        <v>14</v>
      </c>
    </row>
    <row r="412" customFormat="false" ht="17.15" hidden="false" customHeight="false" outlineLevel="0" collapsed="false">
      <c r="A412" s="5" t="s">
        <v>568</v>
      </c>
      <c r="B412" s="0" t="s">
        <v>31</v>
      </c>
      <c r="C412" s="26" t="n">
        <f aca="false">C409*C410*C411/1000</f>
        <v>4.254716466</v>
      </c>
      <c r="D412" s="26" t="n">
        <f aca="false">D409*D410*D411/1000</f>
        <v>8.4976134375</v>
      </c>
      <c r="E412" s="26" t="n">
        <f aca="false">E409*E410*E411/1000</f>
        <v>8.054375</v>
      </c>
      <c r="F412" s="26" t="n">
        <f aca="false">F409*F410*F411/1000</f>
        <v>8.752176</v>
      </c>
    </row>
    <row r="413" customFormat="false" ht="17.15" hidden="false" customHeight="false" outlineLevel="0" collapsed="false">
      <c r="A413" s="0" t="s">
        <v>569</v>
      </c>
      <c r="B413" s="0" t="s">
        <v>164</v>
      </c>
      <c r="C413" s="16" t="n">
        <f aca="false">c26_las/1000/C412</f>
        <v>0.43826657190933</v>
      </c>
      <c r="H413" s="8" t="s">
        <v>570</v>
      </c>
    </row>
    <row r="414" customFormat="false" ht="17.15" hidden="false" customHeight="false" outlineLevel="0" collapsed="false">
      <c r="A414" s="5" t="s">
        <v>571</v>
      </c>
      <c r="B414" s="0" t="s">
        <v>75</v>
      </c>
      <c r="C414" s="9" t="n">
        <f aca="false">1</f>
        <v>1</v>
      </c>
      <c r="D414" s="9" t="n">
        <f aca="false">lrel_27</f>
        <v>0.95</v>
      </c>
      <c r="E414" s="9" t="n">
        <f aca="false">lrel_28</f>
        <v>0.95</v>
      </c>
      <c r="F414" s="9" t="n">
        <f aca="false">lrel_29</f>
        <v>0.9</v>
      </c>
    </row>
    <row r="415" customFormat="false" ht="15" hidden="false" customHeight="false" outlineLevel="0" collapsed="false">
      <c r="A415" s="5" t="s">
        <v>572</v>
      </c>
      <c r="B415" s="0" t="s">
        <v>164</v>
      </c>
      <c r="C415" s="16" t="n">
        <f aca="false">$C$413*C414</f>
        <v>0.43826657190933</v>
      </c>
      <c r="D415" s="16" t="n">
        <f aca="false">$C$413*D414</f>
        <v>0.416353243313864</v>
      </c>
      <c r="E415" s="16" t="n">
        <f aca="false">$C$413*E414</f>
        <v>0.416353243313864</v>
      </c>
      <c r="F415" s="16" t="n">
        <f aca="false">$C$413*F414</f>
        <v>0.394439914718397</v>
      </c>
    </row>
    <row r="416" customFormat="false" ht="17.15" hidden="false" customHeight="false" outlineLevel="0" collapsed="false">
      <c r="A416" s="5" t="s">
        <v>573</v>
      </c>
      <c r="B416" s="0" t="s">
        <v>31</v>
      </c>
      <c r="C416" s="26" t="n">
        <f aca="false">C412*C415</f>
        <v>1.8647</v>
      </c>
      <c r="D416" s="26" t="n">
        <f aca="false">D412*D415</f>
        <v>3.53800891513059</v>
      </c>
      <c r="E416" s="26" t="n">
        <f aca="false">E412*E415</f>
        <v>3.3534651541161</v>
      </c>
      <c r="F416" s="26" t="n">
        <f aca="false">F412*F415</f>
        <v>3.4522075550404</v>
      </c>
    </row>
    <row r="417" customFormat="false" ht="17.15" hidden="false" customHeight="false" outlineLevel="0" collapsed="false">
      <c r="A417" s="5" t="s">
        <v>574</v>
      </c>
      <c r="B417" s="0" t="s">
        <v>164</v>
      </c>
      <c r="C417" s="16" t="n">
        <f aca="false">c26_xcvr/1000/C407</f>
        <v>0.0336097601668012</v>
      </c>
    </row>
    <row r="418" customFormat="false" ht="15" hidden="false" customHeight="false" outlineLevel="0" collapsed="false">
      <c r="A418" s="5" t="s">
        <v>575</v>
      </c>
      <c r="B418" s="0" t="s">
        <v>164</v>
      </c>
      <c r="C418" s="16" t="n">
        <f aca="false">C417</f>
        <v>0.0336097601668012</v>
      </c>
      <c r="D418" s="16" t="n">
        <f aca="false">$C$417*MRHI_27</f>
        <v>0.0403317122001615</v>
      </c>
      <c r="E418" s="16" t="n">
        <f aca="false">$C$417*MRHI_28</f>
        <v>0.0436926882168416</v>
      </c>
      <c r="F418" s="16" t="n">
        <f aca="false">$C$417*MRHI_29</f>
        <v>0.0436926882168416</v>
      </c>
    </row>
    <row r="419" customFormat="false" ht="15" hidden="false" customHeight="false" outlineLevel="0" collapsed="false">
      <c r="A419" s="5" t="s">
        <v>576</v>
      </c>
      <c r="B419" s="0" t="s">
        <v>31</v>
      </c>
      <c r="C419" s="26" t="n">
        <f aca="false">C407*C418</f>
        <v>1</v>
      </c>
      <c r="D419" s="26" t="n">
        <f aca="false">D407*D418</f>
        <v>2.16019534261487</v>
      </c>
      <c r="E419" s="26" t="n">
        <f aca="false">E407*E418</f>
        <v>2.53380452872697</v>
      </c>
      <c r="F419" s="26" t="n">
        <f aca="false">F407*F418</f>
        <v>3.1867174765577</v>
      </c>
    </row>
    <row r="420" customFormat="false" ht="17.15" hidden="false" customHeight="false" outlineLevel="0" collapsed="false">
      <c r="A420" s="0" t="s">
        <v>577</v>
      </c>
      <c r="B420" s="5" t="s">
        <v>54</v>
      </c>
      <c r="C420" s="19" t="n">
        <f aca="false">tpu_26*1</f>
        <v>3.85</v>
      </c>
      <c r="D420" s="19" t="n">
        <f aca="false">tpu_27*1</f>
        <v>5.5</v>
      </c>
      <c r="E420" s="19" t="n">
        <f aca="false">tpu_28*um28_A</f>
        <v>7</v>
      </c>
      <c r="F420" s="19" t="n">
        <f aca="false">tpu_29*um29_A</f>
        <v>8.05</v>
      </c>
    </row>
    <row r="421" customFormat="false" ht="17.15" hidden="false" customHeight="false" outlineLevel="0" collapsed="false">
      <c r="A421" s="0" t="s">
        <v>578</v>
      </c>
      <c r="B421" s="0" t="s">
        <v>121</v>
      </c>
      <c r="C421" s="20" t="n">
        <f aca="false">c26_ocs/C420</f>
        <v>129.87012987013</v>
      </c>
      <c r="D421" s="20" t="n">
        <f aca="false">$C421*ocsk_27</f>
        <v>207.792207792208</v>
      </c>
      <c r="E421" s="20" t="n">
        <f aca="false">$C421*ocsk_28</f>
        <v>233.766233766234</v>
      </c>
      <c r="F421" s="20" t="n">
        <f aca="false">$C421*ocsk_29</f>
        <v>233.766233766234</v>
      </c>
    </row>
    <row r="422" customFormat="false" ht="17.15" hidden="false" customHeight="false" outlineLevel="0" collapsed="false">
      <c r="A422" s="0" t="s">
        <v>531</v>
      </c>
      <c r="B422" s="0" t="s">
        <v>31</v>
      </c>
      <c r="C422" s="26" t="n">
        <f aca="false">C420*C421/1000</f>
        <v>0.5</v>
      </c>
      <c r="D422" s="26" t="n">
        <f aca="false">D420*D421/1000</f>
        <v>1.14285714285714</v>
      </c>
      <c r="E422" s="26" t="n">
        <f aca="false">E420*E421/1000</f>
        <v>1.63636363636364</v>
      </c>
      <c r="F422" s="26" t="n">
        <f aca="false">F420*F421/1000</f>
        <v>1.88181818181818</v>
      </c>
    </row>
    <row r="423" customFormat="false" ht="17.15" hidden="false" customHeight="false" outlineLevel="0" collapsed="false">
      <c r="A423" s="0" t="s">
        <v>579</v>
      </c>
      <c r="B423" s="0" t="s">
        <v>31</v>
      </c>
      <c r="C423" s="26" t="n">
        <f aca="false">mcp_26*1</f>
        <v>0.300538</v>
      </c>
      <c r="D423" s="26" t="n">
        <f aca="false">mcp_27*1</f>
        <v>2.818985</v>
      </c>
      <c r="E423" s="26" t="n">
        <f aca="false">mcp_28*um28_A</f>
        <v>6.4435</v>
      </c>
      <c r="F423" s="26" t="n">
        <f aca="false">mcp_29*um29_A</f>
        <v>11.74736</v>
      </c>
    </row>
    <row r="424" customFormat="false" ht="17.15" hidden="false" customHeight="false" outlineLevel="0" collapsed="false">
      <c r="A424" s="0" t="s">
        <v>532</v>
      </c>
      <c r="B424" s="0" t="s">
        <v>164</v>
      </c>
      <c r="C424" s="16" t="n">
        <f aca="false">c26_cpo/1000/C423</f>
        <v>0.166368312825666</v>
      </c>
      <c r="D424" s="16" t="n">
        <f aca="false">cpo_27</f>
        <v>0.25</v>
      </c>
      <c r="E424" s="16" t="n">
        <f aca="false">cpo_28</f>
        <v>0.25</v>
      </c>
      <c r="F424" s="16" t="n">
        <f aca="false">cpo_29</f>
        <v>0.2</v>
      </c>
    </row>
    <row r="425" customFormat="false" ht="17.15" hidden="false" customHeight="false" outlineLevel="0" collapsed="false">
      <c r="A425" s="0" t="s">
        <v>580</v>
      </c>
      <c r="B425" s="0" t="s">
        <v>31</v>
      </c>
      <c r="C425" s="26" t="n">
        <f aca="false">C423*C424</f>
        <v>0.05</v>
      </c>
      <c r="D425" s="26" t="n">
        <f aca="false">D423*D424</f>
        <v>0.70474625</v>
      </c>
      <c r="E425" s="26" t="n">
        <f aca="false">E423*E424</f>
        <v>1.610875</v>
      </c>
      <c r="F425" s="26" t="n">
        <f aca="false">F423*F424</f>
        <v>2.349472</v>
      </c>
    </row>
    <row r="426" customFormat="false" ht="17.15" hidden="false" customHeight="false" outlineLevel="0" collapsed="false">
      <c r="A426" s="0" t="s">
        <v>581</v>
      </c>
      <c r="B426" s="0" t="s">
        <v>31</v>
      </c>
      <c r="C426" s="26" t="n">
        <f aca="false">C416+C419+C422+C425</f>
        <v>3.4147</v>
      </c>
      <c r="D426" s="26" t="n">
        <f aca="false">D416+D419+D422+D425</f>
        <v>7.54580765060261</v>
      </c>
      <c r="E426" s="26" t="n">
        <f aca="false">E416+E419+E422+E425</f>
        <v>9.13450831920671</v>
      </c>
      <c r="F426" s="26" t="n">
        <f aca="false">F416+F419+F422+F425</f>
        <v>10.8702152134163</v>
      </c>
    </row>
    <row r="427" customFormat="false" ht="17.15" hidden="false" customHeight="false" outlineLevel="0" collapsed="false">
      <c r="A427" s="5" t="s">
        <v>582</v>
      </c>
      <c r="B427" s="0" t="s">
        <v>31</v>
      </c>
      <c r="C427" s="26" t="n">
        <f aca="false">c26_tel/1000</f>
        <v>0.75</v>
      </c>
      <c r="D427" s="26" t="n">
        <f aca="false">C427*(1+g_tel_27)</f>
        <v>0.9375</v>
      </c>
      <c r="E427" s="26" t="n">
        <f aca="false">D427*(1+g_tel_28)</f>
        <v>1.078125</v>
      </c>
      <c r="F427" s="26" t="n">
        <f aca="false">E427*(1+g_tel_29)</f>
        <v>1.1859375</v>
      </c>
    </row>
    <row r="428" customFormat="false" ht="17.15" hidden="false" customHeight="false" outlineLevel="0" collapsed="false">
      <c r="A428" s="5" t="s">
        <v>583</v>
      </c>
      <c r="B428" s="0" t="s">
        <v>31</v>
      </c>
      <c r="C428" s="26" t="n">
        <f aca="false">c26_ind/1000</f>
        <v>0.3</v>
      </c>
      <c r="D428" s="26" t="n">
        <f aca="false">C428*(1+g_ind)</f>
        <v>0.309</v>
      </c>
      <c r="E428" s="26" t="n">
        <f aca="false">D428*(1+g_ind)</f>
        <v>0.31827</v>
      </c>
      <c r="F428" s="26" t="n">
        <f aca="false">E428*(1+g_ind)</f>
        <v>0.3278181</v>
      </c>
    </row>
    <row r="429" customFormat="false" ht="17.15" hidden="false" customHeight="false" outlineLevel="0" collapsed="false">
      <c r="A429" s="5" t="s">
        <v>584</v>
      </c>
      <c r="B429" s="0" t="s">
        <v>31</v>
      </c>
      <c r="C429" s="26" t="n">
        <f aca="false">C416+C427+C425+C428/2</f>
        <v>2.8147</v>
      </c>
      <c r="D429" s="26" t="n">
        <f aca="false">D416+D427+D425+D428/2</f>
        <v>5.3347551651306</v>
      </c>
      <c r="E429" s="26" t="n">
        <f aca="false">E416+E427+E425+E428/2</f>
        <v>6.2016001541161</v>
      </c>
      <c r="F429" s="26" t="n">
        <f aca="false">F416+F427+F425+F428/2</f>
        <v>7.1515261050404</v>
      </c>
      <c r="H429" s="5" t="s">
        <v>585</v>
      </c>
    </row>
    <row r="430" customFormat="false" ht="17.15" hidden="false" customHeight="false" outlineLevel="0" collapsed="false">
      <c r="A430" s="5" t="s">
        <v>586</v>
      </c>
      <c r="B430" s="0" t="s">
        <v>31</v>
      </c>
      <c r="C430" s="26" t="n">
        <f aca="false">C419+C422+C428/2</f>
        <v>1.65</v>
      </c>
      <c r="D430" s="26" t="n">
        <f aca="false">D419+D422+D428/2</f>
        <v>3.45755248547201</v>
      </c>
      <c r="E430" s="26" t="n">
        <f aca="false">E419+E422+E428/2</f>
        <v>4.32930316509061</v>
      </c>
      <c r="F430" s="26" t="n">
        <f aca="false">F419+F422+F428/2</f>
        <v>5.23244470837588</v>
      </c>
    </row>
    <row r="431" customFormat="false" ht="15" hidden="false" customHeight="false" outlineLevel="0" collapsed="false">
      <c r="A431" s="5" t="s">
        <v>587</v>
      </c>
      <c r="B431" s="0" t="s">
        <v>31</v>
      </c>
      <c r="C431" s="26" t="n">
        <f aca="false">C426+C427+C428</f>
        <v>4.4647</v>
      </c>
      <c r="D431" s="26" t="n">
        <f aca="false">D426+D427+D428</f>
        <v>8.79230765060261</v>
      </c>
      <c r="E431" s="26" t="n">
        <f aca="false">E426+E427+E428</f>
        <v>10.5309033192067</v>
      </c>
      <c r="F431" s="26" t="n">
        <f aca="false">F426+F427+F428</f>
        <v>12.3839708134163</v>
      </c>
    </row>
    <row r="432" customFormat="false" ht="15" hidden="false" customHeight="false" outlineLevel="0" collapsed="false">
      <c r="A432" s="5" t="s">
        <v>588</v>
      </c>
      <c r="B432" s="0" t="s">
        <v>164</v>
      </c>
      <c r="D432" s="16" t="n">
        <f aca="false">D431/C431-1</f>
        <v>0.969294163236636</v>
      </c>
      <c r="E432" s="16" t="n">
        <f aca="false">E431/D431-1</f>
        <v>0.197740540674204</v>
      </c>
      <c r="F432" s="16" t="n">
        <f aca="false">F431/E431-1</f>
        <v>0.17596472382667</v>
      </c>
    </row>
    <row r="433" customFormat="false" ht="17.15" hidden="false" customHeight="false" outlineLevel="0" collapsed="false">
      <c r="A433" s="1" t="s">
        <v>589</v>
      </c>
    </row>
    <row r="434" customFormat="false" ht="17.15" hidden="false" customHeight="false" outlineLevel="0" collapsed="false">
      <c r="A434" s="6" t="s">
        <v>20</v>
      </c>
      <c r="B434" s="6" t="s">
        <v>21</v>
      </c>
      <c r="C434" s="14" t="s">
        <v>472</v>
      </c>
      <c r="D434" s="14" t="s">
        <v>539</v>
      </c>
      <c r="E434" s="14" t="s">
        <v>540</v>
      </c>
      <c r="F434" s="14" t="s">
        <v>541</v>
      </c>
      <c r="G434" s="14" t="s">
        <v>542</v>
      </c>
      <c r="H434" s="6" t="s">
        <v>480</v>
      </c>
    </row>
    <row r="435" customFormat="false" ht="17.15" hidden="false" customHeight="false" outlineLevel="0" collapsed="false">
      <c r="A435" s="0" t="s">
        <v>590</v>
      </c>
      <c r="B435" s="0" t="s">
        <v>31</v>
      </c>
      <c r="E435" s="26" t="n">
        <f aca="false">w2h_26*C426+h_1h*D426</f>
        <v>5.57330743080014</v>
      </c>
      <c r="F435" s="26" t="n">
        <f aca="false">(1-h_1h)*D426+h_1h*E426</f>
        <v>8.29249696484654</v>
      </c>
      <c r="G435" s="26" t="n">
        <f aca="false">(1-h_1h)*E426+h_1h*F426</f>
        <v>9.9502905594852</v>
      </c>
      <c r="H435" s="8" t="s">
        <v>591</v>
      </c>
    </row>
    <row r="436" customFormat="false" ht="17.15" hidden="false" customHeight="false" outlineLevel="0" collapsed="false">
      <c r="A436" s="5" t="s">
        <v>592</v>
      </c>
      <c r="B436" s="0" t="s">
        <v>31</v>
      </c>
      <c r="E436" s="26" t="n">
        <f aca="false">w2h_26*C427+h_1h*D427+w2h_26*C428+h_1h*D428</f>
        <v>1.20907716498309</v>
      </c>
      <c r="F436" s="26" t="n">
        <f aca="false">(1-h_1h)*D427+h_1h*E427+(1-h_1h)*D428+h_1h*E428</f>
        <v>1.31695065</v>
      </c>
      <c r="G436" s="26" t="n">
        <f aca="false">(1-h_1h)*E427+h_1h*F427+(1-h_1h)*E428+h_1h*F428</f>
        <v>1.451554482</v>
      </c>
    </row>
    <row r="437" customFormat="false" ht="15" hidden="false" customHeight="false" outlineLevel="0" collapsed="false">
      <c r="A437" s="5" t="s">
        <v>481</v>
      </c>
      <c r="B437" s="0" t="s">
        <v>31</v>
      </c>
      <c r="C437" s="26" t="n">
        <f aca="false">a25_rev/1000</f>
        <v>1.645</v>
      </c>
      <c r="D437" s="26" t="n">
        <f aca="false">a26_rev/1000</f>
        <v>3.014</v>
      </c>
      <c r="E437" s="26" t="n">
        <f aca="false">E435+E436</f>
        <v>6.78238459578322</v>
      </c>
      <c r="F437" s="26" t="n">
        <f aca="false">F435+F436</f>
        <v>9.60944761484654</v>
      </c>
      <c r="G437" s="26" t="n">
        <f aca="false">G435+G436</f>
        <v>11.4018450414852</v>
      </c>
    </row>
    <row r="438" customFormat="false" ht="17.15" hidden="false" customHeight="false" outlineLevel="0" collapsed="false">
      <c r="A438" s="5" t="s">
        <v>593</v>
      </c>
      <c r="B438" s="0" t="s">
        <v>31</v>
      </c>
      <c r="C438" s="26" t="n">
        <f aca="false">a25_cmp/1000</f>
        <v>1.1163</v>
      </c>
      <c r="D438" s="26" t="n">
        <f aca="false">a26_cmp/1000</f>
        <v>2.0056</v>
      </c>
      <c r="E438" s="26" t="n">
        <f aca="false">w2h_26*C429+h_1h*D429</f>
        <v>4.17798581120938</v>
      </c>
      <c r="F438" s="26" t="n">
        <f aca="false">(1-h_1h)*D429+h_1h*E429</f>
        <v>5.74217230995378</v>
      </c>
      <c r="G438" s="26" t="n">
        <f aca="false">(1-h_1h)*E429+h_1h*F429</f>
        <v>6.64806535105052</v>
      </c>
      <c r="H438" s="5" t="s">
        <v>594</v>
      </c>
    </row>
    <row r="439" customFormat="false" ht="17.15" hidden="false" customHeight="false" outlineLevel="0" collapsed="false">
      <c r="A439" s="5" t="s">
        <v>595</v>
      </c>
      <c r="B439" s="0" t="s">
        <v>31</v>
      </c>
      <c r="C439" s="26" t="n">
        <f aca="false">a25_sys/1000</f>
        <v>0.5287</v>
      </c>
      <c r="D439" s="26" t="n">
        <f aca="false">a26_sys/1000</f>
        <v>1.0084</v>
      </c>
      <c r="E439" s="26" t="n">
        <f aca="false">w2h_26*C430+h_1h*D430</f>
        <v>2.60439878457384</v>
      </c>
      <c r="F439" s="26" t="n">
        <f aca="false">(1-h_1h)*D430+h_1h*E430</f>
        <v>3.86727530489275</v>
      </c>
      <c r="G439" s="26" t="n">
        <f aca="false">(1-h_1h)*E430+h_1h*F430</f>
        <v>4.75377969043468</v>
      </c>
      <c r="H439" s="5" t="s">
        <v>596</v>
      </c>
    </row>
    <row r="440" customFormat="false" ht="15" hidden="false" customHeight="false" outlineLevel="0" collapsed="false">
      <c r="A440" s="5" t="s">
        <v>597</v>
      </c>
      <c r="B440" s="0" t="s">
        <v>31</v>
      </c>
      <c r="C440" s="17" t="n">
        <f aca="false">C438+C439-C437</f>
        <v>0</v>
      </c>
      <c r="D440" s="17" t="n">
        <f aca="false">D438+D439-D437</f>
        <v>0</v>
      </c>
      <c r="E440" s="17" t="n">
        <f aca="false">E438+E439-E437</f>
        <v>0</v>
      </c>
      <c r="F440" s="17" t="n">
        <f aca="false">F438+F439-F437</f>
        <v>0</v>
      </c>
      <c r="G440" s="17" t="n">
        <f aca="false">G438+G439-G437</f>
        <v>0</v>
      </c>
    </row>
    <row r="441" customFormat="false" ht="15" hidden="false" customHeight="false" outlineLevel="0" collapsed="false">
      <c r="A441" s="5" t="s">
        <v>598</v>
      </c>
      <c r="B441" s="0" t="s">
        <v>164</v>
      </c>
      <c r="D441" s="16" t="n">
        <f aca="false">D437/C437-1</f>
        <v>0.832218844984802</v>
      </c>
      <c r="E441" s="16" t="n">
        <f aca="false">E437/D437-1</f>
        <v>1.25029349561487</v>
      </c>
      <c r="F441" s="16" t="n">
        <f aca="false">F437/E437-1</f>
        <v>0.416824345352071</v>
      </c>
      <c r="G441" s="16" t="n">
        <f aca="false">G437/F437-1</f>
        <v>0.1865245015613</v>
      </c>
    </row>
    <row r="442" customFormat="false" ht="17.15" hidden="false" customHeight="false" outlineLevel="0" collapsed="false">
      <c r="A442" s="0" t="s">
        <v>599</v>
      </c>
      <c r="B442" s="0" t="s">
        <v>164</v>
      </c>
      <c r="E442" s="16" t="n">
        <f aca="false">E435/E437</f>
        <v>0.821732733095849</v>
      </c>
      <c r="F442" s="16" t="n">
        <f aca="false">F435/F437</f>
        <v>0.862952512695389</v>
      </c>
      <c r="G442" s="16" t="n">
        <f aca="false">G435/G437</f>
        <v>0.872691263850844</v>
      </c>
    </row>
    <row r="443" customFormat="false" ht="17.15" hidden="false" customHeight="false" outlineLevel="0" collapsed="false">
      <c r="A443" s="5" t="s">
        <v>484</v>
      </c>
      <c r="B443" s="0" t="s">
        <v>164</v>
      </c>
      <c r="C443" s="16" t="n">
        <f aca="false">a25_gm</f>
        <v>0.347</v>
      </c>
      <c r="D443" s="16" t="n">
        <f aca="false">a26_gm</f>
        <v>0.46</v>
      </c>
      <c r="E443" s="16" t="n">
        <f aca="false">gm_27</f>
        <v>0.52</v>
      </c>
      <c r="F443" s="16" t="n">
        <f aca="false">gm_28</f>
        <v>0.51</v>
      </c>
      <c r="G443" s="16" t="n">
        <f aca="false">gm_29</f>
        <v>0.49</v>
      </c>
    </row>
    <row r="444" customFormat="false" ht="15" hidden="false" customHeight="false" outlineLevel="0" collapsed="false">
      <c r="A444" s="5" t="s">
        <v>485</v>
      </c>
      <c r="B444" s="0" t="s">
        <v>31</v>
      </c>
      <c r="C444" s="26" t="n">
        <f aca="false">C437*C443</f>
        <v>0.570815</v>
      </c>
      <c r="D444" s="26" t="n">
        <f aca="false">D437*D443</f>
        <v>1.38644</v>
      </c>
      <c r="E444" s="26" t="n">
        <f aca="false">E437*E443</f>
        <v>3.52683998980728</v>
      </c>
      <c r="F444" s="26" t="n">
        <f aca="false">F437*F443</f>
        <v>4.90081828357173</v>
      </c>
      <c r="G444" s="26" t="n">
        <f aca="false">G437*G443</f>
        <v>5.58690407032775</v>
      </c>
    </row>
    <row r="445" customFormat="false" ht="15" hidden="false" customHeight="false" outlineLevel="0" collapsed="false">
      <c r="A445" s="5" t="s">
        <v>600</v>
      </c>
      <c r="B445" s="0" t="s">
        <v>31</v>
      </c>
      <c r="C445" s="26" t="n">
        <f aca="false">a25_opx/1000</f>
        <v>0.4114</v>
      </c>
      <c r="D445" s="26" t="n">
        <f aca="false">a26_opx/1000</f>
        <v>0.4897</v>
      </c>
      <c r="E445" s="26" t="n">
        <f aca="false">D445*(1+MAX(0,phi*E441))</f>
        <v>0.629723846835446</v>
      </c>
      <c r="F445" s="26" t="n">
        <f aca="false">E445*(1+MAX(0,phi*F441))</f>
        <v>0.689753128356338</v>
      </c>
      <c r="G445" s="26" t="n">
        <f aca="false">F445*(1+MAX(0,phi*G441))</f>
        <v>0.719176300716278</v>
      </c>
    </row>
    <row r="446" customFormat="false" ht="15" hidden="false" customHeight="false" outlineLevel="0" collapsed="false">
      <c r="A446" s="5" t="s">
        <v>601</v>
      </c>
      <c r="B446" s="0" t="s">
        <v>31</v>
      </c>
      <c r="C446" s="26" t="n">
        <f aca="false">C445</f>
        <v>0.4114</v>
      </c>
      <c r="D446" s="26" t="n">
        <f aca="false">D445</f>
        <v>0.4897</v>
      </c>
      <c r="E446" s="26" t="n">
        <f aca="false">E445+0*E437</f>
        <v>0.629723846835446</v>
      </c>
      <c r="F446" s="26" t="n">
        <f aca="false">F445+0*F437</f>
        <v>0.689753128356338</v>
      </c>
      <c r="G446" s="26" t="n">
        <f aca="false">G445+0*G437</f>
        <v>0.719176300716278</v>
      </c>
    </row>
    <row r="447" customFormat="false" ht="15" hidden="false" customHeight="false" outlineLevel="0" collapsed="false">
      <c r="A447" s="5" t="s">
        <v>602</v>
      </c>
      <c r="B447" s="0" t="s">
        <v>31</v>
      </c>
      <c r="C447" s="26" t="n">
        <f aca="false">C444-C446</f>
        <v>0.159415</v>
      </c>
      <c r="D447" s="26" t="n">
        <f aca="false">D444-D446</f>
        <v>0.89674</v>
      </c>
      <c r="E447" s="26" t="n">
        <f aca="false">E444-E446</f>
        <v>2.89711614297183</v>
      </c>
      <c r="F447" s="26" t="n">
        <f aca="false">F444-F446</f>
        <v>4.2110651552154</v>
      </c>
      <c r="G447" s="26" t="n">
        <f aca="false">G444-G446</f>
        <v>4.86772776961147</v>
      </c>
    </row>
    <row r="448" customFormat="false" ht="15" hidden="false" customHeight="false" outlineLevel="0" collapsed="false">
      <c r="A448" s="5" t="s">
        <v>489</v>
      </c>
      <c r="B448" s="0" t="s">
        <v>164</v>
      </c>
      <c r="C448" s="16" t="n">
        <f aca="false">C447/C437</f>
        <v>0.0969088145896656</v>
      </c>
      <c r="D448" s="16" t="n">
        <f aca="false">D447/D437</f>
        <v>0.297524883875249</v>
      </c>
      <c r="E448" s="16" t="n">
        <f aca="false">E447/E437</f>
        <v>0.427153031807285</v>
      </c>
      <c r="F448" s="16" t="n">
        <f aca="false">F447/F437</f>
        <v>0.438221355066167</v>
      </c>
      <c r="G448" s="16" t="n">
        <f aca="false">G447/G437</f>
        <v>0.426924568076519</v>
      </c>
    </row>
    <row r="449" customFormat="false" ht="17.15" hidden="false" customHeight="false" outlineLevel="0" collapsed="false">
      <c r="A449" s="5" t="s">
        <v>490</v>
      </c>
      <c r="B449" s="0" t="s">
        <v>31</v>
      </c>
      <c r="C449" s="26" t="n">
        <f aca="false">a25_ni/1000</f>
        <v>0.1464</v>
      </c>
      <c r="D449" s="26" t="n">
        <f aca="false">a26_ni/1000</f>
        <v>0.7823</v>
      </c>
      <c r="E449" s="26" t="n">
        <f aca="false">(E447+oi_oth)*(1-tx)</f>
        <v>2.46269197938148</v>
      </c>
      <c r="F449" s="26" t="n">
        <f aca="false">(F447+oi_oth)*(1-tx)</f>
        <v>3.55983940460486</v>
      </c>
      <c r="G449" s="26" t="n">
        <f aca="false">(G447+oi_oth)*(1-tx)</f>
        <v>4.10815268762558</v>
      </c>
    </row>
    <row r="450" customFormat="false" ht="15" hidden="false" customHeight="false" outlineLevel="0" collapsed="false">
      <c r="A450" s="5" t="s">
        <v>552</v>
      </c>
      <c r="B450" s="0" t="s">
        <v>164</v>
      </c>
      <c r="C450" s="16" t="n">
        <f aca="false">C449/C437</f>
        <v>0.0889969604863222</v>
      </c>
      <c r="D450" s="16" t="n">
        <f aca="false">D449/D437</f>
        <v>0.259555408095554</v>
      </c>
      <c r="E450" s="16" t="n">
        <f aca="false">E449/E437</f>
        <v>0.363101199084551</v>
      </c>
      <c r="F450" s="16" t="n">
        <f aca="false">F449/F437</f>
        <v>0.370452032966487</v>
      </c>
      <c r="G450" s="16" t="n">
        <f aca="false">G449/G437</f>
        <v>0.36030595685858</v>
      </c>
    </row>
    <row r="451" customFormat="false" ht="17.15" hidden="false" customHeight="false" outlineLevel="0" collapsed="false">
      <c r="A451" s="5" t="s">
        <v>494</v>
      </c>
      <c r="B451" s="5" t="s">
        <v>238</v>
      </c>
      <c r="C451" s="15" t="n">
        <f aca="false">a25_sh</f>
        <v>71.0679611650485</v>
      </c>
      <c r="D451" s="15" t="n">
        <f aca="false">a26_sh</f>
        <v>90.2306805074971</v>
      </c>
      <c r="E451" s="15" t="n">
        <f aca="false">sh_q1</f>
        <v>102</v>
      </c>
      <c r="F451" s="15" t="n">
        <f aca="false">E451*(1+sh_g)</f>
        <v>103.02</v>
      </c>
      <c r="G451" s="15" t="n">
        <f aca="false">F451*(1+sh_g)</f>
        <v>104.0502</v>
      </c>
    </row>
    <row r="452" customFormat="false" ht="17.15" hidden="false" customHeight="false" outlineLevel="0" collapsed="false">
      <c r="A452" s="0" t="s">
        <v>496</v>
      </c>
      <c r="B452" s="0" t="s">
        <v>233</v>
      </c>
      <c r="C452" s="9" t="n">
        <f aca="false">C449*1000/C451</f>
        <v>2.06</v>
      </c>
      <c r="D452" s="9" t="n">
        <f aca="false">D449*1000/D451</f>
        <v>8.67</v>
      </c>
      <c r="E452" s="9" t="n">
        <f aca="false">E449*1000/E451</f>
        <v>24.1440390135439</v>
      </c>
      <c r="F452" s="9" t="n">
        <f aca="false">F449*1000/F451</f>
        <v>34.5548379402529</v>
      </c>
      <c r="G452" s="9" t="n">
        <f aca="false">G449*1000/G451</f>
        <v>39.4824102945077</v>
      </c>
    </row>
    <row r="453" customFormat="false" ht="17.15" hidden="false" customHeight="false" outlineLevel="0" collapsed="false">
      <c r="A453" s="0" t="s">
        <v>603</v>
      </c>
      <c r="B453" s="0" t="s">
        <v>164</v>
      </c>
      <c r="D453" s="16" t="n">
        <f aca="false">D452/C452-1</f>
        <v>3.20873786407767</v>
      </c>
      <c r="E453" s="16" t="n">
        <f aca="false">E452/D452-1</f>
        <v>1.78477958633724</v>
      </c>
      <c r="F453" s="16" t="n">
        <f aca="false">F452/E452-1</f>
        <v>0.431195415185874</v>
      </c>
      <c r="G453" s="16" t="n">
        <f aca="false">G452/F452-1</f>
        <v>0.142601518281601</v>
      </c>
    </row>
    <row r="456" customFormat="false" ht="17.15" hidden="false" customHeight="false" outlineLevel="0" collapsed="false">
      <c r="A456" s="3" t="s">
        <v>902</v>
      </c>
    </row>
    <row r="457" customFormat="false" ht="17.15" hidden="false" customHeight="false" outlineLevel="0" collapsed="false">
      <c r="A457" s="1" t="s">
        <v>561</v>
      </c>
    </row>
    <row r="458" customFormat="false" ht="17.15" hidden="false" customHeight="false" outlineLevel="0" collapsed="false">
      <c r="A458" s="6" t="s">
        <v>20</v>
      </c>
      <c r="B458" s="6" t="s">
        <v>21</v>
      </c>
      <c r="C458" s="14" t="s">
        <v>562</v>
      </c>
      <c r="D458" s="14" t="s">
        <v>517</v>
      </c>
      <c r="E458" s="14" t="s">
        <v>518</v>
      </c>
      <c r="F458" s="14" t="s">
        <v>519</v>
      </c>
      <c r="G458" s="14"/>
      <c r="H458" s="6" t="s">
        <v>480</v>
      </c>
    </row>
    <row r="459" customFormat="false" ht="17.15" hidden="false" customHeight="false" outlineLevel="0" collapsed="false">
      <c r="A459" s="0" t="s">
        <v>563</v>
      </c>
      <c r="B459" s="0" t="s">
        <v>31</v>
      </c>
      <c r="C459" s="26" t="n">
        <f aca="false">mpl_26*1</f>
        <v>29.753262</v>
      </c>
      <c r="D459" s="26" t="n">
        <f aca="false">mpl_27*1*1</f>
        <v>53.560715</v>
      </c>
      <c r="E459" s="26" t="n">
        <f aca="false">mpl_28*um28_A*1</f>
        <v>57.9915</v>
      </c>
      <c r="F459" s="26" t="n">
        <f aca="false">mpl_29*um29_A*1</f>
        <v>72.9348</v>
      </c>
    </row>
    <row r="460" customFormat="false" ht="17.15" hidden="false" customHeight="false" outlineLevel="0" collapsed="false">
      <c r="A460" s="5" t="s">
        <v>564</v>
      </c>
      <c r="B460" s="0" t="s">
        <v>97</v>
      </c>
      <c r="C460" s="20" t="n">
        <f aca="false">asp_26</f>
        <v>500</v>
      </c>
      <c r="D460" s="20" t="n">
        <f aca="false">asp_27</f>
        <v>520</v>
      </c>
      <c r="E460" s="20" t="n">
        <f aca="false">asp_28</f>
        <v>540</v>
      </c>
      <c r="F460" s="20" t="n">
        <f aca="false">asp_29</f>
        <v>560</v>
      </c>
    </row>
    <row r="461" customFormat="false" ht="17.15" hidden="false" customHeight="false" outlineLevel="0" collapsed="false">
      <c r="A461" s="5" t="s">
        <v>565</v>
      </c>
      <c r="B461" s="5" t="s">
        <v>349</v>
      </c>
      <c r="C461" s="15" t="n">
        <f aca="false">C459*1000/C460</f>
        <v>59.506524</v>
      </c>
      <c r="D461" s="15" t="n">
        <f aca="false">D459*1000/D460</f>
        <v>103.001375</v>
      </c>
      <c r="E461" s="15" t="n">
        <f aca="false">E459*1000/E460</f>
        <v>107.391666666667</v>
      </c>
      <c r="F461" s="15" t="n">
        <f aca="false">F459*1000/F460</f>
        <v>130.240714285714</v>
      </c>
    </row>
    <row r="462" customFormat="false" ht="17.15" hidden="false" customHeight="false" outlineLevel="0" collapsed="false">
      <c r="A462" s="5" t="s">
        <v>566</v>
      </c>
      <c r="B462" s="5" t="s">
        <v>109</v>
      </c>
      <c r="C462" s="18" t="n">
        <f aca="false">lpm_26</f>
        <v>5.5</v>
      </c>
      <c r="D462" s="18" t="n">
        <f aca="false">lpm_27</f>
        <v>5.5</v>
      </c>
      <c r="E462" s="18" t="n">
        <f aca="false">lpm_28</f>
        <v>5</v>
      </c>
      <c r="F462" s="18" t="n">
        <f aca="false">lpm_29</f>
        <v>4.8</v>
      </c>
    </row>
    <row r="463" customFormat="false" ht="17.15" hidden="false" customHeight="false" outlineLevel="0" collapsed="false">
      <c r="A463" s="5" t="s">
        <v>567</v>
      </c>
      <c r="B463" s="0" t="s">
        <v>121</v>
      </c>
      <c r="C463" s="18" t="n">
        <f aca="false">lasp_26</f>
        <v>13</v>
      </c>
      <c r="D463" s="18" t="n">
        <f aca="false">lasp_27</f>
        <v>15</v>
      </c>
      <c r="E463" s="18" t="n">
        <f aca="false">lasp_28</f>
        <v>15</v>
      </c>
      <c r="F463" s="18" t="n">
        <f aca="false">lasp_29</f>
        <v>14</v>
      </c>
    </row>
    <row r="464" customFormat="false" ht="17.15" hidden="false" customHeight="false" outlineLevel="0" collapsed="false">
      <c r="A464" s="5" t="s">
        <v>568</v>
      </c>
      <c r="B464" s="0" t="s">
        <v>31</v>
      </c>
      <c r="C464" s="26" t="n">
        <f aca="false">C461*C462*C463/1000</f>
        <v>4.254716466</v>
      </c>
      <c r="D464" s="26" t="n">
        <f aca="false">D461*D462*D463/1000</f>
        <v>8.4976134375</v>
      </c>
      <c r="E464" s="26" t="n">
        <f aca="false">E461*E462*E463/1000</f>
        <v>8.054375</v>
      </c>
      <c r="F464" s="26" t="n">
        <f aca="false">F461*F462*F463/1000</f>
        <v>8.752176</v>
      </c>
    </row>
    <row r="465" customFormat="false" ht="17.15" hidden="false" customHeight="false" outlineLevel="0" collapsed="false">
      <c r="A465" s="0" t="s">
        <v>569</v>
      </c>
      <c r="B465" s="0" t="s">
        <v>164</v>
      </c>
      <c r="C465" s="16" t="n">
        <f aca="false">c26_las/1000/C464</f>
        <v>0.43826657190933</v>
      </c>
      <c r="H465" s="8" t="s">
        <v>570</v>
      </c>
    </row>
    <row r="466" customFormat="false" ht="17.15" hidden="false" customHeight="false" outlineLevel="0" collapsed="false">
      <c r="A466" s="5" t="s">
        <v>571</v>
      </c>
      <c r="B466" s="0" t="s">
        <v>75</v>
      </c>
      <c r="C466" s="9" t="n">
        <f aca="false">1</f>
        <v>1</v>
      </c>
      <c r="D466" s="9" t="n">
        <f aca="false">lrel_27</f>
        <v>0.95</v>
      </c>
      <c r="E466" s="9" t="n">
        <f aca="false">lrel_28</f>
        <v>0.95</v>
      </c>
      <c r="F466" s="9" t="n">
        <f aca="false">lrel_29</f>
        <v>0.9</v>
      </c>
    </row>
    <row r="467" customFormat="false" ht="15" hidden="false" customHeight="false" outlineLevel="0" collapsed="false">
      <c r="A467" s="5" t="s">
        <v>572</v>
      </c>
      <c r="B467" s="0" t="s">
        <v>164</v>
      </c>
      <c r="C467" s="16" t="n">
        <f aca="false">$C$465*C466</f>
        <v>0.43826657190933</v>
      </c>
      <c r="D467" s="16" t="n">
        <f aca="false">$C$465*D466</f>
        <v>0.416353243313864</v>
      </c>
      <c r="E467" s="16" t="n">
        <f aca="false">$C$465*E466</f>
        <v>0.416353243313864</v>
      </c>
      <c r="F467" s="16" t="n">
        <f aca="false">$C$465*F466</f>
        <v>0.394439914718397</v>
      </c>
    </row>
    <row r="468" customFormat="false" ht="17.15" hidden="false" customHeight="false" outlineLevel="0" collapsed="false">
      <c r="A468" s="5" t="s">
        <v>573</v>
      </c>
      <c r="B468" s="0" t="s">
        <v>31</v>
      </c>
      <c r="C468" s="26" t="n">
        <f aca="false">C464*C467</f>
        <v>1.8647</v>
      </c>
      <c r="D468" s="26" t="n">
        <f aca="false">D464*D467</f>
        <v>3.53800891513059</v>
      </c>
      <c r="E468" s="26" t="n">
        <f aca="false">E464*E467</f>
        <v>3.3534651541161</v>
      </c>
      <c r="F468" s="26" t="n">
        <f aca="false">F464*F467</f>
        <v>3.4522075550404</v>
      </c>
    </row>
    <row r="469" customFormat="false" ht="17.15" hidden="false" customHeight="false" outlineLevel="0" collapsed="false">
      <c r="A469" s="5" t="s">
        <v>574</v>
      </c>
      <c r="B469" s="0" t="s">
        <v>164</v>
      </c>
      <c r="C469" s="16" t="n">
        <f aca="false">c26_xcvr/1000/C459</f>
        <v>0.0336097601668012</v>
      </c>
    </row>
    <row r="470" customFormat="false" ht="15" hidden="false" customHeight="false" outlineLevel="0" collapsed="false">
      <c r="A470" s="5" t="s">
        <v>575</v>
      </c>
      <c r="B470" s="0" t="s">
        <v>164</v>
      </c>
      <c r="C470" s="16" t="n">
        <f aca="false">C469</f>
        <v>0.0336097601668012</v>
      </c>
      <c r="D470" s="16" t="n">
        <f aca="false">$C$469*mrel_27</f>
        <v>0.0336097601668012</v>
      </c>
      <c r="E470" s="16" t="n">
        <f aca="false">$C$469*mrel_28</f>
        <v>0.0336097601668012</v>
      </c>
      <c r="F470" s="16" t="n">
        <f aca="false">$C$469*mrel_29</f>
        <v>0.0336097601668012</v>
      </c>
    </row>
    <row r="471" customFormat="false" ht="15" hidden="false" customHeight="false" outlineLevel="0" collapsed="false">
      <c r="A471" s="5" t="s">
        <v>576</v>
      </c>
      <c r="B471" s="0" t="s">
        <v>31</v>
      </c>
      <c r="C471" s="26" t="n">
        <f aca="false">C459*C470</f>
        <v>1</v>
      </c>
      <c r="D471" s="26" t="n">
        <f aca="false">D459*D470</f>
        <v>1.80016278551239</v>
      </c>
      <c r="E471" s="26" t="n">
        <f aca="false">E459*E470</f>
        <v>1.94908040671305</v>
      </c>
      <c r="F471" s="26" t="n">
        <f aca="false">F459*F470</f>
        <v>2.45132113581361</v>
      </c>
    </row>
    <row r="472" customFormat="false" ht="17.15" hidden="false" customHeight="false" outlineLevel="0" collapsed="false">
      <c r="A472" s="0" t="s">
        <v>577</v>
      </c>
      <c r="B472" s="5" t="s">
        <v>54</v>
      </c>
      <c r="C472" s="19" t="n">
        <f aca="false">tpu_26*1</f>
        <v>3.85</v>
      </c>
      <c r="D472" s="19" t="n">
        <f aca="false">tpu_27*1</f>
        <v>5.5</v>
      </c>
      <c r="E472" s="19" t="n">
        <f aca="false">tpu_28*um28_A</f>
        <v>7</v>
      </c>
      <c r="F472" s="19" t="n">
        <f aca="false">tpu_29*um29_A</f>
        <v>8.05</v>
      </c>
    </row>
    <row r="473" customFormat="false" ht="17.15" hidden="false" customHeight="false" outlineLevel="0" collapsed="false">
      <c r="A473" s="0" t="s">
        <v>578</v>
      </c>
      <c r="B473" s="0" t="s">
        <v>121</v>
      </c>
      <c r="C473" s="20" t="n">
        <f aca="false">c26_ocs/C472</f>
        <v>129.87012987013</v>
      </c>
      <c r="D473" s="20" t="n">
        <f aca="false">$C473*OKLO_27</f>
        <v>155.844155844156</v>
      </c>
      <c r="E473" s="20" t="n">
        <f aca="false">$C473*OKLO_28</f>
        <v>155.844155844156</v>
      </c>
      <c r="F473" s="20" t="n">
        <f aca="false">$C473*OKLO_29</f>
        <v>129.87012987013</v>
      </c>
    </row>
    <row r="474" customFormat="false" ht="17.15" hidden="false" customHeight="false" outlineLevel="0" collapsed="false">
      <c r="A474" s="0" t="s">
        <v>531</v>
      </c>
      <c r="B474" s="0" t="s">
        <v>31</v>
      </c>
      <c r="C474" s="26" t="n">
        <f aca="false">C472*C473/1000</f>
        <v>0.5</v>
      </c>
      <c r="D474" s="26" t="n">
        <f aca="false">D472*D473/1000</f>
        <v>0.857142857142857</v>
      </c>
      <c r="E474" s="26" t="n">
        <f aca="false">E472*E473/1000</f>
        <v>1.09090909090909</v>
      </c>
      <c r="F474" s="26" t="n">
        <f aca="false">F472*F473/1000</f>
        <v>1.04545454545455</v>
      </c>
    </row>
    <row r="475" customFormat="false" ht="17.15" hidden="false" customHeight="false" outlineLevel="0" collapsed="false">
      <c r="A475" s="0" t="s">
        <v>579</v>
      </c>
      <c r="B475" s="0" t="s">
        <v>31</v>
      </c>
      <c r="C475" s="26" t="n">
        <f aca="false">mcp_26*1</f>
        <v>0.300538</v>
      </c>
      <c r="D475" s="26" t="n">
        <f aca="false">mcp_27*1</f>
        <v>2.818985</v>
      </c>
      <c r="E475" s="26" t="n">
        <f aca="false">mcp_28*um28_A</f>
        <v>6.4435</v>
      </c>
      <c r="F475" s="26" t="n">
        <f aca="false">mcp_29*um29_A</f>
        <v>11.74736</v>
      </c>
    </row>
    <row r="476" customFormat="false" ht="17.15" hidden="false" customHeight="false" outlineLevel="0" collapsed="false">
      <c r="A476" s="0" t="s">
        <v>532</v>
      </c>
      <c r="B476" s="0" t="s">
        <v>164</v>
      </c>
      <c r="C476" s="16" t="n">
        <f aca="false">c26_cpo/1000/C475</f>
        <v>0.166368312825666</v>
      </c>
      <c r="D476" s="16" t="n">
        <f aca="false">cpo_27</f>
        <v>0.25</v>
      </c>
      <c r="E476" s="16" t="n">
        <f aca="false">cpo_28</f>
        <v>0.25</v>
      </c>
      <c r="F476" s="16" t="n">
        <f aca="false">cpo_29</f>
        <v>0.2</v>
      </c>
    </row>
    <row r="477" customFormat="false" ht="17.15" hidden="false" customHeight="false" outlineLevel="0" collapsed="false">
      <c r="A477" s="0" t="s">
        <v>580</v>
      </c>
      <c r="B477" s="0" t="s">
        <v>31</v>
      </c>
      <c r="C477" s="26" t="n">
        <f aca="false">C475*C476</f>
        <v>0.05</v>
      </c>
      <c r="D477" s="26" t="n">
        <f aca="false">D475*D476</f>
        <v>0.70474625</v>
      </c>
      <c r="E477" s="26" t="n">
        <f aca="false">E475*E476</f>
        <v>1.610875</v>
      </c>
      <c r="F477" s="26" t="n">
        <f aca="false">F475*F476</f>
        <v>2.349472</v>
      </c>
    </row>
    <row r="478" customFormat="false" ht="17.15" hidden="false" customHeight="false" outlineLevel="0" collapsed="false">
      <c r="A478" s="0" t="s">
        <v>581</v>
      </c>
      <c r="B478" s="0" t="s">
        <v>31</v>
      </c>
      <c r="C478" s="26" t="n">
        <f aca="false">C468+C471+C474+C477</f>
        <v>3.4147</v>
      </c>
      <c r="D478" s="26" t="n">
        <f aca="false">D468+D471+D474+D477</f>
        <v>6.90006080778584</v>
      </c>
      <c r="E478" s="26" t="n">
        <f aca="false">E468+E471+E474+E477</f>
        <v>8.00432965173824</v>
      </c>
      <c r="F478" s="26" t="n">
        <f aca="false">F468+F471+F474+F477</f>
        <v>9.29845523630856</v>
      </c>
    </row>
    <row r="479" customFormat="false" ht="17.15" hidden="false" customHeight="false" outlineLevel="0" collapsed="false">
      <c r="A479" s="5" t="s">
        <v>582</v>
      </c>
      <c r="B479" s="0" t="s">
        <v>31</v>
      </c>
      <c r="C479" s="26" t="n">
        <f aca="false">c26_tel/1000</f>
        <v>0.75</v>
      </c>
      <c r="D479" s="26" t="n">
        <f aca="false">C479*(1+g_tel_27)</f>
        <v>0.9375</v>
      </c>
      <c r="E479" s="26" t="n">
        <f aca="false">D479*(1+g_tel_28)</f>
        <v>1.078125</v>
      </c>
      <c r="F479" s="26" t="n">
        <f aca="false">E479*(1+g_tel_29)</f>
        <v>1.1859375</v>
      </c>
    </row>
    <row r="480" customFormat="false" ht="17.15" hidden="false" customHeight="false" outlineLevel="0" collapsed="false">
      <c r="A480" s="5" t="s">
        <v>583</v>
      </c>
      <c r="B480" s="0" t="s">
        <v>31</v>
      </c>
      <c r="C480" s="26" t="n">
        <f aca="false">c26_ind/1000</f>
        <v>0.3</v>
      </c>
      <c r="D480" s="26" t="n">
        <f aca="false">C480*(1+g_ind)</f>
        <v>0.309</v>
      </c>
      <c r="E480" s="26" t="n">
        <f aca="false">D480*(1+g_ind)</f>
        <v>0.31827</v>
      </c>
      <c r="F480" s="26" t="n">
        <f aca="false">E480*(1+g_ind)</f>
        <v>0.3278181</v>
      </c>
    </row>
    <row r="481" customFormat="false" ht="17.15" hidden="false" customHeight="false" outlineLevel="0" collapsed="false">
      <c r="A481" s="5" t="s">
        <v>584</v>
      </c>
      <c r="B481" s="0" t="s">
        <v>31</v>
      </c>
      <c r="C481" s="26" t="n">
        <f aca="false">C468+C479+C477+C480/2</f>
        <v>2.8147</v>
      </c>
      <c r="D481" s="26" t="n">
        <f aca="false">D468+D479+D477+D480/2</f>
        <v>5.3347551651306</v>
      </c>
      <c r="E481" s="26" t="n">
        <f aca="false">E468+E479+E477+E480/2</f>
        <v>6.2016001541161</v>
      </c>
      <c r="F481" s="26" t="n">
        <f aca="false">F468+F479+F477+F480/2</f>
        <v>7.1515261050404</v>
      </c>
      <c r="H481" s="5" t="s">
        <v>585</v>
      </c>
    </row>
    <row r="482" customFormat="false" ht="17.15" hidden="false" customHeight="false" outlineLevel="0" collapsed="false">
      <c r="A482" s="5" t="s">
        <v>586</v>
      </c>
      <c r="B482" s="0" t="s">
        <v>31</v>
      </c>
      <c r="C482" s="26" t="n">
        <f aca="false">C471+C474+C480/2</f>
        <v>1.65</v>
      </c>
      <c r="D482" s="26" t="n">
        <f aca="false">D471+D474+D480/2</f>
        <v>2.81180564265525</v>
      </c>
      <c r="E482" s="26" t="n">
        <f aca="false">E471+E474+E480/2</f>
        <v>3.19912449762214</v>
      </c>
      <c r="F482" s="26" t="n">
        <f aca="false">F471+F474+F480/2</f>
        <v>3.66068473126816</v>
      </c>
    </row>
    <row r="483" customFormat="false" ht="15" hidden="false" customHeight="false" outlineLevel="0" collapsed="false">
      <c r="A483" s="5" t="s">
        <v>587</v>
      </c>
      <c r="B483" s="0" t="s">
        <v>31</v>
      </c>
      <c r="C483" s="26" t="n">
        <f aca="false">C478+C479+C480</f>
        <v>4.4647</v>
      </c>
      <c r="D483" s="26" t="n">
        <f aca="false">D478+D479+D480</f>
        <v>8.14656080778584</v>
      </c>
      <c r="E483" s="26" t="n">
        <f aca="false">E478+E479+E480</f>
        <v>9.40072465173824</v>
      </c>
      <c r="F483" s="26" t="n">
        <f aca="false">F478+F479+F480</f>
        <v>10.8122108363086</v>
      </c>
    </row>
    <row r="484" customFormat="false" ht="15" hidden="false" customHeight="false" outlineLevel="0" collapsed="false">
      <c r="A484" s="5" t="s">
        <v>588</v>
      </c>
      <c r="B484" s="0" t="s">
        <v>164</v>
      </c>
      <c r="D484" s="16" t="n">
        <f aca="false">D483/C483-1</f>
        <v>0.824660292468888</v>
      </c>
      <c r="E484" s="16" t="n">
        <f aca="false">E483/D483-1</f>
        <v>0.153950099133093</v>
      </c>
      <c r="F484" s="16" t="n">
        <f aca="false">F483/E483-1</f>
        <v>0.150146529853879</v>
      </c>
    </row>
    <row r="485" customFormat="false" ht="17.15" hidden="false" customHeight="false" outlineLevel="0" collapsed="false">
      <c r="A485" s="1" t="s">
        <v>589</v>
      </c>
    </row>
    <row r="486" customFormat="false" ht="17.15" hidden="false" customHeight="false" outlineLevel="0" collapsed="false">
      <c r="A486" s="6" t="s">
        <v>20</v>
      </c>
      <c r="B486" s="6" t="s">
        <v>21</v>
      </c>
      <c r="C486" s="14" t="s">
        <v>472</v>
      </c>
      <c r="D486" s="14" t="s">
        <v>539</v>
      </c>
      <c r="E486" s="14" t="s">
        <v>540</v>
      </c>
      <c r="F486" s="14" t="s">
        <v>541</v>
      </c>
      <c r="G486" s="14" t="s">
        <v>542</v>
      </c>
      <c r="H486" s="6" t="s">
        <v>480</v>
      </c>
    </row>
    <row r="487" customFormat="false" ht="17.15" hidden="false" customHeight="false" outlineLevel="0" collapsed="false">
      <c r="A487" s="0" t="s">
        <v>590</v>
      </c>
      <c r="B487" s="0" t="s">
        <v>31</v>
      </c>
      <c r="E487" s="26" t="n">
        <f aca="false">w2h_26*C478+h_1h*D478</f>
        <v>5.26980641467626</v>
      </c>
      <c r="F487" s="26" t="n">
        <f aca="false">(1-h_1h)*D478+h_1h*E478</f>
        <v>7.41906716444347</v>
      </c>
      <c r="G487" s="26" t="n">
        <f aca="false">(1-h_1h)*E478+h_1h*F478</f>
        <v>8.61256867648629</v>
      </c>
      <c r="H487" s="8" t="s">
        <v>591</v>
      </c>
    </row>
    <row r="488" customFormat="false" ht="17.15" hidden="false" customHeight="false" outlineLevel="0" collapsed="false">
      <c r="A488" s="5" t="s">
        <v>592</v>
      </c>
      <c r="B488" s="0" t="s">
        <v>31</v>
      </c>
      <c r="E488" s="26" t="n">
        <f aca="false">w2h_26*C479+h_1h*D479+w2h_26*C480+h_1h*D480</f>
        <v>1.20907716498309</v>
      </c>
      <c r="F488" s="26" t="n">
        <f aca="false">(1-h_1h)*D479+h_1h*E479+(1-h_1h)*D480+h_1h*E480</f>
        <v>1.31695065</v>
      </c>
      <c r="G488" s="26" t="n">
        <f aca="false">(1-h_1h)*E479+h_1h*F479+(1-h_1h)*E480+h_1h*F480</f>
        <v>1.451554482</v>
      </c>
    </row>
    <row r="489" customFormat="false" ht="15" hidden="false" customHeight="false" outlineLevel="0" collapsed="false">
      <c r="A489" s="5" t="s">
        <v>481</v>
      </c>
      <c r="B489" s="0" t="s">
        <v>31</v>
      </c>
      <c r="C489" s="26" t="n">
        <f aca="false">a25_rev/1000</f>
        <v>1.645</v>
      </c>
      <c r="D489" s="26" t="n">
        <f aca="false">a26_rev/1000</f>
        <v>3.014</v>
      </c>
      <c r="E489" s="26" t="n">
        <f aca="false">E487+E488</f>
        <v>6.47888357965935</v>
      </c>
      <c r="F489" s="26" t="n">
        <f aca="false">F487+F488</f>
        <v>8.73601781444347</v>
      </c>
      <c r="G489" s="26" t="n">
        <f aca="false">G487+G488</f>
        <v>10.0641231584863</v>
      </c>
    </row>
    <row r="490" customFormat="false" ht="17.15" hidden="false" customHeight="false" outlineLevel="0" collapsed="false">
      <c r="A490" s="5" t="s">
        <v>593</v>
      </c>
      <c r="B490" s="0" t="s">
        <v>31</v>
      </c>
      <c r="C490" s="26" t="n">
        <f aca="false">a25_cmp/1000</f>
        <v>1.1163</v>
      </c>
      <c r="D490" s="26" t="n">
        <f aca="false">a26_cmp/1000</f>
        <v>2.0056</v>
      </c>
      <c r="E490" s="26" t="n">
        <f aca="false">w2h_26*C481+h_1h*D481</f>
        <v>4.17798581120938</v>
      </c>
      <c r="F490" s="26" t="n">
        <f aca="false">(1-h_1h)*D481+h_1h*E481</f>
        <v>5.74217230995378</v>
      </c>
      <c r="G490" s="26" t="n">
        <f aca="false">(1-h_1h)*E481+h_1h*F481</f>
        <v>6.64806535105052</v>
      </c>
      <c r="H490" s="5" t="s">
        <v>594</v>
      </c>
    </row>
    <row r="491" customFormat="false" ht="17.15" hidden="false" customHeight="false" outlineLevel="0" collapsed="false">
      <c r="A491" s="5" t="s">
        <v>595</v>
      </c>
      <c r="B491" s="0" t="s">
        <v>31</v>
      </c>
      <c r="C491" s="26" t="n">
        <f aca="false">a25_sys/1000</f>
        <v>0.5287</v>
      </c>
      <c r="D491" s="26" t="n">
        <f aca="false">a26_sys/1000</f>
        <v>1.0084</v>
      </c>
      <c r="E491" s="26" t="n">
        <f aca="false">w2h_26*C482+h_1h*D482</f>
        <v>2.30089776844997</v>
      </c>
      <c r="F491" s="26" t="n">
        <f aca="false">(1-h_1h)*D482+h_1h*E482</f>
        <v>2.99384550448969</v>
      </c>
      <c r="G491" s="26" t="n">
        <f aca="false">(1-h_1h)*E482+h_1h*F482</f>
        <v>3.41605780743577</v>
      </c>
      <c r="H491" s="5" t="s">
        <v>596</v>
      </c>
    </row>
    <row r="492" customFormat="false" ht="15" hidden="false" customHeight="false" outlineLevel="0" collapsed="false">
      <c r="A492" s="5" t="s">
        <v>597</v>
      </c>
      <c r="B492" s="0" t="s">
        <v>31</v>
      </c>
      <c r="C492" s="17" t="n">
        <f aca="false">C490+C491-C489</f>
        <v>0</v>
      </c>
      <c r="D492" s="17" t="n">
        <f aca="false">D490+D491-D489</f>
        <v>0</v>
      </c>
      <c r="E492" s="17" t="n">
        <f aca="false">E490+E491-E489</f>
        <v>0</v>
      </c>
      <c r="F492" s="17" t="n">
        <f aca="false">F490+F491-F489</f>
        <v>0</v>
      </c>
      <c r="G492" s="17" t="n">
        <f aca="false">G490+G491-G489</f>
        <v>0</v>
      </c>
    </row>
    <row r="493" customFormat="false" ht="15" hidden="false" customHeight="false" outlineLevel="0" collapsed="false">
      <c r="A493" s="5" t="s">
        <v>598</v>
      </c>
      <c r="B493" s="0" t="s">
        <v>164</v>
      </c>
      <c r="D493" s="16" t="n">
        <f aca="false">D489/C489-1</f>
        <v>0.832218844984802</v>
      </c>
      <c r="E493" s="16" t="n">
        <f aca="false">E489/D489-1</f>
        <v>1.14959640997324</v>
      </c>
      <c r="F493" s="16" t="n">
        <f aca="false">F489/E489-1</f>
        <v>0.348383206308949</v>
      </c>
      <c r="G493" s="16" t="n">
        <f aca="false">G489/F489-1</f>
        <v>0.152026400615511</v>
      </c>
    </row>
    <row r="494" customFormat="false" ht="17.15" hidden="false" customHeight="false" outlineLevel="0" collapsed="false">
      <c r="A494" s="0" t="s">
        <v>599</v>
      </c>
      <c r="B494" s="0" t="s">
        <v>164</v>
      </c>
      <c r="E494" s="16" t="n">
        <f aca="false">E487/E489</f>
        <v>0.813381865854323</v>
      </c>
      <c r="F494" s="16" t="n">
        <f aca="false">F487/F489</f>
        <v>0.849250461941292</v>
      </c>
      <c r="G494" s="16" t="n">
        <f aca="false">G487/G489</f>
        <v>0.855769403936992</v>
      </c>
    </row>
    <row r="495" customFormat="false" ht="17.15" hidden="false" customHeight="false" outlineLevel="0" collapsed="false">
      <c r="A495" s="5" t="s">
        <v>484</v>
      </c>
      <c r="B495" s="0" t="s">
        <v>164</v>
      </c>
      <c r="C495" s="16" t="n">
        <f aca="false">a25_gm</f>
        <v>0.347</v>
      </c>
      <c r="D495" s="16" t="n">
        <f aca="false">a26_gm</f>
        <v>0.46</v>
      </c>
      <c r="E495" s="16" t="n">
        <f aca="false">gm_27</f>
        <v>0.52</v>
      </c>
      <c r="F495" s="16" t="n">
        <f aca="false">gm_28</f>
        <v>0.51</v>
      </c>
      <c r="G495" s="16" t="n">
        <f aca="false">gm_29</f>
        <v>0.49</v>
      </c>
    </row>
    <row r="496" customFormat="false" ht="15" hidden="false" customHeight="false" outlineLevel="0" collapsed="false">
      <c r="A496" s="5" t="s">
        <v>485</v>
      </c>
      <c r="B496" s="0" t="s">
        <v>31</v>
      </c>
      <c r="C496" s="26" t="n">
        <f aca="false">C489*C495</f>
        <v>0.570815</v>
      </c>
      <c r="D496" s="26" t="n">
        <f aca="false">D489*D495</f>
        <v>1.38644</v>
      </c>
      <c r="E496" s="26" t="n">
        <f aca="false">E489*E495</f>
        <v>3.36901946142286</v>
      </c>
      <c r="F496" s="26" t="n">
        <f aca="false">F489*F495</f>
        <v>4.45536908536617</v>
      </c>
      <c r="G496" s="26" t="n">
        <f aca="false">G489*G495</f>
        <v>4.93142034765828</v>
      </c>
    </row>
    <row r="497" customFormat="false" ht="15" hidden="false" customHeight="false" outlineLevel="0" collapsed="false">
      <c r="A497" s="5" t="s">
        <v>600</v>
      </c>
      <c r="B497" s="0" t="s">
        <v>31</v>
      </c>
      <c r="C497" s="26" t="n">
        <f aca="false">a25_opx/1000</f>
        <v>0.4114</v>
      </c>
      <c r="D497" s="26" t="n">
        <f aca="false">a26_opx/1000</f>
        <v>0.4897</v>
      </c>
      <c r="E497" s="26" t="n">
        <f aca="false">D497*(1+MAX(0,phi*E493))</f>
        <v>0.618446500079574</v>
      </c>
      <c r="F497" s="26" t="n">
        <f aca="false">E497*(1+MAX(0,phi*F493))</f>
        <v>0.66772066545589</v>
      </c>
      <c r="G497" s="26" t="n">
        <f aca="false">F497*(1+MAX(0,phi*G493))</f>
        <v>0.690935936558875</v>
      </c>
    </row>
    <row r="498" customFormat="false" ht="15" hidden="false" customHeight="false" outlineLevel="0" collapsed="false">
      <c r="A498" s="5" t="s">
        <v>601</v>
      </c>
      <c r="B498" s="0" t="s">
        <v>31</v>
      </c>
      <c r="C498" s="26" t="n">
        <f aca="false">C497</f>
        <v>0.4114</v>
      </c>
      <c r="D498" s="26" t="n">
        <f aca="false">D497</f>
        <v>0.4897</v>
      </c>
      <c r="E498" s="26" t="n">
        <f aca="false">E497+0*E489</f>
        <v>0.618446500079574</v>
      </c>
      <c r="F498" s="26" t="n">
        <f aca="false">F497+0*F489</f>
        <v>0.66772066545589</v>
      </c>
      <c r="G498" s="26" t="n">
        <f aca="false">G497+0*G489</f>
        <v>0.690935936558875</v>
      </c>
    </row>
    <row r="499" customFormat="false" ht="15" hidden="false" customHeight="false" outlineLevel="0" collapsed="false">
      <c r="A499" s="5" t="s">
        <v>602</v>
      </c>
      <c r="B499" s="0" t="s">
        <v>31</v>
      </c>
      <c r="C499" s="26" t="n">
        <f aca="false">C496-C498</f>
        <v>0.159415</v>
      </c>
      <c r="D499" s="26" t="n">
        <f aca="false">D496-D498</f>
        <v>0.89674</v>
      </c>
      <c r="E499" s="26" t="n">
        <f aca="false">E496-E498</f>
        <v>2.75057296134329</v>
      </c>
      <c r="F499" s="26" t="n">
        <f aca="false">F496-F498</f>
        <v>3.78764841991028</v>
      </c>
      <c r="G499" s="26" t="n">
        <f aca="false">G496-G498</f>
        <v>4.24048441109941</v>
      </c>
    </row>
    <row r="500" customFormat="false" ht="15" hidden="false" customHeight="false" outlineLevel="0" collapsed="false">
      <c r="A500" s="5" t="s">
        <v>489</v>
      </c>
      <c r="B500" s="0" t="s">
        <v>164</v>
      </c>
      <c r="C500" s="16" t="n">
        <f aca="false">C499/C489</f>
        <v>0.0969088145896656</v>
      </c>
      <c r="D500" s="16" t="n">
        <f aca="false">D499/D489</f>
        <v>0.297524883875249</v>
      </c>
      <c r="E500" s="16" t="n">
        <f aca="false">E499/E489</f>
        <v>0.424544279508092</v>
      </c>
      <c r="F500" s="16" t="n">
        <f aca="false">F499/F489</f>
        <v>0.43356692950512</v>
      </c>
      <c r="G500" s="16" t="n">
        <f aca="false">G499/G489</f>
        <v>0.421346633414729</v>
      </c>
    </row>
    <row r="501" customFormat="false" ht="17.15" hidden="false" customHeight="false" outlineLevel="0" collapsed="false">
      <c r="A501" s="5" t="s">
        <v>490</v>
      </c>
      <c r="B501" s="0" t="s">
        <v>31</v>
      </c>
      <c r="C501" s="26" t="n">
        <f aca="false">a25_ni/1000</f>
        <v>0.1464</v>
      </c>
      <c r="D501" s="26" t="n">
        <f aca="false">a26_ni/1000</f>
        <v>0.7823</v>
      </c>
      <c r="E501" s="26" t="n">
        <f aca="false">(E499+oi_oth)*(1-tx)</f>
        <v>2.34032842272164</v>
      </c>
      <c r="F501" s="26" t="n">
        <f aca="false">(F499+oi_oth)*(1-tx)</f>
        <v>3.20628643062508</v>
      </c>
      <c r="G501" s="26" t="n">
        <f aca="false">(G499+oi_oth)*(1-tx)</f>
        <v>3.58440448326801</v>
      </c>
    </row>
    <row r="502" customFormat="false" ht="15" hidden="false" customHeight="false" outlineLevel="0" collapsed="false">
      <c r="A502" s="5" t="s">
        <v>552</v>
      </c>
      <c r="B502" s="0" t="s">
        <v>164</v>
      </c>
      <c r="C502" s="16" t="n">
        <f aca="false">C501/C489</f>
        <v>0.0889969604863222</v>
      </c>
      <c r="D502" s="16" t="n">
        <f aca="false">D501/D489</f>
        <v>0.259555408095554</v>
      </c>
      <c r="E502" s="16" t="n">
        <f aca="false">E501/E489</f>
        <v>0.361224027866341</v>
      </c>
      <c r="F502" s="16" t="n">
        <f aca="false">F501/F489</f>
        <v>0.367019218450316</v>
      </c>
      <c r="G502" s="16" t="n">
        <f aca="false">G501/G489</f>
        <v>0.356156659335548</v>
      </c>
    </row>
    <row r="503" customFormat="false" ht="17.15" hidden="false" customHeight="false" outlineLevel="0" collapsed="false">
      <c r="A503" s="5" t="s">
        <v>494</v>
      </c>
      <c r="B503" s="5" t="s">
        <v>238</v>
      </c>
      <c r="C503" s="15" t="n">
        <f aca="false">a25_sh</f>
        <v>71.0679611650485</v>
      </c>
      <c r="D503" s="15" t="n">
        <f aca="false">a26_sh</f>
        <v>90.2306805074971</v>
      </c>
      <c r="E503" s="15" t="n">
        <f aca="false">sh_q1</f>
        <v>102</v>
      </c>
      <c r="F503" s="15" t="n">
        <f aca="false">E503*(1+sh_g)</f>
        <v>103.02</v>
      </c>
      <c r="G503" s="15" t="n">
        <f aca="false">F503*(1+sh_g)</f>
        <v>104.0502</v>
      </c>
    </row>
    <row r="504" customFormat="false" ht="17.15" hidden="false" customHeight="false" outlineLevel="0" collapsed="false">
      <c r="A504" s="0" t="s">
        <v>496</v>
      </c>
      <c r="B504" s="0" t="s">
        <v>233</v>
      </c>
      <c r="C504" s="9" t="n">
        <f aca="false">C501*1000/C503</f>
        <v>2.06</v>
      </c>
      <c r="D504" s="9" t="n">
        <f aca="false">D501*1000/D503</f>
        <v>8.67</v>
      </c>
      <c r="E504" s="9" t="n">
        <f aca="false">E501*1000/E503</f>
        <v>22.9443963011926</v>
      </c>
      <c r="F504" s="9" t="n">
        <f aca="false">F501*1000/F503</f>
        <v>31.1229511805968</v>
      </c>
      <c r="G504" s="9" t="n">
        <f aca="false">G501*1000/G503</f>
        <v>34.4487995531773</v>
      </c>
    </row>
    <row r="505" customFormat="false" ht="17.15" hidden="false" customHeight="false" outlineLevel="0" collapsed="false">
      <c r="A505" s="0" t="s">
        <v>603</v>
      </c>
      <c r="B505" s="0" t="s">
        <v>164</v>
      </c>
      <c r="D505" s="16" t="n">
        <f aca="false">D504/C504-1</f>
        <v>3.20873786407767</v>
      </c>
      <c r="E505" s="16" t="n">
        <f aca="false">E504/D504-1</f>
        <v>1.64641249148703</v>
      </c>
      <c r="F505" s="16" t="n">
        <f aca="false">F504/E504-1</f>
        <v>0.356451081651651</v>
      </c>
      <c r="G505" s="16" t="n">
        <f aca="false">G504/F504-1</f>
        <v>0.106861600408058</v>
      </c>
    </row>
    <row r="508" customFormat="false" ht="17.15" hidden="false" customHeight="false" outlineLevel="0" collapsed="false">
      <c r="A508" s="3" t="s">
        <v>903</v>
      </c>
    </row>
    <row r="509" customFormat="false" ht="17.15" hidden="false" customHeight="false" outlineLevel="0" collapsed="false">
      <c r="A509" s="1" t="s">
        <v>561</v>
      </c>
    </row>
    <row r="510" customFormat="false" ht="17.15" hidden="false" customHeight="false" outlineLevel="0" collapsed="false">
      <c r="A510" s="6" t="s">
        <v>20</v>
      </c>
      <c r="B510" s="6" t="s">
        <v>21</v>
      </c>
      <c r="C510" s="14" t="s">
        <v>562</v>
      </c>
      <c r="D510" s="14" t="s">
        <v>517</v>
      </c>
      <c r="E510" s="14" t="s">
        <v>518</v>
      </c>
      <c r="F510" s="14" t="s">
        <v>519</v>
      </c>
      <c r="G510" s="14"/>
      <c r="H510" s="6" t="s">
        <v>480</v>
      </c>
    </row>
    <row r="511" customFormat="false" ht="17.15" hidden="false" customHeight="false" outlineLevel="0" collapsed="false">
      <c r="A511" s="0" t="s">
        <v>563</v>
      </c>
      <c r="B511" s="0" t="s">
        <v>31</v>
      </c>
      <c r="C511" s="26" t="n">
        <f aca="false">mpl_26*1</f>
        <v>29.753262</v>
      </c>
      <c r="D511" s="26" t="n">
        <f aca="false">mpl_27*1*1</f>
        <v>53.560715</v>
      </c>
      <c r="E511" s="26" t="n">
        <f aca="false">mpl_28*um28_A*1</f>
        <v>57.9915</v>
      </c>
      <c r="F511" s="26" t="n">
        <f aca="false">mpl_29*um29_A*1</f>
        <v>72.9348</v>
      </c>
    </row>
    <row r="512" customFormat="false" ht="17.15" hidden="false" customHeight="false" outlineLevel="0" collapsed="false">
      <c r="A512" s="5" t="s">
        <v>564</v>
      </c>
      <c r="B512" s="0" t="s">
        <v>97</v>
      </c>
      <c r="C512" s="20" t="n">
        <f aca="false">asp_26</f>
        <v>500</v>
      </c>
      <c r="D512" s="20" t="n">
        <f aca="false">asp_27</f>
        <v>520</v>
      </c>
      <c r="E512" s="20" t="n">
        <f aca="false">asp_28</f>
        <v>540</v>
      </c>
      <c r="F512" s="20" t="n">
        <f aca="false">asp_29</f>
        <v>560</v>
      </c>
    </row>
    <row r="513" customFormat="false" ht="17.15" hidden="false" customHeight="false" outlineLevel="0" collapsed="false">
      <c r="A513" s="5" t="s">
        <v>565</v>
      </c>
      <c r="B513" s="5" t="s">
        <v>349</v>
      </c>
      <c r="C513" s="15" t="n">
        <f aca="false">C511*1000/C512</f>
        <v>59.506524</v>
      </c>
      <c r="D513" s="15" t="n">
        <f aca="false">D511*1000/D512</f>
        <v>103.001375</v>
      </c>
      <c r="E513" s="15" t="n">
        <f aca="false">E511*1000/E512</f>
        <v>107.391666666667</v>
      </c>
      <c r="F513" s="15" t="n">
        <f aca="false">F511*1000/F512</f>
        <v>130.240714285714</v>
      </c>
    </row>
    <row r="514" customFormat="false" ht="17.15" hidden="false" customHeight="false" outlineLevel="0" collapsed="false">
      <c r="A514" s="5" t="s">
        <v>566</v>
      </c>
      <c r="B514" s="5" t="s">
        <v>109</v>
      </c>
      <c r="C514" s="18" t="n">
        <f aca="false">lpm_26</f>
        <v>5.5</v>
      </c>
      <c r="D514" s="18" t="n">
        <f aca="false">lpm_27</f>
        <v>5.5</v>
      </c>
      <c r="E514" s="18" t="n">
        <f aca="false">lpm_28</f>
        <v>5</v>
      </c>
      <c r="F514" s="18" t="n">
        <f aca="false">lpm_29</f>
        <v>4.8</v>
      </c>
    </row>
    <row r="515" customFormat="false" ht="17.15" hidden="false" customHeight="false" outlineLevel="0" collapsed="false">
      <c r="A515" s="5" t="s">
        <v>567</v>
      </c>
      <c r="B515" s="0" t="s">
        <v>121</v>
      </c>
      <c r="C515" s="18" t="n">
        <f aca="false">lasp_26</f>
        <v>13</v>
      </c>
      <c r="D515" s="18" t="n">
        <f aca="false">lasp_27</f>
        <v>15</v>
      </c>
      <c r="E515" s="18" t="n">
        <f aca="false">lasp_28</f>
        <v>15</v>
      </c>
      <c r="F515" s="18" t="n">
        <f aca="false">lasp_29</f>
        <v>14</v>
      </c>
    </row>
    <row r="516" customFormat="false" ht="17.15" hidden="false" customHeight="false" outlineLevel="0" collapsed="false">
      <c r="A516" s="5" t="s">
        <v>568</v>
      </c>
      <c r="B516" s="0" t="s">
        <v>31</v>
      </c>
      <c r="C516" s="26" t="n">
        <f aca="false">C513*C514*C515/1000</f>
        <v>4.254716466</v>
      </c>
      <c r="D516" s="26" t="n">
        <f aca="false">D513*D514*D515/1000</f>
        <v>8.4976134375</v>
      </c>
      <c r="E516" s="26" t="n">
        <f aca="false">E513*E514*E515/1000</f>
        <v>8.054375</v>
      </c>
      <c r="F516" s="26" t="n">
        <f aca="false">F513*F514*F515/1000</f>
        <v>8.752176</v>
      </c>
    </row>
    <row r="517" customFormat="false" ht="17.15" hidden="false" customHeight="false" outlineLevel="0" collapsed="false">
      <c r="A517" s="0" t="s">
        <v>569</v>
      </c>
      <c r="B517" s="0" t="s">
        <v>164</v>
      </c>
      <c r="C517" s="16" t="n">
        <f aca="false">c26_las/1000/C516</f>
        <v>0.43826657190933</v>
      </c>
      <c r="H517" s="8" t="s">
        <v>570</v>
      </c>
    </row>
    <row r="518" customFormat="false" ht="17.15" hidden="false" customHeight="false" outlineLevel="0" collapsed="false">
      <c r="A518" s="5" t="s">
        <v>571</v>
      </c>
      <c r="B518" s="0" t="s">
        <v>75</v>
      </c>
      <c r="C518" s="9" t="n">
        <f aca="false">1</f>
        <v>1</v>
      </c>
      <c r="D518" s="9" t="n">
        <f aca="false">lrel_27</f>
        <v>0.95</v>
      </c>
      <c r="E518" s="9" t="n">
        <f aca="false">lrel_28</f>
        <v>0.95</v>
      </c>
      <c r="F518" s="9" t="n">
        <f aca="false">lrel_29</f>
        <v>0.9</v>
      </c>
    </row>
    <row r="519" customFormat="false" ht="15" hidden="false" customHeight="false" outlineLevel="0" collapsed="false">
      <c r="A519" s="5" t="s">
        <v>572</v>
      </c>
      <c r="B519" s="0" t="s">
        <v>164</v>
      </c>
      <c r="C519" s="16" t="n">
        <f aca="false">$C$517*C518</f>
        <v>0.43826657190933</v>
      </c>
      <c r="D519" s="16" t="n">
        <f aca="false">$C$517*D518</f>
        <v>0.416353243313864</v>
      </c>
      <c r="E519" s="16" t="n">
        <f aca="false">$C$517*E518</f>
        <v>0.416353243313864</v>
      </c>
      <c r="F519" s="16" t="n">
        <f aca="false">$C$517*F518</f>
        <v>0.394439914718397</v>
      </c>
    </row>
    <row r="520" customFormat="false" ht="17.15" hidden="false" customHeight="false" outlineLevel="0" collapsed="false">
      <c r="A520" s="5" t="s">
        <v>573</v>
      </c>
      <c r="B520" s="0" t="s">
        <v>31</v>
      </c>
      <c r="C520" s="26" t="n">
        <f aca="false">C516*C519</f>
        <v>1.8647</v>
      </c>
      <c r="D520" s="26" t="n">
        <f aca="false">D516*D519</f>
        <v>3.53800891513059</v>
      </c>
      <c r="E520" s="26" t="n">
        <f aca="false">E516*E519</f>
        <v>3.3534651541161</v>
      </c>
      <c r="F520" s="26" t="n">
        <f aca="false">F516*F519</f>
        <v>3.4522075550404</v>
      </c>
    </row>
    <row r="521" customFormat="false" ht="17.15" hidden="false" customHeight="false" outlineLevel="0" collapsed="false">
      <c r="A521" s="5" t="s">
        <v>574</v>
      </c>
      <c r="B521" s="0" t="s">
        <v>164</v>
      </c>
      <c r="C521" s="16" t="n">
        <f aca="false">c26_xcvr/1000/C511</f>
        <v>0.0336097601668012</v>
      </c>
    </row>
    <row r="522" customFormat="false" ht="15" hidden="false" customHeight="false" outlineLevel="0" collapsed="false">
      <c r="A522" s="5" t="s">
        <v>575</v>
      </c>
      <c r="B522" s="0" t="s">
        <v>164</v>
      </c>
      <c r="C522" s="16" t="n">
        <f aca="false">C521</f>
        <v>0.0336097601668012</v>
      </c>
      <c r="D522" s="16" t="n">
        <f aca="false">$C$521*mrel_27</f>
        <v>0.0336097601668012</v>
      </c>
      <c r="E522" s="16" t="n">
        <f aca="false">$C$521*mrel_28</f>
        <v>0.0336097601668012</v>
      </c>
      <c r="F522" s="16" t="n">
        <f aca="false">$C$521*mrel_29</f>
        <v>0.0336097601668012</v>
      </c>
    </row>
    <row r="523" customFormat="false" ht="15" hidden="false" customHeight="false" outlineLevel="0" collapsed="false">
      <c r="A523" s="5" t="s">
        <v>576</v>
      </c>
      <c r="B523" s="0" t="s">
        <v>31</v>
      </c>
      <c r="C523" s="26" t="n">
        <f aca="false">C511*C522</f>
        <v>1</v>
      </c>
      <c r="D523" s="26" t="n">
        <f aca="false">D511*D522</f>
        <v>1.80016278551239</v>
      </c>
      <c r="E523" s="26" t="n">
        <f aca="false">E511*E522</f>
        <v>1.94908040671305</v>
      </c>
      <c r="F523" s="26" t="n">
        <f aca="false">F511*F522</f>
        <v>2.45132113581361</v>
      </c>
    </row>
    <row r="524" customFormat="false" ht="17.15" hidden="false" customHeight="false" outlineLevel="0" collapsed="false">
      <c r="A524" s="0" t="s">
        <v>577</v>
      </c>
      <c r="B524" s="5" t="s">
        <v>54</v>
      </c>
      <c r="C524" s="19" t="n">
        <f aca="false">tpu_26*1</f>
        <v>3.85</v>
      </c>
      <c r="D524" s="19" t="n">
        <f aca="false">tpu_27*1</f>
        <v>5.5</v>
      </c>
      <c r="E524" s="19" t="n">
        <f aca="false">tpu_28*um28_A</f>
        <v>7</v>
      </c>
      <c r="F524" s="19" t="n">
        <f aca="false">tpu_29*um29_A</f>
        <v>8.05</v>
      </c>
    </row>
    <row r="525" customFormat="false" ht="17.15" hidden="false" customHeight="false" outlineLevel="0" collapsed="false">
      <c r="A525" s="0" t="s">
        <v>578</v>
      </c>
      <c r="B525" s="0" t="s">
        <v>121</v>
      </c>
      <c r="C525" s="20" t="n">
        <f aca="false">c26_ocs/C524</f>
        <v>129.87012987013</v>
      </c>
      <c r="D525" s="20" t="n">
        <f aca="false">$C525*OKHI_27</f>
        <v>259.74025974026</v>
      </c>
      <c r="E525" s="20" t="n">
        <f aca="false">$C525*OKHI_28</f>
        <v>311.688311688312</v>
      </c>
      <c r="F525" s="20" t="n">
        <f aca="false">$C525*OKHI_29</f>
        <v>311.688311688312</v>
      </c>
    </row>
    <row r="526" customFormat="false" ht="17.15" hidden="false" customHeight="false" outlineLevel="0" collapsed="false">
      <c r="A526" s="0" t="s">
        <v>531</v>
      </c>
      <c r="B526" s="0" t="s">
        <v>31</v>
      </c>
      <c r="C526" s="26" t="n">
        <f aca="false">C524*C525/1000</f>
        <v>0.5</v>
      </c>
      <c r="D526" s="26" t="n">
        <f aca="false">D524*D525/1000</f>
        <v>1.42857142857143</v>
      </c>
      <c r="E526" s="26" t="n">
        <f aca="false">E524*E525/1000</f>
        <v>2.18181818181818</v>
      </c>
      <c r="F526" s="26" t="n">
        <f aca="false">F524*F525/1000</f>
        <v>2.50909090909091</v>
      </c>
    </row>
    <row r="527" customFormat="false" ht="17.15" hidden="false" customHeight="false" outlineLevel="0" collapsed="false">
      <c r="A527" s="0" t="s">
        <v>579</v>
      </c>
      <c r="B527" s="0" t="s">
        <v>31</v>
      </c>
      <c r="C527" s="26" t="n">
        <f aca="false">mcp_26*1</f>
        <v>0.300538</v>
      </c>
      <c r="D527" s="26" t="n">
        <f aca="false">mcp_27*1</f>
        <v>2.818985</v>
      </c>
      <c r="E527" s="26" t="n">
        <f aca="false">mcp_28*um28_A</f>
        <v>6.4435</v>
      </c>
      <c r="F527" s="26" t="n">
        <f aca="false">mcp_29*um29_A</f>
        <v>11.74736</v>
      </c>
    </row>
    <row r="528" customFormat="false" ht="17.15" hidden="false" customHeight="false" outlineLevel="0" collapsed="false">
      <c r="A528" s="0" t="s">
        <v>532</v>
      </c>
      <c r="B528" s="0" t="s">
        <v>164</v>
      </c>
      <c r="C528" s="16" t="n">
        <f aca="false">c26_cpo/1000/C527</f>
        <v>0.166368312825666</v>
      </c>
      <c r="D528" s="16" t="n">
        <f aca="false">cpo_27</f>
        <v>0.25</v>
      </c>
      <c r="E528" s="16" t="n">
        <f aca="false">cpo_28</f>
        <v>0.25</v>
      </c>
      <c r="F528" s="16" t="n">
        <f aca="false">cpo_29</f>
        <v>0.2</v>
      </c>
    </row>
    <row r="529" customFormat="false" ht="17.15" hidden="false" customHeight="false" outlineLevel="0" collapsed="false">
      <c r="A529" s="0" t="s">
        <v>580</v>
      </c>
      <c r="B529" s="0" t="s">
        <v>31</v>
      </c>
      <c r="C529" s="26" t="n">
        <f aca="false">C527*C528</f>
        <v>0.05</v>
      </c>
      <c r="D529" s="26" t="n">
        <f aca="false">D527*D528</f>
        <v>0.70474625</v>
      </c>
      <c r="E529" s="26" t="n">
        <f aca="false">E527*E528</f>
        <v>1.610875</v>
      </c>
      <c r="F529" s="26" t="n">
        <f aca="false">F527*F528</f>
        <v>2.349472</v>
      </c>
    </row>
    <row r="530" customFormat="false" ht="17.15" hidden="false" customHeight="false" outlineLevel="0" collapsed="false">
      <c r="A530" s="0" t="s">
        <v>581</v>
      </c>
      <c r="B530" s="0" t="s">
        <v>31</v>
      </c>
      <c r="C530" s="26" t="n">
        <f aca="false">C520+C523+C526+C529</f>
        <v>3.4147</v>
      </c>
      <c r="D530" s="26" t="n">
        <f aca="false">D520+D523+D526+D529</f>
        <v>7.47148937921442</v>
      </c>
      <c r="E530" s="26" t="n">
        <f aca="false">E520+E523+E526+E529</f>
        <v>9.09523874264733</v>
      </c>
      <c r="F530" s="26" t="n">
        <f aca="false">F520+F523+F526+F529</f>
        <v>10.7620915999449</v>
      </c>
    </row>
    <row r="531" customFormat="false" ht="17.15" hidden="false" customHeight="false" outlineLevel="0" collapsed="false">
      <c r="A531" s="5" t="s">
        <v>582</v>
      </c>
      <c r="B531" s="0" t="s">
        <v>31</v>
      </c>
      <c r="C531" s="26" t="n">
        <f aca="false">c26_tel/1000</f>
        <v>0.75</v>
      </c>
      <c r="D531" s="26" t="n">
        <f aca="false">C531*(1+g_tel_27)</f>
        <v>0.9375</v>
      </c>
      <c r="E531" s="26" t="n">
        <f aca="false">D531*(1+g_tel_28)</f>
        <v>1.078125</v>
      </c>
      <c r="F531" s="26" t="n">
        <f aca="false">E531*(1+g_tel_29)</f>
        <v>1.1859375</v>
      </c>
    </row>
    <row r="532" customFormat="false" ht="17.15" hidden="false" customHeight="false" outlineLevel="0" collapsed="false">
      <c r="A532" s="5" t="s">
        <v>583</v>
      </c>
      <c r="B532" s="0" t="s">
        <v>31</v>
      </c>
      <c r="C532" s="26" t="n">
        <f aca="false">c26_ind/1000</f>
        <v>0.3</v>
      </c>
      <c r="D532" s="26" t="n">
        <f aca="false">C532*(1+g_ind)</f>
        <v>0.309</v>
      </c>
      <c r="E532" s="26" t="n">
        <f aca="false">D532*(1+g_ind)</f>
        <v>0.31827</v>
      </c>
      <c r="F532" s="26" t="n">
        <f aca="false">E532*(1+g_ind)</f>
        <v>0.3278181</v>
      </c>
    </row>
    <row r="533" customFormat="false" ht="17.15" hidden="false" customHeight="false" outlineLevel="0" collapsed="false">
      <c r="A533" s="5" t="s">
        <v>584</v>
      </c>
      <c r="B533" s="0" t="s">
        <v>31</v>
      </c>
      <c r="C533" s="26" t="n">
        <f aca="false">C520+C531+C529+C532/2</f>
        <v>2.8147</v>
      </c>
      <c r="D533" s="26" t="n">
        <f aca="false">D520+D531+D529+D532/2</f>
        <v>5.3347551651306</v>
      </c>
      <c r="E533" s="26" t="n">
        <f aca="false">E520+E531+E529+E532/2</f>
        <v>6.2016001541161</v>
      </c>
      <c r="F533" s="26" t="n">
        <f aca="false">F520+F531+F529+F532/2</f>
        <v>7.1515261050404</v>
      </c>
      <c r="H533" s="5" t="s">
        <v>585</v>
      </c>
    </row>
    <row r="534" customFormat="false" ht="17.15" hidden="false" customHeight="false" outlineLevel="0" collapsed="false">
      <c r="A534" s="5" t="s">
        <v>586</v>
      </c>
      <c r="B534" s="0" t="s">
        <v>31</v>
      </c>
      <c r="C534" s="26" t="n">
        <f aca="false">C523+C526+C532/2</f>
        <v>1.65</v>
      </c>
      <c r="D534" s="26" t="n">
        <f aca="false">D523+D526+D532/2</f>
        <v>3.38323421408382</v>
      </c>
      <c r="E534" s="26" t="n">
        <f aca="false">E523+E526+E532/2</f>
        <v>4.29003358853123</v>
      </c>
      <c r="F534" s="26" t="n">
        <f aca="false">F523+F526+F532/2</f>
        <v>5.12432109490452</v>
      </c>
    </row>
    <row r="535" customFormat="false" ht="15" hidden="false" customHeight="false" outlineLevel="0" collapsed="false">
      <c r="A535" s="5" t="s">
        <v>587</v>
      </c>
      <c r="B535" s="0" t="s">
        <v>31</v>
      </c>
      <c r="C535" s="26" t="n">
        <f aca="false">C530+C531+C532</f>
        <v>4.4647</v>
      </c>
      <c r="D535" s="26" t="n">
        <f aca="false">D530+D531+D532</f>
        <v>8.71798937921441</v>
      </c>
      <c r="E535" s="26" t="n">
        <f aca="false">E530+E531+E532</f>
        <v>10.4916337426473</v>
      </c>
      <c r="F535" s="26" t="n">
        <f aca="false">F530+F531+F532</f>
        <v>12.2758471999449</v>
      </c>
    </row>
    <row r="536" customFormat="false" ht="15" hidden="false" customHeight="false" outlineLevel="0" collapsed="false">
      <c r="A536" s="5" t="s">
        <v>588</v>
      </c>
      <c r="B536" s="0" t="s">
        <v>164</v>
      </c>
      <c r="D536" s="16" t="n">
        <f aca="false">D535/C535-1</f>
        <v>0.952648415171101</v>
      </c>
      <c r="E536" s="16" t="n">
        <f aca="false">E535/D535-1</f>
        <v>0.203446492795882</v>
      </c>
      <c r="F536" s="16" t="n">
        <f aca="false">F535/E535-1</f>
        <v>0.170060593141463</v>
      </c>
    </row>
    <row r="537" customFormat="false" ht="17.15" hidden="false" customHeight="false" outlineLevel="0" collapsed="false">
      <c r="A537" s="1" t="s">
        <v>589</v>
      </c>
    </row>
    <row r="538" customFormat="false" ht="17.15" hidden="false" customHeight="false" outlineLevel="0" collapsed="false">
      <c r="A538" s="6" t="s">
        <v>20</v>
      </c>
      <c r="B538" s="6" t="s">
        <v>21</v>
      </c>
      <c r="C538" s="14" t="s">
        <v>472</v>
      </c>
      <c r="D538" s="14" t="s">
        <v>539</v>
      </c>
      <c r="E538" s="14" t="s">
        <v>540</v>
      </c>
      <c r="F538" s="14" t="s">
        <v>541</v>
      </c>
      <c r="G538" s="14" t="s">
        <v>542</v>
      </c>
      <c r="H538" s="6" t="s">
        <v>480</v>
      </c>
    </row>
    <row r="539" customFormat="false" ht="17.15" hidden="false" customHeight="false" outlineLevel="0" collapsed="false">
      <c r="A539" s="0" t="s">
        <v>590</v>
      </c>
      <c r="B539" s="0" t="s">
        <v>31</v>
      </c>
      <c r="E539" s="26" t="n">
        <f aca="false">w2h_26*C530+h_1h*D530</f>
        <v>5.53837784324769</v>
      </c>
      <c r="F539" s="26" t="n">
        <f aca="false">(1-h_1h)*D530+h_1h*E530</f>
        <v>8.23465158002789</v>
      </c>
      <c r="G539" s="26" t="n">
        <f aca="false">(1-h_1h)*E530+h_1h*F530</f>
        <v>9.8786595855772</v>
      </c>
      <c r="H539" s="8" t="s">
        <v>591</v>
      </c>
    </row>
    <row r="540" customFormat="false" ht="17.15" hidden="false" customHeight="false" outlineLevel="0" collapsed="false">
      <c r="A540" s="5" t="s">
        <v>592</v>
      </c>
      <c r="B540" s="0" t="s">
        <v>31</v>
      </c>
      <c r="E540" s="26" t="n">
        <f aca="false">w2h_26*C531+h_1h*D531+w2h_26*C532+h_1h*D532</f>
        <v>1.20907716498309</v>
      </c>
      <c r="F540" s="26" t="n">
        <f aca="false">(1-h_1h)*D531+h_1h*E531+(1-h_1h)*D532+h_1h*E532</f>
        <v>1.31695065</v>
      </c>
      <c r="G540" s="26" t="n">
        <f aca="false">(1-h_1h)*E531+h_1h*F531+(1-h_1h)*E532+h_1h*F532</f>
        <v>1.451554482</v>
      </c>
    </row>
    <row r="541" customFormat="false" ht="15" hidden="false" customHeight="false" outlineLevel="0" collapsed="false">
      <c r="A541" s="5" t="s">
        <v>481</v>
      </c>
      <c r="B541" s="0" t="s">
        <v>31</v>
      </c>
      <c r="C541" s="26" t="n">
        <f aca="false">a25_rev/1000</f>
        <v>1.645</v>
      </c>
      <c r="D541" s="26" t="n">
        <f aca="false">a26_rev/1000</f>
        <v>3.014</v>
      </c>
      <c r="E541" s="26" t="n">
        <f aca="false">E539+E540</f>
        <v>6.74745500823078</v>
      </c>
      <c r="F541" s="26" t="n">
        <f aca="false">F539+F540</f>
        <v>9.55160223002789</v>
      </c>
      <c r="G541" s="26" t="n">
        <f aca="false">G539+G540</f>
        <v>11.3302140675772</v>
      </c>
    </row>
    <row r="542" customFormat="false" ht="17.15" hidden="false" customHeight="false" outlineLevel="0" collapsed="false">
      <c r="A542" s="5" t="s">
        <v>593</v>
      </c>
      <c r="B542" s="0" t="s">
        <v>31</v>
      </c>
      <c r="C542" s="26" t="n">
        <f aca="false">a25_cmp/1000</f>
        <v>1.1163</v>
      </c>
      <c r="D542" s="26" t="n">
        <f aca="false">a26_cmp/1000</f>
        <v>2.0056</v>
      </c>
      <c r="E542" s="26" t="n">
        <f aca="false">w2h_26*C533+h_1h*D533</f>
        <v>4.17798581120938</v>
      </c>
      <c r="F542" s="26" t="n">
        <f aca="false">(1-h_1h)*D533+h_1h*E533</f>
        <v>5.74217230995378</v>
      </c>
      <c r="G542" s="26" t="n">
        <f aca="false">(1-h_1h)*E533+h_1h*F533</f>
        <v>6.64806535105052</v>
      </c>
      <c r="H542" s="5" t="s">
        <v>594</v>
      </c>
    </row>
    <row r="543" customFormat="false" ht="17.15" hidden="false" customHeight="false" outlineLevel="0" collapsed="false">
      <c r="A543" s="5" t="s">
        <v>595</v>
      </c>
      <c r="B543" s="0" t="s">
        <v>31</v>
      </c>
      <c r="C543" s="26" t="n">
        <f aca="false">a25_sys/1000</f>
        <v>0.5287</v>
      </c>
      <c r="D543" s="26" t="n">
        <f aca="false">a26_sys/1000</f>
        <v>1.0084</v>
      </c>
      <c r="E543" s="26" t="n">
        <f aca="false">w2h_26*C534+h_1h*D534</f>
        <v>2.56946919702139</v>
      </c>
      <c r="F543" s="26" t="n">
        <f aca="false">(1-h_1h)*D534+h_1h*E534</f>
        <v>3.8094299200741</v>
      </c>
      <c r="G543" s="26" t="n">
        <f aca="false">(1-h_1h)*E534+h_1h*F534</f>
        <v>4.68214871652668</v>
      </c>
      <c r="H543" s="5" t="s">
        <v>596</v>
      </c>
    </row>
    <row r="544" customFormat="false" ht="15" hidden="false" customHeight="false" outlineLevel="0" collapsed="false">
      <c r="A544" s="5" t="s">
        <v>597</v>
      </c>
      <c r="B544" s="0" t="s">
        <v>31</v>
      </c>
      <c r="C544" s="17" t="n">
        <f aca="false">C542+C543-C541</f>
        <v>0</v>
      </c>
      <c r="D544" s="17" t="n">
        <f aca="false">D542+D543-D541</f>
        <v>0</v>
      </c>
      <c r="E544" s="17" t="n">
        <f aca="false">E542+E543-E541</f>
        <v>0</v>
      </c>
      <c r="F544" s="17" t="n">
        <f aca="false">F542+F543-F541</f>
        <v>0</v>
      </c>
      <c r="G544" s="17" t="n">
        <f aca="false">G542+G543-G541</f>
        <v>0</v>
      </c>
    </row>
    <row r="545" customFormat="false" ht="15" hidden="false" customHeight="false" outlineLevel="0" collapsed="false">
      <c r="A545" s="5" t="s">
        <v>598</v>
      </c>
      <c r="B545" s="0" t="s">
        <v>164</v>
      </c>
      <c r="D545" s="16" t="n">
        <f aca="false">D541/C541-1</f>
        <v>0.832218844984802</v>
      </c>
      <c r="E545" s="16" t="n">
        <f aca="false">E541/D541-1</f>
        <v>1.23870438229289</v>
      </c>
      <c r="F545" s="16" t="n">
        <f aca="false">F541/E541-1</f>
        <v>0.415585908816957</v>
      </c>
      <c r="G545" s="16" t="n">
        <f aca="false">G541/F541-1</f>
        <v>0.186210836121064</v>
      </c>
    </row>
    <row r="546" customFormat="false" ht="17.15" hidden="false" customHeight="false" outlineLevel="0" collapsed="false">
      <c r="A546" s="0" t="s">
        <v>599</v>
      </c>
      <c r="B546" s="0" t="s">
        <v>164</v>
      </c>
      <c r="E546" s="16" t="n">
        <f aca="false">E539/E541</f>
        <v>0.820809895952146</v>
      </c>
      <c r="F546" s="16" t="n">
        <f aca="false">F539/F541</f>
        <v>0.862122540461345</v>
      </c>
      <c r="G546" s="16" t="n">
        <f aca="false">G539/G541</f>
        <v>0.871886402733219</v>
      </c>
    </row>
    <row r="547" customFormat="false" ht="17.15" hidden="false" customHeight="false" outlineLevel="0" collapsed="false">
      <c r="A547" s="5" t="s">
        <v>484</v>
      </c>
      <c r="B547" s="0" t="s">
        <v>164</v>
      </c>
      <c r="C547" s="16" t="n">
        <f aca="false">a25_gm</f>
        <v>0.347</v>
      </c>
      <c r="D547" s="16" t="n">
        <f aca="false">a26_gm</f>
        <v>0.46</v>
      </c>
      <c r="E547" s="16" t="n">
        <f aca="false">gm_27</f>
        <v>0.52</v>
      </c>
      <c r="F547" s="16" t="n">
        <f aca="false">gm_28</f>
        <v>0.51</v>
      </c>
      <c r="G547" s="16" t="n">
        <f aca="false">gm_29</f>
        <v>0.49</v>
      </c>
    </row>
    <row r="548" customFormat="false" ht="15" hidden="false" customHeight="false" outlineLevel="0" collapsed="false">
      <c r="A548" s="5" t="s">
        <v>485</v>
      </c>
      <c r="B548" s="0" t="s">
        <v>31</v>
      </c>
      <c r="C548" s="26" t="n">
        <f aca="false">C541*C547</f>
        <v>0.570815</v>
      </c>
      <c r="D548" s="26" t="n">
        <f aca="false">D541*D547</f>
        <v>1.38644</v>
      </c>
      <c r="E548" s="26" t="n">
        <f aca="false">E541*E547</f>
        <v>3.50867660428</v>
      </c>
      <c r="F548" s="26" t="n">
        <f aca="false">F541*F547</f>
        <v>4.87131713731422</v>
      </c>
      <c r="G548" s="26" t="n">
        <f aca="false">G541*G547</f>
        <v>5.55180489311283</v>
      </c>
    </row>
    <row r="549" customFormat="false" ht="15" hidden="false" customHeight="false" outlineLevel="0" collapsed="false">
      <c r="A549" s="5" t="s">
        <v>600</v>
      </c>
      <c r="B549" s="0" t="s">
        <v>31</v>
      </c>
      <c r="C549" s="26" t="n">
        <f aca="false">a25_opx/1000</f>
        <v>0.4114</v>
      </c>
      <c r="D549" s="26" t="n">
        <f aca="false">a26_opx/1000</f>
        <v>0.4897</v>
      </c>
      <c r="E549" s="26" t="n">
        <f aca="false">D549*(1+MAX(0,phi*E545))</f>
        <v>0.628425949794113</v>
      </c>
      <c r="F549" s="26" t="n">
        <f aca="false">E549*(1+MAX(0,phi*F545))</f>
        <v>0.68815352071577</v>
      </c>
      <c r="G549" s="26" t="n">
        <f aca="false">F549*(1+MAX(0,phi*G545))</f>
        <v>0.71745909356623</v>
      </c>
    </row>
    <row r="550" customFormat="false" ht="15" hidden="false" customHeight="false" outlineLevel="0" collapsed="false">
      <c r="A550" s="5" t="s">
        <v>601</v>
      </c>
      <c r="B550" s="0" t="s">
        <v>31</v>
      </c>
      <c r="C550" s="26" t="n">
        <f aca="false">C549</f>
        <v>0.4114</v>
      </c>
      <c r="D550" s="26" t="n">
        <f aca="false">D549</f>
        <v>0.4897</v>
      </c>
      <c r="E550" s="26" t="n">
        <f aca="false">E549+0*E541</f>
        <v>0.628425949794113</v>
      </c>
      <c r="F550" s="26" t="n">
        <f aca="false">F549+0*F541</f>
        <v>0.68815352071577</v>
      </c>
      <c r="G550" s="26" t="n">
        <f aca="false">G549+0*G541</f>
        <v>0.71745909356623</v>
      </c>
    </row>
    <row r="551" customFormat="false" ht="15" hidden="false" customHeight="false" outlineLevel="0" collapsed="false">
      <c r="A551" s="5" t="s">
        <v>602</v>
      </c>
      <c r="B551" s="0" t="s">
        <v>31</v>
      </c>
      <c r="C551" s="26" t="n">
        <f aca="false">C548-C550</f>
        <v>0.159415</v>
      </c>
      <c r="D551" s="26" t="n">
        <f aca="false">D548-D550</f>
        <v>0.89674</v>
      </c>
      <c r="E551" s="26" t="n">
        <f aca="false">E548-E550</f>
        <v>2.88025065448589</v>
      </c>
      <c r="F551" s="26" t="n">
        <f aca="false">F548-F550</f>
        <v>4.18316361659845</v>
      </c>
      <c r="G551" s="26" t="n">
        <f aca="false">G548-G550</f>
        <v>4.8343457995466</v>
      </c>
    </row>
    <row r="552" customFormat="false" ht="15" hidden="false" customHeight="false" outlineLevel="0" collapsed="false">
      <c r="A552" s="5" t="s">
        <v>489</v>
      </c>
      <c r="B552" s="0" t="s">
        <v>164</v>
      </c>
      <c r="C552" s="16" t="n">
        <f aca="false">C551/C541</f>
        <v>0.0969088145896656</v>
      </c>
      <c r="D552" s="16" t="n">
        <f aca="false">D551/D541</f>
        <v>0.297524883875249</v>
      </c>
      <c r="E552" s="16" t="n">
        <f aca="false">E551/E541</f>
        <v>0.426864743962348</v>
      </c>
      <c r="F552" s="16" t="n">
        <f aca="false">F551/F541</f>
        <v>0.437954127051859</v>
      </c>
      <c r="G552" s="16" t="n">
        <f aca="false">G551/G541</f>
        <v>0.426677357613275</v>
      </c>
    </row>
    <row r="553" customFormat="false" ht="17.15" hidden="false" customHeight="false" outlineLevel="0" collapsed="false">
      <c r="A553" s="5" t="s">
        <v>490</v>
      </c>
      <c r="B553" s="0" t="s">
        <v>31</v>
      </c>
      <c r="C553" s="26" t="n">
        <f aca="false">a25_ni/1000</f>
        <v>0.1464</v>
      </c>
      <c r="D553" s="26" t="n">
        <f aca="false">a26_ni/1000</f>
        <v>0.7823</v>
      </c>
      <c r="E553" s="26" t="n">
        <f aca="false">(E551+oi_oth)*(1-tx)</f>
        <v>2.44860929649572</v>
      </c>
      <c r="F553" s="26" t="n">
        <f aca="false">(F551+oi_oth)*(1-tx)</f>
        <v>3.53654161985971</v>
      </c>
      <c r="G553" s="26" t="n">
        <f aca="false">(G551+oi_oth)*(1-tx)</f>
        <v>4.08027874262141</v>
      </c>
    </row>
    <row r="554" customFormat="false" ht="15" hidden="false" customHeight="false" outlineLevel="0" collapsed="false">
      <c r="A554" s="5" t="s">
        <v>552</v>
      </c>
      <c r="B554" s="0" t="s">
        <v>164</v>
      </c>
      <c r="C554" s="16" t="n">
        <f aca="false">C553/C541</f>
        <v>0.0889969604863222</v>
      </c>
      <c r="D554" s="16" t="n">
        <f aca="false">D553/D541</f>
        <v>0.259555408095554</v>
      </c>
      <c r="E554" s="16" t="n">
        <f aca="false">E553/E541</f>
        <v>0.362893756758485</v>
      </c>
      <c r="F554" s="16" t="n">
        <f aca="false">F553/F541</f>
        <v>0.370256375285572</v>
      </c>
      <c r="G554" s="16" t="n">
        <f aca="false">G553/G541</f>
        <v>0.360123711545542</v>
      </c>
    </row>
    <row r="555" customFormat="false" ht="17.15" hidden="false" customHeight="false" outlineLevel="0" collapsed="false">
      <c r="A555" s="5" t="s">
        <v>494</v>
      </c>
      <c r="B555" s="5" t="s">
        <v>238</v>
      </c>
      <c r="C555" s="15" t="n">
        <f aca="false">a25_sh</f>
        <v>71.0679611650485</v>
      </c>
      <c r="D555" s="15" t="n">
        <f aca="false">a26_sh</f>
        <v>90.2306805074971</v>
      </c>
      <c r="E555" s="15" t="n">
        <f aca="false">sh_q1</f>
        <v>102</v>
      </c>
      <c r="F555" s="15" t="n">
        <f aca="false">E555*(1+sh_g)</f>
        <v>103.02</v>
      </c>
      <c r="G555" s="15" t="n">
        <f aca="false">F555*(1+sh_g)</f>
        <v>104.0502</v>
      </c>
    </row>
    <row r="556" customFormat="false" ht="17.15" hidden="false" customHeight="false" outlineLevel="0" collapsed="false">
      <c r="A556" s="0" t="s">
        <v>496</v>
      </c>
      <c r="B556" s="0" t="s">
        <v>233</v>
      </c>
      <c r="C556" s="9" t="n">
        <f aca="false">C553*1000/C555</f>
        <v>2.06</v>
      </c>
      <c r="D556" s="9" t="n">
        <f aca="false">D553*1000/D555</f>
        <v>8.67</v>
      </c>
      <c r="E556" s="9" t="n">
        <f aca="false">E553*1000/E555</f>
        <v>24.0059734950561</v>
      </c>
      <c r="F556" s="9" t="n">
        <f aca="false">F553*1000/F555</f>
        <v>34.3286897676151</v>
      </c>
      <c r="G556" s="9" t="n">
        <f aca="false">G553*1000/G555</f>
        <v>39.2145209006942</v>
      </c>
    </row>
    <row r="557" customFormat="false" ht="17.15" hidden="false" customHeight="false" outlineLevel="0" collapsed="false">
      <c r="A557" s="0" t="s">
        <v>603</v>
      </c>
      <c r="B557" s="0" t="s">
        <v>164</v>
      </c>
      <c r="D557" s="16" t="n">
        <f aca="false">D556/C556-1</f>
        <v>3.20873786407767</v>
      </c>
      <c r="E557" s="16" t="n">
        <f aca="false">E556/D556-1</f>
        <v>1.76885507440093</v>
      </c>
      <c r="F557" s="16" t="n">
        <f aca="false">F556/E556-1</f>
        <v>0.43000615137249</v>
      </c>
      <c r="G557" s="16" t="n">
        <f aca="false">G556/F556-1</f>
        <v>0.142325010542297</v>
      </c>
    </row>
    <row r="560" customFormat="false" ht="17.15" hidden="false" customHeight="false" outlineLevel="0" collapsed="false">
      <c r="A560" s="3" t="s">
        <v>904</v>
      </c>
    </row>
    <row r="561" customFormat="false" ht="17.15" hidden="false" customHeight="false" outlineLevel="0" collapsed="false">
      <c r="A561" s="1" t="s">
        <v>561</v>
      </c>
    </row>
    <row r="562" customFormat="false" ht="17.15" hidden="false" customHeight="false" outlineLevel="0" collapsed="false">
      <c r="A562" s="6" t="s">
        <v>20</v>
      </c>
      <c r="B562" s="6" t="s">
        <v>21</v>
      </c>
      <c r="C562" s="14" t="s">
        <v>562</v>
      </c>
      <c r="D562" s="14" t="s">
        <v>517</v>
      </c>
      <c r="E562" s="14" t="s">
        <v>518</v>
      </c>
      <c r="F562" s="14" t="s">
        <v>519</v>
      </c>
      <c r="G562" s="14"/>
      <c r="H562" s="6" t="s">
        <v>480</v>
      </c>
    </row>
    <row r="563" customFormat="false" ht="17.15" hidden="false" customHeight="false" outlineLevel="0" collapsed="false">
      <c r="A563" s="0" t="s">
        <v>563</v>
      </c>
      <c r="B563" s="0" t="s">
        <v>31</v>
      </c>
      <c r="C563" s="26" t="n">
        <f aca="false">mpl_26*1</f>
        <v>29.753262</v>
      </c>
      <c r="D563" s="26" t="n">
        <f aca="false">mpl_27*1*1</f>
        <v>53.560715</v>
      </c>
      <c r="E563" s="26" t="n">
        <f aca="false">mpl_28*um28_A*1</f>
        <v>57.9915</v>
      </c>
      <c r="F563" s="26" t="n">
        <f aca="false">mpl_29*um29_A*1</f>
        <v>72.9348</v>
      </c>
    </row>
    <row r="564" customFormat="false" ht="17.15" hidden="false" customHeight="false" outlineLevel="0" collapsed="false">
      <c r="A564" s="5" t="s">
        <v>564</v>
      </c>
      <c r="B564" s="0" t="s">
        <v>97</v>
      </c>
      <c r="C564" s="20" t="n">
        <f aca="false">asp_26</f>
        <v>500</v>
      </c>
      <c r="D564" s="20" t="n">
        <f aca="false">asp_27</f>
        <v>520</v>
      </c>
      <c r="E564" s="20" t="n">
        <f aca="false">asp_28</f>
        <v>540</v>
      </c>
      <c r="F564" s="20" t="n">
        <f aca="false">asp_29</f>
        <v>560</v>
      </c>
    </row>
    <row r="565" customFormat="false" ht="17.15" hidden="false" customHeight="false" outlineLevel="0" collapsed="false">
      <c r="A565" s="5" t="s">
        <v>565</v>
      </c>
      <c r="B565" s="5" t="s">
        <v>349</v>
      </c>
      <c r="C565" s="15" t="n">
        <f aca="false">C563*1000/C564</f>
        <v>59.506524</v>
      </c>
      <c r="D565" s="15" t="n">
        <f aca="false">D563*1000/D564</f>
        <v>103.001375</v>
      </c>
      <c r="E565" s="15" t="n">
        <f aca="false">E563*1000/E564</f>
        <v>107.391666666667</v>
      </c>
      <c r="F565" s="15" t="n">
        <f aca="false">F563*1000/F564</f>
        <v>130.240714285714</v>
      </c>
    </row>
    <row r="566" customFormat="false" ht="17.15" hidden="false" customHeight="false" outlineLevel="0" collapsed="false">
      <c r="A566" s="5" t="s">
        <v>566</v>
      </c>
      <c r="B566" s="5" t="s">
        <v>109</v>
      </c>
      <c r="C566" s="18" t="n">
        <f aca="false">lpm_26</f>
        <v>5.5</v>
      </c>
      <c r="D566" s="18" t="n">
        <f aca="false">lpm_27</f>
        <v>5.5</v>
      </c>
      <c r="E566" s="18" t="n">
        <f aca="false">lpm_28</f>
        <v>5</v>
      </c>
      <c r="F566" s="18" t="n">
        <f aca="false">lpm_29</f>
        <v>4.8</v>
      </c>
    </row>
    <row r="567" customFormat="false" ht="17.15" hidden="false" customHeight="false" outlineLevel="0" collapsed="false">
      <c r="A567" s="5" t="s">
        <v>567</v>
      </c>
      <c r="B567" s="0" t="s">
        <v>121</v>
      </c>
      <c r="C567" s="18" t="n">
        <f aca="false">lasp_26</f>
        <v>13</v>
      </c>
      <c r="D567" s="18" t="n">
        <f aca="false">lasp_27</f>
        <v>15</v>
      </c>
      <c r="E567" s="18" t="n">
        <f aca="false">lasp_28</f>
        <v>15</v>
      </c>
      <c r="F567" s="18" t="n">
        <f aca="false">lasp_29</f>
        <v>14</v>
      </c>
    </row>
    <row r="568" customFormat="false" ht="17.15" hidden="false" customHeight="false" outlineLevel="0" collapsed="false">
      <c r="A568" s="5" t="s">
        <v>568</v>
      </c>
      <c r="B568" s="0" t="s">
        <v>31</v>
      </c>
      <c r="C568" s="26" t="n">
        <f aca="false">C565*C566*C567/1000</f>
        <v>4.254716466</v>
      </c>
      <c r="D568" s="26" t="n">
        <f aca="false">D565*D566*D567/1000</f>
        <v>8.4976134375</v>
      </c>
      <c r="E568" s="26" t="n">
        <f aca="false">E565*E566*E567/1000</f>
        <v>8.054375</v>
      </c>
      <c r="F568" s="26" t="n">
        <f aca="false">F565*F566*F567/1000</f>
        <v>8.752176</v>
      </c>
    </row>
    <row r="569" customFormat="false" ht="17.15" hidden="false" customHeight="false" outlineLevel="0" collapsed="false">
      <c r="A569" s="0" t="s">
        <v>569</v>
      </c>
      <c r="B569" s="0" t="s">
        <v>164</v>
      </c>
      <c r="C569" s="16" t="n">
        <f aca="false">c26_las/1000/C568</f>
        <v>0.43826657190933</v>
      </c>
      <c r="H569" s="8" t="s">
        <v>570</v>
      </c>
    </row>
    <row r="570" customFormat="false" ht="17.15" hidden="false" customHeight="false" outlineLevel="0" collapsed="false">
      <c r="A570" s="5" t="s">
        <v>571</v>
      </c>
      <c r="B570" s="0" t="s">
        <v>75</v>
      </c>
      <c r="C570" s="9" t="n">
        <f aca="false">1</f>
        <v>1</v>
      </c>
      <c r="D570" s="9" t="n">
        <f aca="false">lrel_27</f>
        <v>0.95</v>
      </c>
      <c r="E570" s="9" t="n">
        <f aca="false">lrel_28</f>
        <v>0.95</v>
      </c>
      <c r="F570" s="9" t="n">
        <f aca="false">lrel_29</f>
        <v>0.9</v>
      </c>
    </row>
    <row r="571" customFormat="false" ht="15" hidden="false" customHeight="false" outlineLevel="0" collapsed="false">
      <c r="A571" s="5" t="s">
        <v>572</v>
      </c>
      <c r="B571" s="0" t="s">
        <v>164</v>
      </c>
      <c r="C571" s="16" t="n">
        <f aca="false">$C$569*C570</f>
        <v>0.43826657190933</v>
      </c>
      <c r="D571" s="16" t="n">
        <f aca="false">$C$569*D570</f>
        <v>0.416353243313864</v>
      </c>
      <c r="E571" s="16" t="n">
        <f aca="false">$C$569*E570</f>
        <v>0.416353243313864</v>
      </c>
      <c r="F571" s="16" t="n">
        <f aca="false">$C$569*F570</f>
        <v>0.394439914718397</v>
      </c>
    </row>
    <row r="572" customFormat="false" ht="17.15" hidden="false" customHeight="false" outlineLevel="0" collapsed="false">
      <c r="A572" s="5" t="s">
        <v>573</v>
      </c>
      <c r="B572" s="0" t="s">
        <v>31</v>
      </c>
      <c r="C572" s="26" t="n">
        <f aca="false">C568*C571</f>
        <v>1.8647</v>
      </c>
      <c r="D572" s="26" t="n">
        <f aca="false">D568*D571</f>
        <v>3.53800891513059</v>
      </c>
      <c r="E572" s="26" t="n">
        <f aca="false">E568*E571</f>
        <v>3.3534651541161</v>
      </c>
      <c r="F572" s="26" t="n">
        <f aca="false">F568*F571</f>
        <v>3.4522075550404</v>
      </c>
    </row>
    <row r="573" customFormat="false" ht="17.15" hidden="false" customHeight="false" outlineLevel="0" collapsed="false">
      <c r="A573" s="5" t="s">
        <v>574</v>
      </c>
      <c r="B573" s="0" t="s">
        <v>164</v>
      </c>
      <c r="C573" s="16" t="n">
        <f aca="false">c26_xcvr/1000/C563</f>
        <v>0.0336097601668012</v>
      </c>
    </row>
    <row r="574" customFormat="false" ht="15" hidden="false" customHeight="false" outlineLevel="0" collapsed="false">
      <c r="A574" s="5" t="s">
        <v>575</v>
      </c>
      <c r="B574" s="0" t="s">
        <v>164</v>
      </c>
      <c r="C574" s="16" t="n">
        <f aca="false">C573</f>
        <v>0.0336097601668012</v>
      </c>
      <c r="D574" s="16" t="n">
        <f aca="false">$C$573*mrel_27</f>
        <v>0.0336097601668012</v>
      </c>
      <c r="E574" s="16" t="n">
        <f aca="false">$C$573*mrel_28</f>
        <v>0.0336097601668012</v>
      </c>
      <c r="F574" s="16" t="n">
        <f aca="false">$C$573*mrel_29</f>
        <v>0.0336097601668012</v>
      </c>
    </row>
    <row r="575" customFormat="false" ht="15" hidden="false" customHeight="false" outlineLevel="0" collapsed="false">
      <c r="A575" s="5" t="s">
        <v>576</v>
      </c>
      <c r="B575" s="0" t="s">
        <v>31</v>
      </c>
      <c r="C575" s="26" t="n">
        <f aca="false">C563*C574</f>
        <v>1</v>
      </c>
      <c r="D575" s="26" t="n">
        <f aca="false">D563*D574</f>
        <v>1.80016278551239</v>
      </c>
      <c r="E575" s="26" t="n">
        <f aca="false">E563*E574</f>
        <v>1.94908040671305</v>
      </c>
      <c r="F575" s="26" t="n">
        <f aca="false">F563*F574</f>
        <v>2.45132113581361</v>
      </c>
    </row>
    <row r="576" customFormat="false" ht="17.15" hidden="false" customHeight="false" outlineLevel="0" collapsed="false">
      <c r="A576" s="0" t="s">
        <v>577</v>
      </c>
      <c r="B576" s="5" t="s">
        <v>54</v>
      </c>
      <c r="C576" s="19" t="n">
        <f aca="false">tpu_26*1</f>
        <v>3.85</v>
      </c>
      <c r="D576" s="19" t="n">
        <f aca="false">tpu_27*1</f>
        <v>5.5</v>
      </c>
      <c r="E576" s="19" t="n">
        <f aca="false">tpu_28*um28_A</f>
        <v>7</v>
      </c>
      <c r="F576" s="19" t="n">
        <f aca="false">tpu_29*um29_A</f>
        <v>8.05</v>
      </c>
    </row>
    <row r="577" customFormat="false" ht="17.15" hidden="false" customHeight="false" outlineLevel="0" collapsed="false">
      <c r="A577" s="0" t="s">
        <v>578</v>
      </c>
      <c r="B577" s="0" t="s">
        <v>121</v>
      </c>
      <c r="C577" s="20" t="n">
        <f aca="false">c26_ocs/C576</f>
        <v>129.87012987013</v>
      </c>
      <c r="D577" s="20" t="n">
        <f aca="false">$C577*ocsk_27</f>
        <v>207.792207792208</v>
      </c>
      <c r="E577" s="20" t="n">
        <f aca="false">$C577*ocsk_28</f>
        <v>233.766233766234</v>
      </c>
      <c r="F577" s="20" t="n">
        <f aca="false">$C577*ocsk_29</f>
        <v>233.766233766234</v>
      </c>
    </row>
    <row r="578" customFormat="false" ht="17.15" hidden="false" customHeight="false" outlineLevel="0" collapsed="false">
      <c r="A578" s="0" t="s">
        <v>531</v>
      </c>
      <c r="B578" s="0" t="s">
        <v>31</v>
      </c>
      <c r="C578" s="26" t="n">
        <f aca="false">C576*C577/1000</f>
        <v>0.5</v>
      </c>
      <c r="D578" s="26" t="n">
        <f aca="false">D576*D577/1000</f>
        <v>1.14285714285714</v>
      </c>
      <c r="E578" s="26" t="n">
        <f aca="false">E576*E577/1000</f>
        <v>1.63636363636364</v>
      </c>
      <c r="F578" s="26" t="n">
        <f aca="false">F576*F577/1000</f>
        <v>1.88181818181818</v>
      </c>
    </row>
    <row r="579" customFormat="false" ht="17.15" hidden="false" customHeight="false" outlineLevel="0" collapsed="false">
      <c r="A579" s="0" t="s">
        <v>579</v>
      </c>
      <c r="B579" s="0" t="s">
        <v>31</v>
      </c>
      <c r="C579" s="26" t="n">
        <f aca="false">mcp_26*1</f>
        <v>0.300538</v>
      </c>
      <c r="D579" s="26" t="n">
        <f aca="false">mcp_27*1</f>
        <v>2.818985</v>
      </c>
      <c r="E579" s="26" t="n">
        <f aca="false">mcp_28*um28_A</f>
        <v>6.4435</v>
      </c>
      <c r="F579" s="26" t="n">
        <f aca="false">mcp_29*um29_A</f>
        <v>11.74736</v>
      </c>
    </row>
    <row r="580" customFormat="false" ht="17.15" hidden="false" customHeight="false" outlineLevel="0" collapsed="false">
      <c r="A580" s="0" t="s">
        <v>532</v>
      </c>
      <c r="B580" s="0" t="s">
        <v>164</v>
      </c>
      <c r="C580" s="16" t="n">
        <f aca="false">c26_cpo/1000/C579</f>
        <v>0.166368312825666</v>
      </c>
      <c r="D580" s="16" t="n">
        <f aca="false">CPLO_27</f>
        <v>0.1</v>
      </c>
      <c r="E580" s="16" t="n">
        <f aca="false">CPLO_28</f>
        <v>0.1</v>
      </c>
      <c r="F580" s="16" t="n">
        <f aca="false">CPLO_29</f>
        <v>0.1</v>
      </c>
    </row>
    <row r="581" customFormat="false" ht="17.15" hidden="false" customHeight="false" outlineLevel="0" collapsed="false">
      <c r="A581" s="0" t="s">
        <v>580</v>
      </c>
      <c r="B581" s="0" t="s">
        <v>31</v>
      </c>
      <c r="C581" s="26" t="n">
        <f aca="false">C579*C580</f>
        <v>0.05</v>
      </c>
      <c r="D581" s="26" t="n">
        <f aca="false">D579*D580</f>
        <v>0.2818985</v>
      </c>
      <c r="E581" s="26" t="n">
        <f aca="false">E579*E580</f>
        <v>0.64435</v>
      </c>
      <c r="F581" s="26" t="n">
        <f aca="false">F579*F580</f>
        <v>1.174736</v>
      </c>
    </row>
    <row r="582" customFormat="false" ht="17.15" hidden="false" customHeight="false" outlineLevel="0" collapsed="false">
      <c r="A582" s="0" t="s">
        <v>581</v>
      </c>
      <c r="B582" s="0" t="s">
        <v>31</v>
      </c>
      <c r="C582" s="26" t="n">
        <f aca="false">C572+C575+C578+C581</f>
        <v>3.4147</v>
      </c>
      <c r="D582" s="26" t="n">
        <f aca="false">D572+D575+D578+D581</f>
        <v>6.76292734350013</v>
      </c>
      <c r="E582" s="26" t="n">
        <f aca="false">E572+E575+E578+E581</f>
        <v>7.58325919719279</v>
      </c>
      <c r="F582" s="26" t="n">
        <f aca="false">F572+F575+F578+F581</f>
        <v>8.9600828726722</v>
      </c>
    </row>
    <row r="583" customFormat="false" ht="17.15" hidden="false" customHeight="false" outlineLevel="0" collapsed="false">
      <c r="A583" s="5" t="s">
        <v>582</v>
      </c>
      <c r="B583" s="0" t="s">
        <v>31</v>
      </c>
      <c r="C583" s="26" t="n">
        <f aca="false">c26_tel/1000</f>
        <v>0.75</v>
      </c>
      <c r="D583" s="26" t="n">
        <f aca="false">C583*(1+g_tel_27)</f>
        <v>0.9375</v>
      </c>
      <c r="E583" s="26" t="n">
        <f aca="false">D583*(1+g_tel_28)</f>
        <v>1.078125</v>
      </c>
      <c r="F583" s="26" t="n">
        <f aca="false">E583*(1+g_tel_29)</f>
        <v>1.1859375</v>
      </c>
    </row>
    <row r="584" customFormat="false" ht="17.15" hidden="false" customHeight="false" outlineLevel="0" collapsed="false">
      <c r="A584" s="5" t="s">
        <v>583</v>
      </c>
      <c r="B584" s="0" t="s">
        <v>31</v>
      </c>
      <c r="C584" s="26" t="n">
        <f aca="false">c26_ind/1000</f>
        <v>0.3</v>
      </c>
      <c r="D584" s="26" t="n">
        <f aca="false">C584*(1+g_ind)</f>
        <v>0.309</v>
      </c>
      <c r="E584" s="26" t="n">
        <f aca="false">D584*(1+g_ind)</f>
        <v>0.31827</v>
      </c>
      <c r="F584" s="26" t="n">
        <f aca="false">E584*(1+g_ind)</f>
        <v>0.3278181</v>
      </c>
    </row>
    <row r="585" customFormat="false" ht="17.15" hidden="false" customHeight="false" outlineLevel="0" collapsed="false">
      <c r="A585" s="5" t="s">
        <v>584</v>
      </c>
      <c r="B585" s="0" t="s">
        <v>31</v>
      </c>
      <c r="C585" s="26" t="n">
        <f aca="false">C572+C583+C581+C584/2</f>
        <v>2.8147</v>
      </c>
      <c r="D585" s="26" t="n">
        <f aca="false">D572+D583+D581+D584/2</f>
        <v>4.91190741513059</v>
      </c>
      <c r="E585" s="26" t="n">
        <f aca="false">E572+E583+E581+E584/2</f>
        <v>5.2350751541161</v>
      </c>
      <c r="F585" s="26" t="n">
        <f aca="false">F572+F583+F581+F584/2</f>
        <v>5.9767901050404</v>
      </c>
      <c r="H585" s="5" t="s">
        <v>585</v>
      </c>
    </row>
    <row r="586" customFormat="false" ht="17.15" hidden="false" customHeight="false" outlineLevel="0" collapsed="false">
      <c r="A586" s="5" t="s">
        <v>586</v>
      </c>
      <c r="B586" s="0" t="s">
        <v>31</v>
      </c>
      <c r="C586" s="26" t="n">
        <f aca="false">C575+C578+C584/2</f>
        <v>1.65</v>
      </c>
      <c r="D586" s="26" t="n">
        <f aca="false">D575+D578+D584/2</f>
        <v>3.09751992836953</v>
      </c>
      <c r="E586" s="26" t="n">
        <f aca="false">E575+E578+E584/2</f>
        <v>3.74457904307669</v>
      </c>
      <c r="F586" s="26" t="n">
        <f aca="false">F575+F578+F584/2</f>
        <v>4.49704836763179</v>
      </c>
    </row>
    <row r="587" customFormat="false" ht="15" hidden="false" customHeight="false" outlineLevel="0" collapsed="false">
      <c r="A587" s="5" t="s">
        <v>587</v>
      </c>
      <c r="B587" s="0" t="s">
        <v>31</v>
      </c>
      <c r="C587" s="26" t="n">
        <f aca="false">C582+C583+C584</f>
        <v>4.4647</v>
      </c>
      <c r="D587" s="26" t="n">
        <f aca="false">D582+D583+D584</f>
        <v>8.00942734350013</v>
      </c>
      <c r="E587" s="26" t="n">
        <f aca="false">E582+E583+E584</f>
        <v>8.97965419719279</v>
      </c>
      <c r="F587" s="26" t="n">
        <f aca="false">F582+F583+F584</f>
        <v>10.4738384726722</v>
      </c>
    </row>
    <row r="588" customFormat="false" ht="15" hidden="false" customHeight="false" outlineLevel="0" collapsed="false">
      <c r="A588" s="5" t="s">
        <v>588</v>
      </c>
      <c r="B588" s="0" t="s">
        <v>164</v>
      </c>
      <c r="D588" s="16" t="n">
        <f aca="false">D587/C587-1</f>
        <v>0.793945246825124</v>
      </c>
      <c r="E588" s="16" t="n">
        <f aca="false">E587/D587-1</f>
        <v>0.121135608337845</v>
      </c>
      <c r="F588" s="16" t="n">
        <f aca="false">F587/E587-1</f>
        <v>0.166396638742115</v>
      </c>
    </row>
    <row r="589" customFormat="false" ht="17.15" hidden="false" customHeight="false" outlineLevel="0" collapsed="false">
      <c r="A589" s="1" t="s">
        <v>589</v>
      </c>
    </row>
    <row r="590" customFormat="false" ht="17.15" hidden="false" customHeight="false" outlineLevel="0" collapsed="false">
      <c r="A590" s="6" t="s">
        <v>20</v>
      </c>
      <c r="B590" s="6" t="s">
        <v>21</v>
      </c>
      <c r="C590" s="14" t="s">
        <v>472</v>
      </c>
      <c r="D590" s="14" t="s">
        <v>539</v>
      </c>
      <c r="E590" s="14" t="s">
        <v>540</v>
      </c>
      <c r="F590" s="14" t="s">
        <v>541</v>
      </c>
      <c r="G590" s="14" t="s">
        <v>542</v>
      </c>
      <c r="H590" s="6" t="s">
        <v>480</v>
      </c>
    </row>
    <row r="591" customFormat="false" ht="17.15" hidden="false" customHeight="false" outlineLevel="0" collapsed="false">
      <c r="A591" s="0" t="s">
        <v>590</v>
      </c>
      <c r="B591" s="0" t="s">
        <v>31</v>
      </c>
      <c r="E591" s="26" t="n">
        <f aca="false">w2h_26*C582+h_1h*D582</f>
        <v>5.20535368646197</v>
      </c>
      <c r="F591" s="26" t="n">
        <f aca="false">(1-h_1h)*D582+h_1h*E582</f>
        <v>7.14848331473568</v>
      </c>
      <c r="G591" s="26" t="n">
        <f aca="false">(1-h_1h)*E582+h_1h*F582</f>
        <v>8.23036632466811</v>
      </c>
      <c r="H591" s="8" t="s">
        <v>591</v>
      </c>
    </row>
    <row r="592" customFormat="false" ht="17.15" hidden="false" customHeight="false" outlineLevel="0" collapsed="false">
      <c r="A592" s="5" t="s">
        <v>592</v>
      </c>
      <c r="B592" s="0" t="s">
        <v>31</v>
      </c>
      <c r="E592" s="26" t="n">
        <f aca="false">w2h_26*C583+h_1h*D583+w2h_26*C584+h_1h*D584</f>
        <v>1.20907716498309</v>
      </c>
      <c r="F592" s="26" t="n">
        <f aca="false">(1-h_1h)*D583+h_1h*E583+(1-h_1h)*D584+h_1h*E584</f>
        <v>1.31695065</v>
      </c>
      <c r="G592" s="26" t="n">
        <f aca="false">(1-h_1h)*E583+h_1h*F583+(1-h_1h)*E584+h_1h*F584</f>
        <v>1.451554482</v>
      </c>
    </row>
    <row r="593" customFormat="false" ht="15" hidden="false" customHeight="false" outlineLevel="0" collapsed="false">
      <c r="A593" s="5" t="s">
        <v>481</v>
      </c>
      <c r="B593" s="0" t="s">
        <v>31</v>
      </c>
      <c r="C593" s="26" t="n">
        <f aca="false">a25_rev/1000</f>
        <v>1.645</v>
      </c>
      <c r="D593" s="26" t="n">
        <f aca="false">a26_rev/1000</f>
        <v>3.014</v>
      </c>
      <c r="E593" s="26" t="n">
        <f aca="false">E591+E592</f>
        <v>6.41443085144506</v>
      </c>
      <c r="F593" s="26" t="n">
        <f aca="false">F591+F592</f>
        <v>8.46543396473568</v>
      </c>
      <c r="G593" s="26" t="n">
        <f aca="false">G591+G592</f>
        <v>9.68192080666811</v>
      </c>
    </row>
    <row r="594" customFormat="false" ht="17.15" hidden="false" customHeight="false" outlineLevel="0" collapsed="false">
      <c r="A594" s="5" t="s">
        <v>593</v>
      </c>
      <c r="B594" s="0" t="s">
        <v>31</v>
      </c>
      <c r="C594" s="26" t="n">
        <f aca="false">a25_cmp/1000</f>
        <v>1.1163</v>
      </c>
      <c r="D594" s="26" t="n">
        <f aca="false">a26_cmp/1000</f>
        <v>2.0056</v>
      </c>
      <c r="E594" s="26" t="n">
        <f aca="false">w2h_26*C585+h_1h*D585</f>
        <v>3.97924736870938</v>
      </c>
      <c r="F594" s="26" t="n">
        <f aca="false">(1-h_1h)*D585+h_1h*E585</f>
        <v>5.06379625245378</v>
      </c>
      <c r="G594" s="26" t="n">
        <f aca="false">(1-h_1h)*E585+h_1h*F585</f>
        <v>5.58368118105052</v>
      </c>
      <c r="H594" s="5" t="s">
        <v>594</v>
      </c>
    </row>
    <row r="595" customFormat="false" ht="17.15" hidden="false" customHeight="false" outlineLevel="0" collapsed="false">
      <c r="A595" s="5" t="s">
        <v>595</v>
      </c>
      <c r="B595" s="0" t="s">
        <v>31</v>
      </c>
      <c r="C595" s="26" t="n">
        <f aca="false">a25_sys/1000</f>
        <v>0.5287</v>
      </c>
      <c r="D595" s="26" t="n">
        <f aca="false">a26_sys/1000</f>
        <v>1.0084</v>
      </c>
      <c r="E595" s="26" t="n">
        <f aca="false">w2h_26*C586+h_1h*D586</f>
        <v>2.43518348273568</v>
      </c>
      <c r="F595" s="26" t="n">
        <f aca="false">(1-h_1h)*D586+h_1h*E586</f>
        <v>3.4016377122819</v>
      </c>
      <c r="G595" s="26" t="n">
        <f aca="false">(1-h_1h)*E586+h_1h*F586</f>
        <v>4.09823962561759</v>
      </c>
      <c r="H595" s="5" t="s">
        <v>596</v>
      </c>
    </row>
    <row r="596" customFormat="false" ht="15" hidden="false" customHeight="false" outlineLevel="0" collapsed="false">
      <c r="A596" s="5" t="s">
        <v>597</v>
      </c>
      <c r="B596" s="0" t="s">
        <v>31</v>
      </c>
      <c r="C596" s="17" t="n">
        <f aca="false">C594+C595-C593</f>
        <v>0</v>
      </c>
      <c r="D596" s="17" t="n">
        <f aca="false">D594+D595-D593</f>
        <v>0</v>
      </c>
      <c r="E596" s="17" t="n">
        <f aca="false">E594+E595-E593</f>
        <v>0</v>
      </c>
      <c r="F596" s="17" t="n">
        <f aca="false">F594+F595-F593</f>
        <v>0</v>
      </c>
      <c r="G596" s="17" t="n">
        <f aca="false">G594+G595-G593</f>
        <v>0</v>
      </c>
    </row>
    <row r="597" customFormat="false" ht="15" hidden="false" customHeight="false" outlineLevel="0" collapsed="false">
      <c r="A597" s="5" t="s">
        <v>598</v>
      </c>
      <c r="B597" s="0" t="s">
        <v>164</v>
      </c>
      <c r="D597" s="16" t="n">
        <f aca="false">D593/C593-1</f>
        <v>0.832218844984802</v>
      </c>
      <c r="E597" s="16" t="n">
        <f aca="false">E593/D593-1</f>
        <v>1.12821196132882</v>
      </c>
      <c r="F597" s="16" t="n">
        <f aca="false">F593/E593-1</f>
        <v>0.319748261504536</v>
      </c>
      <c r="G597" s="16" t="n">
        <f aca="false">G593/F593-1</f>
        <v>0.143700470288934</v>
      </c>
    </row>
    <row r="598" customFormat="false" ht="17.15" hidden="false" customHeight="false" outlineLevel="0" collapsed="false">
      <c r="A598" s="0" t="s">
        <v>599</v>
      </c>
      <c r="B598" s="0" t="s">
        <v>164</v>
      </c>
      <c r="E598" s="16" t="n">
        <f aca="false">E591/E593</f>
        <v>0.81150671150961</v>
      </c>
      <c r="F598" s="16" t="n">
        <f aca="false">F591/F593</f>
        <v>0.84443199775865</v>
      </c>
      <c r="G598" s="16" t="n">
        <f aca="false">G591/G593</f>
        <v>0.850075774117023</v>
      </c>
    </row>
    <row r="599" customFormat="false" ht="17.15" hidden="false" customHeight="false" outlineLevel="0" collapsed="false">
      <c r="A599" s="5" t="s">
        <v>484</v>
      </c>
      <c r="B599" s="0" t="s">
        <v>164</v>
      </c>
      <c r="C599" s="16" t="n">
        <f aca="false">a25_gm</f>
        <v>0.347</v>
      </c>
      <c r="D599" s="16" t="n">
        <f aca="false">a26_gm</f>
        <v>0.46</v>
      </c>
      <c r="E599" s="16" t="n">
        <f aca="false">gm_27</f>
        <v>0.52</v>
      </c>
      <c r="F599" s="16" t="n">
        <f aca="false">gm_28</f>
        <v>0.51</v>
      </c>
      <c r="G599" s="16" t="n">
        <f aca="false">gm_29</f>
        <v>0.49</v>
      </c>
    </row>
    <row r="600" customFormat="false" ht="15" hidden="false" customHeight="false" outlineLevel="0" collapsed="false">
      <c r="A600" s="5" t="s">
        <v>485</v>
      </c>
      <c r="B600" s="0" t="s">
        <v>31</v>
      </c>
      <c r="C600" s="26" t="n">
        <f aca="false">C593*C599</f>
        <v>0.570815</v>
      </c>
      <c r="D600" s="26" t="n">
        <f aca="false">D593*D599</f>
        <v>1.38644</v>
      </c>
      <c r="E600" s="26" t="n">
        <f aca="false">E593*E599</f>
        <v>3.33550404275143</v>
      </c>
      <c r="F600" s="26" t="n">
        <f aca="false">F593*F599</f>
        <v>4.3173713220152</v>
      </c>
      <c r="G600" s="26" t="n">
        <f aca="false">G593*G599</f>
        <v>4.74414119526738</v>
      </c>
    </row>
    <row r="601" customFormat="false" ht="15" hidden="false" customHeight="false" outlineLevel="0" collapsed="false">
      <c r="A601" s="5" t="s">
        <v>600</v>
      </c>
      <c r="B601" s="0" t="s">
        <v>31</v>
      </c>
      <c r="C601" s="26" t="n">
        <f aca="false">a25_opx/1000</f>
        <v>0.4114</v>
      </c>
      <c r="D601" s="26" t="n">
        <f aca="false">a26_opx/1000</f>
        <v>0.4897</v>
      </c>
      <c r="E601" s="26" t="n">
        <f aca="false">D601*(1+MAX(0,phi*E597))</f>
        <v>0.61605159618529</v>
      </c>
      <c r="F601" s="26" t="n">
        <f aca="false">E601*(1+MAX(0,phi*F597))</f>
        <v>0.66110060167776</v>
      </c>
      <c r="G601" s="26" t="n">
        <f aca="false">F601*(1+MAX(0,phi*G597))</f>
        <v>0.682826896608987</v>
      </c>
    </row>
    <row r="602" customFormat="false" ht="15" hidden="false" customHeight="false" outlineLevel="0" collapsed="false">
      <c r="A602" s="5" t="s">
        <v>601</v>
      </c>
      <c r="B602" s="0" t="s">
        <v>31</v>
      </c>
      <c r="C602" s="26" t="n">
        <f aca="false">C601</f>
        <v>0.4114</v>
      </c>
      <c r="D602" s="26" t="n">
        <f aca="false">D601</f>
        <v>0.4897</v>
      </c>
      <c r="E602" s="26" t="n">
        <f aca="false">E601+0*E593</f>
        <v>0.61605159618529</v>
      </c>
      <c r="F602" s="26" t="n">
        <f aca="false">F601+0*F593</f>
        <v>0.66110060167776</v>
      </c>
      <c r="G602" s="26" t="n">
        <f aca="false">G601+0*G593</f>
        <v>0.682826896608987</v>
      </c>
    </row>
    <row r="603" customFormat="false" ht="15" hidden="false" customHeight="false" outlineLevel="0" collapsed="false">
      <c r="A603" s="5" t="s">
        <v>602</v>
      </c>
      <c r="B603" s="0" t="s">
        <v>31</v>
      </c>
      <c r="C603" s="26" t="n">
        <f aca="false">C600-C602</f>
        <v>0.159415</v>
      </c>
      <c r="D603" s="26" t="n">
        <f aca="false">D600-D602</f>
        <v>0.89674</v>
      </c>
      <c r="E603" s="26" t="n">
        <f aca="false">E600-E602</f>
        <v>2.71945244656614</v>
      </c>
      <c r="F603" s="26" t="n">
        <f aca="false">F600-F602</f>
        <v>3.65627072033744</v>
      </c>
      <c r="G603" s="26" t="n">
        <f aca="false">G600-G602</f>
        <v>4.06131429865839</v>
      </c>
    </row>
    <row r="604" customFormat="false" ht="15" hidden="false" customHeight="false" outlineLevel="0" collapsed="false">
      <c r="A604" s="5" t="s">
        <v>489</v>
      </c>
      <c r="B604" s="0" t="s">
        <v>164</v>
      </c>
      <c r="C604" s="16" t="n">
        <f aca="false">C603/C593</f>
        <v>0.0969088145896656</v>
      </c>
      <c r="D604" s="16" t="n">
        <f aca="false">D603/D593</f>
        <v>0.297524883875249</v>
      </c>
      <c r="E604" s="16" t="n">
        <f aca="false">E603/E593</f>
        <v>0.423958494455279</v>
      </c>
      <c r="F604" s="16" t="n">
        <f aca="false">F603/F593</f>
        <v>0.431905881679345</v>
      </c>
      <c r="G604" s="16" t="n">
        <f aca="false">G603/G593</f>
        <v>0.419474025842195</v>
      </c>
    </row>
    <row r="605" customFormat="false" ht="17.15" hidden="false" customHeight="false" outlineLevel="0" collapsed="false">
      <c r="A605" s="5" t="s">
        <v>490</v>
      </c>
      <c r="B605" s="0" t="s">
        <v>31</v>
      </c>
      <c r="C605" s="26" t="n">
        <f aca="false">a25_ni/1000</f>
        <v>0.1464</v>
      </c>
      <c r="D605" s="26" t="n">
        <f aca="false">a26_ni/1000</f>
        <v>0.7823</v>
      </c>
      <c r="E605" s="26" t="n">
        <f aca="false">(E603+oi_oth)*(1-tx)</f>
        <v>2.31434279288273</v>
      </c>
      <c r="F605" s="26" t="n">
        <f aca="false">(F603+oi_oth)*(1-tx)</f>
        <v>3.09658605148176</v>
      </c>
      <c r="G605" s="26" t="n">
        <f aca="false">(G603+oi_oth)*(1-tx)</f>
        <v>3.43479743937975</v>
      </c>
    </row>
    <row r="606" customFormat="false" ht="15" hidden="false" customHeight="false" outlineLevel="0" collapsed="false">
      <c r="A606" s="5" t="s">
        <v>552</v>
      </c>
      <c r="B606" s="0" t="s">
        <v>164</v>
      </c>
      <c r="C606" s="16" t="n">
        <f aca="false">C605/C593</f>
        <v>0.0889969604863222</v>
      </c>
      <c r="D606" s="16" t="n">
        <f aca="false">D605/D593</f>
        <v>0.259555408095554</v>
      </c>
      <c r="E606" s="16" t="n">
        <f aca="false">E605/E593</f>
        <v>0.360802516463537</v>
      </c>
      <c r="F606" s="16" t="n">
        <f aca="false">F605/F593</f>
        <v>0.36579176736611</v>
      </c>
      <c r="G606" s="16" t="n">
        <f aca="false">G605/G593</f>
        <v>0.354764050230007</v>
      </c>
    </row>
    <row r="607" customFormat="false" ht="17.15" hidden="false" customHeight="false" outlineLevel="0" collapsed="false">
      <c r="A607" s="5" t="s">
        <v>494</v>
      </c>
      <c r="B607" s="5" t="s">
        <v>238</v>
      </c>
      <c r="C607" s="15" t="n">
        <f aca="false">a25_sh</f>
        <v>71.0679611650485</v>
      </c>
      <c r="D607" s="15" t="n">
        <f aca="false">a26_sh</f>
        <v>90.2306805074971</v>
      </c>
      <c r="E607" s="15" t="n">
        <f aca="false">sh_q1</f>
        <v>102</v>
      </c>
      <c r="F607" s="15" t="n">
        <f aca="false">E607*(1+sh_g)</f>
        <v>103.02</v>
      </c>
      <c r="G607" s="15" t="n">
        <f aca="false">F607*(1+sh_g)</f>
        <v>104.0502</v>
      </c>
    </row>
    <row r="608" customFormat="false" ht="17.15" hidden="false" customHeight="false" outlineLevel="0" collapsed="false">
      <c r="A608" s="0" t="s">
        <v>496</v>
      </c>
      <c r="B608" s="0" t="s">
        <v>233</v>
      </c>
      <c r="C608" s="9" t="n">
        <f aca="false">C605*1000/C607</f>
        <v>2.06</v>
      </c>
      <c r="D608" s="9" t="n">
        <f aca="false">D605*1000/D607</f>
        <v>8.67</v>
      </c>
      <c r="E608" s="9" t="n">
        <f aca="false">E605*1000/E607</f>
        <v>22.6896352243405</v>
      </c>
      <c r="F608" s="9" t="n">
        <f aca="false">F605*1000/F607</f>
        <v>30.0581057220128</v>
      </c>
      <c r="G608" s="9" t="n">
        <f aca="false">G605*1000/G607</f>
        <v>33.0109643170292</v>
      </c>
    </row>
    <row r="609" customFormat="false" ht="17.15" hidden="false" customHeight="false" outlineLevel="0" collapsed="false">
      <c r="A609" s="0" t="s">
        <v>603</v>
      </c>
      <c r="B609" s="0" t="s">
        <v>164</v>
      </c>
      <c r="D609" s="16" t="n">
        <f aca="false">D608/C608-1</f>
        <v>3.20873786407767</v>
      </c>
      <c r="E609" s="16" t="n">
        <f aca="false">E608/D608-1</f>
        <v>1.61702828423765</v>
      </c>
      <c r="F609" s="16" t="n">
        <f aca="false">F608/E608-1</f>
        <v>0.324750505013309</v>
      </c>
      <c r="G609" s="16" t="n">
        <f aca="false">G608/F608-1</f>
        <v>0.0982383461661032</v>
      </c>
    </row>
    <row r="612" customFormat="false" ht="17.15" hidden="false" customHeight="false" outlineLevel="0" collapsed="false">
      <c r="A612" s="3" t="s">
        <v>905</v>
      </c>
    </row>
    <row r="613" customFormat="false" ht="17.15" hidden="false" customHeight="false" outlineLevel="0" collapsed="false">
      <c r="A613" s="1" t="s">
        <v>561</v>
      </c>
    </row>
    <row r="614" customFormat="false" ht="17.15" hidden="false" customHeight="false" outlineLevel="0" collapsed="false">
      <c r="A614" s="6" t="s">
        <v>20</v>
      </c>
      <c r="B614" s="6" t="s">
        <v>21</v>
      </c>
      <c r="C614" s="14" t="s">
        <v>562</v>
      </c>
      <c r="D614" s="14" t="s">
        <v>517</v>
      </c>
      <c r="E614" s="14" t="s">
        <v>518</v>
      </c>
      <c r="F614" s="14" t="s">
        <v>519</v>
      </c>
      <c r="G614" s="14"/>
      <c r="H614" s="6" t="s">
        <v>480</v>
      </c>
    </row>
    <row r="615" customFormat="false" ht="17.15" hidden="false" customHeight="false" outlineLevel="0" collapsed="false">
      <c r="A615" s="0" t="s">
        <v>563</v>
      </c>
      <c r="B615" s="0" t="s">
        <v>31</v>
      </c>
      <c r="C615" s="26" t="n">
        <f aca="false">mpl_26*1</f>
        <v>29.753262</v>
      </c>
      <c r="D615" s="26" t="n">
        <f aca="false">mpl_27*1*1</f>
        <v>53.560715</v>
      </c>
      <c r="E615" s="26" t="n">
        <f aca="false">mpl_28*um28_A*1</f>
        <v>57.9915</v>
      </c>
      <c r="F615" s="26" t="n">
        <f aca="false">mpl_29*um29_A*1</f>
        <v>72.9348</v>
      </c>
    </row>
    <row r="616" customFormat="false" ht="17.15" hidden="false" customHeight="false" outlineLevel="0" collapsed="false">
      <c r="A616" s="5" t="s">
        <v>564</v>
      </c>
      <c r="B616" s="0" t="s">
        <v>97</v>
      </c>
      <c r="C616" s="20" t="n">
        <f aca="false">asp_26</f>
        <v>500</v>
      </c>
      <c r="D616" s="20" t="n">
        <f aca="false">asp_27</f>
        <v>520</v>
      </c>
      <c r="E616" s="20" t="n">
        <f aca="false">asp_28</f>
        <v>540</v>
      </c>
      <c r="F616" s="20" t="n">
        <f aca="false">asp_29</f>
        <v>560</v>
      </c>
    </row>
    <row r="617" customFormat="false" ht="17.15" hidden="false" customHeight="false" outlineLevel="0" collapsed="false">
      <c r="A617" s="5" t="s">
        <v>565</v>
      </c>
      <c r="B617" s="5" t="s">
        <v>349</v>
      </c>
      <c r="C617" s="15" t="n">
        <f aca="false">C615*1000/C616</f>
        <v>59.506524</v>
      </c>
      <c r="D617" s="15" t="n">
        <f aca="false">D615*1000/D616</f>
        <v>103.001375</v>
      </c>
      <c r="E617" s="15" t="n">
        <f aca="false">E615*1000/E616</f>
        <v>107.391666666667</v>
      </c>
      <c r="F617" s="15" t="n">
        <f aca="false">F615*1000/F616</f>
        <v>130.240714285714</v>
      </c>
    </row>
    <row r="618" customFormat="false" ht="17.15" hidden="false" customHeight="false" outlineLevel="0" collapsed="false">
      <c r="A618" s="5" t="s">
        <v>566</v>
      </c>
      <c r="B618" s="5" t="s">
        <v>109</v>
      </c>
      <c r="C618" s="18" t="n">
        <f aca="false">lpm_26</f>
        <v>5.5</v>
      </c>
      <c r="D618" s="18" t="n">
        <f aca="false">lpm_27</f>
        <v>5.5</v>
      </c>
      <c r="E618" s="18" t="n">
        <f aca="false">lpm_28</f>
        <v>5</v>
      </c>
      <c r="F618" s="18" t="n">
        <f aca="false">lpm_29</f>
        <v>4.8</v>
      </c>
    </row>
    <row r="619" customFormat="false" ht="17.15" hidden="false" customHeight="false" outlineLevel="0" collapsed="false">
      <c r="A619" s="5" t="s">
        <v>567</v>
      </c>
      <c r="B619" s="0" t="s">
        <v>121</v>
      </c>
      <c r="C619" s="18" t="n">
        <f aca="false">lasp_26</f>
        <v>13</v>
      </c>
      <c r="D619" s="18" t="n">
        <f aca="false">lasp_27</f>
        <v>15</v>
      </c>
      <c r="E619" s="18" t="n">
        <f aca="false">lasp_28</f>
        <v>15</v>
      </c>
      <c r="F619" s="18" t="n">
        <f aca="false">lasp_29</f>
        <v>14</v>
      </c>
    </row>
    <row r="620" customFormat="false" ht="17.15" hidden="false" customHeight="false" outlineLevel="0" collapsed="false">
      <c r="A620" s="5" t="s">
        <v>568</v>
      </c>
      <c r="B620" s="0" t="s">
        <v>31</v>
      </c>
      <c r="C620" s="26" t="n">
        <f aca="false">C617*C618*C619/1000</f>
        <v>4.254716466</v>
      </c>
      <c r="D620" s="26" t="n">
        <f aca="false">D617*D618*D619/1000</f>
        <v>8.4976134375</v>
      </c>
      <c r="E620" s="26" t="n">
        <f aca="false">E617*E618*E619/1000</f>
        <v>8.054375</v>
      </c>
      <c r="F620" s="26" t="n">
        <f aca="false">F617*F618*F619/1000</f>
        <v>8.752176</v>
      </c>
    </row>
    <row r="621" customFormat="false" ht="17.15" hidden="false" customHeight="false" outlineLevel="0" collapsed="false">
      <c r="A621" s="0" t="s">
        <v>569</v>
      </c>
      <c r="B621" s="0" t="s">
        <v>164</v>
      </c>
      <c r="C621" s="16" t="n">
        <f aca="false">c26_las/1000/C620</f>
        <v>0.43826657190933</v>
      </c>
      <c r="H621" s="8" t="s">
        <v>570</v>
      </c>
    </row>
    <row r="622" customFormat="false" ht="17.15" hidden="false" customHeight="false" outlineLevel="0" collapsed="false">
      <c r="A622" s="5" t="s">
        <v>571</v>
      </c>
      <c r="B622" s="0" t="s">
        <v>75</v>
      </c>
      <c r="C622" s="9" t="n">
        <f aca="false">1</f>
        <v>1</v>
      </c>
      <c r="D622" s="9" t="n">
        <f aca="false">lrel_27</f>
        <v>0.95</v>
      </c>
      <c r="E622" s="9" t="n">
        <f aca="false">lrel_28</f>
        <v>0.95</v>
      </c>
      <c r="F622" s="9" t="n">
        <f aca="false">lrel_29</f>
        <v>0.9</v>
      </c>
    </row>
    <row r="623" customFormat="false" ht="15" hidden="false" customHeight="false" outlineLevel="0" collapsed="false">
      <c r="A623" s="5" t="s">
        <v>572</v>
      </c>
      <c r="B623" s="0" t="s">
        <v>164</v>
      </c>
      <c r="C623" s="16" t="n">
        <f aca="false">$C$621*C622</f>
        <v>0.43826657190933</v>
      </c>
      <c r="D623" s="16" t="n">
        <f aca="false">$C$621*D622</f>
        <v>0.416353243313864</v>
      </c>
      <c r="E623" s="16" t="n">
        <f aca="false">$C$621*E622</f>
        <v>0.416353243313864</v>
      </c>
      <c r="F623" s="16" t="n">
        <f aca="false">$C$621*F622</f>
        <v>0.394439914718397</v>
      </c>
    </row>
    <row r="624" customFormat="false" ht="17.15" hidden="false" customHeight="false" outlineLevel="0" collapsed="false">
      <c r="A624" s="5" t="s">
        <v>573</v>
      </c>
      <c r="B624" s="0" t="s">
        <v>31</v>
      </c>
      <c r="C624" s="26" t="n">
        <f aca="false">C620*C623</f>
        <v>1.8647</v>
      </c>
      <c r="D624" s="26" t="n">
        <f aca="false">D620*D623</f>
        <v>3.53800891513059</v>
      </c>
      <c r="E624" s="26" t="n">
        <f aca="false">E620*E623</f>
        <v>3.3534651541161</v>
      </c>
      <c r="F624" s="26" t="n">
        <f aca="false">F620*F623</f>
        <v>3.4522075550404</v>
      </c>
    </row>
    <row r="625" customFormat="false" ht="17.15" hidden="false" customHeight="false" outlineLevel="0" collapsed="false">
      <c r="A625" s="5" t="s">
        <v>574</v>
      </c>
      <c r="B625" s="0" t="s">
        <v>164</v>
      </c>
      <c r="C625" s="16" t="n">
        <f aca="false">c26_xcvr/1000/C615</f>
        <v>0.0336097601668012</v>
      </c>
    </row>
    <row r="626" customFormat="false" ht="15" hidden="false" customHeight="false" outlineLevel="0" collapsed="false">
      <c r="A626" s="5" t="s">
        <v>575</v>
      </c>
      <c r="B626" s="0" t="s">
        <v>164</v>
      </c>
      <c r="C626" s="16" t="n">
        <f aca="false">C625</f>
        <v>0.0336097601668012</v>
      </c>
      <c r="D626" s="16" t="n">
        <f aca="false">$C$625*mrel_27</f>
        <v>0.0336097601668012</v>
      </c>
      <c r="E626" s="16" t="n">
        <f aca="false">$C$625*mrel_28</f>
        <v>0.0336097601668012</v>
      </c>
      <c r="F626" s="16" t="n">
        <f aca="false">$C$625*mrel_29</f>
        <v>0.0336097601668012</v>
      </c>
    </row>
    <row r="627" customFormat="false" ht="15" hidden="false" customHeight="false" outlineLevel="0" collapsed="false">
      <c r="A627" s="5" t="s">
        <v>576</v>
      </c>
      <c r="B627" s="0" t="s">
        <v>31</v>
      </c>
      <c r="C627" s="26" t="n">
        <f aca="false">C615*C626</f>
        <v>1</v>
      </c>
      <c r="D627" s="26" t="n">
        <f aca="false">D615*D626</f>
        <v>1.80016278551239</v>
      </c>
      <c r="E627" s="26" t="n">
        <f aca="false">E615*E626</f>
        <v>1.94908040671305</v>
      </c>
      <c r="F627" s="26" t="n">
        <f aca="false">F615*F626</f>
        <v>2.45132113581361</v>
      </c>
    </row>
    <row r="628" customFormat="false" ht="17.15" hidden="false" customHeight="false" outlineLevel="0" collapsed="false">
      <c r="A628" s="0" t="s">
        <v>577</v>
      </c>
      <c r="B628" s="5" t="s">
        <v>54</v>
      </c>
      <c r="C628" s="19" t="n">
        <f aca="false">tpu_26*1</f>
        <v>3.85</v>
      </c>
      <c r="D628" s="19" t="n">
        <f aca="false">tpu_27*1</f>
        <v>5.5</v>
      </c>
      <c r="E628" s="19" t="n">
        <f aca="false">tpu_28*um28_A</f>
        <v>7</v>
      </c>
      <c r="F628" s="19" t="n">
        <f aca="false">tpu_29*um29_A</f>
        <v>8.05</v>
      </c>
    </row>
    <row r="629" customFormat="false" ht="17.15" hidden="false" customHeight="false" outlineLevel="0" collapsed="false">
      <c r="A629" s="0" t="s">
        <v>578</v>
      </c>
      <c r="B629" s="0" t="s">
        <v>121</v>
      </c>
      <c r="C629" s="20" t="n">
        <f aca="false">c26_ocs/C628</f>
        <v>129.87012987013</v>
      </c>
      <c r="D629" s="20" t="n">
        <f aca="false">$C629*ocsk_27</f>
        <v>207.792207792208</v>
      </c>
      <c r="E629" s="20" t="n">
        <f aca="false">$C629*ocsk_28</f>
        <v>233.766233766234</v>
      </c>
      <c r="F629" s="20" t="n">
        <f aca="false">$C629*ocsk_29</f>
        <v>233.766233766234</v>
      </c>
    </row>
    <row r="630" customFormat="false" ht="17.15" hidden="false" customHeight="false" outlineLevel="0" collapsed="false">
      <c r="A630" s="0" t="s">
        <v>531</v>
      </c>
      <c r="B630" s="0" t="s">
        <v>31</v>
      </c>
      <c r="C630" s="26" t="n">
        <f aca="false">C628*C629/1000</f>
        <v>0.5</v>
      </c>
      <c r="D630" s="26" t="n">
        <f aca="false">D628*D629/1000</f>
        <v>1.14285714285714</v>
      </c>
      <c r="E630" s="26" t="n">
        <f aca="false">E628*E629/1000</f>
        <v>1.63636363636364</v>
      </c>
      <c r="F630" s="26" t="n">
        <f aca="false">F628*F629/1000</f>
        <v>1.88181818181818</v>
      </c>
    </row>
    <row r="631" customFormat="false" ht="17.15" hidden="false" customHeight="false" outlineLevel="0" collapsed="false">
      <c r="A631" s="0" t="s">
        <v>579</v>
      </c>
      <c r="B631" s="0" t="s">
        <v>31</v>
      </c>
      <c r="C631" s="26" t="n">
        <f aca="false">mcp_26*1</f>
        <v>0.300538</v>
      </c>
      <c r="D631" s="26" t="n">
        <f aca="false">mcp_27*1</f>
        <v>2.818985</v>
      </c>
      <c r="E631" s="26" t="n">
        <f aca="false">mcp_28*um28_A</f>
        <v>6.4435</v>
      </c>
      <c r="F631" s="26" t="n">
        <f aca="false">mcp_29*um29_A</f>
        <v>11.74736</v>
      </c>
    </row>
    <row r="632" customFormat="false" ht="17.15" hidden="false" customHeight="false" outlineLevel="0" collapsed="false">
      <c r="A632" s="0" t="s">
        <v>532</v>
      </c>
      <c r="B632" s="0" t="s">
        <v>164</v>
      </c>
      <c r="C632" s="16" t="n">
        <f aca="false">c26_cpo/1000/C631</f>
        <v>0.166368312825666</v>
      </c>
      <c r="D632" s="16" t="n">
        <f aca="false">CPHI_27</f>
        <v>0.35</v>
      </c>
      <c r="E632" s="16" t="n">
        <f aca="false">CPHI_28</f>
        <v>0.35</v>
      </c>
      <c r="F632" s="16" t="n">
        <f aca="false">CPHI_29</f>
        <v>0.3</v>
      </c>
    </row>
    <row r="633" customFormat="false" ht="17.15" hidden="false" customHeight="false" outlineLevel="0" collapsed="false">
      <c r="A633" s="0" t="s">
        <v>580</v>
      </c>
      <c r="B633" s="0" t="s">
        <v>31</v>
      </c>
      <c r="C633" s="26" t="n">
        <f aca="false">C631*C632</f>
        <v>0.05</v>
      </c>
      <c r="D633" s="26" t="n">
        <f aca="false">D631*D632</f>
        <v>0.98664475</v>
      </c>
      <c r="E633" s="26" t="n">
        <f aca="false">E631*E632</f>
        <v>2.255225</v>
      </c>
      <c r="F633" s="26" t="n">
        <f aca="false">F631*F632</f>
        <v>3.524208</v>
      </c>
    </row>
    <row r="634" customFormat="false" ht="17.15" hidden="false" customHeight="false" outlineLevel="0" collapsed="false">
      <c r="A634" s="0" t="s">
        <v>581</v>
      </c>
      <c r="B634" s="0" t="s">
        <v>31</v>
      </c>
      <c r="C634" s="26" t="n">
        <f aca="false">C624+C627+C630+C633</f>
        <v>3.4147</v>
      </c>
      <c r="D634" s="26" t="n">
        <f aca="false">D624+D627+D630+D633</f>
        <v>7.46767359350013</v>
      </c>
      <c r="E634" s="26" t="n">
        <f aca="false">E624+E627+E630+E633</f>
        <v>9.19413419719279</v>
      </c>
      <c r="F634" s="26" t="n">
        <f aca="false">F624+F627+F630+F633</f>
        <v>11.3095548726722</v>
      </c>
    </row>
    <row r="635" customFormat="false" ht="17.15" hidden="false" customHeight="false" outlineLevel="0" collapsed="false">
      <c r="A635" s="5" t="s">
        <v>582</v>
      </c>
      <c r="B635" s="0" t="s">
        <v>31</v>
      </c>
      <c r="C635" s="26" t="n">
        <f aca="false">c26_tel/1000</f>
        <v>0.75</v>
      </c>
      <c r="D635" s="26" t="n">
        <f aca="false">C635*(1+g_tel_27)</f>
        <v>0.9375</v>
      </c>
      <c r="E635" s="26" t="n">
        <f aca="false">D635*(1+g_tel_28)</f>
        <v>1.078125</v>
      </c>
      <c r="F635" s="26" t="n">
        <f aca="false">E635*(1+g_tel_29)</f>
        <v>1.1859375</v>
      </c>
    </row>
    <row r="636" customFormat="false" ht="17.15" hidden="false" customHeight="false" outlineLevel="0" collapsed="false">
      <c r="A636" s="5" t="s">
        <v>583</v>
      </c>
      <c r="B636" s="0" t="s">
        <v>31</v>
      </c>
      <c r="C636" s="26" t="n">
        <f aca="false">c26_ind/1000</f>
        <v>0.3</v>
      </c>
      <c r="D636" s="26" t="n">
        <f aca="false">C636*(1+g_ind)</f>
        <v>0.309</v>
      </c>
      <c r="E636" s="26" t="n">
        <f aca="false">D636*(1+g_ind)</f>
        <v>0.31827</v>
      </c>
      <c r="F636" s="26" t="n">
        <f aca="false">E636*(1+g_ind)</f>
        <v>0.3278181</v>
      </c>
    </row>
    <row r="637" customFormat="false" ht="17.15" hidden="false" customHeight="false" outlineLevel="0" collapsed="false">
      <c r="A637" s="5" t="s">
        <v>584</v>
      </c>
      <c r="B637" s="0" t="s">
        <v>31</v>
      </c>
      <c r="C637" s="26" t="n">
        <f aca="false">C624+C635+C633+C636/2</f>
        <v>2.8147</v>
      </c>
      <c r="D637" s="26" t="n">
        <f aca="false">D624+D635+D633+D636/2</f>
        <v>5.61665366513059</v>
      </c>
      <c r="E637" s="26" t="n">
        <f aca="false">E624+E635+E633+E636/2</f>
        <v>6.8459501541161</v>
      </c>
      <c r="F637" s="26" t="n">
        <f aca="false">F624+F635+F633+F636/2</f>
        <v>8.3262621050404</v>
      </c>
      <c r="H637" s="5" t="s">
        <v>585</v>
      </c>
    </row>
    <row r="638" customFormat="false" ht="17.15" hidden="false" customHeight="false" outlineLevel="0" collapsed="false">
      <c r="A638" s="5" t="s">
        <v>586</v>
      </c>
      <c r="B638" s="0" t="s">
        <v>31</v>
      </c>
      <c r="C638" s="26" t="n">
        <f aca="false">C627+C630+C636/2</f>
        <v>1.65</v>
      </c>
      <c r="D638" s="26" t="n">
        <f aca="false">D627+D630+D636/2</f>
        <v>3.09751992836953</v>
      </c>
      <c r="E638" s="26" t="n">
        <f aca="false">E627+E630+E636/2</f>
        <v>3.74457904307669</v>
      </c>
      <c r="F638" s="26" t="n">
        <f aca="false">F627+F630+F636/2</f>
        <v>4.49704836763179</v>
      </c>
    </row>
    <row r="639" customFormat="false" ht="15" hidden="false" customHeight="false" outlineLevel="0" collapsed="false">
      <c r="A639" s="5" t="s">
        <v>587</v>
      </c>
      <c r="B639" s="0" t="s">
        <v>31</v>
      </c>
      <c r="C639" s="26" t="n">
        <f aca="false">C634+C635+C636</f>
        <v>4.4647</v>
      </c>
      <c r="D639" s="26" t="n">
        <f aca="false">D634+D635+D636</f>
        <v>8.71417359350013</v>
      </c>
      <c r="E639" s="26" t="n">
        <f aca="false">E634+E635+E636</f>
        <v>10.5905291971928</v>
      </c>
      <c r="F639" s="26" t="n">
        <f aca="false">F634+F635+F636</f>
        <v>12.8233104726722</v>
      </c>
    </row>
    <row r="640" customFormat="false" ht="15" hidden="false" customHeight="false" outlineLevel="0" collapsed="false">
      <c r="A640" s="5" t="s">
        <v>588</v>
      </c>
      <c r="B640" s="0" t="s">
        <v>164</v>
      </c>
      <c r="D640" s="16" t="n">
        <f aca="false">D639/C639-1</f>
        <v>0.951793758483241</v>
      </c>
      <c r="E640" s="16" t="n">
        <f aca="false">E639/D639-1</f>
        <v>0.215322265910818</v>
      </c>
      <c r="F640" s="16" t="n">
        <f aca="false">F639/E639-1</f>
        <v>0.210828111976807</v>
      </c>
    </row>
    <row r="641" customFormat="false" ht="17.15" hidden="false" customHeight="false" outlineLevel="0" collapsed="false">
      <c r="A641" s="1" t="s">
        <v>589</v>
      </c>
    </row>
    <row r="642" customFormat="false" ht="17.15" hidden="false" customHeight="false" outlineLevel="0" collapsed="false">
      <c r="A642" s="6" t="s">
        <v>20</v>
      </c>
      <c r="B642" s="6" t="s">
        <v>21</v>
      </c>
      <c r="C642" s="14" t="s">
        <v>472</v>
      </c>
      <c r="D642" s="14" t="s">
        <v>539</v>
      </c>
      <c r="E642" s="14" t="s">
        <v>540</v>
      </c>
      <c r="F642" s="14" t="s">
        <v>541</v>
      </c>
      <c r="G642" s="14" t="s">
        <v>542</v>
      </c>
      <c r="H642" s="6" t="s">
        <v>480</v>
      </c>
    </row>
    <row r="643" customFormat="false" ht="17.15" hidden="false" customHeight="false" outlineLevel="0" collapsed="false">
      <c r="A643" s="0" t="s">
        <v>590</v>
      </c>
      <c r="B643" s="0" t="s">
        <v>31</v>
      </c>
      <c r="E643" s="26" t="n">
        <f aca="false">w2h_26*C634+h_1h*D634</f>
        <v>5.53658442396197</v>
      </c>
      <c r="F643" s="26" t="n">
        <f aca="false">(1-h_1h)*D634+h_1h*E634</f>
        <v>8.27911007723568</v>
      </c>
      <c r="G643" s="26" t="n">
        <f aca="false">(1-h_1h)*E634+h_1h*F634</f>
        <v>10.1883819146681</v>
      </c>
      <c r="H643" s="8" t="s">
        <v>591</v>
      </c>
    </row>
    <row r="644" customFormat="false" ht="17.15" hidden="false" customHeight="false" outlineLevel="0" collapsed="false">
      <c r="A644" s="5" t="s">
        <v>592</v>
      </c>
      <c r="B644" s="0" t="s">
        <v>31</v>
      </c>
      <c r="E644" s="26" t="n">
        <f aca="false">w2h_26*C635+h_1h*D635+w2h_26*C636+h_1h*D636</f>
        <v>1.20907716498309</v>
      </c>
      <c r="F644" s="26" t="n">
        <f aca="false">(1-h_1h)*D635+h_1h*E635+(1-h_1h)*D636+h_1h*E636</f>
        <v>1.31695065</v>
      </c>
      <c r="G644" s="26" t="n">
        <f aca="false">(1-h_1h)*E635+h_1h*F635+(1-h_1h)*E636+h_1h*F636</f>
        <v>1.451554482</v>
      </c>
    </row>
    <row r="645" customFormat="false" ht="15" hidden="false" customHeight="false" outlineLevel="0" collapsed="false">
      <c r="A645" s="5" t="s">
        <v>481</v>
      </c>
      <c r="B645" s="0" t="s">
        <v>31</v>
      </c>
      <c r="C645" s="26" t="n">
        <f aca="false">a25_rev/1000</f>
        <v>1.645</v>
      </c>
      <c r="D645" s="26" t="n">
        <f aca="false">a26_rev/1000</f>
        <v>3.014</v>
      </c>
      <c r="E645" s="26" t="n">
        <f aca="false">E643+E644</f>
        <v>6.74566158894506</v>
      </c>
      <c r="F645" s="26" t="n">
        <f aca="false">F643+F644</f>
        <v>9.59606072723568</v>
      </c>
      <c r="G645" s="26" t="n">
        <f aca="false">G643+G644</f>
        <v>11.6399363966681</v>
      </c>
    </row>
    <row r="646" customFormat="false" ht="17.15" hidden="false" customHeight="false" outlineLevel="0" collapsed="false">
      <c r="A646" s="5" t="s">
        <v>593</v>
      </c>
      <c r="B646" s="0" t="s">
        <v>31</v>
      </c>
      <c r="C646" s="26" t="n">
        <f aca="false">a25_cmp/1000</f>
        <v>1.1163</v>
      </c>
      <c r="D646" s="26" t="n">
        <f aca="false">a26_cmp/1000</f>
        <v>2.0056</v>
      </c>
      <c r="E646" s="26" t="n">
        <f aca="false">w2h_26*C637+h_1h*D637</f>
        <v>4.31047810620938</v>
      </c>
      <c r="F646" s="26" t="n">
        <f aca="false">(1-h_1h)*D637+h_1h*E637</f>
        <v>6.19442301495378</v>
      </c>
      <c r="G646" s="26" t="n">
        <f aca="false">(1-h_1h)*E637+h_1h*F637</f>
        <v>7.54169677105052</v>
      </c>
      <c r="H646" s="5" t="s">
        <v>594</v>
      </c>
    </row>
    <row r="647" customFormat="false" ht="17.15" hidden="false" customHeight="false" outlineLevel="0" collapsed="false">
      <c r="A647" s="5" t="s">
        <v>595</v>
      </c>
      <c r="B647" s="0" t="s">
        <v>31</v>
      </c>
      <c r="C647" s="26" t="n">
        <f aca="false">a25_sys/1000</f>
        <v>0.5287</v>
      </c>
      <c r="D647" s="26" t="n">
        <f aca="false">a26_sys/1000</f>
        <v>1.0084</v>
      </c>
      <c r="E647" s="26" t="n">
        <f aca="false">w2h_26*C638+h_1h*D638</f>
        <v>2.43518348273568</v>
      </c>
      <c r="F647" s="26" t="n">
        <f aca="false">(1-h_1h)*D638+h_1h*E638</f>
        <v>3.4016377122819</v>
      </c>
      <c r="G647" s="26" t="n">
        <f aca="false">(1-h_1h)*E638+h_1h*F638</f>
        <v>4.09823962561759</v>
      </c>
      <c r="H647" s="5" t="s">
        <v>596</v>
      </c>
    </row>
    <row r="648" customFormat="false" ht="15" hidden="false" customHeight="false" outlineLevel="0" collapsed="false">
      <c r="A648" s="5" t="s">
        <v>597</v>
      </c>
      <c r="B648" s="0" t="s">
        <v>31</v>
      </c>
      <c r="C648" s="17" t="n">
        <f aca="false">C646+C647-C645</f>
        <v>0</v>
      </c>
      <c r="D648" s="17" t="n">
        <f aca="false">D646+D647-D645</f>
        <v>0</v>
      </c>
      <c r="E648" s="17" t="n">
        <f aca="false">E646+E647-E645</f>
        <v>0</v>
      </c>
      <c r="F648" s="17" t="n">
        <f aca="false">F646+F647-F645</f>
        <v>0</v>
      </c>
      <c r="G648" s="17" t="n">
        <f aca="false">G646+G647-G645</f>
        <v>0</v>
      </c>
    </row>
    <row r="649" customFormat="false" ht="15" hidden="false" customHeight="false" outlineLevel="0" collapsed="false">
      <c r="A649" s="5" t="s">
        <v>598</v>
      </c>
      <c r="B649" s="0" t="s">
        <v>164</v>
      </c>
      <c r="D649" s="16" t="n">
        <f aca="false">D645/C645-1</f>
        <v>0.832218844984802</v>
      </c>
      <c r="E649" s="16" t="n">
        <f aca="false">E645/D645-1</f>
        <v>1.23810935266923</v>
      </c>
      <c r="F649" s="16" t="n">
        <f aca="false">F645/E645-1</f>
        <v>0.422552940242647</v>
      </c>
      <c r="G649" s="16" t="n">
        <f aca="false">G645/F645-1</f>
        <v>0.212991114534266</v>
      </c>
    </row>
    <row r="650" customFormat="false" ht="17.15" hidden="false" customHeight="false" outlineLevel="0" collapsed="false">
      <c r="A650" s="0" t="s">
        <v>599</v>
      </c>
      <c r="B650" s="0" t="s">
        <v>164</v>
      </c>
      <c r="E650" s="16" t="n">
        <f aca="false">E643/E645</f>
        <v>0.82076225600102</v>
      </c>
      <c r="F650" s="16" t="n">
        <f aca="false">F643/F645</f>
        <v>0.862761325982211</v>
      </c>
      <c r="G650" s="16" t="n">
        <f aca="false">G643/G645</f>
        <v>0.875295325289277</v>
      </c>
    </row>
    <row r="651" customFormat="false" ht="17.15" hidden="false" customHeight="false" outlineLevel="0" collapsed="false">
      <c r="A651" s="5" t="s">
        <v>484</v>
      </c>
      <c r="B651" s="0" t="s">
        <v>164</v>
      </c>
      <c r="C651" s="16" t="n">
        <f aca="false">a25_gm</f>
        <v>0.347</v>
      </c>
      <c r="D651" s="16" t="n">
        <f aca="false">a26_gm</f>
        <v>0.46</v>
      </c>
      <c r="E651" s="16" t="n">
        <f aca="false">gm_27</f>
        <v>0.52</v>
      </c>
      <c r="F651" s="16" t="n">
        <f aca="false">gm_28</f>
        <v>0.51</v>
      </c>
      <c r="G651" s="16" t="n">
        <f aca="false">gm_29</f>
        <v>0.49</v>
      </c>
    </row>
    <row r="652" customFormat="false" ht="15" hidden="false" customHeight="false" outlineLevel="0" collapsed="false">
      <c r="A652" s="5" t="s">
        <v>485</v>
      </c>
      <c r="B652" s="0" t="s">
        <v>31</v>
      </c>
      <c r="C652" s="26" t="n">
        <f aca="false">C645*C651</f>
        <v>0.570815</v>
      </c>
      <c r="D652" s="26" t="n">
        <f aca="false">D645*D651</f>
        <v>1.38644</v>
      </c>
      <c r="E652" s="26" t="n">
        <f aca="false">E645*E651</f>
        <v>3.50774402625143</v>
      </c>
      <c r="F652" s="26" t="n">
        <f aca="false">F645*F651</f>
        <v>4.8939909708902</v>
      </c>
      <c r="G652" s="26" t="n">
        <f aca="false">G645*G651</f>
        <v>5.70356883436737</v>
      </c>
    </row>
    <row r="653" customFormat="false" ht="15" hidden="false" customHeight="false" outlineLevel="0" collapsed="false">
      <c r="A653" s="5" t="s">
        <v>600</v>
      </c>
      <c r="B653" s="0" t="s">
        <v>31</v>
      </c>
      <c r="C653" s="26" t="n">
        <f aca="false">a25_opx/1000</f>
        <v>0.4114</v>
      </c>
      <c r="D653" s="26" t="n">
        <f aca="false">a26_opx/1000</f>
        <v>0.4897</v>
      </c>
      <c r="E653" s="26" t="n">
        <f aca="false">D653*(1+MAX(0,phi*E649))</f>
        <v>0.628359310771213</v>
      </c>
      <c r="F653" s="26" t="n">
        <f aca="false">E653*(1+MAX(0,phi*F649))</f>
        <v>0.689081736381965</v>
      </c>
      <c r="G653" s="26" t="n">
        <f aca="false">F653*(1+MAX(0,phi*G649))</f>
        <v>0.722647161679531</v>
      </c>
    </row>
    <row r="654" customFormat="false" ht="15" hidden="false" customHeight="false" outlineLevel="0" collapsed="false">
      <c r="A654" s="5" t="s">
        <v>601</v>
      </c>
      <c r="B654" s="0" t="s">
        <v>31</v>
      </c>
      <c r="C654" s="26" t="n">
        <f aca="false">C653</f>
        <v>0.4114</v>
      </c>
      <c r="D654" s="26" t="n">
        <f aca="false">D653</f>
        <v>0.4897</v>
      </c>
      <c r="E654" s="26" t="n">
        <f aca="false">E653+0*E645</f>
        <v>0.628359310771213</v>
      </c>
      <c r="F654" s="26" t="n">
        <f aca="false">F653+0*F645</f>
        <v>0.689081736381965</v>
      </c>
      <c r="G654" s="26" t="n">
        <f aca="false">G653+0*G645</f>
        <v>0.722647161679531</v>
      </c>
    </row>
    <row r="655" customFormat="false" ht="15" hidden="false" customHeight="false" outlineLevel="0" collapsed="false">
      <c r="A655" s="5" t="s">
        <v>602</v>
      </c>
      <c r="B655" s="0" t="s">
        <v>31</v>
      </c>
      <c r="C655" s="26" t="n">
        <f aca="false">C652-C654</f>
        <v>0.159415</v>
      </c>
      <c r="D655" s="26" t="n">
        <f aca="false">D652-D654</f>
        <v>0.89674</v>
      </c>
      <c r="E655" s="26" t="n">
        <f aca="false">E652-E654</f>
        <v>2.87938471548022</v>
      </c>
      <c r="F655" s="26" t="n">
        <f aca="false">F652-F654</f>
        <v>4.20490923450823</v>
      </c>
      <c r="G655" s="26" t="n">
        <f aca="false">G652-G654</f>
        <v>4.98092167268784</v>
      </c>
    </row>
    <row r="656" customFormat="false" ht="15" hidden="false" customHeight="false" outlineLevel="0" collapsed="false">
      <c r="A656" s="5" t="s">
        <v>489</v>
      </c>
      <c r="B656" s="0" t="s">
        <v>164</v>
      </c>
      <c r="C656" s="16" t="n">
        <f aca="false">C655/C645</f>
        <v>0.0969088145896656</v>
      </c>
      <c r="D656" s="16" t="n">
        <f aca="false">D655/D645</f>
        <v>0.297524883875249</v>
      </c>
      <c r="E656" s="16" t="n">
        <f aca="false">E655/E645</f>
        <v>0.426849861576071</v>
      </c>
      <c r="F656" s="16" t="n">
        <f aca="false">F655/F645</f>
        <v>0.438191186366068</v>
      </c>
      <c r="G656" s="16" t="n">
        <f aca="false">G655/G645</f>
        <v>0.427916571272126</v>
      </c>
    </row>
    <row r="657" customFormat="false" ht="17.15" hidden="false" customHeight="false" outlineLevel="0" collapsed="false">
      <c r="A657" s="5" t="s">
        <v>490</v>
      </c>
      <c r="B657" s="0" t="s">
        <v>31</v>
      </c>
      <c r="C657" s="26" t="n">
        <f aca="false">a25_ni/1000</f>
        <v>0.1464</v>
      </c>
      <c r="D657" s="26" t="n">
        <f aca="false">a26_ni/1000</f>
        <v>0.7823</v>
      </c>
      <c r="E657" s="26" t="n">
        <f aca="false">(E655+oi_oth)*(1-tx)</f>
        <v>2.44788623742598</v>
      </c>
      <c r="F657" s="26" t="n">
        <f aca="false">(F655+oi_oth)*(1-tx)</f>
        <v>3.55469921081437</v>
      </c>
      <c r="G657" s="26" t="n">
        <f aca="false">(G655+oi_oth)*(1-tx)</f>
        <v>4.20266959669435</v>
      </c>
    </row>
    <row r="658" customFormat="false" ht="15" hidden="false" customHeight="false" outlineLevel="0" collapsed="false">
      <c r="A658" s="5" t="s">
        <v>552</v>
      </c>
      <c r="B658" s="0" t="s">
        <v>164</v>
      </c>
      <c r="C658" s="16" t="n">
        <f aca="false">C657/C645</f>
        <v>0.0889969604863222</v>
      </c>
      <c r="D658" s="16" t="n">
        <f aca="false">D657/D645</f>
        <v>0.259555408095554</v>
      </c>
      <c r="E658" s="16" t="n">
        <f aca="false">E657/E645</f>
        <v>0.362883047889273</v>
      </c>
      <c r="F658" s="16" t="n">
        <f aca="false">F657/F645</f>
        <v>0.370433171679018</v>
      </c>
      <c r="G658" s="16" t="n">
        <f aca="false">G657/G645</f>
        <v>0.361056061946983</v>
      </c>
    </row>
    <row r="659" customFormat="false" ht="17.15" hidden="false" customHeight="false" outlineLevel="0" collapsed="false">
      <c r="A659" s="5" t="s">
        <v>494</v>
      </c>
      <c r="B659" s="5" t="s">
        <v>238</v>
      </c>
      <c r="C659" s="15" t="n">
        <f aca="false">a25_sh</f>
        <v>71.0679611650485</v>
      </c>
      <c r="D659" s="15" t="n">
        <f aca="false">a26_sh</f>
        <v>90.2306805074971</v>
      </c>
      <c r="E659" s="15" t="n">
        <f aca="false">sh_q1</f>
        <v>102</v>
      </c>
      <c r="F659" s="15" t="n">
        <f aca="false">E659*(1+sh_g)</f>
        <v>103.02</v>
      </c>
      <c r="G659" s="15" t="n">
        <f aca="false">F659*(1+sh_g)</f>
        <v>104.0502</v>
      </c>
    </row>
    <row r="660" customFormat="false" ht="17.15" hidden="false" customHeight="false" outlineLevel="0" collapsed="false">
      <c r="A660" s="0" t="s">
        <v>496</v>
      </c>
      <c r="B660" s="0" t="s">
        <v>233</v>
      </c>
      <c r="C660" s="9" t="n">
        <f aca="false">C657*1000/C659</f>
        <v>2.06</v>
      </c>
      <c r="D660" s="9" t="n">
        <f aca="false">D657*1000/D659</f>
        <v>8.67</v>
      </c>
      <c r="E660" s="9" t="n">
        <f aca="false">E657*1000/E659</f>
        <v>23.9988846806469</v>
      </c>
      <c r="F660" s="9" t="n">
        <f aca="false">F657*1000/F659</f>
        <v>34.5049428345406</v>
      </c>
      <c r="G660" s="9" t="n">
        <f aca="false">G657*1000/G659</f>
        <v>40.3907882608044</v>
      </c>
    </row>
    <row r="661" customFormat="false" ht="17.15" hidden="false" customHeight="false" outlineLevel="0" collapsed="false">
      <c r="A661" s="0" t="s">
        <v>603</v>
      </c>
      <c r="B661" s="0" t="s">
        <v>164</v>
      </c>
      <c r="D661" s="16" t="n">
        <f aca="false">D660/C660-1</f>
        <v>3.20873786407767</v>
      </c>
      <c r="E661" s="16" t="n">
        <f aca="false">E660/D660-1</f>
        <v>1.7680374487482</v>
      </c>
      <c r="F661" s="16" t="n">
        <f aca="false">F660/E660-1</f>
        <v>0.437772767097214</v>
      </c>
      <c r="G661" s="16" t="n">
        <f aca="false">G660/F660-1</f>
        <v>0.170579776192872</v>
      </c>
    </row>
    <row r="664" customFormat="false" ht="17.15" hidden="false" customHeight="false" outlineLevel="0" collapsed="false">
      <c r="A664" s="3" t="s">
        <v>906</v>
      </c>
    </row>
    <row r="665" customFormat="false" ht="17.15" hidden="false" customHeight="false" outlineLevel="0" collapsed="false">
      <c r="A665" s="1" t="s">
        <v>561</v>
      </c>
    </row>
    <row r="666" customFormat="false" ht="17.15" hidden="false" customHeight="false" outlineLevel="0" collapsed="false">
      <c r="A666" s="6" t="s">
        <v>20</v>
      </c>
      <c r="B666" s="6" t="s">
        <v>21</v>
      </c>
      <c r="C666" s="14" t="s">
        <v>562</v>
      </c>
      <c r="D666" s="14" t="s">
        <v>517</v>
      </c>
      <c r="E666" s="14" t="s">
        <v>518</v>
      </c>
      <c r="F666" s="14" t="s">
        <v>519</v>
      </c>
      <c r="G666" s="14"/>
      <c r="H666" s="6" t="s">
        <v>480</v>
      </c>
    </row>
    <row r="667" customFormat="false" ht="17.15" hidden="false" customHeight="false" outlineLevel="0" collapsed="false">
      <c r="A667" s="0" t="s">
        <v>563</v>
      </c>
      <c r="B667" s="0" t="s">
        <v>31</v>
      </c>
      <c r="C667" s="26" t="n">
        <f aca="false">mpl_26*1</f>
        <v>29.753262</v>
      </c>
      <c r="D667" s="26" t="n">
        <f aca="false">mpl_27*1*1</f>
        <v>53.560715</v>
      </c>
      <c r="E667" s="26" t="n">
        <f aca="false">mpl_28*um28_A*1</f>
        <v>57.9915</v>
      </c>
      <c r="F667" s="26" t="n">
        <f aca="false">mpl_29*um29_A*1</f>
        <v>72.9348</v>
      </c>
    </row>
    <row r="668" customFormat="false" ht="17.15" hidden="false" customHeight="false" outlineLevel="0" collapsed="false">
      <c r="A668" s="5" t="s">
        <v>564</v>
      </c>
      <c r="B668" s="0" t="s">
        <v>97</v>
      </c>
      <c r="C668" s="20" t="n">
        <f aca="false">asp_26</f>
        <v>500</v>
      </c>
      <c r="D668" s="20" t="n">
        <f aca="false">asp_27</f>
        <v>520</v>
      </c>
      <c r="E668" s="20" t="n">
        <f aca="false">asp_28</f>
        <v>540</v>
      </c>
      <c r="F668" s="20" t="n">
        <f aca="false">asp_29</f>
        <v>560</v>
      </c>
    </row>
    <row r="669" customFormat="false" ht="17.15" hidden="false" customHeight="false" outlineLevel="0" collapsed="false">
      <c r="A669" s="5" t="s">
        <v>565</v>
      </c>
      <c r="B669" s="5" t="s">
        <v>349</v>
      </c>
      <c r="C669" s="15" t="n">
        <f aca="false">C667*1000/C668</f>
        <v>59.506524</v>
      </c>
      <c r="D669" s="15" t="n">
        <f aca="false">D667*1000/D668</f>
        <v>103.001375</v>
      </c>
      <c r="E669" s="15" t="n">
        <f aca="false">E667*1000/E668</f>
        <v>107.391666666667</v>
      </c>
      <c r="F669" s="15" t="n">
        <f aca="false">F667*1000/F668</f>
        <v>130.240714285714</v>
      </c>
    </row>
    <row r="670" customFormat="false" ht="17.15" hidden="false" customHeight="false" outlineLevel="0" collapsed="false">
      <c r="A670" s="5" t="s">
        <v>566</v>
      </c>
      <c r="B670" s="5" t="s">
        <v>109</v>
      </c>
      <c r="C670" s="18" t="n">
        <f aca="false">lpm_26</f>
        <v>5.5</v>
      </c>
      <c r="D670" s="18" t="n">
        <f aca="false">lpm_27</f>
        <v>5.5</v>
      </c>
      <c r="E670" s="18" t="n">
        <f aca="false">lpm_28</f>
        <v>5</v>
      </c>
      <c r="F670" s="18" t="n">
        <f aca="false">lpm_29</f>
        <v>4.8</v>
      </c>
    </row>
    <row r="671" customFormat="false" ht="17.15" hidden="false" customHeight="false" outlineLevel="0" collapsed="false">
      <c r="A671" s="5" t="s">
        <v>567</v>
      </c>
      <c r="B671" s="0" t="s">
        <v>121</v>
      </c>
      <c r="C671" s="18" t="n">
        <f aca="false">lasp_26</f>
        <v>13</v>
      </c>
      <c r="D671" s="18" t="n">
        <f aca="false">lasp_27</f>
        <v>15</v>
      </c>
      <c r="E671" s="18" t="n">
        <f aca="false">lasp_28</f>
        <v>15</v>
      </c>
      <c r="F671" s="18" t="n">
        <f aca="false">lasp_29</f>
        <v>14</v>
      </c>
    </row>
    <row r="672" customFormat="false" ht="17.15" hidden="false" customHeight="false" outlineLevel="0" collapsed="false">
      <c r="A672" s="5" t="s">
        <v>568</v>
      </c>
      <c r="B672" s="0" t="s">
        <v>31</v>
      </c>
      <c r="C672" s="26" t="n">
        <f aca="false">C669*C670*C671/1000</f>
        <v>4.254716466</v>
      </c>
      <c r="D672" s="26" t="n">
        <f aca="false">D669*D670*D671/1000</f>
        <v>8.4976134375</v>
      </c>
      <c r="E672" s="26" t="n">
        <f aca="false">E669*E670*E671/1000</f>
        <v>8.054375</v>
      </c>
      <c r="F672" s="26" t="n">
        <f aca="false">F669*F670*F671/1000</f>
        <v>8.752176</v>
      </c>
    </row>
    <row r="673" customFormat="false" ht="17.15" hidden="false" customHeight="false" outlineLevel="0" collapsed="false">
      <c r="A673" s="0" t="s">
        <v>569</v>
      </c>
      <c r="B673" s="0" t="s">
        <v>164</v>
      </c>
      <c r="C673" s="16" t="n">
        <f aca="false">c26_las/1000/C672</f>
        <v>0.43826657190933</v>
      </c>
      <c r="H673" s="8" t="s">
        <v>570</v>
      </c>
    </row>
    <row r="674" customFormat="false" ht="17.15" hidden="false" customHeight="false" outlineLevel="0" collapsed="false">
      <c r="A674" s="5" t="s">
        <v>571</v>
      </c>
      <c r="B674" s="0" t="s">
        <v>75</v>
      </c>
      <c r="C674" s="9" t="n">
        <f aca="false">1</f>
        <v>1</v>
      </c>
      <c r="D674" s="9" t="n">
        <f aca="false">lrel_27</f>
        <v>0.95</v>
      </c>
      <c r="E674" s="9" t="n">
        <f aca="false">lrel_28</f>
        <v>0.95</v>
      </c>
      <c r="F674" s="9" t="n">
        <f aca="false">lrel_29</f>
        <v>0.9</v>
      </c>
    </row>
    <row r="675" customFormat="false" ht="15" hidden="false" customHeight="false" outlineLevel="0" collapsed="false">
      <c r="A675" s="5" t="s">
        <v>572</v>
      </c>
      <c r="B675" s="0" t="s">
        <v>164</v>
      </c>
      <c r="C675" s="16" t="n">
        <f aca="false">$C$673*C674</f>
        <v>0.43826657190933</v>
      </c>
      <c r="D675" s="16" t="n">
        <f aca="false">$C$673*D674</f>
        <v>0.416353243313864</v>
      </c>
      <c r="E675" s="16" t="n">
        <f aca="false">$C$673*E674</f>
        <v>0.416353243313864</v>
      </c>
      <c r="F675" s="16" t="n">
        <f aca="false">$C$673*F674</f>
        <v>0.394439914718397</v>
      </c>
    </row>
    <row r="676" customFormat="false" ht="17.15" hidden="false" customHeight="false" outlineLevel="0" collapsed="false">
      <c r="A676" s="5" t="s">
        <v>573</v>
      </c>
      <c r="B676" s="0" t="s">
        <v>31</v>
      </c>
      <c r="C676" s="26" t="n">
        <f aca="false">C672*C675</f>
        <v>1.8647</v>
      </c>
      <c r="D676" s="26" t="n">
        <f aca="false">D672*D675</f>
        <v>3.53800891513059</v>
      </c>
      <c r="E676" s="26" t="n">
        <f aca="false">E672*E675</f>
        <v>3.3534651541161</v>
      </c>
      <c r="F676" s="26" t="n">
        <f aca="false">F672*F675</f>
        <v>3.4522075550404</v>
      </c>
    </row>
    <row r="677" customFormat="false" ht="17.15" hidden="false" customHeight="false" outlineLevel="0" collapsed="false">
      <c r="A677" s="5" t="s">
        <v>574</v>
      </c>
      <c r="B677" s="0" t="s">
        <v>164</v>
      </c>
      <c r="C677" s="16" t="n">
        <f aca="false">c26_xcvr/1000/C667</f>
        <v>0.0336097601668012</v>
      </c>
    </row>
    <row r="678" customFormat="false" ht="15" hidden="false" customHeight="false" outlineLevel="0" collapsed="false">
      <c r="A678" s="5" t="s">
        <v>575</v>
      </c>
      <c r="B678" s="0" t="s">
        <v>164</v>
      </c>
      <c r="C678" s="16" t="n">
        <f aca="false">C677</f>
        <v>0.0336097601668012</v>
      </c>
      <c r="D678" s="16" t="n">
        <f aca="false">$C$677*mrel_27</f>
        <v>0.0336097601668012</v>
      </c>
      <c r="E678" s="16" t="n">
        <f aca="false">$C$677*mrel_28</f>
        <v>0.0336097601668012</v>
      </c>
      <c r="F678" s="16" t="n">
        <f aca="false">$C$677*mrel_29</f>
        <v>0.0336097601668012</v>
      </c>
    </row>
    <row r="679" customFormat="false" ht="15" hidden="false" customHeight="false" outlineLevel="0" collapsed="false">
      <c r="A679" s="5" t="s">
        <v>576</v>
      </c>
      <c r="B679" s="0" t="s">
        <v>31</v>
      </c>
      <c r="C679" s="26" t="n">
        <f aca="false">C667*C678</f>
        <v>1</v>
      </c>
      <c r="D679" s="26" t="n">
        <f aca="false">D667*D678</f>
        <v>1.80016278551239</v>
      </c>
      <c r="E679" s="26" t="n">
        <f aca="false">E667*E678</f>
        <v>1.94908040671305</v>
      </c>
      <c r="F679" s="26" t="n">
        <f aca="false">F667*F678</f>
        <v>2.45132113581361</v>
      </c>
    </row>
    <row r="680" customFormat="false" ht="17.15" hidden="false" customHeight="false" outlineLevel="0" collapsed="false">
      <c r="A680" s="0" t="s">
        <v>577</v>
      </c>
      <c r="B680" s="5" t="s">
        <v>54</v>
      </c>
      <c r="C680" s="19" t="n">
        <f aca="false">tpu_26*1</f>
        <v>3.85</v>
      </c>
      <c r="D680" s="19" t="n">
        <f aca="false">tpu_27*1</f>
        <v>5.5</v>
      </c>
      <c r="E680" s="19" t="n">
        <f aca="false">tpu_28*um28_A</f>
        <v>7</v>
      </c>
      <c r="F680" s="19" t="n">
        <f aca="false">tpu_29*um29_A</f>
        <v>8.05</v>
      </c>
    </row>
    <row r="681" customFormat="false" ht="17.15" hidden="false" customHeight="false" outlineLevel="0" collapsed="false">
      <c r="A681" s="0" t="s">
        <v>578</v>
      </c>
      <c r="B681" s="0" t="s">
        <v>121</v>
      </c>
      <c r="C681" s="20" t="n">
        <f aca="false">c26_ocs/C680</f>
        <v>129.87012987013</v>
      </c>
      <c r="D681" s="20" t="n">
        <f aca="false">$C681*ocsk_27</f>
        <v>207.792207792208</v>
      </c>
      <c r="E681" s="20" t="n">
        <f aca="false">$C681*ocsk_28</f>
        <v>233.766233766234</v>
      </c>
      <c r="F681" s="20" t="n">
        <f aca="false">$C681*ocsk_29</f>
        <v>233.766233766234</v>
      </c>
    </row>
    <row r="682" customFormat="false" ht="17.15" hidden="false" customHeight="false" outlineLevel="0" collapsed="false">
      <c r="A682" s="0" t="s">
        <v>531</v>
      </c>
      <c r="B682" s="0" t="s">
        <v>31</v>
      </c>
      <c r="C682" s="26" t="n">
        <f aca="false">C680*C681/1000</f>
        <v>0.5</v>
      </c>
      <c r="D682" s="26" t="n">
        <f aca="false">D680*D681/1000</f>
        <v>1.14285714285714</v>
      </c>
      <c r="E682" s="26" t="n">
        <f aca="false">E680*E681/1000</f>
        <v>1.63636363636364</v>
      </c>
      <c r="F682" s="26" t="n">
        <f aca="false">F680*F681/1000</f>
        <v>1.88181818181818</v>
      </c>
    </row>
    <row r="683" customFormat="false" ht="17.15" hidden="false" customHeight="false" outlineLevel="0" collapsed="false">
      <c r="A683" s="0" t="s">
        <v>579</v>
      </c>
      <c r="B683" s="0" t="s">
        <v>31</v>
      </c>
      <c r="C683" s="26" t="n">
        <f aca="false">mcp_26*1</f>
        <v>0.300538</v>
      </c>
      <c r="D683" s="26" t="n">
        <f aca="false">mcp_27*1</f>
        <v>2.818985</v>
      </c>
      <c r="E683" s="26" t="n">
        <f aca="false">mcp_28*um28_A</f>
        <v>6.4435</v>
      </c>
      <c r="F683" s="26" t="n">
        <f aca="false">mcp_29*um29_A</f>
        <v>11.74736</v>
      </c>
    </row>
    <row r="684" customFormat="false" ht="17.15" hidden="false" customHeight="false" outlineLevel="0" collapsed="false">
      <c r="A684" s="0" t="s">
        <v>532</v>
      </c>
      <c r="B684" s="0" t="s">
        <v>164</v>
      </c>
      <c r="C684" s="16" t="n">
        <f aca="false">c26_cpo/1000/C683</f>
        <v>0.166368312825666</v>
      </c>
      <c r="D684" s="16" t="n">
        <f aca="false">cpo_27</f>
        <v>0.25</v>
      </c>
      <c r="E684" s="16" t="n">
        <f aca="false">cpo_28</f>
        <v>0.25</v>
      </c>
      <c r="F684" s="16" t="n">
        <f aca="false">cpo_29</f>
        <v>0.2</v>
      </c>
    </row>
    <row r="685" customFormat="false" ht="17.15" hidden="false" customHeight="false" outlineLevel="0" collapsed="false">
      <c r="A685" s="0" t="s">
        <v>580</v>
      </c>
      <c r="B685" s="0" t="s">
        <v>31</v>
      </c>
      <c r="C685" s="26" t="n">
        <f aca="false">C683*C684</f>
        <v>0.05</v>
      </c>
      <c r="D685" s="26" t="n">
        <f aca="false">D683*D684</f>
        <v>0.70474625</v>
      </c>
      <c r="E685" s="26" t="n">
        <f aca="false">E683*E684</f>
        <v>1.610875</v>
      </c>
      <c r="F685" s="26" t="n">
        <f aca="false">F683*F684</f>
        <v>2.349472</v>
      </c>
    </row>
    <row r="686" customFormat="false" ht="17.15" hidden="false" customHeight="false" outlineLevel="0" collapsed="false">
      <c r="A686" s="0" t="s">
        <v>581</v>
      </c>
      <c r="B686" s="0" t="s">
        <v>31</v>
      </c>
      <c r="C686" s="26" t="n">
        <f aca="false">C676+C679+C682+C685</f>
        <v>3.4147</v>
      </c>
      <c r="D686" s="26" t="n">
        <f aca="false">D676+D679+D682+D685</f>
        <v>7.18577509350013</v>
      </c>
      <c r="E686" s="26" t="n">
        <f aca="false">E676+E679+E682+E685</f>
        <v>8.54978419719279</v>
      </c>
      <c r="F686" s="26" t="n">
        <f aca="false">F676+F679+F682+F685</f>
        <v>10.1348188726722</v>
      </c>
    </row>
    <row r="687" customFormat="false" ht="17.15" hidden="false" customHeight="false" outlineLevel="0" collapsed="false">
      <c r="A687" s="5" t="s">
        <v>582</v>
      </c>
      <c r="B687" s="0" t="s">
        <v>31</v>
      </c>
      <c r="C687" s="26" t="n">
        <f aca="false">c26_tel/1000</f>
        <v>0.75</v>
      </c>
      <c r="D687" s="26" t="n">
        <f aca="false">C687*(1+g_tel_27)</f>
        <v>0.9375</v>
      </c>
      <c r="E687" s="26" t="n">
        <f aca="false">D687*(1+g_tel_28)</f>
        <v>1.078125</v>
      </c>
      <c r="F687" s="26" t="n">
        <f aca="false">E687*(1+g_tel_29)</f>
        <v>1.1859375</v>
      </c>
    </row>
    <row r="688" customFormat="false" ht="17.15" hidden="false" customHeight="false" outlineLevel="0" collapsed="false">
      <c r="A688" s="5" t="s">
        <v>583</v>
      </c>
      <c r="B688" s="0" t="s">
        <v>31</v>
      </c>
      <c r="C688" s="26" t="n">
        <f aca="false">c26_ind/1000</f>
        <v>0.3</v>
      </c>
      <c r="D688" s="26" t="n">
        <f aca="false">C688*(1+g_ind)</f>
        <v>0.309</v>
      </c>
      <c r="E688" s="26" t="n">
        <f aca="false">D688*(1+g_ind)</f>
        <v>0.31827</v>
      </c>
      <c r="F688" s="26" t="n">
        <f aca="false">E688*(1+g_ind)</f>
        <v>0.3278181</v>
      </c>
    </row>
    <row r="689" customFormat="false" ht="17.15" hidden="false" customHeight="false" outlineLevel="0" collapsed="false">
      <c r="A689" s="5" t="s">
        <v>584</v>
      </c>
      <c r="B689" s="0" t="s">
        <v>31</v>
      </c>
      <c r="C689" s="26" t="n">
        <f aca="false">C676+C687+C685+C688/2</f>
        <v>2.8147</v>
      </c>
      <c r="D689" s="26" t="n">
        <f aca="false">D676+D687+D685+D688/2</f>
        <v>5.3347551651306</v>
      </c>
      <c r="E689" s="26" t="n">
        <f aca="false">E676+E687+E685+E688/2</f>
        <v>6.2016001541161</v>
      </c>
      <c r="F689" s="26" t="n">
        <f aca="false">F676+F687+F685+F688/2</f>
        <v>7.1515261050404</v>
      </c>
      <c r="H689" s="5" t="s">
        <v>585</v>
      </c>
    </row>
    <row r="690" customFormat="false" ht="17.15" hidden="false" customHeight="false" outlineLevel="0" collapsed="false">
      <c r="A690" s="5" t="s">
        <v>586</v>
      </c>
      <c r="B690" s="0" t="s">
        <v>31</v>
      </c>
      <c r="C690" s="26" t="n">
        <f aca="false">C679+C682+C688/2</f>
        <v>1.65</v>
      </c>
      <c r="D690" s="26" t="n">
        <f aca="false">D679+D682+D688/2</f>
        <v>3.09751992836953</v>
      </c>
      <c r="E690" s="26" t="n">
        <f aca="false">E679+E682+E688/2</f>
        <v>3.74457904307669</v>
      </c>
      <c r="F690" s="26" t="n">
        <f aca="false">F679+F682+F688/2</f>
        <v>4.49704836763179</v>
      </c>
    </row>
    <row r="691" customFormat="false" ht="15" hidden="false" customHeight="false" outlineLevel="0" collapsed="false">
      <c r="A691" s="5" t="s">
        <v>587</v>
      </c>
      <c r="B691" s="0" t="s">
        <v>31</v>
      </c>
      <c r="C691" s="26" t="n">
        <f aca="false">C686+C687+C688</f>
        <v>4.4647</v>
      </c>
      <c r="D691" s="26" t="n">
        <f aca="false">D686+D687+D688</f>
        <v>8.43227509350013</v>
      </c>
      <c r="E691" s="26" t="n">
        <f aca="false">E686+E687+E688</f>
        <v>9.94617919719279</v>
      </c>
      <c r="F691" s="26" t="n">
        <f aca="false">F686+F687+F688</f>
        <v>11.6485744726722</v>
      </c>
    </row>
    <row r="692" customFormat="false" ht="15" hidden="false" customHeight="false" outlineLevel="0" collapsed="false">
      <c r="A692" s="5" t="s">
        <v>588</v>
      </c>
      <c r="B692" s="0" t="s">
        <v>164</v>
      </c>
      <c r="D692" s="16" t="n">
        <f aca="false">D691/C691-1</f>
        <v>0.888654353819995</v>
      </c>
      <c r="E692" s="16" t="n">
        <f aca="false">E691/D691-1</f>
        <v>0.179536849415602</v>
      </c>
      <c r="F692" s="16" t="n">
        <f aca="false">F691/E691-1</f>
        <v>0.171160728328712</v>
      </c>
    </row>
    <row r="693" customFormat="false" ht="17.15" hidden="false" customHeight="false" outlineLevel="0" collapsed="false">
      <c r="A693" s="1" t="s">
        <v>589</v>
      </c>
    </row>
    <row r="694" customFormat="false" ht="17.15" hidden="false" customHeight="false" outlineLevel="0" collapsed="false">
      <c r="A694" s="6" t="s">
        <v>20</v>
      </c>
      <c r="B694" s="6" t="s">
        <v>21</v>
      </c>
      <c r="C694" s="14" t="s">
        <v>472</v>
      </c>
      <c r="D694" s="14" t="s">
        <v>539</v>
      </c>
      <c r="E694" s="14" t="s">
        <v>540</v>
      </c>
      <c r="F694" s="14" t="s">
        <v>541</v>
      </c>
      <c r="G694" s="14" t="s">
        <v>542</v>
      </c>
      <c r="H694" s="6" t="s">
        <v>480</v>
      </c>
    </row>
    <row r="695" customFormat="false" ht="17.15" hidden="false" customHeight="false" outlineLevel="0" collapsed="false">
      <c r="A695" s="0" t="s">
        <v>590</v>
      </c>
      <c r="B695" s="0" t="s">
        <v>31</v>
      </c>
      <c r="E695" s="26" t="n">
        <f aca="false">w2h_26*C686+h_1h*D686</f>
        <v>5.40409212896197</v>
      </c>
      <c r="F695" s="26" t="n">
        <f aca="false">(1-h_1h)*D686+h_1h*E686</f>
        <v>7.82685937223568</v>
      </c>
      <c r="G695" s="26" t="n">
        <f aca="false">(1-h_1h)*E686+h_1h*F686</f>
        <v>9.29475049466811</v>
      </c>
      <c r="H695" s="8" t="s">
        <v>591</v>
      </c>
    </row>
    <row r="696" customFormat="false" ht="17.15" hidden="false" customHeight="false" outlineLevel="0" collapsed="false">
      <c r="A696" s="5" t="s">
        <v>592</v>
      </c>
      <c r="B696" s="0" t="s">
        <v>31</v>
      </c>
      <c r="E696" s="26" t="n">
        <f aca="false">w2h_26*C687+h_1h*D687+w2h_26*C688+h_1h*D688</f>
        <v>1.20907716498309</v>
      </c>
      <c r="F696" s="26" t="n">
        <f aca="false">(1-h_1h)*D687+h_1h*E687+(1-h_1h)*D688+h_1h*E688</f>
        <v>1.31695065</v>
      </c>
      <c r="G696" s="26" t="n">
        <f aca="false">(1-h_1h)*E687+h_1h*F687+(1-h_1h)*E688+h_1h*F688</f>
        <v>1.451554482</v>
      </c>
    </row>
    <row r="697" customFormat="false" ht="15" hidden="false" customHeight="false" outlineLevel="0" collapsed="false">
      <c r="A697" s="5" t="s">
        <v>481</v>
      </c>
      <c r="B697" s="0" t="s">
        <v>31</v>
      </c>
      <c r="C697" s="26" t="n">
        <f aca="false">a25_rev/1000</f>
        <v>1.645</v>
      </c>
      <c r="D697" s="26" t="n">
        <f aca="false">a26_rev/1000</f>
        <v>3.014</v>
      </c>
      <c r="E697" s="26" t="n">
        <f aca="false">E695+E696</f>
        <v>6.61316929394506</v>
      </c>
      <c r="F697" s="26" t="n">
        <f aca="false">F695+F696</f>
        <v>9.14381002223568</v>
      </c>
      <c r="G697" s="26" t="n">
        <f aca="false">G695+G696</f>
        <v>10.7463049766681</v>
      </c>
    </row>
    <row r="698" customFormat="false" ht="17.15" hidden="false" customHeight="false" outlineLevel="0" collapsed="false">
      <c r="A698" s="5" t="s">
        <v>593</v>
      </c>
      <c r="B698" s="0" t="s">
        <v>31</v>
      </c>
      <c r="C698" s="26" t="n">
        <f aca="false">a25_cmp/1000</f>
        <v>1.1163</v>
      </c>
      <c r="D698" s="26" t="n">
        <f aca="false">a26_cmp/1000</f>
        <v>2.0056</v>
      </c>
      <c r="E698" s="26" t="n">
        <f aca="false">w2h_26*C689+h_1h*D689</f>
        <v>4.17798581120938</v>
      </c>
      <c r="F698" s="26" t="n">
        <f aca="false">(1-h_1h)*D689+h_1h*E689</f>
        <v>5.74217230995378</v>
      </c>
      <c r="G698" s="26" t="n">
        <f aca="false">(1-h_1h)*E689+h_1h*F689</f>
        <v>6.64806535105052</v>
      </c>
      <c r="H698" s="5" t="s">
        <v>594</v>
      </c>
    </row>
    <row r="699" customFormat="false" ht="17.15" hidden="false" customHeight="false" outlineLevel="0" collapsed="false">
      <c r="A699" s="5" t="s">
        <v>595</v>
      </c>
      <c r="B699" s="0" t="s">
        <v>31</v>
      </c>
      <c r="C699" s="26" t="n">
        <f aca="false">a25_sys/1000</f>
        <v>0.5287</v>
      </c>
      <c r="D699" s="26" t="n">
        <f aca="false">a26_sys/1000</f>
        <v>1.0084</v>
      </c>
      <c r="E699" s="26" t="n">
        <f aca="false">w2h_26*C690+h_1h*D690</f>
        <v>2.43518348273568</v>
      </c>
      <c r="F699" s="26" t="n">
        <f aca="false">(1-h_1h)*D690+h_1h*E690</f>
        <v>3.4016377122819</v>
      </c>
      <c r="G699" s="26" t="n">
        <f aca="false">(1-h_1h)*E690+h_1h*F690</f>
        <v>4.09823962561759</v>
      </c>
      <c r="H699" s="5" t="s">
        <v>596</v>
      </c>
    </row>
    <row r="700" customFormat="false" ht="15" hidden="false" customHeight="false" outlineLevel="0" collapsed="false">
      <c r="A700" s="5" t="s">
        <v>597</v>
      </c>
      <c r="B700" s="0" t="s">
        <v>31</v>
      </c>
      <c r="C700" s="17" t="n">
        <f aca="false">C698+C699-C697</f>
        <v>0</v>
      </c>
      <c r="D700" s="17" t="n">
        <f aca="false">D698+D699-D697</f>
        <v>0</v>
      </c>
      <c r="E700" s="17" t="n">
        <f aca="false">E698+E699-E697</f>
        <v>0</v>
      </c>
      <c r="F700" s="17" t="n">
        <f aca="false">F698+F699-F697</f>
        <v>0</v>
      </c>
      <c r="G700" s="17" t="n">
        <f aca="false">G698+G699-G697</f>
        <v>0</v>
      </c>
    </row>
    <row r="701" customFormat="false" ht="15" hidden="false" customHeight="false" outlineLevel="0" collapsed="false">
      <c r="A701" s="5" t="s">
        <v>598</v>
      </c>
      <c r="B701" s="0" t="s">
        <v>164</v>
      </c>
      <c r="D701" s="16" t="n">
        <f aca="false">D697/C697-1</f>
        <v>0.832218844984802</v>
      </c>
      <c r="E701" s="16" t="n">
        <f aca="false">E697/D697-1</f>
        <v>1.19415039613307</v>
      </c>
      <c r="F701" s="16" t="n">
        <f aca="false">F697/E697-1</f>
        <v>0.38266685998915</v>
      </c>
      <c r="G701" s="16" t="n">
        <f aca="false">G697/F697-1</f>
        <v>0.175254620397354</v>
      </c>
    </row>
    <row r="702" customFormat="false" ht="17.15" hidden="false" customHeight="false" outlineLevel="0" collapsed="false">
      <c r="A702" s="0" t="s">
        <v>599</v>
      </c>
      <c r="B702" s="0" t="s">
        <v>164</v>
      </c>
      <c r="E702" s="16" t="n">
        <f aca="false">E695/E697</f>
        <v>0.817171296961941</v>
      </c>
      <c r="F702" s="16" t="n">
        <f aca="false">F695/F697</f>
        <v>0.855973533264856</v>
      </c>
      <c r="G702" s="16" t="n">
        <f aca="false">G695/G697</f>
        <v>0.864925247780372</v>
      </c>
    </row>
    <row r="703" customFormat="false" ht="17.15" hidden="false" customHeight="false" outlineLevel="0" collapsed="false">
      <c r="A703" s="5" t="s">
        <v>484</v>
      </c>
      <c r="B703" s="0" t="s">
        <v>164</v>
      </c>
      <c r="C703" s="16" t="n">
        <f aca="false">a25_gm</f>
        <v>0.347</v>
      </c>
      <c r="D703" s="16" t="n">
        <f aca="false">a26_gm</f>
        <v>0.46</v>
      </c>
      <c r="E703" s="16" t="n">
        <f aca="false">GMLO_27</f>
        <v>0.49</v>
      </c>
      <c r="F703" s="16" t="n">
        <f aca="false">GMLO_28</f>
        <v>0.46</v>
      </c>
      <c r="G703" s="16" t="n">
        <f aca="false">GMLO_29</f>
        <v>0.42</v>
      </c>
    </row>
    <row r="704" customFormat="false" ht="15" hidden="false" customHeight="false" outlineLevel="0" collapsed="false">
      <c r="A704" s="5" t="s">
        <v>485</v>
      </c>
      <c r="B704" s="0" t="s">
        <v>31</v>
      </c>
      <c r="C704" s="26" t="n">
        <f aca="false">C697*C703</f>
        <v>0.570815</v>
      </c>
      <c r="D704" s="26" t="n">
        <f aca="false">D697*D703</f>
        <v>1.38644</v>
      </c>
      <c r="E704" s="26" t="n">
        <f aca="false">E697*E703</f>
        <v>3.24045295403308</v>
      </c>
      <c r="F704" s="26" t="n">
        <f aca="false">F697*F703</f>
        <v>4.20615261022841</v>
      </c>
      <c r="G704" s="26" t="n">
        <f aca="false">G697*G703</f>
        <v>4.51344809020061</v>
      </c>
    </row>
    <row r="705" customFormat="false" ht="15" hidden="false" customHeight="false" outlineLevel="0" collapsed="false">
      <c r="A705" s="5" t="s">
        <v>600</v>
      </c>
      <c r="B705" s="0" t="s">
        <v>31</v>
      </c>
      <c r="C705" s="26" t="n">
        <f aca="false">a25_opx/1000</f>
        <v>0.4114</v>
      </c>
      <c r="D705" s="26" t="n">
        <f aca="false">a26_opx/1000</f>
        <v>0.4897</v>
      </c>
      <c r="E705" s="26" t="n">
        <f aca="false">D705*(1+MAX(0,phi*E701))</f>
        <v>0.623436224936844</v>
      </c>
      <c r="F705" s="26" t="n">
        <f aca="false">E705*(1+MAX(0,phi*F701))</f>
        <v>0.677996030642651</v>
      </c>
      <c r="G705" s="26" t="n">
        <f aca="false">F705*(1+MAX(0,phi*G701))</f>
        <v>0.705170217450754</v>
      </c>
    </row>
    <row r="706" customFormat="false" ht="15" hidden="false" customHeight="false" outlineLevel="0" collapsed="false">
      <c r="A706" s="5" t="s">
        <v>601</v>
      </c>
      <c r="B706" s="0" t="s">
        <v>31</v>
      </c>
      <c r="C706" s="26" t="n">
        <f aca="false">C705</f>
        <v>0.4114</v>
      </c>
      <c r="D706" s="26" t="n">
        <f aca="false">D705</f>
        <v>0.4897</v>
      </c>
      <c r="E706" s="26" t="n">
        <f aca="false">E705+0*E697</f>
        <v>0.623436224936844</v>
      </c>
      <c r="F706" s="26" t="n">
        <f aca="false">F705+0*F697</f>
        <v>0.677996030642651</v>
      </c>
      <c r="G706" s="26" t="n">
        <f aca="false">G705+0*G697</f>
        <v>0.705170217450754</v>
      </c>
    </row>
    <row r="707" customFormat="false" ht="15" hidden="false" customHeight="false" outlineLevel="0" collapsed="false">
      <c r="A707" s="5" t="s">
        <v>602</v>
      </c>
      <c r="B707" s="0" t="s">
        <v>31</v>
      </c>
      <c r="C707" s="26" t="n">
        <f aca="false">C704-C706</f>
        <v>0.159415</v>
      </c>
      <c r="D707" s="26" t="n">
        <f aca="false">D704-D706</f>
        <v>0.89674</v>
      </c>
      <c r="E707" s="26" t="n">
        <f aca="false">E704-E706</f>
        <v>2.61701672909624</v>
      </c>
      <c r="F707" s="26" t="n">
        <f aca="false">F704-F706</f>
        <v>3.52815657958576</v>
      </c>
      <c r="G707" s="26" t="n">
        <f aca="false">G704-G706</f>
        <v>3.80827787274985</v>
      </c>
    </row>
    <row r="708" customFormat="false" ht="15" hidden="false" customHeight="false" outlineLevel="0" collapsed="false">
      <c r="A708" s="5" t="s">
        <v>489</v>
      </c>
      <c r="B708" s="0" t="s">
        <v>164</v>
      </c>
      <c r="C708" s="16" t="n">
        <f aca="false">C707/C697</f>
        <v>0.0969088145896656</v>
      </c>
      <c r="D708" s="16" t="n">
        <f aca="false">D707/D697</f>
        <v>0.297524883875249</v>
      </c>
      <c r="E708" s="16" t="n">
        <f aca="false">E707/E697</f>
        <v>0.395728071182503</v>
      </c>
      <c r="F708" s="16" t="n">
        <f aca="false">F707/F697</f>
        <v>0.385851911949842</v>
      </c>
      <c r="G708" s="16" t="n">
        <f aca="false">G707/G697</f>
        <v>0.354380215433883</v>
      </c>
    </row>
    <row r="709" customFormat="false" ht="17.15" hidden="false" customHeight="false" outlineLevel="0" collapsed="false">
      <c r="A709" s="5" t="s">
        <v>490</v>
      </c>
      <c r="B709" s="0" t="s">
        <v>31</v>
      </c>
      <c r="C709" s="26" t="n">
        <f aca="false">a25_ni/1000</f>
        <v>0.1464</v>
      </c>
      <c r="D709" s="26" t="n">
        <f aca="false">a26_ni/1000</f>
        <v>0.7823</v>
      </c>
      <c r="E709" s="26" t="n">
        <f aca="false">(E707+oi_oth)*(1-tx)</f>
        <v>2.22880896879536</v>
      </c>
      <c r="F709" s="26" t="n">
        <f aca="false">(F707+oi_oth)*(1-tx)</f>
        <v>2.98961074395411</v>
      </c>
      <c r="G709" s="26" t="n">
        <f aca="false">(G707+oi_oth)*(1-tx)</f>
        <v>3.22351202374613</v>
      </c>
    </row>
    <row r="710" customFormat="false" ht="15" hidden="false" customHeight="false" outlineLevel="0" collapsed="false">
      <c r="A710" s="5" t="s">
        <v>552</v>
      </c>
      <c r="B710" s="0" t="s">
        <v>164</v>
      </c>
      <c r="C710" s="16" t="n">
        <f aca="false">C709/C697</f>
        <v>0.0889969604863222</v>
      </c>
      <c r="D710" s="16" t="n">
        <f aca="false">D709/D697</f>
        <v>0.259555408095554</v>
      </c>
      <c r="E710" s="16" t="n">
        <f aca="false">E709/E697</f>
        <v>0.337025844905563</v>
      </c>
      <c r="F710" s="16" t="n">
        <f aca="false">F709/F697</f>
        <v>0.326954599525149</v>
      </c>
      <c r="G710" s="16" t="n">
        <f aca="false">G709/G697</f>
        <v>0.299964688397069</v>
      </c>
    </row>
    <row r="711" customFormat="false" ht="17.15" hidden="false" customHeight="false" outlineLevel="0" collapsed="false">
      <c r="A711" s="5" t="s">
        <v>494</v>
      </c>
      <c r="B711" s="5" t="s">
        <v>238</v>
      </c>
      <c r="C711" s="15" t="n">
        <f aca="false">a25_sh</f>
        <v>71.0679611650485</v>
      </c>
      <c r="D711" s="15" t="n">
        <f aca="false">a26_sh</f>
        <v>90.2306805074971</v>
      </c>
      <c r="E711" s="15" t="n">
        <f aca="false">sh_q1</f>
        <v>102</v>
      </c>
      <c r="F711" s="15" t="n">
        <f aca="false">E711*(1+sh_g)</f>
        <v>103.02</v>
      </c>
      <c r="G711" s="15" t="n">
        <f aca="false">F711*(1+sh_g)</f>
        <v>104.0502</v>
      </c>
    </row>
    <row r="712" customFormat="false" ht="17.15" hidden="false" customHeight="false" outlineLevel="0" collapsed="false">
      <c r="A712" s="0" t="s">
        <v>496</v>
      </c>
      <c r="B712" s="0" t="s">
        <v>233</v>
      </c>
      <c r="C712" s="9" t="n">
        <f aca="false">C709*1000/C711</f>
        <v>2.06</v>
      </c>
      <c r="D712" s="9" t="n">
        <f aca="false">D709*1000/D711</f>
        <v>8.67</v>
      </c>
      <c r="E712" s="9" t="n">
        <f aca="false">E709*1000/E711</f>
        <v>21.8510683215231</v>
      </c>
      <c r="F712" s="9" t="n">
        <f aca="false">F709*1000/F711</f>
        <v>29.0197121331209</v>
      </c>
      <c r="G712" s="9" t="n">
        <f aca="false">G709*1000/G711</f>
        <v>30.9803539420984</v>
      </c>
    </row>
    <row r="713" customFormat="false" ht="17.15" hidden="false" customHeight="false" outlineLevel="0" collapsed="false">
      <c r="A713" s="0" t="s">
        <v>603</v>
      </c>
      <c r="B713" s="0" t="s">
        <v>164</v>
      </c>
      <c r="D713" s="16" t="n">
        <f aca="false">D712/C712-1</f>
        <v>3.20873786407767</v>
      </c>
      <c r="E713" s="16" t="n">
        <f aca="false">E712/D712-1</f>
        <v>1.52030776488156</v>
      </c>
      <c r="F713" s="16" t="n">
        <f aca="false">F712/E712-1</f>
        <v>0.328068344582343</v>
      </c>
      <c r="G713" s="16" t="n">
        <f aca="false">G712/F712-1</f>
        <v>0.0675624141267692</v>
      </c>
    </row>
    <row r="716" customFormat="false" ht="17.15" hidden="false" customHeight="false" outlineLevel="0" collapsed="false">
      <c r="A716" s="3" t="s">
        <v>907</v>
      </c>
    </row>
    <row r="717" customFormat="false" ht="17.15" hidden="false" customHeight="false" outlineLevel="0" collapsed="false">
      <c r="A717" s="1" t="s">
        <v>561</v>
      </c>
    </row>
    <row r="718" customFormat="false" ht="17.15" hidden="false" customHeight="false" outlineLevel="0" collapsed="false">
      <c r="A718" s="6" t="s">
        <v>20</v>
      </c>
      <c r="B718" s="6" t="s">
        <v>21</v>
      </c>
      <c r="C718" s="14" t="s">
        <v>562</v>
      </c>
      <c r="D718" s="14" t="s">
        <v>517</v>
      </c>
      <c r="E718" s="14" t="s">
        <v>518</v>
      </c>
      <c r="F718" s="14" t="s">
        <v>519</v>
      </c>
      <c r="G718" s="14"/>
      <c r="H718" s="6" t="s">
        <v>480</v>
      </c>
    </row>
    <row r="719" customFormat="false" ht="17.15" hidden="false" customHeight="false" outlineLevel="0" collapsed="false">
      <c r="A719" s="0" t="s">
        <v>563</v>
      </c>
      <c r="B719" s="0" t="s">
        <v>31</v>
      </c>
      <c r="C719" s="26" t="n">
        <f aca="false">mpl_26*1</f>
        <v>29.753262</v>
      </c>
      <c r="D719" s="26" t="n">
        <f aca="false">mpl_27*1*1</f>
        <v>53.560715</v>
      </c>
      <c r="E719" s="26" t="n">
        <f aca="false">mpl_28*um28_A*1</f>
        <v>57.9915</v>
      </c>
      <c r="F719" s="26" t="n">
        <f aca="false">mpl_29*um29_A*1</f>
        <v>72.9348</v>
      </c>
    </row>
    <row r="720" customFormat="false" ht="17.15" hidden="false" customHeight="false" outlineLevel="0" collapsed="false">
      <c r="A720" s="5" t="s">
        <v>564</v>
      </c>
      <c r="B720" s="0" t="s">
        <v>97</v>
      </c>
      <c r="C720" s="20" t="n">
        <f aca="false">asp_26</f>
        <v>500</v>
      </c>
      <c r="D720" s="20" t="n">
        <f aca="false">asp_27</f>
        <v>520</v>
      </c>
      <c r="E720" s="20" t="n">
        <f aca="false">asp_28</f>
        <v>540</v>
      </c>
      <c r="F720" s="20" t="n">
        <f aca="false">asp_29</f>
        <v>560</v>
      </c>
    </row>
    <row r="721" customFormat="false" ht="17.15" hidden="false" customHeight="false" outlineLevel="0" collapsed="false">
      <c r="A721" s="5" t="s">
        <v>565</v>
      </c>
      <c r="B721" s="5" t="s">
        <v>349</v>
      </c>
      <c r="C721" s="15" t="n">
        <f aca="false">C719*1000/C720</f>
        <v>59.506524</v>
      </c>
      <c r="D721" s="15" t="n">
        <f aca="false">D719*1000/D720</f>
        <v>103.001375</v>
      </c>
      <c r="E721" s="15" t="n">
        <f aca="false">E719*1000/E720</f>
        <v>107.391666666667</v>
      </c>
      <c r="F721" s="15" t="n">
        <f aca="false">F719*1000/F720</f>
        <v>130.240714285714</v>
      </c>
    </row>
    <row r="722" customFormat="false" ht="17.15" hidden="false" customHeight="false" outlineLevel="0" collapsed="false">
      <c r="A722" s="5" t="s">
        <v>566</v>
      </c>
      <c r="B722" s="5" t="s">
        <v>109</v>
      </c>
      <c r="C722" s="18" t="n">
        <f aca="false">lpm_26</f>
        <v>5.5</v>
      </c>
      <c r="D722" s="18" t="n">
        <f aca="false">lpm_27</f>
        <v>5.5</v>
      </c>
      <c r="E722" s="18" t="n">
        <f aca="false">lpm_28</f>
        <v>5</v>
      </c>
      <c r="F722" s="18" t="n">
        <f aca="false">lpm_29</f>
        <v>4.8</v>
      </c>
    </row>
    <row r="723" customFormat="false" ht="17.15" hidden="false" customHeight="false" outlineLevel="0" collapsed="false">
      <c r="A723" s="5" t="s">
        <v>567</v>
      </c>
      <c r="B723" s="0" t="s">
        <v>121</v>
      </c>
      <c r="C723" s="18" t="n">
        <f aca="false">lasp_26</f>
        <v>13</v>
      </c>
      <c r="D723" s="18" t="n">
        <f aca="false">lasp_27</f>
        <v>15</v>
      </c>
      <c r="E723" s="18" t="n">
        <f aca="false">lasp_28</f>
        <v>15</v>
      </c>
      <c r="F723" s="18" t="n">
        <f aca="false">lasp_29</f>
        <v>14</v>
      </c>
    </row>
    <row r="724" customFormat="false" ht="17.15" hidden="false" customHeight="false" outlineLevel="0" collapsed="false">
      <c r="A724" s="5" t="s">
        <v>568</v>
      </c>
      <c r="B724" s="0" t="s">
        <v>31</v>
      </c>
      <c r="C724" s="26" t="n">
        <f aca="false">C721*C722*C723/1000</f>
        <v>4.254716466</v>
      </c>
      <c r="D724" s="26" t="n">
        <f aca="false">D721*D722*D723/1000</f>
        <v>8.4976134375</v>
      </c>
      <c r="E724" s="26" t="n">
        <f aca="false">E721*E722*E723/1000</f>
        <v>8.054375</v>
      </c>
      <c r="F724" s="26" t="n">
        <f aca="false">F721*F722*F723/1000</f>
        <v>8.752176</v>
      </c>
    </row>
    <row r="725" customFormat="false" ht="17.15" hidden="false" customHeight="false" outlineLevel="0" collapsed="false">
      <c r="A725" s="0" t="s">
        <v>569</v>
      </c>
      <c r="B725" s="0" t="s">
        <v>164</v>
      </c>
      <c r="C725" s="16" t="n">
        <f aca="false">c26_las/1000/C724</f>
        <v>0.43826657190933</v>
      </c>
      <c r="H725" s="8" t="s">
        <v>570</v>
      </c>
    </row>
    <row r="726" customFormat="false" ht="17.15" hidden="false" customHeight="false" outlineLevel="0" collapsed="false">
      <c r="A726" s="5" t="s">
        <v>571</v>
      </c>
      <c r="B726" s="0" t="s">
        <v>75</v>
      </c>
      <c r="C726" s="9" t="n">
        <f aca="false">1</f>
        <v>1</v>
      </c>
      <c r="D726" s="9" t="n">
        <f aca="false">lrel_27</f>
        <v>0.95</v>
      </c>
      <c r="E726" s="9" t="n">
        <f aca="false">lrel_28</f>
        <v>0.95</v>
      </c>
      <c r="F726" s="9" t="n">
        <f aca="false">lrel_29</f>
        <v>0.9</v>
      </c>
    </row>
    <row r="727" customFormat="false" ht="15" hidden="false" customHeight="false" outlineLevel="0" collapsed="false">
      <c r="A727" s="5" t="s">
        <v>572</v>
      </c>
      <c r="B727" s="0" t="s">
        <v>164</v>
      </c>
      <c r="C727" s="16" t="n">
        <f aca="false">$C$725*C726</f>
        <v>0.43826657190933</v>
      </c>
      <c r="D727" s="16" t="n">
        <f aca="false">$C$725*D726</f>
        <v>0.416353243313864</v>
      </c>
      <c r="E727" s="16" t="n">
        <f aca="false">$C$725*E726</f>
        <v>0.416353243313864</v>
      </c>
      <c r="F727" s="16" t="n">
        <f aca="false">$C$725*F726</f>
        <v>0.394439914718397</v>
      </c>
    </row>
    <row r="728" customFormat="false" ht="17.15" hidden="false" customHeight="false" outlineLevel="0" collapsed="false">
      <c r="A728" s="5" t="s">
        <v>573</v>
      </c>
      <c r="B728" s="0" t="s">
        <v>31</v>
      </c>
      <c r="C728" s="26" t="n">
        <f aca="false">C724*C727</f>
        <v>1.8647</v>
      </c>
      <c r="D728" s="26" t="n">
        <f aca="false">D724*D727</f>
        <v>3.53800891513059</v>
      </c>
      <c r="E728" s="26" t="n">
        <f aca="false">E724*E727</f>
        <v>3.3534651541161</v>
      </c>
      <c r="F728" s="26" t="n">
        <f aca="false">F724*F727</f>
        <v>3.4522075550404</v>
      </c>
    </row>
    <row r="729" customFormat="false" ht="17.15" hidden="false" customHeight="false" outlineLevel="0" collapsed="false">
      <c r="A729" s="5" t="s">
        <v>574</v>
      </c>
      <c r="B729" s="0" t="s">
        <v>164</v>
      </c>
      <c r="C729" s="16" t="n">
        <f aca="false">c26_xcvr/1000/C719</f>
        <v>0.0336097601668012</v>
      </c>
    </row>
    <row r="730" customFormat="false" ht="15" hidden="false" customHeight="false" outlineLevel="0" collapsed="false">
      <c r="A730" s="5" t="s">
        <v>575</v>
      </c>
      <c r="B730" s="0" t="s">
        <v>164</v>
      </c>
      <c r="C730" s="16" t="n">
        <f aca="false">C729</f>
        <v>0.0336097601668012</v>
      </c>
      <c r="D730" s="16" t="n">
        <f aca="false">$C$729*mrel_27</f>
        <v>0.0336097601668012</v>
      </c>
      <c r="E730" s="16" t="n">
        <f aca="false">$C$729*mrel_28</f>
        <v>0.0336097601668012</v>
      </c>
      <c r="F730" s="16" t="n">
        <f aca="false">$C$729*mrel_29</f>
        <v>0.0336097601668012</v>
      </c>
    </row>
    <row r="731" customFormat="false" ht="15" hidden="false" customHeight="false" outlineLevel="0" collapsed="false">
      <c r="A731" s="5" t="s">
        <v>576</v>
      </c>
      <c r="B731" s="0" t="s">
        <v>31</v>
      </c>
      <c r="C731" s="26" t="n">
        <f aca="false">C719*C730</f>
        <v>1</v>
      </c>
      <c r="D731" s="26" t="n">
        <f aca="false">D719*D730</f>
        <v>1.80016278551239</v>
      </c>
      <c r="E731" s="26" t="n">
        <f aca="false">E719*E730</f>
        <v>1.94908040671305</v>
      </c>
      <c r="F731" s="26" t="n">
        <f aca="false">F719*F730</f>
        <v>2.45132113581361</v>
      </c>
    </row>
    <row r="732" customFormat="false" ht="17.15" hidden="false" customHeight="false" outlineLevel="0" collapsed="false">
      <c r="A732" s="0" t="s">
        <v>577</v>
      </c>
      <c r="B732" s="5" t="s">
        <v>54</v>
      </c>
      <c r="C732" s="19" t="n">
        <f aca="false">tpu_26*1</f>
        <v>3.85</v>
      </c>
      <c r="D732" s="19" t="n">
        <f aca="false">tpu_27*1</f>
        <v>5.5</v>
      </c>
      <c r="E732" s="19" t="n">
        <f aca="false">tpu_28*um28_A</f>
        <v>7</v>
      </c>
      <c r="F732" s="19" t="n">
        <f aca="false">tpu_29*um29_A</f>
        <v>8.05</v>
      </c>
    </row>
    <row r="733" customFormat="false" ht="17.15" hidden="false" customHeight="false" outlineLevel="0" collapsed="false">
      <c r="A733" s="0" t="s">
        <v>578</v>
      </c>
      <c r="B733" s="0" t="s">
        <v>121</v>
      </c>
      <c r="C733" s="20" t="n">
        <f aca="false">c26_ocs/C732</f>
        <v>129.87012987013</v>
      </c>
      <c r="D733" s="20" t="n">
        <f aca="false">$C733*ocsk_27</f>
        <v>207.792207792208</v>
      </c>
      <c r="E733" s="20" t="n">
        <f aca="false">$C733*ocsk_28</f>
        <v>233.766233766234</v>
      </c>
      <c r="F733" s="20" t="n">
        <f aca="false">$C733*ocsk_29</f>
        <v>233.766233766234</v>
      </c>
    </row>
    <row r="734" customFormat="false" ht="17.15" hidden="false" customHeight="false" outlineLevel="0" collapsed="false">
      <c r="A734" s="0" t="s">
        <v>531</v>
      </c>
      <c r="B734" s="0" t="s">
        <v>31</v>
      </c>
      <c r="C734" s="26" t="n">
        <f aca="false">C732*C733/1000</f>
        <v>0.5</v>
      </c>
      <c r="D734" s="26" t="n">
        <f aca="false">D732*D733/1000</f>
        <v>1.14285714285714</v>
      </c>
      <c r="E734" s="26" t="n">
        <f aca="false">E732*E733/1000</f>
        <v>1.63636363636364</v>
      </c>
      <c r="F734" s="26" t="n">
        <f aca="false">F732*F733/1000</f>
        <v>1.88181818181818</v>
      </c>
    </row>
    <row r="735" customFormat="false" ht="17.15" hidden="false" customHeight="false" outlineLevel="0" collapsed="false">
      <c r="A735" s="0" t="s">
        <v>579</v>
      </c>
      <c r="B735" s="0" t="s">
        <v>31</v>
      </c>
      <c r="C735" s="26" t="n">
        <f aca="false">mcp_26*1</f>
        <v>0.300538</v>
      </c>
      <c r="D735" s="26" t="n">
        <f aca="false">mcp_27*1</f>
        <v>2.818985</v>
      </c>
      <c r="E735" s="26" t="n">
        <f aca="false">mcp_28*um28_A</f>
        <v>6.4435</v>
      </c>
      <c r="F735" s="26" t="n">
        <f aca="false">mcp_29*um29_A</f>
        <v>11.74736</v>
      </c>
    </row>
    <row r="736" customFormat="false" ht="17.15" hidden="false" customHeight="false" outlineLevel="0" collapsed="false">
      <c r="A736" s="0" t="s">
        <v>532</v>
      </c>
      <c r="B736" s="0" t="s">
        <v>164</v>
      </c>
      <c r="C736" s="16" t="n">
        <f aca="false">c26_cpo/1000/C735</f>
        <v>0.166368312825666</v>
      </c>
      <c r="D736" s="16" t="n">
        <f aca="false">cpo_27</f>
        <v>0.25</v>
      </c>
      <c r="E736" s="16" t="n">
        <f aca="false">cpo_28</f>
        <v>0.25</v>
      </c>
      <c r="F736" s="16" t="n">
        <f aca="false">cpo_29</f>
        <v>0.2</v>
      </c>
    </row>
    <row r="737" customFormat="false" ht="17.15" hidden="false" customHeight="false" outlineLevel="0" collapsed="false">
      <c r="A737" s="0" t="s">
        <v>580</v>
      </c>
      <c r="B737" s="0" t="s">
        <v>31</v>
      </c>
      <c r="C737" s="26" t="n">
        <f aca="false">C735*C736</f>
        <v>0.05</v>
      </c>
      <c r="D737" s="26" t="n">
        <f aca="false">D735*D736</f>
        <v>0.70474625</v>
      </c>
      <c r="E737" s="26" t="n">
        <f aca="false">E735*E736</f>
        <v>1.610875</v>
      </c>
      <c r="F737" s="26" t="n">
        <f aca="false">F735*F736</f>
        <v>2.349472</v>
      </c>
    </row>
    <row r="738" customFormat="false" ht="17.15" hidden="false" customHeight="false" outlineLevel="0" collapsed="false">
      <c r="A738" s="0" t="s">
        <v>581</v>
      </c>
      <c r="B738" s="0" t="s">
        <v>31</v>
      </c>
      <c r="C738" s="26" t="n">
        <f aca="false">C728+C731+C734+C737</f>
        <v>3.4147</v>
      </c>
      <c r="D738" s="26" t="n">
        <f aca="false">D728+D731+D734+D737</f>
        <v>7.18577509350013</v>
      </c>
      <c r="E738" s="26" t="n">
        <f aca="false">E728+E731+E734+E737</f>
        <v>8.54978419719279</v>
      </c>
      <c r="F738" s="26" t="n">
        <f aca="false">F728+F731+F734+F737</f>
        <v>10.1348188726722</v>
      </c>
    </row>
    <row r="739" customFormat="false" ht="17.15" hidden="false" customHeight="false" outlineLevel="0" collapsed="false">
      <c r="A739" s="5" t="s">
        <v>582</v>
      </c>
      <c r="B739" s="0" t="s">
        <v>31</v>
      </c>
      <c r="C739" s="26" t="n">
        <f aca="false">c26_tel/1000</f>
        <v>0.75</v>
      </c>
      <c r="D739" s="26" t="n">
        <f aca="false">C739*(1+g_tel_27)</f>
        <v>0.9375</v>
      </c>
      <c r="E739" s="26" t="n">
        <f aca="false">D739*(1+g_tel_28)</f>
        <v>1.078125</v>
      </c>
      <c r="F739" s="26" t="n">
        <f aca="false">E739*(1+g_tel_29)</f>
        <v>1.1859375</v>
      </c>
    </row>
    <row r="740" customFormat="false" ht="17.15" hidden="false" customHeight="false" outlineLevel="0" collapsed="false">
      <c r="A740" s="5" t="s">
        <v>583</v>
      </c>
      <c r="B740" s="0" t="s">
        <v>31</v>
      </c>
      <c r="C740" s="26" t="n">
        <f aca="false">c26_ind/1000</f>
        <v>0.3</v>
      </c>
      <c r="D740" s="26" t="n">
        <f aca="false">C740*(1+g_ind)</f>
        <v>0.309</v>
      </c>
      <c r="E740" s="26" t="n">
        <f aca="false">D740*(1+g_ind)</f>
        <v>0.31827</v>
      </c>
      <c r="F740" s="26" t="n">
        <f aca="false">E740*(1+g_ind)</f>
        <v>0.3278181</v>
      </c>
    </row>
    <row r="741" customFormat="false" ht="17.15" hidden="false" customHeight="false" outlineLevel="0" collapsed="false">
      <c r="A741" s="5" t="s">
        <v>584</v>
      </c>
      <c r="B741" s="0" t="s">
        <v>31</v>
      </c>
      <c r="C741" s="26" t="n">
        <f aca="false">C728+C739+C737+C740/2</f>
        <v>2.8147</v>
      </c>
      <c r="D741" s="26" t="n">
        <f aca="false">D728+D739+D737+D740/2</f>
        <v>5.3347551651306</v>
      </c>
      <c r="E741" s="26" t="n">
        <f aca="false">E728+E739+E737+E740/2</f>
        <v>6.2016001541161</v>
      </c>
      <c r="F741" s="26" t="n">
        <f aca="false">F728+F739+F737+F740/2</f>
        <v>7.1515261050404</v>
      </c>
      <c r="H741" s="5" t="s">
        <v>585</v>
      </c>
    </row>
    <row r="742" customFormat="false" ht="17.15" hidden="false" customHeight="false" outlineLevel="0" collapsed="false">
      <c r="A742" s="5" t="s">
        <v>586</v>
      </c>
      <c r="B742" s="0" t="s">
        <v>31</v>
      </c>
      <c r="C742" s="26" t="n">
        <f aca="false">C731+C734+C740/2</f>
        <v>1.65</v>
      </c>
      <c r="D742" s="26" t="n">
        <f aca="false">D731+D734+D740/2</f>
        <v>3.09751992836953</v>
      </c>
      <c r="E742" s="26" t="n">
        <f aca="false">E731+E734+E740/2</f>
        <v>3.74457904307669</v>
      </c>
      <c r="F742" s="26" t="n">
        <f aca="false">F731+F734+F740/2</f>
        <v>4.49704836763179</v>
      </c>
    </row>
    <row r="743" customFormat="false" ht="15" hidden="false" customHeight="false" outlineLevel="0" collapsed="false">
      <c r="A743" s="5" t="s">
        <v>587</v>
      </c>
      <c r="B743" s="0" t="s">
        <v>31</v>
      </c>
      <c r="C743" s="26" t="n">
        <f aca="false">C738+C739+C740</f>
        <v>4.4647</v>
      </c>
      <c r="D743" s="26" t="n">
        <f aca="false">D738+D739+D740</f>
        <v>8.43227509350013</v>
      </c>
      <c r="E743" s="26" t="n">
        <f aca="false">E738+E739+E740</f>
        <v>9.94617919719279</v>
      </c>
      <c r="F743" s="26" t="n">
        <f aca="false">F738+F739+F740</f>
        <v>11.6485744726722</v>
      </c>
    </row>
    <row r="744" customFormat="false" ht="15" hidden="false" customHeight="false" outlineLevel="0" collapsed="false">
      <c r="A744" s="5" t="s">
        <v>588</v>
      </c>
      <c r="B744" s="0" t="s">
        <v>164</v>
      </c>
      <c r="D744" s="16" t="n">
        <f aca="false">D743/C743-1</f>
        <v>0.888654353819995</v>
      </c>
      <c r="E744" s="16" t="n">
        <f aca="false">E743/D743-1</f>
        <v>0.179536849415602</v>
      </c>
      <c r="F744" s="16" t="n">
        <f aca="false">F743/E743-1</f>
        <v>0.171160728328712</v>
      </c>
    </row>
    <row r="745" customFormat="false" ht="17.15" hidden="false" customHeight="false" outlineLevel="0" collapsed="false">
      <c r="A745" s="1" t="s">
        <v>589</v>
      </c>
    </row>
    <row r="746" customFormat="false" ht="17.15" hidden="false" customHeight="false" outlineLevel="0" collapsed="false">
      <c r="A746" s="6" t="s">
        <v>20</v>
      </c>
      <c r="B746" s="6" t="s">
        <v>21</v>
      </c>
      <c r="C746" s="14" t="s">
        <v>472</v>
      </c>
      <c r="D746" s="14" t="s">
        <v>539</v>
      </c>
      <c r="E746" s="14" t="s">
        <v>540</v>
      </c>
      <c r="F746" s="14" t="s">
        <v>541</v>
      </c>
      <c r="G746" s="14" t="s">
        <v>542</v>
      </c>
      <c r="H746" s="6" t="s">
        <v>480</v>
      </c>
    </row>
    <row r="747" customFormat="false" ht="17.15" hidden="false" customHeight="false" outlineLevel="0" collapsed="false">
      <c r="A747" s="0" t="s">
        <v>590</v>
      </c>
      <c r="B747" s="0" t="s">
        <v>31</v>
      </c>
      <c r="E747" s="26" t="n">
        <f aca="false">w2h_26*C738+h_1h*D738</f>
        <v>5.40409212896197</v>
      </c>
      <c r="F747" s="26" t="n">
        <f aca="false">(1-h_1h)*D738+h_1h*E738</f>
        <v>7.82685937223568</v>
      </c>
      <c r="G747" s="26" t="n">
        <f aca="false">(1-h_1h)*E738+h_1h*F738</f>
        <v>9.29475049466811</v>
      </c>
      <c r="H747" s="8" t="s">
        <v>591</v>
      </c>
    </row>
    <row r="748" customFormat="false" ht="17.15" hidden="false" customHeight="false" outlineLevel="0" collapsed="false">
      <c r="A748" s="5" t="s">
        <v>592</v>
      </c>
      <c r="B748" s="0" t="s">
        <v>31</v>
      </c>
      <c r="E748" s="26" t="n">
        <f aca="false">w2h_26*C739+h_1h*D739+w2h_26*C740+h_1h*D740</f>
        <v>1.20907716498309</v>
      </c>
      <c r="F748" s="26" t="n">
        <f aca="false">(1-h_1h)*D739+h_1h*E739+(1-h_1h)*D740+h_1h*E740</f>
        <v>1.31695065</v>
      </c>
      <c r="G748" s="26" t="n">
        <f aca="false">(1-h_1h)*E739+h_1h*F739+(1-h_1h)*E740+h_1h*F740</f>
        <v>1.451554482</v>
      </c>
    </row>
    <row r="749" customFormat="false" ht="15" hidden="false" customHeight="false" outlineLevel="0" collapsed="false">
      <c r="A749" s="5" t="s">
        <v>481</v>
      </c>
      <c r="B749" s="0" t="s">
        <v>31</v>
      </c>
      <c r="C749" s="26" t="n">
        <f aca="false">a25_rev/1000</f>
        <v>1.645</v>
      </c>
      <c r="D749" s="26" t="n">
        <f aca="false">a26_rev/1000</f>
        <v>3.014</v>
      </c>
      <c r="E749" s="26" t="n">
        <f aca="false">E747+E748</f>
        <v>6.61316929394506</v>
      </c>
      <c r="F749" s="26" t="n">
        <f aca="false">F747+F748</f>
        <v>9.14381002223568</v>
      </c>
      <c r="G749" s="26" t="n">
        <f aca="false">G747+G748</f>
        <v>10.7463049766681</v>
      </c>
    </row>
    <row r="750" customFormat="false" ht="17.15" hidden="false" customHeight="false" outlineLevel="0" collapsed="false">
      <c r="A750" s="5" t="s">
        <v>593</v>
      </c>
      <c r="B750" s="0" t="s">
        <v>31</v>
      </c>
      <c r="C750" s="26" t="n">
        <f aca="false">a25_cmp/1000</f>
        <v>1.1163</v>
      </c>
      <c r="D750" s="26" t="n">
        <f aca="false">a26_cmp/1000</f>
        <v>2.0056</v>
      </c>
      <c r="E750" s="26" t="n">
        <f aca="false">w2h_26*C741+h_1h*D741</f>
        <v>4.17798581120938</v>
      </c>
      <c r="F750" s="26" t="n">
        <f aca="false">(1-h_1h)*D741+h_1h*E741</f>
        <v>5.74217230995378</v>
      </c>
      <c r="G750" s="26" t="n">
        <f aca="false">(1-h_1h)*E741+h_1h*F741</f>
        <v>6.64806535105052</v>
      </c>
      <c r="H750" s="5" t="s">
        <v>594</v>
      </c>
    </row>
    <row r="751" customFormat="false" ht="17.15" hidden="false" customHeight="false" outlineLevel="0" collapsed="false">
      <c r="A751" s="5" t="s">
        <v>595</v>
      </c>
      <c r="B751" s="0" t="s">
        <v>31</v>
      </c>
      <c r="C751" s="26" t="n">
        <f aca="false">a25_sys/1000</f>
        <v>0.5287</v>
      </c>
      <c r="D751" s="26" t="n">
        <f aca="false">a26_sys/1000</f>
        <v>1.0084</v>
      </c>
      <c r="E751" s="26" t="n">
        <f aca="false">w2h_26*C742+h_1h*D742</f>
        <v>2.43518348273568</v>
      </c>
      <c r="F751" s="26" t="n">
        <f aca="false">(1-h_1h)*D742+h_1h*E742</f>
        <v>3.4016377122819</v>
      </c>
      <c r="G751" s="26" t="n">
        <f aca="false">(1-h_1h)*E742+h_1h*F742</f>
        <v>4.09823962561759</v>
      </c>
      <c r="H751" s="5" t="s">
        <v>596</v>
      </c>
    </row>
    <row r="752" customFormat="false" ht="15" hidden="false" customHeight="false" outlineLevel="0" collapsed="false">
      <c r="A752" s="5" t="s">
        <v>597</v>
      </c>
      <c r="B752" s="0" t="s">
        <v>31</v>
      </c>
      <c r="C752" s="17" t="n">
        <f aca="false">C750+C751-C749</f>
        <v>0</v>
      </c>
      <c r="D752" s="17" t="n">
        <f aca="false">D750+D751-D749</f>
        <v>0</v>
      </c>
      <c r="E752" s="17" t="n">
        <f aca="false">E750+E751-E749</f>
        <v>0</v>
      </c>
      <c r="F752" s="17" t="n">
        <f aca="false">F750+F751-F749</f>
        <v>0</v>
      </c>
      <c r="G752" s="17" t="n">
        <f aca="false">G750+G751-G749</f>
        <v>0</v>
      </c>
    </row>
    <row r="753" customFormat="false" ht="15" hidden="false" customHeight="false" outlineLevel="0" collapsed="false">
      <c r="A753" s="5" t="s">
        <v>598</v>
      </c>
      <c r="B753" s="0" t="s">
        <v>164</v>
      </c>
      <c r="D753" s="16" t="n">
        <f aca="false">D749/C749-1</f>
        <v>0.832218844984802</v>
      </c>
      <c r="E753" s="16" t="n">
        <f aca="false">E749/D749-1</f>
        <v>1.19415039613307</v>
      </c>
      <c r="F753" s="16" t="n">
        <f aca="false">F749/E749-1</f>
        <v>0.38266685998915</v>
      </c>
      <c r="G753" s="16" t="n">
        <f aca="false">G749/F749-1</f>
        <v>0.175254620397354</v>
      </c>
    </row>
    <row r="754" customFormat="false" ht="17.15" hidden="false" customHeight="false" outlineLevel="0" collapsed="false">
      <c r="A754" s="0" t="s">
        <v>599</v>
      </c>
      <c r="B754" s="0" t="s">
        <v>164</v>
      </c>
      <c r="E754" s="16" t="n">
        <f aca="false">E747/E749</f>
        <v>0.817171296961941</v>
      </c>
      <c r="F754" s="16" t="n">
        <f aca="false">F747/F749</f>
        <v>0.855973533264856</v>
      </c>
      <c r="G754" s="16" t="n">
        <f aca="false">G747/G749</f>
        <v>0.864925247780372</v>
      </c>
    </row>
    <row r="755" customFormat="false" ht="17.15" hidden="false" customHeight="false" outlineLevel="0" collapsed="false">
      <c r="A755" s="5" t="s">
        <v>484</v>
      </c>
      <c r="B755" s="0" t="s">
        <v>164</v>
      </c>
      <c r="C755" s="16" t="n">
        <f aca="false">a25_gm</f>
        <v>0.347</v>
      </c>
      <c r="D755" s="16" t="n">
        <f aca="false">a26_gm</f>
        <v>0.46</v>
      </c>
      <c r="E755" s="16" t="n">
        <f aca="false">GMHI_27</f>
        <v>0.54</v>
      </c>
      <c r="F755" s="16" t="n">
        <f aca="false">GMHI_28</f>
        <v>0.54</v>
      </c>
      <c r="G755" s="16" t="n">
        <f aca="false">GMHI_29</f>
        <v>0.53</v>
      </c>
    </row>
    <row r="756" customFormat="false" ht="15" hidden="false" customHeight="false" outlineLevel="0" collapsed="false">
      <c r="A756" s="5" t="s">
        <v>485</v>
      </c>
      <c r="B756" s="0" t="s">
        <v>31</v>
      </c>
      <c r="C756" s="26" t="n">
        <f aca="false">C749*C755</f>
        <v>0.570815</v>
      </c>
      <c r="D756" s="26" t="n">
        <f aca="false">D749*D755</f>
        <v>1.38644</v>
      </c>
      <c r="E756" s="26" t="n">
        <f aca="false">E749*E755</f>
        <v>3.57111141873033</v>
      </c>
      <c r="F756" s="26" t="n">
        <f aca="false">F749*F755</f>
        <v>4.93765741200727</v>
      </c>
      <c r="G756" s="26" t="n">
        <f aca="false">G749*G755</f>
        <v>5.6955416376341</v>
      </c>
    </row>
    <row r="757" customFormat="false" ht="15" hidden="false" customHeight="false" outlineLevel="0" collapsed="false">
      <c r="A757" s="5" t="s">
        <v>600</v>
      </c>
      <c r="B757" s="0" t="s">
        <v>31</v>
      </c>
      <c r="C757" s="26" t="n">
        <f aca="false">a25_opx/1000</f>
        <v>0.4114</v>
      </c>
      <c r="D757" s="26" t="n">
        <f aca="false">a26_opx/1000</f>
        <v>0.4897</v>
      </c>
      <c r="E757" s="26" t="n">
        <f aca="false">D757*(1+MAX(0,phi*E753))</f>
        <v>0.623436224936844</v>
      </c>
      <c r="F757" s="26" t="n">
        <f aca="false">E757*(1+MAX(0,phi*F753))</f>
        <v>0.677996030642651</v>
      </c>
      <c r="G757" s="26" t="n">
        <f aca="false">F757*(1+MAX(0,phi*G753))</f>
        <v>0.705170217450754</v>
      </c>
    </row>
    <row r="758" customFormat="false" ht="15" hidden="false" customHeight="false" outlineLevel="0" collapsed="false">
      <c r="A758" s="5" t="s">
        <v>601</v>
      </c>
      <c r="B758" s="0" t="s">
        <v>31</v>
      </c>
      <c r="C758" s="26" t="n">
        <f aca="false">C757</f>
        <v>0.4114</v>
      </c>
      <c r="D758" s="26" t="n">
        <f aca="false">D757</f>
        <v>0.4897</v>
      </c>
      <c r="E758" s="26" t="n">
        <f aca="false">E757+0*E749</f>
        <v>0.623436224936844</v>
      </c>
      <c r="F758" s="26" t="n">
        <f aca="false">F757+0*F749</f>
        <v>0.677996030642651</v>
      </c>
      <c r="G758" s="26" t="n">
        <f aca="false">G757+0*G749</f>
        <v>0.705170217450754</v>
      </c>
    </row>
    <row r="759" customFormat="false" ht="15" hidden="false" customHeight="false" outlineLevel="0" collapsed="false">
      <c r="A759" s="5" t="s">
        <v>602</v>
      </c>
      <c r="B759" s="0" t="s">
        <v>31</v>
      </c>
      <c r="C759" s="26" t="n">
        <f aca="false">C756-C758</f>
        <v>0.159415</v>
      </c>
      <c r="D759" s="26" t="n">
        <f aca="false">D756-D758</f>
        <v>0.89674</v>
      </c>
      <c r="E759" s="26" t="n">
        <f aca="false">E756-E758</f>
        <v>2.94767519379349</v>
      </c>
      <c r="F759" s="26" t="n">
        <f aca="false">F756-F758</f>
        <v>4.25966138136462</v>
      </c>
      <c r="G759" s="26" t="n">
        <f aca="false">G756-G758</f>
        <v>4.99037142018335</v>
      </c>
    </row>
    <row r="760" customFormat="false" ht="15" hidden="false" customHeight="false" outlineLevel="0" collapsed="false">
      <c r="A760" s="5" t="s">
        <v>489</v>
      </c>
      <c r="B760" s="0" t="s">
        <v>164</v>
      </c>
      <c r="C760" s="16" t="n">
        <f aca="false">C759/C749</f>
        <v>0.0969088145896656</v>
      </c>
      <c r="D760" s="16" t="n">
        <f aca="false">D759/D749</f>
        <v>0.297524883875249</v>
      </c>
      <c r="E760" s="16" t="n">
        <f aca="false">E759/E749</f>
        <v>0.445728071182503</v>
      </c>
      <c r="F760" s="16" t="n">
        <f aca="false">F759/F749</f>
        <v>0.465851911949842</v>
      </c>
      <c r="G760" s="16" t="n">
        <f aca="false">G759/G749</f>
        <v>0.464380215433883</v>
      </c>
    </row>
    <row r="761" customFormat="false" ht="17.15" hidden="false" customHeight="false" outlineLevel="0" collapsed="false">
      <c r="A761" s="5" t="s">
        <v>490</v>
      </c>
      <c r="B761" s="0" t="s">
        <v>31</v>
      </c>
      <c r="C761" s="26" t="n">
        <f aca="false">a25_ni/1000</f>
        <v>0.1464</v>
      </c>
      <c r="D761" s="26" t="n">
        <f aca="false">a26_ni/1000</f>
        <v>0.7823</v>
      </c>
      <c r="E761" s="26" t="n">
        <f aca="false">(E759+oi_oth)*(1-tx)</f>
        <v>2.50490878681756</v>
      </c>
      <c r="F761" s="26" t="n">
        <f aca="false">(F759+oi_oth)*(1-tx)</f>
        <v>3.60041725343946</v>
      </c>
      <c r="G761" s="26" t="n">
        <f aca="false">(G759+oi_oth)*(1-tx)</f>
        <v>4.21056013585309</v>
      </c>
    </row>
    <row r="762" customFormat="false" ht="15" hidden="false" customHeight="false" outlineLevel="0" collapsed="false">
      <c r="A762" s="5" t="s">
        <v>552</v>
      </c>
      <c r="B762" s="0" t="s">
        <v>164</v>
      </c>
      <c r="C762" s="16" t="n">
        <f aca="false">C761/C749</f>
        <v>0.0889969604863222</v>
      </c>
      <c r="D762" s="16" t="n">
        <f aca="false">D761/D749</f>
        <v>0.259555408095554</v>
      </c>
      <c r="E762" s="16" t="n">
        <f aca="false">E761/E749</f>
        <v>0.378775844905563</v>
      </c>
      <c r="F762" s="16" t="n">
        <f aca="false">F761/F749</f>
        <v>0.393754599525149</v>
      </c>
      <c r="G762" s="16" t="n">
        <f aca="false">G761/G749</f>
        <v>0.39181468839707</v>
      </c>
    </row>
    <row r="763" customFormat="false" ht="17.15" hidden="false" customHeight="false" outlineLevel="0" collapsed="false">
      <c r="A763" s="5" t="s">
        <v>494</v>
      </c>
      <c r="B763" s="5" t="s">
        <v>238</v>
      </c>
      <c r="C763" s="15" t="n">
        <f aca="false">a25_sh</f>
        <v>71.0679611650485</v>
      </c>
      <c r="D763" s="15" t="n">
        <f aca="false">a26_sh</f>
        <v>90.2306805074971</v>
      </c>
      <c r="E763" s="15" t="n">
        <f aca="false">sh_q1</f>
        <v>102</v>
      </c>
      <c r="F763" s="15" t="n">
        <f aca="false">E763*(1+sh_g)</f>
        <v>103.02</v>
      </c>
      <c r="G763" s="15" t="n">
        <f aca="false">F763*(1+sh_g)</f>
        <v>104.0502</v>
      </c>
    </row>
    <row r="764" customFormat="false" ht="17.15" hidden="false" customHeight="false" outlineLevel="0" collapsed="false">
      <c r="A764" s="0" t="s">
        <v>496</v>
      </c>
      <c r="B764" s="0" t="s">
        <v>233</v>
      </c>
      <c r="C764" s="9" t="n">
        <f aca="false">C761*1000/C763</f>
        <v>2.06</v>
      </c>
      <c r="D764" s="9" t="n">
        <f aca="false">D761*1000/D763</f>
        <v>8.67</v>
      </c>
      <c r="E764" s="9" t="n">
        <f aca="false">E761*1000/E763</f>
        <v>24.5579292825251</v>
      </c>
      <c r="F764" s="9" t="n">
        <f aca="false">F761*1000/F763</f>
        <v>34.9487211554985</v>
      </c>
      <c r="G764" s="9" t="n">
        <f aca="false">G761*1000/G763</f>
        <v>40.4666222251672</v>
      </c>
    </row>
    <row r="765" customFormat="false" ht="17.15" hidden="false" customHeight="false" outlineLevel="0" collapsed="false">
      <c r="A765" s="0" t="s">
        <v>603</v>
      </c>
      <c r="B765" s="0" t="s">
        <v>164</v>
      </c>
      <c r="D765" s="16" t="n">
        <f aca="false">D764/C764-1</f>
        <v>3.20873786407767</v>
      </c>
      <c r="E765" s="16" t="n">
        <f aca="false">E764/D764-1</f>
        <v>1.8325177949856</v>
      </c>
      <c r="F765" s="16" t="n">
        <f aca="false">F764/E764-1</f>
        <v>0.423113518791962</v>
      </c>
      <c r="G765" s="16" t="n">
        <f aca="false">G764/F764-1</f>
        <v>0.157885636075716</v>
      </c>
    </row>
    <row r="768" customFormat="false" ht="17.15" hidden="false" customHeight="false" outlineLevel="0" collapsed="false">
      <c r="A768" s="3" t="s">
        <v>908</v>
      </c>
    </row>
    <row r="769" customFormat="false" ht="17.15" hidden="false" customHeight="false" outlineLevel="0" collapsed="false">
      <c r="A769" s="1" t="s">
        <v>561</v>
      </c>
    </row>
    <row r="770" customFormat="false" ht="17.15" hidden="false" customHeight="false" outlineLevel="0" collapsed="false">
      <c r="A770" s="6" t="s">
        <v>20</v>
      </c>
      <c r="B770" s="6" t="s">
        <v>21</v>
      </c>
      <c r="C770" s="14" t="s">
        <v>562</v>
      </c>
      <c r="D770" s="14" t="s">
        <v>517</v>
      </c>
      <c r="E770" s="14" t="s">
        <v>518</v>
      </c>
      <c r="F770" s="14" t="s">
        <v>519</v>
      </c>
      <c r="G770" s="14"/>
      <c r="H770" s="6" t="s">
        <v>480</v>
      </c>
    </row>
    <row r="771" customFormat="false" ht="17.15" hidden="false" customHeight="false" outlineLevel="0" collapsed="false">
      <c r="A771" s="0" t="s">
        <v>563</v>
      </c>
      <c r="B771" s="0" t="s">
        <v>31</v>
      </c>
      <c r="C771" s="26" t="n">
        <f aca="false">mpl_26*1</f>
        <v>29.753262</v>
      </c>
      <c r="D771" s="26" t="n">
        <f aca="false">mpl_27*1*mf_lo</f>
        <v>42.848572</v>
      </c>
      <c r="E771" s="26" t="n">
        <f aca="false">mpl_28*um28_A*mf_lo</f>
        <v>46.3932</v>
      </c>
      <c r="F771" s="26" t="n">
        <f aca="false">mpl_29*um29_A*mf_lo</f>
        <v>58.34784</v>
      </c>
    </row>
    <row r="772" customFormat="false" ht="17.15" hidden="false" customHeight="false" outlineLevel="0" collapsed="false">
      <c r="A772" s="5" t="s">
        <v>564</v>
      </c>
      <c r="B772" s="0" t="s">
        <v>97</v>
      </c>
      <c r="C772" s="20" t="n">
        <f aca="false">asp_26</f>
        <v>500</v>
      </c>
      <c r="D772" s="20" t="n">
        <f aca="false">asp_27</f>
        <v>520</v>
      </c>
      <c r="E772" s="20" t="n">
        <f aca="false">asp_28</f>
        <v>540</v>
      </c>
      <c r="F772" s="20" t="n">
        <f aca="false">asp_29</f>
        <v>560</v>
      </c>
    </row>
    <row r="773" customFormat="false" ht="17.15" hidden="false" customHeight="false" outlineLevel="0" collapsed="false">
      <c r="A773" s="5" t="s">
        <v>565</v>
      </c>
      <c r="B773" s="5" t="s">
        <v>349</v>
      </c>
      <c r="C773" s="15" t="n">
        <f aca="false">C771*1000/C772</f>
        <v>59.506524</v>
      </c>
      <c r="D773" s="15" t="n">
        <f aca="false">D771*1000/D772</f>
        <v>82.4011</v>
      </c>
      <c r="E773" s="15" t="n">
        <f aca="false">E771*1000/E772</f>
        <v>85.9133333333333</v>
      </c>
      <c r="F773" s="15" t="n">
        <f aca="false">F771*1000/F772</f>
        <v>104.192571428571</v>
      </c>
    </row>
    <row r="774" customFormat="false" ht="17.15" hidden="false" customHeight="false" outlineLevel="0" collapsed="false">
      <c r="A774" s="5" t="s">
        <v>566</v>
      </c>
      <c r="B774" s="5" t="s">
        <v>109</v>
      </c>
      <c r="C774" s="18" t="n">
        <f aca="false">lpm_26</f>
        <v>5.5</v>
      </c>
      <c r="D774" s="18" t="n">
        <f aca="false">lpm_27</f>
        <v>5.5</v>
      </c>
      <c r="E774" s="18" t="n">
        <f aca="false">lpm_28</f>
        <v>5</v>
      </c>
      <c r="F774" s="18" t="n">
        <f aca="false">lpm_29</f>
        <v>4.8</v>
      </c>
    </row>
    <row r="775" customFormat="false" ht="17.15" hidden="false" customHeight="false" outlineLevel="0" collapsed="false">
      <c r="A775" s="5" t="s">
        <v>567</v>
      </c>
      <c r="B775" s="0" t="s">
        <v>121</v>
      </c>
      <c r="C775" s="18" t="n">
        <f aca="false">lasp_26</f>
        <v>13</v>
      </c>
      <c r="D775" s="18" t="n">
        <f aca="false">lasp_27</f>
        <v>15</v>
      </c>
      <c r="E775" s="18" t="n">
        <f aca="false">lasp_28</f>
        <v>15</v>
      </c>
      <c r="F775" s="18" t="n">
        <f aca="false">lasp_29</f>
        <v>14</v>
      </c>
    </row>
    <row r="776" customFormat="false" ht="17.15" hidden="false" customHeight="false" outlineLevel="0" collapsed="false">
      <c r="A776" s="5" t="s">
        <v>568</v>
      </c>
      <c r="B776" s="0" t="s">
        <v>31</v>
      </c>
      <c r="C776" s="26" t="n">
        <f aca="false">C773*C774*C775/1000</f>
        <v>4.254716466</v>
      </c>
      <c r="D776" s="26" t="n">
        <f aca="false">D773*D774*D775/1000</f>
        <v>6.79809075</v>
      </c>
      <c r="E776" s="26" t="n">
        <f aca="false">E773*E774*E775/1000</f>
        <v>6.4435</v>
      </c>
      <c r="F776" s="26" t="n">
        <f aca="false">F773*F774*F775/1000</f>
        <v>7.0017408</v>
      </c>
    </row>
    <row r="777" customFormat="false" ht="17.15" hidden="false" customHeight="false" outlineLevel="0" collapsed="false">
      <c r="A777" s="0" t="s">
        <v>569</v>
      </c>
      <c r="B777" s="0" t="s">
        <v>164</v>
      </c>
      <c r="C777" s="16" t="n">
        <f aca="false">c26_las/1000/C776</f>
        <v>0.43826657190933</v>
      </c>
      <c r="H777" s="8" t="s">
        <v>570</v>
      </c>
    </row>
    <row r="778" customFormat="false" ht="17.15" hidden="false" customHeight="false" outlineLevel="0" collapsed="false">
      <c r="A778" s="5" t="s">
        <v>571</v>
      </c>
      <c r="B778" s="0" t="s">
        <v>75</v>
      </c>
      <c r="C778" s="9" t="n">
        <f aca="false">1</f>
        <v>1</v>
      </c>
      <c r="D778" s="9" t="n">
        <f aca="false">lrel_27</f>
        <v>0.95</v>
      </c>
      <c r="E778" s="9" t="n">
        <f aca="false">lrel_28</f>
        <v>0.95</v>
      </c>
      <c r="F778" s="9" t="n">
        <f aca="false">lrel_29</f>
        <v>0.9</v>
      </c>
    </row>
    <row r="779" customFormat="false" ht="15" hidden="false" customHeight="false" outlineLevel="0" collapsed="false">
      <c r="A779" s="5" t="s">
        <v>572</v>
      </c>
      <c r="B779" s="0" t="s">
        <v>164</v>
      </c>
      <c r="C779" s="16" t="n">
        <f aca="false">$C$777*C778</f>
        <v>0.43826657190933</v>
      </c>
      <c r="D779" s="16" t="n">
        <f aca="false">$C$777*D778</f>
        <v>0.416353243313864</v>
      </c>
      <c r="E779" s="16" t="n">
        <f aca="false">$C$777*E778</f>
        <v>0.416353243313864</v>
      </c>
      <c r="F779" s="16" t="n">
        <f aca="false">$C$777*F778</f>
        <v>0.394439914718397</v>
      </c>
    </row>
    <row r="780" customFormat="false" ht="17.15" hidden="false" customHeight="false" outlineLevel="0" collapsed="false">
      <c r="A780" s="5" t="s">
        <v>573</v>
      </c>
      <c r="B780" s="0" t="s">
        <v>31</v>
      </c>
      <c r="C780" s="26" t="n">
        <f aca="false">C776*C779</f>
        <v>1.8647</v>
      </c>
      <c r="D780" s="26" t="n">
        <f aca="false">D776*D779</f>
        <v>2.83040713210448</v>
      </c>
      <c r="E780" s="26" t="n">
        <f aca="false">E776*E779</f>
        <v>2.68277212329288</v>
      </c>
      <c r="F780" s="26" t="n">
        <f aca="false">F776*F779</f>
        <v>2.76176604403232</v>
      </c>
    </row>
    <row r="781" customFormat="false" ht="17.15" hidden="false" customHeight="false" outlineLevel="0" collapsed="false">
      <c r="A781" s="5" t="s">
        <v>574</v>
      </c>
      <c r="B781" s="0" t="s">
        <v>164</v>
      </c>
      <c r="C781" s="16" t="n">
        <f aca="false">c26_xcvr/1000/C771</f>
        <v>0.0336097601668012</v>
      </c>
    </row>
    <row r="782" customFormat="false" ht="15" hidden="false" customHeight="false" outlineLevel="0" collapsed="false">
      <c r="A782" s="5" t="s">
        <v>575</v>
      </c>
      <c r="B782" s="0" t="s">
        <v>164</v>
      </c>
      <c r="C782" s="16" t="n">
        <f aca="false">C781</f>
        <v>0.0336097601668012</v>
      </c>
      <c r="D782" s="16" t="n">
        <f aca="false">$C$781*mrel_27</f>
        <v>0.0336097601668012</v>
      </c>
      <c r="E782" s="16" t="n">
        <f aca="false">$C$781*mrel_28</f>
        <v>0.0336097601668012</v>
      </c>
      <c r="F782" s="16" t="n">
        <f aca="false">$C$781*mrel_29</f>
        <v>0.0336097601668012</v>
      </c>
    </row>
    <row r="783" customFormat="false" ht="15" hidden="false" customHeight="false" outlineLevel="0" collapsed="false">
      <c r="A783" s="5" t="s">
        <v>576</v>
      </c>
      <c r="B783" s="0" t="s">
        <v>31</v>
      </c>
      <c r="C783" s="26" t="n">
        <f aca="false">C771*C782</f>
        <v>1</v>
      </c>
      <c r="D783" s="26" t="n">
        <f aca="false">D771*D782</f>
        <v>1.44013022840991</v>
      </c>
      <c r="E783" s="26" t="n">
        <f aca="false">E771*E782</f>
        <v>1.55926432537044</v>
      </c>
      <c r="F783" s="26" t="n">
        <f aca="false">F771*F782</f>
        <v>1.96105690865089</v>
      </c>
    </row>
    <row r="784" customFormat="false" ht="17.15" hidden="false" customHeight="false" outlineLevel="0" collapsed="false">
      <c r="A784" s="0" t="s">
        <v>577</v>
      </c>
      <c r="B784" s="5" t="s">
        <v>54</v>
      </c>
      <c r="C784" s="19" t="n">
        <f aca="false">tpu_26*1</f>
        <v>3.85</v>
      </c>
      <c r="D784" s="19" t="n">
        <f aca="false">tpu_27*1</f>
        <v>5.5</v>
      </c>
      <c r="E784" s="19" t="n">
        <f aca="false">tpu_28*um28_A</f>
        <v>7</v>
      </c>
      <c r="F784" s="19" t="n">
        <f aca="false">tpu_29*um29_A</f>
        <v>8.05</v>
      </c>
    </row>
    <row r="785" customFormat="false" ht="17.15" hidden="false" customHeight="false" outlineLevel="0" collapsed="false">
      <c r="A785" s="0" t="s">
        <v>578</v>
      </c>
      <c r="B785" s="0" t="s">
        <v>121</v>
      </c>
      <c r="C785" s="20" t="n">
        <f aca="false">c26_ocs/C784</f>
        <v>129.87012987013</v>
      </c>
      <c r="D785" s="20" t="n">
        <f aca="false">$C785*ocsk_27</f>
        <v>207.792207792208</v>
      </c>
      <c r="E785" s="20" t="n">
        <f aca="false">$C785*ocsk_28</f>
        <v>233.766233766234</v>
      </c>
      <c r="F785" s="20" t="n">
        <f aca="false">$C785*ocsk_29</f>
        <v>233.766233766234</v>
      </c>
    </row>
    <row r="786" customFormat="false" ht="17.15" hidden="false" customHeight="false" outlineLevel="0" collapsed="false">
      <c r="A786" s="0" t="s">
        <v>531</v>
      </c>
      <c r="B786" s="0" t="s">
        <v>31</v>
      </c>
      <c r="C786" s="26" t="n">
        <f aca="false">C784*C785/1000</f>
        <v>0.5</v>
      </c>
      <c r="D786" s="26" t="n">
        <f aca="false">D784*D785/1000</f>
        <v>1.14285714285714</v>
      </c>
      <c r="E786" s="26" t="n">
        <f aca="false">E784*E785/1000</f>
        <v>1.63636363636364</v>
      </c>
      <c r="F786" s="26" t="n">
        <f aca="false">F784*F785/1000</f>
        <v>1.88181818181818</v>
      </c>
    </row>
    <row r="787" customFormat="false" ht="17.15" hidden="false" customHeight="false" outlineLevel="0" collapsed="false">
      <c r="A787" s="0" t="s">
        <v>579</v>
      </c>
      <c r="B787" s="0" t="s">
        <v>31</v>
      </c>
      <c r="C787" s="26" t="n">
        <f aca="false">mcp_26*1</f>
        <v>0.300538</v>
      </c>
      <c r="D787" s="26" t="n">
        <f aca="false">mcp_27*1</f>
        <v>2.818985</v>
      </c>
      <c r="E787" s="26" t="n">
        <f aca="false">mcp_28*um28_A</f>
        <v>6.4435</v>
      </c>
      <c r="F787" s="26" t="n">
        <f aca="false">mcp_29*um29_A</f>
        <v>11.74736</v>
      </c>
    </row>
    <row r="788" customFormat="false" ht="17.15" hidden="false" customHeight="false" outlineLevel="0" collapsed="false">
      <c r="A788" s="0" t="s">
        <v>532</v>
      </c>
      <c r="B788" s="0" t="s">
        <v>164</v>
      </c>
      <c r="C788" s="16" t="n">
        <f aca="false">c26_cpo/1000/C787</f>
        <v>0.166368312825666</v>
      </c>
      <c r="D788" s="16" t="n">
        <f aca="false">cpo_27</f>
        <v>0.25</v>
      </c>
      <c r="E788" s="16" t="n">
        <f aca="false">cpo_28</f>
        <v>0.25</v>
      </c>
      <c r="F788" s="16" t="n">
        <f aca="false">cpo_29</f>
        <v>0.2</v>
      </c>
    </row>
    <row r="789" customFormat="false" ht="17.15" hidden="false" customHeight="false" outlineLevel="0" collapsed="false">
      <c r="A789" s="0" t="s">
        <v>580</v>
      </c>
      <c r="B789" s="0" t="s">
        <v>31</v>
      </c>
      <c r="C789" s="26" t="n">
        <f aca="false">C787*C788</f>
        <v>0.05</v>
      </c>
      <c r="D789" s="26" t="n">
        <f aca="false">D787*D788</f>
        <v>0.70474625</v>
      </c>
      <c r="E789" s="26" t="n">
        <f aca="false">E787*E788</f>
        <v>1.610875</v>
      </c>
      <c r="F789" s="26" t="n">
        <f aca="false">F787*F788</f>
        <v>2.349472</v>
      </c>
    </row>
    <row r="790" customFormat="false" ht="17.15" hidden="false" customHeight="false" outlineLevel="0" collapsed="false">
      <c r="A790" s="0" t="s">
        <v>581</v>
      </c>
      <c r="B790" s="0" t="s">
        <v>31</v>
      </c>
      <c r="C790" s="26" t="n">
        <f aca="false">C780+C783+C786+C789</f>
        <v>3.4147</v>
      </c>
      <c r="D790" s="26" t="n">
        <f aca="false">D780+D783+D786+D789</f>
        <v>6.11814075337153</v>
      </c>
      <c r="E790" s="26" t="n">
        <f aca="false">E780+E783+E786+E789</f>
        <v>7.48927508502696</v>
      </c>
      <c r="F790" s="26" t="n">
        <f aca="false">F780+F783+F786+F789</f>
        <v>8.95411313450139</v>
      </c>
    </row>
    <row r="791" customFormat="false" ht="17.15" hidden="false" customHeight="false" outlineLevel="0" collapsed="false">
      <c r="A791" s="5" t="s">
        <v>582</v>
      </c>
      <c r="B791" s="0" t="s">
        <v>31</v>
      </c>
      <c r="C791" s="26" t="n">
        <f aca="false">c26_tel/1000</f>
        <v>0.75</v>
      </c>
      <c r="D791" s="26" t="n">
        <f aca="false">C791*(1+g_tel_27)</f>
        <v>0.9375</v>
      </c>
      <c r="E791" s="26" t="n">
        <f aca="false">D791*(1+g_tel_28)</f>
        <v>1.078125</v>
      </c>
      <c r="F791" s="26" t="n">
        <f aca="false">E791*(1+g_tel_29)</f>
        <v>1.1859375</v>
      </c>
    </row>
    <row r="792" customFormat="false" ht="17.15" hidden="false" customHeight="false" outlineLevel="0" collapsed="false">
      <c r="A792" s="5" t="s">
        <v>583</v>
      </c>
      <c r="B792" s="0" t="s">
        <v>31</v>
      </c>
      <c r="C792" s="26" t="n">
        <f aca="false">c26_ind/1000</f>
        <v>0.3</v>
      </c>
      <c r="D792" s="26" t="n">
        <f aca="false">C792*(1+g_ind)</f>
        <v>0.309</v>
      </c>
      <c r="E792" s="26" t="n">
        <f aca="false">D792*(1+g_ind)</f>
        <v>0.31827</v>
      </c>
      <c r="F792" s="26" t="n">
        <f aca="false">E792*(1+g_ind)</f>
        <v>0.3278181</v>
      </c>
    </row>
    <row r="793" customFormat="false" ht="17.15" hidden="false" customHeight="false" outlineLevel="0" collapsed="false">
      <c r="A793" s="5" t="s">
        <v>584</v>
      </c>
      <c r="B793" s="0" t="s">
        <v>31</v>
      </c>
      <c r="C793" s="26" t="n">
        <f aca="false">C780+C791+C789+C792/2</f>
        <v>2.8147</v>
      </c>
      <c r="D793" s="26" t="n">
        <f aca="false">D780+D791+D789+D792/2</f>
        <v>4.62715338210448</v>
      </c>
      <c r="E793" s="26" t="n">
        <f aca="false">E780+E791+E789+E792/2</f>
        <v>5.53090712329288</v>
      </c>
      <c r="F793" s="26" t="n">
        <f aca="false">F780+F791+F789+F792/2</f>
        <v>6.46108459403232</v>
      </c>
      <c r="H793" s="5" t="s">
        <v>585</v>
      </c>
    </row>
    <row r="794" customFormat="false" ht="17.15" hidden="false" customHeight="false" outlineLevel="0" collapsed="false">
      <c r="A794" s="5" t="s">
        <v>586</v>
      </c>
      <c r="B794" s="0" t="s">
        <v>31</v>
      </c>
      <c r="C794" s="26" t="n">
        <f aca="false">C783+C786+C792/2</f>
        <v>1.65</v>
      </c>
      <c r="D794" s="26" t="n">
        <f aca="false">D783+D786+D792/2</f>
        <v>2.73748737126706</v>
      </c>
      <c r="E794" s="26" t="n">
        <f aca="false">E783+E786+E792/2</f>
        <v>3.35476296173408</v>
      </c>
      <c r="F794" s="26" t="n">
        <f aca="false">F783+F786+F792/2</f>
        <v>4.00678414046907</v>
      </c>
    </row>
    <row r="795" customFormat="false" ht="15" hidden="false" customHeight="false" outlineLevel="0" collapsed="false">
      <c r="A795" s="5" t="s">
        <v>587</v>
      </c>
      <c r="B795" s="0" t="s">
        <v>31</v>
      </c>
      <c r="C795" s="26" t="n">
        <f aca="false">C790+C791+C792</f>
        <v>4.4647</v>
      </c>
      <c r="D795" s="26" t="n">
        <f aca="false">D790+D791+D792</f>
        <v>7.36464075337153</v>
      </c>
      <c r="E795" s="26" t="n">
        <f aca="false">E790+E791+E792</f>
        <v>8.88567008502696</v>
      </c>
      <c r="F795" s="26" t="n">
        <f aca="false">F790+F791+F792</f>
        <v>10.4678687345014</v>
      </c>
    </row>
    <row r="796" customFormat="false" ht="15" hidden="false" customHeight="false" outlineLevel="0" collapsed="false">
      <c r="A796" s="5" t="s">
        <v>588</v>
      </c>
      <c r="B796" s="0" t="s">
        <v>164</v>
      </c>
      <c r="D796" s="16" t="n">
        <f aca="false">D795/C795-1</f>
        <v>0.649526452700413</v>
      </c>
      <c r="E796" s="16" t="n">
        <f aca="false">E795/D795-1</f>
        <v>0.206531368276056</v>
      </c>
      <c r="F796" s="16" t="n">
        <f aca="false">F795/E795-1</f>
        <v>0.17806182700172</v>
      </c>
    </row>
    <row r="797" customFormat="false" ht="17.15" hidden="false" customHeight="false" outlineLevel="0" collapsed="false">
      <c r="A797" s="1" t="s">
        <v>589</v>
      </c>
    </row>
    <row r="798" customFormat="false" ht="17.15" hidden="false" customHeight="false" outlineLevel="0" collapsed="false">
      <c r="A798" s="6" t="s">
        <v>20</v>
      </c>
      <c r="B798" s="6" t="s">
        <v>21</v>
      </c>
      <c r="C798" s="14" t="s">
        <v>472</v>
      </c>
      <c r="D798" s="14" t="s">
        <v>539</v>
      </c>
      <c r="E798" s="14" t="s">
        <v>540</v>
      </c>
      <c r="F798" s="14" t="s">
        <v>541</v>
      </c>
      <c r="G798" s="14" t="s">
        <v>542</v>
      </c>
      <c r="H798" s="6" t="s">
        <v>480</v>
      </c>
    </row>
    <row r="799" customFormat="false" ht="17.15" hidden="false" customHeight="false" outlineLevel="0" collapsed="false">
      <c r="A799" s="0" t="s">
        <v>590</v>
      </c>
      <c r="B799" s="0" t="s">
        <v>31</v>
      </c>
      <c r="E799" s="26" t="n">
        <f aca="false">w2h_26*C790+h_1h*D790</f>
        <v>4.90230398910153</v>
      </c>
      <c r="F799" s="26" t="n">
        <f aca="false">(1-h_1h)*D790+h_1h*E790</f>
        <v>6.76257388924958</v>
      </c>
      <c r="G799" s="26" t="n">
        <f aca="false">(1-h_1h)*E790+h_1h*F790</f>
        <v>8.17774896827994</v>
      </c>
      <c r="H799" s="8" t="s">
        <v>591</v>
      </c>
    </row>
    <row r="800" customFormat="false" ht="17.15" hidden="false" customHeight="false" outlineLevel="0" collapsed="false">
      <c r="A800" s="5" t="s">
        <v>592</v>
      </c>
      <c r="B800" s="0" t="s">
        <v>31</v>
      </c>
      <c r="E800" s="26" t="n">
        <f aca="false">w2h_26*C791+h_1h*D791+w2h_26*C792+h_1h*D792</f>
        <v>1.20907716498309</v>
      </c>
      <c r="F800" s="26" t="n">
        <f aca="false">(1-h_1h)*D791+h_1h*E791+(1-h_1h)*D792+h_1h*E792</f>
        <v>1.31695065</v>
      </c>
      <c r="G800" s="26" t="n">
        <f aca="false">(1-h_1h)*E791+h_1h*F791+(1-h_1h)*E792+h_1h*F792</f>
        <v>1.451554482</v>
      </c>
    </row>
    <row r="801" customFormat="false" ht="15" hidden="false" customHeight="false" outlineLevel="0" collapsed="false">
      <c r="A801" s="5" t="s">
        <v>481</v>
      </c>
      <c r="B801" s="0" t="s">
        <v>31</v>
      </c>
      <c r="C801" s="26" t="n">
        <f aca="false">a25_rev/1000</f>
        <v>1.645</v>
      </c>
      <c r="D801" s="26" t="n">
        <f aca="false">a26_rev/1000</f>
        <v>3.014</v>
      </c>
      <c r="E801" s="26" t="n">
        <f aca="false">E799+E800</f>
        <v>6.11138115408462</v>
      </c>
      <c r="F801" s="26" t="n">
        <f aca="false">F799+F800</f>
        <v>8.07952453924959</v>
      </c>
      <c r="G801" s="26" t="n">
        <f aca="false">G799+G800</f>
        <v>9.62930345027994</v>
      </c>
    </row>
    <row r="802" customFormat="false" ht="17.15" hidden="false" customHeight="false" outlineLevel="0" collapsed="false">
      <c r="A802" s="5" t="s">
        <v>593</v>
      </c>
      <c r="B802" s="0" t="s">
        <v>31</v>
      </c>
      <c r="C802" s="26" t="n">
        <f aca="false">a25_cmp/1000</f>
        <v>1.1163</v>
      </c>
      <c r="D802" s="26" t="n">
        <f aca="false">a26_cmp/1000</f>
        <v>2.0056</v>
      </c>
      <c r="E802" s="26" t="n">
        <f aca="false">w2h_26*C793+h_1h*D793</f>
        <v>3.84541297318711</v>
      </c>
      <c r="F802" s="26" t="n">
        <f aca="false">(1-h_1h)*D793+h_1h*E793</f>
        <v>5.05191764046303</v>
      </c>
      <c r="G802" s="26" t="n">
        <f aca="false">(1-h_1h)*E793+h_1h*F793</f>
        <v>5.96809053454042</v>
      </c>
      <c r="H802" s="5" t="s">
        <v>594</v>
      </c>
    </row>
    <row r="803" customFormat="false" ht="17.15" hidden="false" customHeight="false" outlineLevel="0" collapsed="false">
      <c r="A803" s="5" t="s">
        <v>595</v>
      </c>
      <c r="B803" s="0" t="s">
        <v>31</v>
      </c>
      <c r="C803" s="26" t="n">
        <f aca="false">a25_sys/1000</f>
        <v>0.5287</v>
      </c>
      <c r="D803" s="26" t="n">
        <f aca="false">a26_sys/1000</f>
        <v>1.0084</v>
      </c>
      <c r="E803" s="26" t="n">
        <f aca="false">w2h_26*C794+h_1h*D794</f>
        <v>2.26596818089751</v>
      </c>
      <c r="F803" s="26" t="n">
        <f aca="false">(1-h_1h)*D794+h_1h*E794</f>
        <v>3.02760689878656</v>
      </c>
      <c r="G803" s="26" t="n">
        <f aca="false">(1-h_1h)*E794+h_1h*F794</f>
        <v>3.66121291573953</v>
      </c>
      <c r="H803" s="5" t="s">
        <v>596</v>
      </c>
    </row>
    <row r="804" customFormat="false" ht="15" hidden="false" customHeight="false" outlineLevel="0" collapsed="false">
      <c r="A804" s="5" t="s">
        <v>597</v>
      </c>
      <c r="B804" s="0" t="s">
        <v>31</v>
      </c>
      <c r="C804" s="17" t="n">
        <f aca="false">C802+C803-C801</f>
        <v>0</v>
      </c>
      <c r="D804" s="17" t="n">
        <f aca="false">D802+D803-D801</f>
        <v>0</v>
      </c>
      <c r="E804" s="17" t="n">
        <f aca="false">E802+E803-E801</f>
        <v>0</v>
      </c>
      <c r="F804" s="17" t="n">
        <f aca="false">F802+F803-F801</f>
        <v>0</v>
      </c>
      <c r="G804" s="17" t="n">
        <f aca="false">G802+G803-G801</f>
        <v>0</v>
      </c>
    </row>
    <row r="805" customFormat="false" ht="15" hidden="false" customHeight="false" outlineLevel="0" collapsed="false">
      <c r="A805" s="5" t="s">
        <v>598</v>
      </c>
      <c r="B805" s="0" t="s">
        <v>164</v>
      </c>
      <c r="D805" s="16" t="n">
        <f aca="false">D801/C801-1</f>
        <v>0.832218844984802</v>
      </c>
      <c r="E805" s="16" t="n">
        <f aca="false">E801/D801-1</f>
        <v>1.02766461648461</v>
      </c>
      <c r="F805" s="16" t="n">
        <f aca="false">F801/E801-1</f>
        <v>0.322045595838762</v>
      </c>
      <c r="G805" s="16" t="n">
        <f aca="false">G801/F801-1</f>
        <v>0.191815607898915</v>
      </c>
    </row>
    <row r="806" customFormat="false" ht="17.15" hidden="false" customHeight="false" outlineLevel="0" collapsed="false">
      <c r="A806" s="0" t="s">
        <v>599</v>
      </c>
      <c r="B806" s="0" t="s">
        <v>164</v>
      </c>
      <c r="E806" s="16" t="n">
        <f aca="false">E799/E801</f>
        <v>0.802159751699501</v>
      </c>
      <c r="F806" s="16" t="n">
        <f aca="false">F799/F801</f>
        <v>0.8370014666578</v>
      </c>
      <c r="G806" s="16" t="n">
        <f aca="false">G799/G801</f>
        <v>0.849256543892819</v>
      </c>
    </row>
    <row r="807" customFormat="false" ht="17.15" hidden="false" customHeight="false" outlineLevel="0" collapsed="false">
      <c r="A807" s="5" t="s">
        <v>484</v>
      </c>
      <c r="B807" s="0" t="s">
        <v>164</v>
      </c>
      <c r="C807" s="16" t="n">
        <f aca="false">a25_gm</f>
        <v>0.347</v>
      </c>
      <c r="D807" s="16" t="n">
        <f aca="false">a26_gm</f>
        <v>0.46</v>
      </c>
      <c r="E807" s="16" t="n">
        <f aca="false">gm_27</f>
        <v>0.52</v>
      </c>
      <c r="F807" s="16" t="n">
        <f aca="false">gm_28</f>
        <v>0.51</v>
      </c>
      <c r="G807" s="16" t="n">
        <f aca="false">gm_29</f>
        <v>0.49</v>
      </c>
    </row>
    <row r="808" customFormat="false" ht="15" hidden="false" customHeight="false" outlineLevel="0" collapsed="false">
      <c r="A808" s="5" t="s">
        <v>485</v>
      </c>
      <c r="B808" s="0" t="s">
        <v>31</v>
      </c>
      <c r="C808" s="26" t="n">
        <f aca="false">C801*C807</f>
        <v>0.570815</v>
      </c>
      <c r="D808" s="26" t="n">
        <f aca="false">D801*D807</f>
        <v>1.38644</v>
      </c>
      <c r="E808" s="26" t="n">
        <f aca="false">E801*E807</f>
        <v>3.177918200124</v>
      </c>
      <c r="F808" s="26" t="n">
        <f aca="false">F801*F807</f>
        <v>4.12055751501729</v>
      </c>
      <c r="G808" s="26" t="n">
        <f aca="false">G801*G807</f>
        <v>4.71835869063717</v>
      </c>
    </row>
    <row r="809" customFormat="false" ht="15" hidden="false" customHeight="false" outlineLevel="0" collapsed="false">
      <c r="A809" s="5" t="s">
        <v>600</v>
      </c>
      <c r="B809" s="0" t="s">
        <v>31</v>
      </c>
      <c r="C809" s="26" t="n">
        <f aca="false">a25_opx/1000</f>
        <v>0.4114</v>
      </c>
      <c r="D809" s="26" t="n">
        <f aca="false">a26_opx/1000</f>
        <v>0.4897</v>
      </c>
      <c r="E809" s="26" t="n">
        <f aca="false">D809*(1+MAX(0,phi*E805))</f>
        <v>0.604791019317894</v>
      </c>
      <c r="F809" s="26" t="n">
        <f aca="false">E809*(1+MAX(0,phi*F805))</f>
        <v>0.64933434373495</v>
      </c>
      <c r="G809" s="26" t="n">
        <f aca="false">F809*(1+MAX(0,phi*G805))</f>
        <v>0.677819082768334</v>
      </c>
    </row>
    <row r="810" customFormat="false" ht="15" hidden="false" customHeight="false" outlineLevel="0" collapsed="false">
      <c r="A810" s="5" t="s">
        <v>601</v>
      </c>
      <c r="B810" s="0" t="s">
        <v>31</v>
      </c>
      <c r="C810" s="26" t="n">
        <f aca="false">C809</f>
        <v>0.4114</v>
      </c>
      <c r="D810" s="26" t="n">
        <f aca="false">D809</f>
        <v>0.4897</v>
      </c>
      <c r="E810" s="26" t="n">
        <f aca="false">E809+0*E801</f>
        <v>0.604791019317894</v>
      </c>
      <c r="F810" s="26" t="n">
        <f aca="false">F809+0*F801</f>
        <v>0.64933434373495</v>
      </c>
      <c r="G810" s="26" t="n">
        <f aca="false">G809+0*G801</f>
        <v>0.677819082768334</v>
      </c>
    </row>
    <row r="811" customFormat="false" ht="15" hidden="false" customHeight="false" outlineLevel="0" collapsed="false">
      <c r="A811" s="5" t="s">
        <v>602</v>
      </c>
      <c r="B811" s="0" t="s">
        <v>31</v>
      </c>
      <c r="C811" s="26" t="n">
        <f aca="false">C808-C810</f>
        <v>0.159415</v>
      </c>
      <c r="D811" s="26" t="n">
        <f aca="false">D808-D810</f>
        <v>0.89674</v>
      </c>
      <c r="E811" s="26" t="n">
        <f aca="false">E808-E810</f>
        <v>2.57312718080611</v>
      </c>
      <c r="F811" s="26" t="n">
        <f aca="false">F808-F810</f>
        <v>3.47122317128234</v>
      </c>
      <c r="G811" s="26" t="n">
        <f aca="false">G808-G810</f>
        <v>4.04053960786884</v>
      </c>
    </row>
    <row r="812" customFormat="false" ht="15" hidden="false" customHeight="false" outlineLevel="0" collapsed="false">
      <c r="A812" s="5" t="s">
        <v>489</v>
      </c>
      <c r="B812" s="0" t="s">
        <v>164</v>
      </c>
      <c r="C812" s="16" t="n">
        <f aca="false">C811/C801</f>
        <v>0.0969088145896656</v>
      </c>
      <c r="D812" s="16" t="n">
        <f aca="false">D811/D801</f>
        <v>0.297524883875249</v>
      </c>
      <c r="E812" s="16" t="n">
        <f aca="false">E811/E801</f>
        <v>0.421038569830705</v>
      </c>
      <c r="F812" s="16" t="n">
        <f aca="false">F811/F801</f>
        <v>0.429632109466276</v>
      </c>
      <c r="G812" s="16" t="n">
        <f aca="false">G811/G801</f>
        <v>0.419608710924088</v>
      </c>
    </row>
    <row r="813" customFormat="false" ht="17.15" hidden="false" customHeight="false" outlineLevel="0" collapsed="false">
      <c r="A813" s="5" t="s">
        <v>490</v>
      </c>
      <c r="B813" s="0" t="s">
        <v>31</v>
      </c>
      <c r="C813" s="26" t="n">
        <f aca="false">a25_ni/1000</f>
        <v>0.1464</v>
      </c>
      <c r="D813" s="26" t="n">
        <f aca="false">a26_ni/1000</f>
        <v>0.7823</v>
      </c>
      <c r="E813" s="26" t="n">
        <f aca="false">(E811+oi_oth)*(1-tx)</f>
        <v>2.1921611959731</v>
      </c>
      <c r="F813" s="26" t="n">
        <f aca="false">(F811+oi_oth)*(1-tx)</f>
        <v>2.94207134802075</v>
      </c>
      <c r="G813" s="26" t="n">
        <f aca="false">(G811+oi_oth)*(1-tx)</f>
        <v>3.41745057257048</v>
      </c>
    </row>
    <row r="814" customFormat="false" ht="15" hidden="false" customHeight="false" outlineLevel="0" collapsed="false">
      <c r="A814" s="5" t="s">
        <v>552</v>
      </c>
      <c r="B814" s="0" t="s">
        <v>164</v>
      </c>
      <c r="C814" s="16" t="n">
        <f aca="false">C813/C801</f>
        <v>0.0889969604863222</v>
      </c>
      <c r="D814" s="16" t="n">
        <f aca="false">D813/D801</f>
        <v>0.259555408095554</v>
      </c>
      <c r="E814" s="16" t="n">
        <f aca="false">E813/E801</f>
        <v>0.358701436009754</v>
      </c>
      <c r="F814" s="16" t="n">
        <f aca="false">F813/F801</f>
        <v>0.364139168552362</v>
      </c>
      <c r="G814" s="16" t="n">
        <f aca="false">G813/G801</f>
        <v>0.354901119298627</v>
      </c>
    </row>
    <row r="815" customFormat="false" ht="17.15" hidden="false" customHeight="false" outlineLevel="0" collapsed="false">
      <c r="A815" s="5" t="s">
        <v>494</v>
      </c>
      <c r="B815" s="5" t="s">
        <v>238</v>
      </c>
      <c r="C815" s="15" t="n">
        <f aca="false">a25_sh</f>
        <v>71.0679611650485</v>
      </c>
      <c r="D815" s="15" t="n">
        <f aca="false">a26_sh</f>
        <v>90.2306805074971</v>
      </c>
      <c r="E815" s="15" t="n">
        <f aca="false">sh_q1</f>
        <v>102</v>
      </c>
      <c r="F815" s="15" t="n">
        <f aca="false">E815*(1+sh_g)</f>
        <v>103.02</v>
      </c>
      <c r="G815" s="15" t="n">
        <f aca="false">F815*(1+sh_g)</f>
        <v>104.0502</v>
      </c>
    </row>
    <row r="816" customFormat="false" ht="17.15" hidden="false" customHeight="false" outlineLevel="0" collapsed="false">
      <c r="A816" s="0" t="s">
        <v>496</v>
      </c>
      <c r="B816" s="0" t="s">
        <v>233</v>
      </c>
      <c r="C816" s="9" t="n">
        <f aca="false">C813*1000/C815</f>
        <v>2.06</v>
      </c>
      <c r="D816" s="9" t="n">
        <f aca="false">D813*1000/D815</f>
        <v>8.67</v>
      </c>
      <c r="E816" s="9" t="n">
        <f aca="false">E813*1000/E815</f>
        <v>21.4917764311088</v>
      </c>
      <c r="F816" s="9" t="n">
        <f aca="false">F813*1000/F815</f>
        <v>28.5582542032688</v>
      </c>
      <c r="G816" s="9" t="n">
        <f aca="false">G813*1000/G815</f>
        <v>32.8442479934732</v>
      </c>
    </row>
    <row r="817" customFormat="false" ht="17.15" hidden="false" customHeight="false" outlineLevel="0" collapsed="false">
      <c r="A817" s="0" t="s">
        <v>603</v>
      </c>
      <c r="B817" s="0" t="s">
        <v>164</v>
      </c>
      <c r="D817" s="16" t="n">
        <f aca="false">D816/C816-1</f>
        <v>3.20873786407767</v>
      </c>
      <c r="E817" s="16" t="n">
        <f aca="false">E816/D816-1</f>
        <v>1.47886694707138</v>
      </c>
      <c r="F817" s="16" t="n">
        <f aca="false">F816/E816-1</f>
        <v>0.328799147655911</v>
      </c>
      <c r="G817" s="16" t="n">
        <f aca="false">G816/F816-1</f>
        <v>0.150078984509976</v>
      </c>
    </row>
    <row r="820" customFormat="false" ht="17.15" hidden="false" customHeight="false" outlineLevel="0" collapsed="false">
      <c r="A820" s="3" t="s">
        <v>909</v>
      </c>
    </row>
    <row r="821" customFormat="false" ht="17.15" hidden="false" customHeight="false" outlineLevel="0" collapsed="false">
      <c r="A821" s="1" t="s">
        <v>561</v>
      </c>
    </row>
    <row r="822" customFormat="false" ht="17.15" hidden="false" customHeight="false" outlineLevel="0" collapsed="false">
      <c r="A822" s="6" t="s">
        <v>20</v>
      </c>
      <c r="B822" s="6" t="s">
        <v>21</v>
      </c>
      <c r="C822" s="14" t="s">
        <v>562</v>
      </c>
      <c r="D822" s="14" t="s">
        <v>517</v>
      </c>
      <c r="E822" s="14" t="s">
        <v>518</v>
      </c>
      <c r="F822" s="14" t="s">
        <v>519</v>
      </c>
      <c r="G822" s="14"/>
      <c r="H822" s="6" t="s">
        <v>480</v>
      </c>
    </row>
    <row r="823" customFormat="false" ht="17.15" hidden="false" customHeight="false" outlineLevel="0" collapsed="false">
      <c r="A823" s="0" t="s">
        <v>563</v>
      </c>
      <c r="B823" s="0" t="s">
        <v>31</v>
      </c>
      <c r="C823" s="26" t="n">
        <f aca="false">mpl_26*1</f>
        <v>29.753262</v>
      </c>
      <c r="D823" s="26" t="n">
        <f aca="false">mpl_27*1*mf_hi</f>
        <v>64.272858</v>
      </c>
      <c r="E823" s="26" t="n">
        <f aca="false">mpl_28*um28_A*mf_hi</f>
        <v>69.5898</v>
      </c>
      <c r="F823" s="26" t="n">
        <f aca="false">mpl_29*um29_A*mf_hi</f>
        <v>87.52176</v>
      </c>
    </row>
    <row r="824" customFormat="false" ht="17.15" hidden="false" customHeight="false" outlineLevel="0" collapsed="false">
      <c r="A824" s="5" t="s">
        <v>564</v>
      </c>
      <c r="B824" s="0" t="s">
        <v>97</v>
      </c>
      <c r="C824" s="20" t="n">
        <f aca="false">asp_26</f>
        <v>500</v>
      </c>
      <c r="D824" s="20" t="n">
        <f aca="false">asp_27</f>
        <v>520</v>
      </c>
      <c r="E824" s="20" t="n">
        <f aca="false">asp_28</f>
        <v>540</v>
      </c>
      <c r="F824" s="20" t="n">
        <f aca="false">asp_29</f>
        <v>560</v>
      </c>
    </row>
    <row r="825" customFormat="false" ht="17.15" hidden="false" customHeight="false" outlineLevel="0" collapsed="false">
      <c r="A825" s="5" t="s">
        <v>565</v>
      </c>
      <c r="B825" s="5" t="s">
        <v>349</v>
      </c>
      <c r="C825" s="15" t="n">
        <f aca="false">C823*1000/C824</f>
        <v>59.506524</v>
      </c>
      <c r="D825" s="15" t="n">
        <f aca="false">D823*1000/D824</f>
        <v>123.60165</v>
      </c>
      <c r="E825" s="15" t="n">
        <f aca="false">E823*1000/E824</f>
        <v>128.87</v>
      </c>
      <c r="F825" s="15" t="n">
        <f aca="false">F823*1000/F824</f>
        <v>156.288857142857</v>
      </c>
    </row>
    <row r="826" customFormat="false" ht="17.15" hidden="false" customHeight="false" outlineLevel="0" collapsed="false">
      <c r="A826" s="5" t="s">
        <v>566</v>
      </c>
      <c r="B826" s="5" t="s">
        <v>109</v>
      </c>
      <c r="C826" s="18" t="n">
        <f aca="false">lpm_26</f>
        <v>5.5</v>
      </c>
      <c r="D826" s="18" t="n">
        <f aca="false">lpm_27</f>
        <v>5.5</v>
      </c>
      <c r="E826" s="18" t="n">
        <f aca="false">lpm_28</f>
        <v>5</v>
      </c>
      <c r="F826" s="18" t="n">
        <f aca="false">lpm_29</f>
        <v>4.8</v>
      </c>
    </row>
    <row r="827" customFormat="false" ht="17.15" hidden="false" customHeight="false" outlineLevel="0" collapsed="false">
      <c r="A827" s="5" t="s">
        <v>567</v>
      </c>
      <c r="B827" s="0" t="s">
        <v>121</v>
      </c>
      <c r="C827" s="18" t="n">
        <f aca="false">lasp_26</f>
        <v>13</v>
      </c>
      <c r="D827" s="18" t="n">
        <f aca="false">lasp_27</f>
        <v>15</v>
      </c>
      <c r="E827" s="18" t="n">
        <f aca="false">lasp_28</f>
        <v>15</v>
      </c>
      <c r="F827" s="18" t="n">
        <f aca="false">lasp_29</f>
        <v>14</v>
      </c>
    </row>
    <row r="828" customFormat="false" ht="17.15" hidden="false" customHeight="false" outlineLevel="0" collapsed="false">
      <c r="A828" s="5" t="s">
        <v>568</v>
      </c>
      <c r="B828" s="0" t="s">
        <v>31</v>
      </c>
      <c r="C828" s="26" t="n">
        <f aca="false">C825*C826*C827/1000</f>
        <v>4.254716466</v>
      </c>
      <c r="D828" s="26" t="n">
        <f aca="false">D825*D826*D827/1000</f>
        <v>10.197136125</v>
      </c>
      <c r="E828" s="26" t="n">
        <f aca="false">E825*E826*E827/1000</f>
        <v>9.66525</v>
      </c>
      <c r="F828" s="26" t="n">
        <f aca="false">F825*F826*F827/1000</f>
        <v>10.5026112</v>
      </c>
    </row>
    <row r="829" customFormat="false" ht="17.15" hidden="false" customHeight="false" outlineLevel="0" collapsed="false">
      <c r="A829" s="0" t="s">
        <v>569</v>
      </c>
      <c r="B829" s="0" t="s">
        <v>164</v>
      </c>
      <c r="C829" s="16" t="n">
        <f aca="false">c26_las/1000/C828</f>
        <v>0.43826657190933</v>
      </c>
      <c r="H829" s="8" t="s">
        <v>570</v>
      </c>
    </row>
    <row r="830" customFormat="false" ht="17.15" hidden="false" customHeight="false" outlineLevel="0" collapsed="false">
      <c r="A830" s="5" t="s">
        <v>571</v>
      </c>
      <c r="B830" s="0" t="s">
        <v>75</v>
      </c>
      <c r="C830" s="9" t="n">
        <f aca="false">1</f>
        <v>1</v>
      </c>
      <c r="D830" s="9" t="n">
        <f aca="false">lrel_27</f>
        <v>0.95</v>
      </c>
      <c r="E830" s="9" t="n">
        <f aca="false">lrel_28</f>
        <v>0.95</v>
      </c>
      <c r="F830" s="9" t="n">
        <f aca="false">lrel_29</f>
        <v>0.9</v>
      </c>
    </row>
    <row r="831" customFormat="false" ht="15" hidden="false" customHeight="false" outlineLevel="0" collapsed="false">
      <c r="A831" s="5" t="s">
        <v>572</v>
      </c>
      <c r="B831" s="0" t="s">
        <v>164</v>
      </c>
      <c r="C831" s="16" t="n">
        <f aca="false">$C$829*C830</f>
        <v>0.43826657190933</v>
      </c>
      <c r="D831" s="16" t="n">
        <f aca="false">$C$829*D830</f>
        <v>0.416353243313864</v>
      </c>
      <c r="E831" s="16" t="n">
        <f aca="false">$C$829*E830</f>
        <v>0.416353243313864</v>
      </c>
      <c r="F831" s="16" t="n">
        <f aca="false">$C$829*F830</f>
        <v>0.394439914718397</v>
      </c>
    </row>
    <row r="832" customFormat="false" ht="17.15" hidden="false" customHeight="false" outlineLevel="0" collapsed="false">
      <c r="A832" s="5" t="s">
        <v>573</v>
      </c>
      <c r="B832" s="0" t="s">
        <v>31</v>
      </c>
      <c r="C832" s="26" t="n">
        <f aca="false">C828*C831</f>
        <v>1.8647</v>
      </c>
      <c r="D832" s="26" t="n">
        <f aca="false">D828*D831</f>
        <v>4.24561069815671</v>
      </c>
      <c r="E832" s="26" t="n">
        <f aca="false">E828*E831</f>
        <v>4.02415818493932</v>
      </c>
      <c r="F832" s="26" t="n">
        <f aca="false">F828*F831</f>
        <v>4.14264906604848</v>
      </c>
    </row>
    <row r="833" customFormat="false" ht="17.15" hidden="false" customHeight="false" outlineLevel="0" collapsed="false">
      <c r="A833" s="5" t="s">
        <v>574</v>
      </c>
      <c r="B833" s="0" t="s">
        <v>164</v>
      </c>
      <c r="C833" s="16" t="n">
        <f aca="false">c26_xcvr/1000/C823</f>
        <v>0.0336097601668012</v>
      </c>
    </row>
    <row r="834" customFormat="false" ht="15" hidden="false" customHeight="false" outlineLevel="0" collapsed="false">
      <c r="A834" s="5" t="s">
        <v>575</v>
      </c>
      <c r="B834" s="0" t="s">
        <v>164</v>
      </c>
      <c r="C834" s="16" t="n">
        <f aca="false">C833</f>
        <v>0.0336097601668012</v>
      </c>
      <c r="D834" s="16" t="n">
        <f aca="false">$C$833*mrel_27</f>
        <v>0.0336097601668012</v>
      </c>
      <c r="E834" s="16" t="n">
        <f aca="false">$C$833*mrel_28</f>
        <v>0.0336097601668012</v>
      </c>
      <c r="F834" s="16" t="n">
        <f aca="false">$C$833*mrel_29</f>
        <v>0.0336097601668012</v>
      </c>
    </row>
    <row r="835" customFormat="false" ht="15" hidden="false" customHeight="false" outlineLevel="0" collapsed="false">
      <c r="A835" s="5" t="s">
        <v>576</v>
      </c>
      <c r="B835" s="0" t="s">
        <v>31</v>
      </c>
      <c r="C835" s="26" t="n">
        <f aca="false">C823*C834</f>
        <v>1</v>
      </c>
      <c r="D835" s="26" t="n">
        <f aca="false">D823*D834</f>
        <v>2.16019534261487</v>
      </c>
      <c r="E835" s="26" t="n">
        <f aca="false">E823*E834</f>
        <v>2.33889648805566</v>
      </c>
      <c r="F835" s="26" t="n">
        <f aca="false">F823*F834</f>
        <v>2.94158536297633</v>
      </c>
    </row>
    <row r="836" customFormat="false" ht="17.15" hidden="false" customHeight="false" outlineLevel="0" collapsed="false">
      <c r="A836" s="0" t="s">
        <v>577</v>
      </c>
      <c r="B836" s="5" t="s">
        <v>54</v>
      </c>
      <c r="C836" s="19" t="n">
        <f aca="false">tpu_26*1</f>
        <v>3.85</v>
      </c>
      <c r="D836" s="19" t="n">
        <f aca="false">tpu_27*1</f>
        <v>5.5</v>
      </c>
      <c r="E836" s="19" t="n">
        <f aca="false">tpu_28*um28_A</f>
        <v>7</v>
      </c>
      <c r="F836" s="19" t="n">
        <f aca="false">tpu_29*um29_A</f>
        <v>8.05</v>
      </c>
    </row>
    <row r="837" customFormat="false" ht="17.15" hidden="false" customHeight="false" outlineLevel="0" collapsed="false">
      <c r="A837" s="0" t="s">
        <v>578</v>
      </c>
      <c r="B837" s="0" t="s">
        <v>121</v>
      </c>
      <c r="C837" s="20" t="n">
        <f aca="false">c26_ocs/C836</f>
        <v>129.87012987013</v>
      </c>
      <c r="D837" s="20" t="n">
        <f aca="false">$C837*ocsk_27</f>
        <v>207.792207792208</v>
      </c>
      <c r="E837" s="20" t="n">
        <f aca="false">$C837*ocsk_28</f>
        <v>233.766233766234</v>
      </c>
      <c r="F837" s="20" t="n">
        <f aca="false">$C837*ocsk_29</f>
        <v>233.766233766234</v>
      </c>
    </row>
    <row r="838" customFormat="false" ht="17.15" hidden="false" customHeight="false" outlineLevel="0" collapsed="false">
      <c r="A838" s="0" t="s">
        <v>531</v>
      </c>
      <c r="B838" s="0" t="s">
        <v>31</v>
      </c>
      <c r="C838" s="26" t="n">
        <f aca="false">C836*C837/1000</f>
        <v>0.5</v>
      </c>
      <c r="D838" s="26" t="n">
        <f aca="false">D836*D837/1000</f>
        <v>1.14285714285714</v>
      </c>
      <c r="E838" s="26" t="n">
        <f aca="false">E836*E837/1000</f>
        <v>1.63636363636364</v>
      </c>
      <c r="F838" s="26" t="n">
        <f aca="false">F836*F837/1000</f>
        <v>1.88181818181818</v>
      </c>
    </row>
    <row r="839" customFormat="false" ht="17.15" hidden="false" customHeight="false" outlineLevel="0" collapsed="false">
      <c r="A839" s="0" t="s">
        <v>579</v>
      </c>
      <c r="B839" s="0" t="s">
        <v>31</v>
      </c>
      <c r="C839" s="26" t="n">
        <f aca="false">mcp_26*1</f>
        <v>0.300538</v>
      </c>
      <c r="D839" s="26" t="n">
        <f aca="false">mcp_27*1</f>
        <v>2.818985</v>
      </c>
      <c r="E839" s="26" t="n">
        <f aca="false">mcp_28*um28_A</f>
        <v>6.4435</v>
      </c>
      <c r="F839" s="26" t="n">
        <f aca="false">mcp_29*um29_A</f>
        <v>11.74736</v>
      </c>
    </row>
    <row r="840" customFormat="false" ht="17.15" hidden="false" customHeight="false" outlineLevel="0" collapsed="false">
      <c r="A840" s="0" t="s">
        <v>532</v>
      </c>
      <c r="B840" s="0" t="s">
        <v>164</v>
      </c>
      <c r="C840" s="16" t="n">
        <f aca="false">c26_cpo/1000/C839</f>
        <v>0.166368312825666</v>
      </c>
      <c r="D840" s="16" t="n">
        <f aca="false">cpo_27</f>
        <v>0.25</v>
      </c>
      <c r="E840" s="16" t="n">
        <f aca="false">cpo_28</f>
        <v>0.25</v>
      </c>
      <c r="F840" s="16" t="n">
        <f aca="false">cpo_29</f>
        <v>0.2</v>
      </c>
    </row>
    <row r="841" customFormat="false" ht="17.15" hidden="false" customHeight="false" outlineLevel="0" collapsed="false">
      <c r="A841" s="0" t="s">
        <v>580</v>
      </c>
      <c r="B841" s="0" t="s">
        <v>31</v>
      </c>
      <c r="C841" s="26" t="n">
        <f aca="false">C839*C840</f>
        <v>0.05</v>
      </c>
      <c r="D841" s="26" t="n">
        <f aca="false">D839*D840</f>
        <v>0.70474625</v>
      </c>
      <c r="E841" s="26" t="n">
        <f aca="false">E839*E840</f>
        <v>1.610875</v>
      </c>
      <c r="F841" s="26" t="n">
        <f aca="false">F839*F840</f>
        <v>2.349472</v>
      </c>
    </row>
    <row r="842" customFormat="false" ht="17.15" hidden="false" customHeight="false" outlineLevel="0" collapsed="false">
      <c r="A842" s="0" t="s">
        <v>581</v>
      </c>
      <c r="B842" s="0" t="s">
        <v>31</v>
      </c>
      <c r="C842" s="26" t="n">
        <f aca="false">C832+C835+C838+C841</f>
        <v>3.4147</v>
      </c>
      <c r="D842" s="26" t="n">
        <f aca="false">D832+D835+D838+D841</f>
        <v>8.25340943362873</v>
      </c>
      <c r="E842" s="26" t="n">
        <f aca="false">E832+E835+E838+E841</f>
        <v>9.61029330935862</v>
      </c>
      <c r="F842" s="26" t="n">
        <f aca="false">F832+F835+F838+F841</f>
        <v>11.315524610843</v>
      </c>
    </row>
    <row r="843" customFormat="false" ht="17.15" hidden="false" customHeight="false" outlineLevel="0" collapsed="false">
      <c r="A843" s="5" t="s">
        <v>582</v>
      </c>
      <c r="B843" s="0" t="s">
        <v>31</v>
      </c>
      <c r="C843" s="26" t="n">
        <f aca="false">c26_tel/1000</f>
        <v>0.75</v>
      </c>
      <c r="D843" s="26" t="n">
        <f aca="false">C843*(1+g_tel_27)</f>
        <v>0.9375</v>
      </c>
      <c r="E843" s="26" t="n">
        <f aca="false">D843*(1+g_tel_28)</f>
        <v>1.078125</v>
      </c>
      <c r="F843" s="26" t="n">
        <f aca="false">E843*(1+g_tel_29)</f>
        <v>1.1859375</v>
      </c>
    </row>
    <row r="844" customFormat="false" ht="17.15" hidden="false" customHeight="false" outlineLevel="0" collapsed="false">
      <c r="A844" s="5" t="s">
        <v>583</v>
      </c>
      <c r="B844" s="0" t="s">
        <v>31</v>
      </c>
      <c r="C844" s="26" t="n">
        <f aca="false">c26_ind/1000</f>
        <v>0.3</v>
      </c>
      <c r="D844" s="26" t="n">
        <f aca="false">C844*(1+g_ind)</f>
        <v>0.309</v>
      </c>
      <c r="E844" s="26" t="n">
        <f aca="false">D844*(1+g_ind)</f>
        <v>0.31827</v>
      </c>
      <c r="F844" s="26" t="n">
        <f aca="false">E844*(1+g_ind)</f>
        <v>0.3278181</v>
      </c>
    </row>
    <row r="845" customFormat="false" ht="17.15" hidden="false" customHeight="false" outlineLevel="0" collapsed="false">
      <c r="A845" s="5" t="s">
        <v>584</v>
      </c>
      <c r="B845" s="0" t="s">
        <v>31</v>
      </c>
      <c r="C845" s="26" t="n">
        <f aca="false">C832+C843+C841+C844/2</f>
        <v>2.8147</v>
      </c>
      <c r="D845" s="26" t="n">
        <f aca="false">D832+D843+D841+D844/2</f>
        <v>6.04235694815671</v>
      </c>
      <c r="E845" s="26" t="n">
        <f aca="false">E832+E843+E841+E844/2</f>
        <v>6.87229318493932</v>
      </c>
      <c r="F845" s="26" t="n">
        <f aca="false">F832+F843+F841+F844/2</f>
        <v>7.84196761604848</v>
      </c>
      <c r="H845" s="5" t="s">
        <v>585</v>
      </c>
    </row>
    <row r="846" customFormat="false" ht="17.15" hidden="false" customHeight="false" outlineLevel="0" collapsed="false">
      <c r="A846" s="5" t="s">
        <v>586</v>
      </c>
      <c r="B846" s="0" t="s">
        <v>31</v>
      </c>
      <c r="C846" s="26" t="n">
        <f aca="false">C835+C838+C844/2</f>
        <v>1.65</v>
      </c>
      <c r="D846" s="26" t="n">
        <f aca="false">D835+D838+D844/2</f>
        <v>3.45755248547201</v>
      </c>
      <c r="E846" s="26" t="n">
        <f aca="false">E835+E838+E844/2</f>
        <v>4.1343951244193</v>
      </c>
      <c r="F846" s="26" t="n">
        <f aca="false">F835+F838+F844/2</f>
        <v>4.98731259479452</v>
      </c>
    </row>
    <row r="847" customFormat="false" ht="15" hidden="false" customHeight="false" outlineLevel="0" collapsed="false">
      <c r="A847" s="5" t="s">
        <v>587</v>
      </c>
      <c r="B847" s="0" t="s">
        <v>31</v>
      </c>
      <c r="C847" s="26" t="n">
        <f aca="false">C842+C843+C844</f>
        <v>4.4647</v>
      </c>
      <c r="D847" s="26" t="n">
        <f aca="false">D842+D843+D844</f>
        <v>9.49990943362873</v>
      </c>
      <c r="E847" s="26" t="n">
        <f aca="false">E842+E843+E844</f>
        <v>11.0066883093586</v>
      </c>
      <c r="F847" s="26" t="n">
        <f aca="false">F842+F843+F844</f>
        <v>12.829280210843</v>
      </c>
    </row>
    <row r="848" customFormat="false" ht="15" hidden="false" customHeight="false" outlineLevel="0" collapsed="false">
      <c r="A848" s="5" t="s">
        <v>588</v>
      </c>
      <c r="B848" s="0" t="s">
        <v>164</v>
      </c>
      <c r="D848" s="16" t="n">
        <f aca="false">D847/C847-1</f>
        <v>1.12778225493958</v>
      </c>
      <c r="E848" s="16" t="n">
        <f aca="false">E847/D847-1</f>
        <v>0.158609814783713</v>
      </c>
      <c r="F848" s="16" t="n">
        <f aca="false">F847/E847-1</f>
        <v>0.165589489795463</v>
      </c>
    </row>
    <row r="849" customFormat="false" ht="17.15" hidden="false" customHeight="false" outlineLevel="0" collapsed="false">
      <c r="A849" s="1" t="s">
        <v>589</v>
      </c>
    </row>
    <row r="850" customFormat="false" ht="17.15" hidden="false" customHeight="false" outlineLevel="0" collapsed="false">
      <c r="A850" s="6" t="s">
        <v>20</v>
      </c>
      <c r="B850" s="6" t="s">
        <v>21</v>
      </c>
      <c r="C850" s="14" t="s">
        <v>472</v>
      </c>
      <c r="D850" s="14" t="s">
        <v>539</v>
      </c>
      <c r="E850" s="14" t="s">
        <v>540</v>
      </c>
      <c r="F850" s="14" t="s">
        <v>541</v>
      </c>
      <c r="G850" s="14" t="s">
        <v>542</v>
      </c>
      <c r="H850" s="6" t="s">
        <v>480</v>
      </c>
    </row>
    <row r="851" customFormat="false" ht="17.15" hidden="false" customHeight="false" outlineLevel="0" collapsed="false">
      <c r="A851" s="0" t="s">
        <v>590</v>
      </c>
      <c r="B851" s="0" t="s">
        <v>31</v>
      </c>
      <c r="E851" s="26" t="n">
        <f aca="false">w2h_26*C842+h_1h*D842</f>
        <v>5.90588026882241</v>
      </c>
      <c r="F851" s="26" t="n">
        <f aca="false">(1-h_1h)*D842+h_1h*E842</f>
        <v>8.89114485522178</v>
      </c>
      <c r="G851" s="26" t="n">
        <f aca="false">(1-h_1h)*E842+h_1h*F842</f>
        <v>10.4117520210563</v>
      </c>
      <c r="H851" s="8" t="s">
        <v>591</v>
      </c>
    </row>
    <row r="852" customFormat="false" ht="17.15" hidden="false" customHeight="false" outlineLevel="0" collapsed="false">
      <c r="A852" s="5" t="s">
        <v>592</v>
      </c>
      <c r="B852" s="0" t="s">
        <v>31</v>
      </c>
      <c r="E852" s="26" t="n">
        <f aca="false">w2h_26*C843+h_1h*D843+w2h_26*C844+h_1h*D844</f>
        <v>1.20907716498309</v>
      </c>
      <c r="F852" s="26" t="n">
        <f aca="false">(1-h_1h)*D843+h_1h*E843+(1-h_1h)*D844+h_1h*E844</f>
        <v>1.31695065</v>
      </c>
      <c r="G852" s="26" t="n">
        <f aca="false">(1-h_1h)*E843+h_1h*F843+(1-h_1h)*E844+h_1h*F844</f>
        <v>1.451554482</v>
      </c>
    </row>
    <row r="853" customFormat="false" ht="15" hidden="false" customHeight="false" outlineLevel="0" collapsed="false">
      <c r="A853" s="5" t="s">
        <v>481</v>
      </c>
      <c r="B853" s="0" t="s">
        <v>31</v>
      </c>
      <c r="C853" s="26" t="n">
        <f aca="false">a25_rev/1000</f>
        <v>1.645</v>
      </c>
      <c r="D853" s="26" t="n">
        <f aca="false">a26_rev/1000</f>
        <v>3.014</v>
      </c>
      <c r="E853" s="26" t="n">
        <f aca="false">E851+E852</f>
        <v>7.1149574338055</v>
      </c>
      <c r="F853" s="26" t="n">
        <f aca="false">F851+F852</f>
        <v>10.2080955052218</v>
      </c>
      <c r="G853" s="26" t="n">
        <f aca="false">G851+G852</f>
        <v>11.8633065030563</v>
      </c>
    </row>
    <row r="854" customFormat="false" ht="17.15" hidden="false" customHeight="false" outlineLevel="0" collapsed="false">
      <c r="A854" s="5" t="s">
        <v>593</v>
      </c>
      <c r="B854" s="0" t="s">
        <v>31</v>
      </c>
      <c r="C854" s="26" t="n">
        <f aca="false">a25_cmp/1000</f>
        <v>1.1163</v>
      </c>
      <c r="D854" s="26" t="n">
        <f aca="false">a26_cmp/1000</f>
        <v>2.0056</v>
      </c>
      <c r="E854" s="26" t="n">
        <f aca="false">w2h_26*C845+h_1h*D845</f>
        <v>4.51055864923166</v>
      </c>
      <c r="F854" s="26" t="n">
        <f aca="false">(1-h_1h)*D845+h_1h*E845</f>
        <v>6.43242697944454</v>
      </c>
      <c r="G854" s="26" t="n">
        <f aca="false">(1-h_1h)*E845+h_1h*F845</f>
        <v>7.32804016756063</v>
      </c>
      <c r="H854" s="5" t="s">
        <v>594</v>
      </c>
    </row>
    <row r="855" customFormat="false" ht="17.15" hidden="false" customHeight="false" outlineLevel="0" collapsed="false">
      <c r="A855" s="5" t="s">
        <v>595</v>
      </c>
      <c r="B855" s="0" t="s">
        <v>31</v>
      </c>
      <c r="C855" s="26" t="n">
        <f aca="false">a25_sys/1000</f>
        <v>0.5287</v>
      </c>
      <c r="D855" s="26" t="n">
        <f aca="false">a26_sys/1000</f>
        <v>1.0084</v>
      </c>
      <c r="E855" s="26" t="n">
        <f aca="false">w2h_26*C846+h_1h*D846</f>
        <v>2.60439878457384</v>
      </c>
      <c r="F855" s="26" t="n">
        <f aca="false">(1-h_1h)*D846+h_1h*E846</f>
        <v>3.77566852577724</v>
      </c>
      <c r="G855" s="26" t="n">
        <f aca="false">(1-h_1h)*E846+h_1h*F846</f>
        <v>4.53526633549565</v>
      </c>
      <c r="H855" s="5" t="s">
        <v>596</v>
      </c>
    </row>
    <row r="856" customFormat="false" ht="15" hidden="false" customHeight="false" outlineLevel="0" collapsed="false">
      <c r="A856" s="5" t="s">
        <v>597</v>
      </c>
      <c r="B856" s="0" t="s">
        <v>31</v>
      </c>
      <c r="C856" s="17" t="n">
        <f aca="false">C854+C855-C853</f>
        <v>0</v>
      </c>
      <c r="D856" s="17" t="n">
        <f aca="false">D854+D855-D853</f>
        <v>0</v>
      </c>
      <c r="E856" s="17" t="n">
        <f aca="false">E854+E855-E853</f>
        <v>0</v>
      </c>
      <c r="F856" s="17" t="n">
        <f aca="false">F854+F855-F853</f>
        <v>0</v>
      </c>
      <c r="G856" s="17" t="n">
        <f aca="false">G854+G855-G853</f>
        <v>0</v>
      </c>
    </row>
    <row r="857" customFormat="false" ht="15" hidden="false" customHeight="false" outlineLevel="0" collapsed="false">
      <c r="A857" s="5" t="s">
        <v>598</v>
      </c>
      <c r="B857" s="0" t="s">
        <v>164</v>
      </c>
      <c r="D857" s="16" t="n">
        <f aca="false">D853/C853-1</f>
        <v>0.832218844984802</v>
      </c>
      <c r="E857" s="16" t="n">
        <f aca="false">E853/D853-1</f>
        <v>1.36063617578152</v>
      </c>
      <c r="F857" s="16" t="n">
        <f aca="false">F853/E853-1</f>
        <v>0.434737396561188</v>
      </c>
      <c r="G857" s="16" t="n">
        <f aca="false">G853/F853-1</f>
        <v>0.162146895764034</v>
      </c>
    </row>
    <row r="858" customFormat="false" ht="17.15" hidden="false" customHeight="false" outlineLevel="0" collapsed="false">
      <c r="A858" s="0" t="s">
        <v>599</v>
      </c>
      <c r="B858" s="0" t="s">
        <v>164</v>
      </c>
      <c r="E858" s="16" t="n">
        <f aca="false">E851/E853</f>
        <v>0.830065439430689</v>
      </c>
      <c r="F858" s="16" t="n">
        <f aca="false">F851/F853</f>
        <v>0.870989583774335</v>
      </c>
      <c r="G858" s="16" t="n">
        <f aca="false">G851/G853</f>
        <v>0.877643346597675</v>
      </c>
    </row>
    <row r="859" customFormat="false" ht="17.15" hidden="false" customHeight="false" outlineLevel="0" collapsed="false">
      <c r="A859" s="5" t="s">
        <v>484</v>
      </c>
      <c r="B859" s="0" t="s">
        <v>164</v>
      </c>
      <c r="C859" s="16" t="n">
        <f aca="false">a25_gm</f>
        <v>0.347</v>
      </c>
      <c r="D859" s="16" t="n">
        <f aca="false">a26_gm</f>
        <v>0.46</v>
      </c>
      <c r="E859" s="16" t="n">
        <f aca="false">gm_27</f>
        <v>0.52</v>
      </c>
      <c r="F859" s="16" t="n">
        <f aca="false">gm_28</f>
        <v>0.51</v>
      </c>
      <c r="G859" s="16" t="n">
        <f aca="false">gm_29</f>
        <v>0.49</v>
      </c>
    </row>
    <row r="860" customFormat="false" ht="15" hidden="false" customHeight="false" outlineLevel="0" collapsed="false">
      <c r="A860" s="5" t="s">
        <v>485</v>
      </c>
      <c r="B860" s="0" t="s">
        <v>31</v>
      </c>
      <c r="C860" s="26" t="n">
        <f aca="false">C853*C859</f>
        <v>0.570815</v>
      </c>
      <c r="D860" s="26" t="n">
        <f aca="false">D853*D859</f>
        <v>1.38644</v>
      </c>
      <c r="E860" s="26" t="n">
        <f aca="false">E853*E859</f>
        <v>3.69977786557886</v>
      </c>
      <c r="F860" s="26" t="n">
        <f aca="false">F853*F859</f>
        <v>5.20612870766311</v>
      </c>
      <c r="G860" s="26" t="n">
        <f aca="false">G853*G859</f>
        <v>5.81302018649758</v>
      </c>
    </row>
    <row r="861" customFormat="false" ht="15" hidden="false" customHeight="false" outlineLevel="0" collapsed="false">
      <c r="A861" s="5" t="s">
        <v>600</v>
      </c>
      <c r="B861" s="0" t="s">
        <v>31</v>
      </c>
      <c r="C861" s="26" t="n">
        <f aca="false">a25_opx/1000</f>
        <v>0.4114</v>
      </c>
      <c r="D861" s="26" t="n">
        <f aca="false">a26_opx/1000</f>
        <v>0.4897</v>
      </c>
      <c r="E861" s="26" t="n">
        <f aca="false">D861*(1+MAX(0,phi*E857))</f>
        <v>0.642081430555794</v>
      </c>
      <c r="F861" s="26" t="n">
        <f aca="false">E861*(1+MAX(0,phi*F857))</f>
        <v>0.705919102277765</v>
      </c>
      <c r="G861" s="26" t="n">
        <f aca="false">F861*(1+MAX(0,phi*G857))</f>
        <v>0.732096320996594</v>
      </c>
    </row>
    <row r="862" customFormat="false" ht="15" hidden="false" customHeight="false" outlineLevel="0" collapsed="false">
      <c r="A862" s="5" t="s">
        <v>601</v>
      </c>
      <c r="B862" s="0" t="s">
        <v>31</v>
      </c>
      <c r="C862" s="26" t="n">
        <f aca="false">C861</f>
        <v>0.4114</v>
      </c>
      <c r="D862" s="26" t="n">
        <f aca="false">D861</f>
        <v>0.4897</v>
      </c>
      <c r="E862" s="26" t="n">
        <f aca="false">E861+0*E853</f>
        <v>0.642081430555794</v>
      </c>
      <c r="F862" s="26" t="n">
        <f aca="false">F861+0*F853</f>
        <v>0.705919102277765</v>
      </c>
      <c r="G862" s="26" t="n">
        <f aca="false">G861+0*G853</f>
        <v>0.732096320996594</v>
      </c>
    </row>
    <row r="863" customFormat="false" ht="15" hidden="false" customHeight="false" outlineLevel="0" collapsed="false">
      <c r="A863" s="5" t="s">
        <v>602</v>
      </c>
      <c r="B863" s="0" t="s">
        <v>31</v>
      </c>
      <c r="C863" s="26" t="n">
        <f aca="false">C860-C862</f>
        <v>0.159415</v>
      </c>
      <c r="D863" s="26" t="n">
        <f aca="false">D860-D862</f>
        <v>0.89674</v>
      </c>
      <c r="E863" s="26" t="n">
        <f aca="false">E860-E862</f>
        <v>3.05769643502307</v>
      </c>
      <c r="F863" s="26" t="n">
        <f aca="false">F860-F862</f>
        <v>4.50020960538534</v>
      </c>
      <c r="G863" s="26" t="n">
        <f aca="false">G860-G862</f>
        <v>5.08092386550098</v>
      </c>
    </row>
    <row r="864" customFormat="false" ht="15" hidden="false" customHeight="false" outlineLevel="0" collapsed="false">
      <c r="A864" s="5" t="s">
        <v>489</v>
      </c>
      <c r="B864" s="0" t="s">
        <v>164</v>
      </c>
      <c r="C864" s="16" t="n">
        <f aca="false">C863/C853</f>
        <v>0.0969088145896656</v>
      </c>
      <c r="D864" s="16" t="n">
        <f aca="false">D863/D853</f>
        <v>0.297524883875249</v>
      </c>
      <c r="E864" s="16" t="n">
        <f aca="false">E863/E853</f>
        <v>0.429756110766727</v>
      </c>
      <c r="F864" s="16" t="n">
        <f aca="false">F863/F853</f>
        <v>0.44084712991599</v>
      </c>
      <c r="G864" s="16" t="n">
        <f aca="false">G863/G853</f>
        <v>0.428289015730312</v>
      </c>
    </row>
    <row r="865" customFormat="false" ht="17.15" hidden="false" customHeight="false" outlineLevel="0" collapsed="false">
      <c r="A865" s="5" t="s">
        <v>490</v>
      </c>
      <c r="B865" s="0" t="s">
        <v>31</v>
      </c>
      <c r="C865" s="26" t="n">
        <f aca="false">a25_ni/1000</f>
        <v>0.1464</v>
      </c>
      <c r="D865" s="26" t="n">
        <f aca="false">a26_ni/1000</f>
        <v>0.7823</v>
      </c>
      <c r="E865" s="26" t="n">
        <f aca="false">(E863+oi_oth)*(1-tx)</f>
        <v>2.59677652324426</v>
      </c>
      <c r="F865" s="26" t="n">
        <f aca="false">(F863+oi_oth)*(1-tx)</f>
        <v>3.80127502049676</v>
      </c>
      <c r="G865" s="26" t="n">
        <f aca="false">(G863+oi_oth)*(1-tx)</f>
        <v>4.28617142769332</v>
      </c>
    </row>
    <row r="866" customFormat="false" ht="15" hidden="false" customHeight="false" outlineLevel="0" collapsed="false">
      <c r="A866" s="5" t="s">
        <v>552</v>
      </c>
      <c r="B866" s="0" t="s">
        <v>164</v>
      </c>
      <c r="C866" s="16" t="n">
        <f aca="false">C865/C853</f>
        <v>0.0889969604863222</v>
      </c>
      <c r="D866" s="16" t="n">
        <f aca="false">D865/D853</f>
        <v>0.259555408095554</v>
      </c>
      <c r="E866" s="16" t="n">
        <f aca="false">E865/E853</f>
        <v>0.364974287956541</v>
      </c>
      <c r="F866" s="16" t="n">
        <f aca="false">F865/F853</f>
        <v>0.372378473394208</v>
      </c>
      <c r="G866" s="16" t="n">
        <f aca="false">G865/G853</f>
        <v>0.361296526106705</v>
      </c>
    </row>
    <row r="867" customFormat="false" ht="17.15" hidden="false" customHeight="false" outlineLevel="0" collapsed="false">
      <c r="A867" s="5" t="s">
        <v>494</v>
      </c>
      <c r="B867" s="5" t="s">
        <v>238</v>
      </c>
      <c r="C867" s="15" t="n">
        <f aca="false">a25_sh</f>
        <v>71.0679611650485</v>
      </c>
      <c r="D867" s="15" t="n">
        <f aca="false">a26_sh</f>
        <v>90.2306805074971</v>
      </c>
      <c r="E867" s="15" t="n">
        <f aca="false">sh_q1</f>
        <v>102</v>
      </c>
      <c r="F867" s="15" t="n">
        <f aca="false">E867*(1+sh_g)</f>
        <v>103.02</v>
      </c>
      <c r="G867" s="15" t="n">
        <f aca="false">F867*(1+sh_g)</f>
        <v>104.0502</v>
      </c>
    </row>
    <row r="868" customFormat="false" ht="17.15" hidden="false" customHeight="false" outlineLevel="0" collapsed="false">
      <c r="A868" s="0" t="s">
        <v>496</v>
      </c>
      <c r="B868" s="0" t="s">
        <v>233</v>
      </c>
      <c r="C868" s="9" t="n">
        <f aca="false">C865*1000/C867</f>
        <v>2.06</v>
      </c>
      <c r="D868" s="9" t="n">
        <f aca="false">D865*1000/D867</f>
        <v>8.67</v>
      </c>
      <c r="E868" s="9" t="n">
        <f aca="false">E865*1000/E867</f>
        <v>25.4585933651398</v>
      </c>
      <c r="F868" s="9" t="n">
        <f aca="false">F865*1000/F867</f>
        <v>36.8984179819138</v>
      </c>
      <c r="G868" s="9" t="n">
        <f aca="false">G865*1000/G867</f>
        <v>41.1933031142018</v>
      </c>
    </row>
    <row r="869" customFormat="false" ht="17.15" hidden="false" customHeight="false" outlineLevel="0" collapsed="false">
      <c r="A869" s="0" t="s">
        <v>603</v>
      </c>
      <c r="B869" s="0" t="s">
        <v>164</v>
      </c>
      <c r="D869" s="16" t="n">
        <f aca="false">D868/C868-1</f>
        <v>3.20873786407767</v>
      </c>
      <c r="E869" s="16" t="n">
        <f aca="false">E868/D868-1</f>
        <v>1.93640061881659</v>
      </c>
      <c r="F869" s="16" t="n">
        <f aca="false">F868/E868-1</f>
        <v>0.449350223427443</v>
      </c>
      <c r="G869" s="16" t="n">
        <f aca="false">G868/F868-1</f>
        <v>0.11639754133614</v>
      </c>
    </row>
    <row r="872" customFormat="false" ht="17.15" hidden="false" customHeight="false" outlineLevel="0" collapsed="false">
      <c r="A872" s="3" t="s">
        <v>910</v>
      </c>
    </row>
    <row r="873" customFormat="false" ht="17.15" hidden="false" customHeight="false" outlineLevel="0" collapsed="false">
      <c r="A873" s="1" t="s">
        <v>561</v>
      </c>
    </row>
    <row r="874" customFormat="false" ht="17.15" hidden="false" customHeight="false" outlineLevel="0" collapsed="false">
      <c r="A874" s="6" t="s">
        <v>20</v>
      </c>
      <c r="B874" s="6" t="s">
        <v>21</v>
      </c>
      <c r="C874" s="14" t="s">
        <v>562</v>
      </c>
      <c r="D874" s="14" t="s">
        <v>517</v>
      </c>
      <c r="E874" s="14" t="s">
        <v>518</v>
      </c>
      <c r="F874" s="14" t="s">
        <v>519</v>
      </c>
      <c r="G874" s="14"/>
      <c r="H874" s="6" t="s">
        <v>480</v>
      </c>
    </row>
    <row r="875" customFormat="false" ht="17.15" hidden="false" customHeight="false" outlineLevel="0" collapsed="false">
      <c r="A875" s="0" t="s">
        <v>563</v>
      </c>
      <c r="B875" s="0" t="s">
        <v>31</v>
      </c>
      <c r="C875" s="26" t="n">
        <f aca="false">mpl_26*1</f>
        <v>29.753262</v>
      </c>
      <c r="D875" s="26" t="n">
        <f aca="false">mpl_27*1*1</f>
        <v>53.560715</v>
      </c>
      <c r="E875" s="26" t="n">
        <f aca="false">mpl_28*um28_A*1</f>
        <v>57.9915</v>
      </c>
      <c r="F875" s="26" t="n">
        <f aca="false">mpl_29*um29_A*1</f>
        <v>72.9348</v>
      </c>
    </row>
    <row r="876" customFormat="false" ht="17.15" hidden="false" customHeight="false" outlineLevel="0" collapsed="false">
      <c r="A876" s="5" t="s">
        <v>564</v>
      </c>
      <c r="B876" s="0" t="s">
        <v>97</v>
      </c>
      <c r="C876" s="20" t="n">
        <f aca="false">asp_26</f>
        <v>500</v>
      </c>
      <c r="D876" s="20" t="n">
        <f aca="false">asp_27</f>
        <v>520</v>
      </c>
      <c r="E876" s="20" t="n">
        <f aca="false">asp_28</f>
        <v>540</v>
      </c>
      <c r="F876" s="20" t="n">
        <f aca="false">asp_29</f>
        <v>560</v>
      </c>
    </row>
    <row r="877" customFormat="false" ht="17.15" hidden="false" customHeight="false" outlineLevel="0" collapsed="false">
      <c r="A877" s="5" t="s">
        <v>565</v>
      </c>
      <c r="B877" s="5" t="s">
        <v>349</v>
      </c>
      <c r="C877" s="15" t="n">
        <f aca="false">C875*1000/C876</f>
        <v>59.506524</v>
      </c>
      <c r="D877" s="15" t="n">
        <f aca="false">D875*1000/D876</f>
        <v>103.001375</v>
      </c>
      <c r="E877" s="15" t="n">
        <f aca="false">E875*1000/E876</f>
        <v>107.391666666667</v>
      </c>
      <c r="F877" s="15" t="n">
        <f aca="false">F875*1000/F876</f>
        <v>130.240714285714</v>
      </c>
    </row>
    <row r="878" customFormat="false" ht="17.15" hidden="false" customHeight="false" outlineLevel="0" collapsed="false">
      <c r="A878" s="5" t="s">
        <v>566</v>
      </c>
      <c r="B878" s="5" t="s">
        <v>109</v>
      </c>
      <c r="C878" s="18" t="n">
        <f aca="false">lpm_26</f>
        <v>5.5</v>
      </c>
      <c r="D878" s="18" t="n">
        <f aca="false">lpm_27</f>
        <v>5.5</v>
      </c>
      <c r="E878" s="18" t="n">
        <f aca="false">lpm_28</f>
        <v>5</v>
      </c>
      <c r="F878" s="18" t="n">
        <f aca="false">lpm_29</f>
        <v>4.8</v>
      </c>
    </row>
    <row r="879" customFormat="false" ht="17.15" hidden="false" customHeight="false" outlineLevel="0" collapsed="false">
      <c r="A879" s="5" t="s">
        <v>567</v>
      </c>
      <c r="B879" s="0" t="s">
        <v>121</v>
      </c>
      <c r="C879" s="18" t="n">
        <f aca="false">lasp_26</f>
        <v>13</v>
      </c>
      <c r="D879" s="18" t="n">
        <f aca="false">lasp_27</f>
        <v>15</v>
      </c>
      <c r="E879" s="18" t="n">
        <f aca="false">lasp_28</f>
        <v>15</v>
      </c>
      <c r="F879" s="18" t="n">
        <f aca="false">lasp_29</f>
        <v>14</v>
      </c>
    </row>
    <row r="880" customFormat="false" ht="17.15" hidden="false" customHeight="false" outlineLevel="0" collapsed="false">
      <c r="A880" s="5" t="s">
        <v>568</v>
      </c>
      <c r="B880" s="0" t="s">
        <v>31</v>
      </c>
      <c r="C880" s="26" t="n">
        <f aca="false">C877*C878*C879/1000</f>
        <v>4.254716466</v>
      </c>
      <c r="D880" s="26" t="n">
        <f aca="false">D877*D878*D879/1000</f>
        <v>8.4976134375</v>
      </c>
      <c r="E880" s="26" t="n">
        <f aca="false">E877*E878*E879/1000</f>
        <v>8.054375</v>
      </c>
      <c r="F880" s="26" t="n">
        <f aca="false">F877*F878*F879/1000</f>
        <v>8.752176</v>
      </c>
    </row>
    <row r="881" customFormat="false" ht="17.15" hidden="false" customHeight="false" outlineLevel="0" collapsed="false">
      <c r="A881" s="0" t="s">
        <v>569</v>
      </c>
      <c r="B881" s="0" t="s">
        <v>164</v>
      </c>
      <c r="C881" s="16" t="n">
        <f aca="false">c26_las/1000/C880</f>
        <v>0.43826657190933</v>
      </c>
      <c r="H881" s="8" t="s">
        <v>570</v>
      </c>
    </row>
    <row r="882" customFormat="false" ht="17.15" hidden="false" customHeight="false" outlineLevel="0" collapsed="false">
      <c r="A882" s="5" t="s">
        <v>571</v>
      </c>
      <c r="B882" s="0" t="s">
        <v>75</v>
      </c>
      <c r="C882" s="9" t="n">
        <f aca="false">1</f>
        <v>1</v>
      </c>
      <c r="D882" s="9" t="n">
        <f aca="false">lrel_27</f>
        <v>0.95</v>
      </c>
      <c r="E882" s="9" t="n">
        <f aca="false">lrel_28</f>
        <v>0.95</v>
      </c>
      <c r="F882" s="9" t="n">
        <f aca="false">lrel_29</f>
        <v>0.9</v>
      </c>
    </row>
    <row r="883" customFormat="false" ht="15" hidden="false" customHeight="false" outlineLevel="0" collapsed="false">
      <c r="A883" s="5" t="s">
        <v>572</v>
      </c>
      <c r="B883" s="0" t="s">
        <v>164</v>
      </c>
      <c r="C883" s="16" t="n">
        <f aca="false">$C$881*C882</f>
        <v>0.43826657190933</v>
      </c>
      <c r="D883" s="16" t="n">
        <f aca="false">$C$881*D882</f>
        <v>0.416353243313864</v>
      </c>
      <c r="E883" s="16" t="n">
        <f aca="false">$C$881*E882</f>
        <v>0.416353243313864</v>
      </c>
      <c r="F883" s="16" t="n">
        <f aca="false">$C$881*F882</f>
        <v>0.394439914718397</v>
      </c>
    </row>
    <row r="884" customFormat="false" ht="17.15" hidden="false" customHeight="false" outlineLevel="0" collapsed="false">
      <c r="A884" s="5" t="s">
        <v>573</v>
      </c>
      <c r="B884" s="0" t="s">
        <v>31</v>
      </c>
      <c r="C884" s="26" t="n">
        <f aca="false">C880*C883</f>
        <v>1.8647</v>
      </c>
      <c r="D884" s="26" t="n">
        <f aca="false">D880*D883</f>
        <v>3.53800891513059</v>
      </c>
      <c r="E884" s="26" t="n">
        <f aca="false">E880*E883</f>
        <v>3.3534651541161</v>
      </c>
      <c r="F884" s="26" t="n">
        <f aca="false">F880*F883</f>
        <v>3.4522075550404</v>
      </c>
    </row>
    <row r="885" customFormat="false" ht="17.15" hidden="false" customHeight="false" outlineLevel="0" collapsed="false">
      <c r="A885" s="5" t="s">
        <v>574</v>
      </c>
      <c r="B885" s="0" t="s">
        <v>164</v>
      </c>
      <c r="C885" s="16" t="n">
        <f aca="false">c26_xcvr/1000/C875</f>
        <v>0.0336097601668012</v>
      </c>
    </row>
    <row r="886" customFormat="false" ht="15" hidden="false" customHeight="false" outlineLevel="0" collapsed="false">
      <c r="A886" s="5" t="s">
        <v>575</v>
      </c>
      <c r="B886" s="0" t="s">
        <v>164</v>
      </c>
      <c r="C886" s="16" t="n">
        <f aca="false">C885</f>
        <v>0.0336097601668012</v>
      </c>
      <c r="D886" s="16" t="n">
        <f aca="false">$C$885*mrel_27</f>
        <v>0.0336097601668012</v>
      </c>
      <c r="E886" s="16" t="n">
        <f aca="false">$C$885*mrel_28</f>
        <v>0.0336097601668012</v>
      </c>
      <c r="F886" s="16" t="n">
        <f aca="false">$C$885*mrel_29</f>
        <v>0.0336097601668012</v>
      </c>
    </row>
    <row r="887" customFormat="false" ht="15" hidden="false" customHeight="false" outlineLevel="0" collapsed="false">
      <c r="A887" s="5" t="s">
        <v>576</v>
      </c>
      <c r="B887" s="0" t="s">
        <v>31</v>
      </c>
      <c r="C887" s="26" t="n">
        <f aca="false">C875*C886</f>
        <v>1</v>
      </c>
      <c r="D887" s="26" t="n">
        <f aca="false">D875*D886</f>
        <v>1.80016278551239</v>
      </c>
      <c r="E887" s="26" t="n">
        <f aca="false">E875*E886</f>
        <v>1.94908040671305</v>
      </c>
      <c r="F887" s="26" t="n">
        <f aca="false">F875*F886</f>
        <v>2.45132113581361</v>
      </c>
    </row>
    <row r="888" customFormat="false" ht="17.15" hidden="false" customHeight="false" outlineLevel="0" collapsed="false">
      <c r="A888" s="0" t="s">
        <v>577</v>
      </c>
      <c r="B888" s="5" t="s">
        <v>54</v>
      </c>
      <c r="C888" s="19" t="n">
        <f aca="false">tpu_26*1</f>
        <v>3.85</v>
      </c>
      <c r="D888" s="19" t="n">
        <f aca="false">tpu_27*1</f>
        <v>5.5</v>
      </c>
      <c r="E888" s="19" t="n">
        <f aca="false">tpu_28*um28_A</f>
        <v>7</v>
      </c>
      <c r="F888" s="19" t="n">
        <f aca="false">tpu_29*um29_A</f>
        <v>8.05</v>
      </c>
    </row>
    <row r="889" customFormat="false" ht="17.15" hidden="false" customHeight="false" outlineLevel="0" collapsed="false">
      <c r="A889" s="0" t="s">
        <v>578</v>
      </c>
      <c r="B889" s="0" t="s">
        <v>121</v>
      </c>
      <c r="C889" s="20" t="n">
        <f aca="false">c26_ocs/C888</f>
        <v>129.87012987013</v>
      </c>
      <c r="D889" s="20" t="n">
        <f aca="false">$C889*ocsk_27</f>
        <v>207.792207792208</v>
      </c>
      <c r="E889" s="20" t="n">
        <f aca="false">$C889*ocsk_28</f>
        <v>233.766233766234</v>
      </c>
      <c r="F889" s="20" t="n">
        <f aca="false">$C889*ocsk_29</f>
        <v>233.766233766234</v>
      </c>
    </row>
    <row r="890" customFormat="false" ht="17.15" hidden="false" customHeight="false" outlineLevel="0" collapsed="false">
      <c r="A890" s="0" t="s">
        <v>531</v>
      </c>
      <c r="B890" s="0" t="s">
        <v>31</v>
      </c>
      <c r="C890" s="26" t="n">
        <f aca="false">C888*C889/1000</f>
        <v>0.5</v>
      </c>
      <c r="D890" s="26" t="n">
        <f aca="false">D888*D889/1000</f>
        <v>1.14285714285714</v>
      </c>
      <c r="E890" s="26" t="n">
        <f aca="false">E888*E889/1000</f>
        <v>1.63636363636364</v>
      </c>
      <c r="F890" s="26" t="n">
        <f aca="false">F888*F889/1000</f>
        <v>1.88181818181818</v>
      </c>
    </row>
    <row r="891" customFormat="false" ht="17.15" hidden="false" customHeight="false" outlineLevel="0" collapsed="false">
      <c r="A891" s="0" t="s">
        <v>579</v>
      </c>
      <c r="B891" s="0" t="s">
        <v>31</v>
      </c>
      <c r="C891" s="26" t="n">
        <f aca="false">mcp_26*1</f>
        <v>0.300538</v>
      </c>
      <c r="D891" s="26" t="n">
        <f aca="false">mcp_27*1</f>
        <v>2.818985</v>
      </c>
      <c r="E891" s="26" t="n">
        <f aca="false">mcp_28*um28_A</f>
        <v>6.4435</v>
      </c>
      <c r="F891" s="26" t="n">
        <f aca="false">mcp_29*um29_A</f>
        <v>11.74736</v>
      </c>
    </row>
    <row r="892" customFormat="false" ht="17.15" hidden="false" customHeight="false" outlineLevel="0" collapsed="false">
      <c r="A892" s="0" t="s">
        <v>532</v>
      </c>
      <c r="B892" s="0" t="s">
        <v>164</v>
      </c>
      <c r="C892" s="16" t="n">
        <f aca="false">c26_cpo/1000/C891</f>
        <v>0.166368312825666</v>
      </c>
      <c r="D892" s="16" t="n">
        <f aca="false">cpo_27</f>
        <v>0.25</v>
      </c>
      <c r="E892" s="16" t="n">
        <f aca="false">cpo_28</f>
        <v>0.25</v>
      </c>
      <c r="F892" s="16" t="n">
        <f aca="false">cpo_29</f>
        <v>0.2</v>
      </c>
    </row>
    <row r="893" customFormat="false" ht="17.15" hidden="false" customHeight="false" outlineLevel="0" collapsed="false">
      <c r="A893" s="0" t="s">
        <v>580</v>
      </c>
      <c r="B893" s="0" t="s">
        <v>31</v>
      </c>
      <c r="C893" s="26" t="n">
        <f aca="false">C891*C892</f>
        <v>0.05</v>
      </c>
      <c r="D893" s="26" t="n">
        <f aca="false">D891*D892</f>
        <v>0.70474625</v>
      </c>
      <c r="E893" s="26" t="n">
        <f aca="false">E891*E892</f>
        <v>1.610875</v>
      </c>
      <c r="F893" s="26" t="n">
        <f aca="false">F891*F892</f>
        <v>2.349472</v>
      </c>
    </row>
    <row r="894" customFormat="false" ht="17.15" hidden="false" customHeight="false" outlineLevel="0" collapsed="false">
      <c r="A894" s="0" t="s">
        <v>581</v>
      </c>
      <c r="B894" s="0" t="s">
        <v>31</v>
      </c>
      <c r="C894" s="26" t="n">
        <f aca="false">C884+C887+C890+C893</f>
        <v>3.4147</v>
      </c>
      <c r="D894" s="26" t="n">
        <f aca="false">D884+D887+D890+D893</f>
        <v>7.18577509350013</v>
      </c>
      <c r="E894" s="26" t="n">
        <f aca="false">E884+E887+E890+E893</f>
        <v>8.54978419719279</v>
      </c>
      <c r="F894" s="26" t="n">
        <f aca="false">F884+F887+F890+F893</f>
        <v>10.1348188726722</v>
      </c>
    </row>
    <row r="895" customFormat="false" ht="17.15" hidden="false" customHeight="false" outlineLevel="0" collapsed="false">
      <c r="A895" s="5" t="s">
        <v>582</v>
      </c>
      <c r="B895" s="0" t="s">
        <v>31</v>
      </c>
      <c r="C895" s="26" t="n">
        <f aca="false">c26_tel/1000</f>
        <v>0.75</v>
      </c>
      <c r="D895" s="26" t="n">
        <f aca="false">C895*(1+g_tel_27)</f>
        <v>0.9375</v>
      </c>
      <c r="E895" s="26" t="n">
        <f aca="false">D895*(1+g_tel_28)</f>
        <v>1.078125</v>
      </c>
      <c r="F895" s="26" t="n">
        <f aca="false">E895*(1+g_tel_29)</f>
        <v>1.1859375</v>
      </c>
    </row>
    <row r="896" customFormat="false" ht="17.15" hidden="false" customHeight="false" outlineLevel="0" collapsed="false">
      <c r="A896" s="5" t="s">
        <v>583</v>
      </c>
      <c r="B896" s="0" t="s">
        <v>31</v>
      </c>
      <c r="C896" s="26" t="n">
        <f aca="false">c26_ind/1000</f>
        <v>0.3</v>
      </c>
      <c r="D896" s="26" t="n">
        <f aca="false">C896*(1+g_ind)</f>
        <v>0.309</v>
      </c>
      <c r="E896" s="26" t="n">
        <f aca="false">D896*(1+g_ind)</f>
        <v>0.31827</v>
      </c>
      <c r="F896" s="26" t="n">
        <f aca="false">E896*(1+g_ind)</f>
        <v>0.3278181</v>
      </c>
    </row>
    <row r="897" customFormat="false" ht="17.15" hidden="false" customHeight="false" outlineLevel="0" collapsed="false">
      <c r="A897" s="5" t="s">
        <v>584</v>
      </c>
      <c r="B897" s="0" t="s">
        <v>31</v>
      </c>
      <c r="C897" s="26" t="n">
        <f aca="false">C884+C895+C893+C896/2</f>
        <v>2.8147</v>
      </c>
      <c r="D897" s="26" t="n">
        <f aca="false">D884+D895+D893+D896/2</f>
        <v>5.3347551651306</v>
      </c>
      <c r="E897" s="26" t="n">
        <f aca="false">E884+E895+E893+E896/2</f>
        <v>6.2016001541161</v>
      </c>
      <c r="F897" s="26" t="n">
        <f aca="false">F884+F895+F893+F896/2</f>
        <v>7.1515261050404</v>
      </c>
      <c r="H897" s="5" t="s">
        <v>585</v>
      </c>
    </row>
    <row r="898" customFormat="false" ht="17.15" hidden="false" customHeight="false" outlineLevel="0" collapsed="false">
      <c r="A898" s="5" t="s">
        <v>586</v>
      </c>
      <c r="B898" s="0" t="s">
        <v>31</v>
      </c>
      <c r="C898" s="26" t="n">
        <f aca="false">C887+C890+C896/2</f>
        <v>1.65</v>
      </c>
      <c r="D898" s="26" t="n">
        <f aca="false">D887+D890+D896/2</f>
        <v>3.09751992836953</v>
      </c>
      <c r="E898" s="26" t="n">
        <f aca="false">E887+E890+E896/2</f>
        <v>3.74457904307669</v>
      </c>
      <c r="F898" s="26" t="n">
        <f aca="false">F887+F890+F896/2</f>
        <v>4.49704836763179</v>
      </c>
    </row>
    <row r="899" customFormat="false" ht="15" hidden="false" customHeight="false" outlineLevel="0" collapsed="false">
      <c r="A899" s="5" t="s">
        <v>587</v>
      </c>
      <c r="B899" s="0" t="s">
        <v>31</v>
      </c>
      <c r="C899" s="26" t="n">
        <f aca="false">C894+C895+C896</f>
        <v>4.4647</v>
      </c>
      <c r="D899" s="26" t="n">
        <f aca="false">D894+D895+D896</f>
        <v>8.43227509350013</v>
      </c>
      <c r="E899" s="26" t="n">
        <f aca="false">E894+E895+E896</f>
        <v>9.94617919719279</v>
      </c>
      <c r="F899" s="26" t="n">
        <f aca="false">F894+F895+F896</f>
        <v>11.6485744726722</v>
      </c>
    </row>
    <row r="900" customFormat="false" ht="15" hidden="false" customHeight="false" outlineLevel="0" collapsed="false">
      <c r="A900" s="5" t="s">
        <v>588</v>
      </c>
      <c r="B900" s="0" t="s">
        <v>164</v>
      </c>
      <c r="D900" s="16" t="n">
        <f aca="false">D899/C899-1</f>
        <v>0.888654353819995</v>
      </c>
      <c r="E900" s="16" t="n">
        <f aca="false">E899/D899-1</f>
        <v>0.179536849415602</v>
      </c>
      <c r="F900" s="16" t="n">
        <f aca="false">F899/E899-1</f>
        <v>0.171160728328712</v>
      </c>
    </row>
    <row r="901" customFormat="false" ht="17.15" hidden="false" customHeight="false" outlineLevel="0" collapsed="false">
      <c r="A901" s="1" t="s">
        <v>589</v>
      </c>
    </row>
    <row r="902" customFormat="false" ht="17.15" hidden="false" customHeight="false" outlineLevel="0" collapsed="false">
      <c r="A902" s="6" t="s">
        <v>20</v>
      </c>
      <c r="B902" s="6" t="s">
        <v>21</v>
      </c>
      <c r="C902" s="14" t="s">
        <v>472</v>
      </c>
      <c r="D902" s="14" t="s">
        <v>539</v>
      </c>
      <c r="E902" s="14" t="s">
        <v>540</v>
      </c>
      <c r="F902" s="14" t="s">
        <v>541</v>
      </c>
      <c r="G902" s="14" t="s">
        <v>542</v>
      </c>
      <c r="H902" s="6" t="s">
        <v>480</v>
      </c>
    </row>
    <row r="903" customFormat="false" ht="17.15" hidden="false" customHeight="false" outlineLevel="0" collapsed="false">
      <c r="A903" s="0" t="s">
        <v>590</v>
      </c>
      <c r="B903" s="0" t="s">
        <v>31</v>
      </c>
      <c r="E903" s="26" t="n">
        <f aca="false">w2h_26*C894+h_1h_lo*D894</f>
        <v>5.18851887615697</v>
      </c>
      <c r="F903" s="26" t="n">
        <f aca="false">(1-h_1h_lo)*D894+h_1h_lo*E894</f>
        <v>7.7859390991249</v>
      </c>
      <c r="G903" s="26" t="n">
        <f aca="false">(1-h_1h_lo)*E894+h_1h_lo*F894</f>
        <v>9.24719945440373</v>
      </c>
      <c r="H903" s="8" t="s">
        <v>591</v>
      </c>
    </row>
    <row r="904" customFormat="false" ht="17.15" hidden="false" customHeight="false" outlineLevel="0" collapsed="false">
      <c r="A904" s="5" t="s">
        <v>592</v>
      </c>
      <c r="B904" s="0" t="s">
        <v>31</v>
      </c>
      <c r="E904" s="26" t="n">
        <f aca="false">w2h_26*C895+h_1h_lo*D895+w2h_26*C896+h_1h_lo*D896</f>
        <v>1.17168216498309</v>
      </c>
      <c r="F904" s="26" t="n">
        <f aca="false">(1-h_1h_lo)*D895+h_1h_lo*E895+(1-h_1h_lo)*D896+h_1h_lo*E896</f>
        <v>1.3124538</v>
      </c>
      <c r="G904" s="26" t="n">
        <f aca="false">(1-h_1h_lo)*E895+h_1h_lo*F895+(1-h_1h_lo)*E896+h_1h_lo*F896</f>
        <v>1.448033664</v>
      </c>
    </row>
    <row r="905" customFormat="false" ht="15" hidden="false" customHeight="false" outlineLevel="0" collapsed="false">
      <c r="A905" s="5" t="s">
        <v>481</v>
      </c>
      <c r="B905" s="0" t="s">
        <v>31</v>
      </c>
      <c r="C905" s="26" t="n">
        <f aca="false">a25_rev/1000</f>
        <v>1.645</v>
      </c>
      <c r="D905" s="26" t="n">
        <f aca="false">a26_rev/1000</f>
        <v>3.014</v>
      </c>
      <c r="E905" s="26" t="n">
        <f aca="false">E903+E904</f>
        <v>6.36020104114006</v>
      </c>
      <c r="F905" s="26" t="n">
        <f aca="false">F903+F904</f>
        <v>9.0983928991249</v>
      </c>
      <c r="G905" s="26" t="n">
        <f aca="false">G903+G904</f>
        <v>10.6952331184037</v>
      </c>
    </row>
    <row r="906" customFormat="false" ht="17.15" hidden="false" customHeight="false" outlineLevel="0" collapsed="false">
      <c r="A906" s="5" t="s">
        <v>593</v>
      </c>
      <c r="B906" s="0" t="s">
        <v>31</v>
      </c>
      <c r="C906" s="26" t="n">
        <f aca="false">a25_cmp/1000</f>
        <v>1.1163</v>
      </c>
      <c r="D906" s="26" t="n">
        <f aca="false">a26_cmp/1000</f>
        <v>2.0056</v>
      </c>
      <c r="E906" s="26" t="n">
        <f aca="false">w2h_26*C897+h_1h_lo*D897</f>
        <v>4.01794315625546</v>
      </c>
      <c r="F906" s="26" t="n">
        <f aca="false">(1-h_1h_lo)*D897+h_1h_lo*E897</f>
        <v>5.71616696028422</v>
      </c>
      <c r="G906" s="26" t="n">
        <f aca="false">(1-h_1h_lo)*E897+h_1h_lo*F897</f>
        <v>6.61956757252279</v>
      </c>
      <c r="H906" s="5" t="s">
        <v>594</v>
      </c>
    </row>
    <row r="907" customFormat="false" ht="17.15" hidden="false" customHeight="false" outlineLevel="0" collapsed="false">
      <c r="A907" s="5" t="s">
        <v>595</v>
      </c>
      <c r="B907" s="0" t="s">
        <v>31</v>
      </c>
      <c r="C907" s="26" t="n">
        <f aca="false">a25_sys/1000</f>
        <v>0.5287</v>
      </c>
      <c r="D907" s="26" t="n">
        <f aca="false">a26_sys/1000</f>
        <v>1.0084</v>
      </c>
      <c r="E907" s="26" t="n">
        <f aca="false">w2h_26*C898+h_1h_lo*D898</f>
        <v>2.34225788488459</v>
      </c>
      <c r="F907" s="26" t="n">
        <f aca="false">(1-h_1h_lo)*D898+h_1h_lo*E898</f>
        <v>3.38222593884068</v>
      </c>
      <c r="G907" s="26" t="n">
        <f aca="false">(1-h_1h_lo)*E898+h_1h_lo*F898</f>
        <v>4.07566554588094</v>
      </c>
      <c r="H907" s="5" t="s">
        <v>596</v>
      </c>
    </row>
    <row r="908" customFormat="false" ht="15" hidden="false" customHeight="false" outlineLevel="0" collapsed="false">
      <c r="A908" s="5" t="s">
        <v>597</v>
      </c>
      <c r="B908" s="0" t="s">
        <v>31</v>
      </c>
      <c r="C908" s="17" t="n">
        <f aca="false">C906+C907-C905</f>
        <v>0</v>
      </c>
      <c r="D908" s="17" t="n">
        <f aca="false">D906+D907-D905</f>
        <v>0</v>
      </c>
      <c r="E908" s="17" t="n">
        <f aca="false">E906+E907-E905</f>
        <v>0</v>
      </c>
      <c r="F908" s="17" t="n">
        <f aca="false">F906+F907-F905</f>
        <v>0</v>
      </c>
      <c r="G908" s="17" t="n">
        <f aca="false">G906+G907-G905</f>
        <v>0</v>
      </c>
    </row>
    <row r="909" customFormat="false" ht="15" hidden="false" customHeight="false" outlineLevel="0" collapsed="false">
      <c r="A909" s="5" t="s">
        <v>598</v>
      </c>
      <c r="B909" s="0" t="s">
        <v>164</v>
      </c>
      <c r="D909" s="16" t="n">
        <f aca="false">D905/C905-1</f>
        <v>0.832218844984802</v>
      </c>
      <c r="E909" s="16" t="n">
        <f aca="false">E905/D905-1</f>
        <v>1.11021932353685</v>
      </c>
      <c r="F909" s="16" t="n">
        <f aca="false">F905/E905-1</f>
        <v>0.430519702171871</v>
      </c>
      <c r="G909" s="16" t="n">
        <f aca="false">G905/F905-1</f>
        <v>0.175507942664514</v>
      </c>
    </row>
    <row r="910" customFormat="false" ht="17.15" hidden="false" customHeight="false" outlineLevel="0" collapsed="false">
      <c r="A910" s="0" t="s">
        <v>599</v>
      </c>
      <c r="B910" s="0" t="s">
        <v>164</v>
      </c>
      <c r="E910" s="16" t="n">
        <f aca="false">E903/E905</f>
        <v>0.815779067767791</v>
      </c>
      <c r="F910" s="16" t="n">
        <f aca="false">F903/F905</f>
        <v>0.855748832288147</v>
      </c>
      <c r="G910" s="16" t="n">
        <f aca="false">G903/G905</f>
        <v>0.864609434131145</v>
      </c>
    </row>
    <row r="911" customFormat="false" ht="17.15" hidden="false" customHeight="false" outlineLevel="0" collapsed="false">
      <c r="A911" s="5" t="s">
        <v>484</v>
      </c>
      <c r="B911" s="0" t="s">
        <v>164</v>
      </c>
      <c r="C911" s="16" t="n">
        <f aca="false">a25_gm</f>
        <v>0.347</v>
      </c>
      <c r="D911" s="16" t="n">
        <f aca="false">a26_gm</f>
        <v>0.46</v>
      </c>
      <c r="E911" s="16" t="n">
        <f aca="false">gm_27</f>
        <v>0.52</v>
      </c>
      <c r="F911" s="16" t="n">
        <f aca="false">gm_28</f>
        <v>0.51</v>
      </c>
      <c r="G911" s="16" t="n">
        <f aca="false">gm_29</f>
        <v>0.49</v>
      </c>
    </row>
    <row r="912" customFormat="false" ht="15" hidden="false" customHeight="false" outlineLevel="0" collapsed="false">
      <c r="A912" s="5" t="s">
        <v>485</v>
      </c>
      <c r="B912" s="0" t="s">
        <v>31</v>
      </c>
      <c r="C912" s="26" t="n">
        <f aca="false">C905*C911</f>
        <v>0.570815</v>
      </c>
      <c r="D912" s="26" t="n">
        <f aca="false">D905*D911</f>
        <v>1.38644</v>
      </c>
      <c r="E912" s="26" t="n">
        <f aca="false">E905*E911</f>
        <v>3.30730454139283</v>
      </c>
      <c r="F912" s="26" t="n">
        <f aca="false">F905*F911</f>
        <v>4.6401803785537</v>
      </c>
      <c r="G912" s="26" t="n">
        <f aca="false">G905*G911</f>
        <v>5.24066422801783</v>
      </c>
    </row>
    <row r="913" customFormat="false" ht="15" hidden="false" customHeight="false" outlineLevel="0" collapsed="false">
      <c r="A913" s="5" t="s">
        <v>600</v>
      </c>
      <c r="B913" s="0" t="s">
        <v>31</v>
      </c>
      <c r="C913" s="26" t="n">
        <f aca="false">a25_opx/1000</f>
        <v>0.4114</v>
      </c>
      <c r="D913" s="26" t="n">
        <f aca="false">a26_opx/1000</f>
        <v>0.4897</v>
      </c>
      <c r="E913" s="26" t="n">
        <f aca="false">D913*(1+MAX(0,phi*E909))</f>
        <v>0.614036550624239</v>
      </c>
      <c r="F913" s="26" t="n">
        <f aca="false">E913*(1+MAX(0,phi*F909))</f>
        <v>0.67449363283723</v>
      </c>
      <c r="G913" s="26" t="n">
        <f aca="false">F913*(1+MAX(0,phi*G909))</f>
        <v>0.701566519088567</v>
      </c>
    </row>
    <row r="914" customFormat="false" ht="15" hidden="false" customHeight="false" outlineLevel="0" collapsed="false">
      <c r="A914" s="5" t="s">
        <v>601</v>
      </c>
      <c r="B914" s="0" t="s">
        <v>31</v>
      </c>
      <c r="C914" s="26" t="n">
        <f aca="false">C913</f>
        <v>0.4114</v>
      </c>
      <c r="D914" s="26" t="n">
        <f aca="false">D913</f>
        <v>0.4897</v>
      </c>
      <c r="E914" s="26" t="n">
        <f aca="false">E913+0*E905</f>
        <v>0.614036550624239</v>
      </c>
      <c r="F914" s="26" t="n">
        <f aca="false">F913+0*F905</f>
        <v>0.67449363283723</v>
      </c>
      <c r="G914" s="26" t="n">
        <f aca="false">G913+0*G905</f>
        <v>0.701566519088567</v>
      </c>
    </row>
    <row r="915" customFormat="false" ht="15" hidden="false" customHeight="false" outlineLevel="0" collapsed="false">
      <c r="A915" s="5" t="s">
        <v>602</v>
      </c>
      <c r="B915" s="0" t="s">
        <v>31</v>
      </c>
      <c r="C915" s="26" t="n">
        <f aca="false">C912-C914</f>
        <v>0.159415</v>
      </c>
      <c r="D915" s="26" t="n">
        <f aca="false">D912-D914</f>
        <v>0.89674</v>
      </c>
      <c r="E915" s="26" t="n">
        <f aca="false">E912-E914</f>
        <v>2.69326799076859</v>
      </c>
      <c r="F915" s="26" t="n">
        <f aca="false">F912-F914</f>
        <v>3.96568674571647</v>
      </c>
      <c r="G915" s="26" t="n">
        <f aca="false">G912-G914</f>
        <v>4.53909770892926</v>
      </c>
    </row>
    <row r="916" customFormat="false" ht="15" hidden="false" customHeight="false" outlineLevel="0" collapsed="false">
      <c r="A916" s="5" t="s">
        <v>489</v>
      </c>
      <c r="B916" s="0" t="s">
        <v>164</v>
      </c>
      <c r="C916" s="16" t="n">
        <f aca="false">C915/C905</f>
        <v>0.0969088145896656</v>
      </c>
      <c r="D916" s="16" t="n">
        <f aca="false">D915/D905</f>
        <v>0.297524883875249</v>
      </c>
      <c r="E916" s="16" t="n">
        <f aca="false">E915/E905</f>
        <v>0.423456424309164</v>
      </c>
      <c r="F916" s="16" t="n">
        <f aca="false">F915/F905</f>
        <v>0.435866728298565</v>
      </c>
      <c r="G916" s="16" t="n">
        <f aca="false">G915/G905</f>
        <v>0.42440381230388</v>
      </c>
    </row>
    <row r="917" customFormat="false" ht="17.15" hidden="false" customHeight="false" outlineLevel="0" collapsed="false">
      <c r="A917" s="5" t="s">
        <v>490</v>
      </c>
      <c r="B917" s="0" t="s">
        <v>31</v>
      </c>
      <c r="C917" s="26" t="n">
        <f aca="false">a25_ni/1000</f>
        <v>0.1464</v>
      </c>
      <c r="D917" s="26" t="n">
        <f aca="false">a26_ni/1000</f>
        <v>0.7823</v>
      </c>
      <c r="E917" s="26" t="n">
        <f aca="false">(E915+oi_oth)*(1-tx)</f>
        <v>2.29247877229177</v>
      </c>
      <c r="F917" s="26" t="n">
        <f aca="false">(F915+oi_oth)*(1-tx)</f>
        <v>3.35494843267325</v>
      </c>
      <c r="G917" s="26" t="n">
        <f aca="false">(G915+oi_oth)*(1-tx)</f>
        <v>3.83374658695593</v>
      </c>
    </row>
    <row r="918" customFormat="false" ht="15" hidden="false" customHeight="false" outlineLevel="0" collapsed="false">
      <c r="A918" s="5" t="s">
        <v>552</v>
      </c>
      <c r="B918" s="0" t="s">
        <v>164</v>
      </c>
      <c r="C918" s="16" t="n">
        <f aca="false">C917/C905</f>
        <v>0.0889969604863222</v>
      </c>
      <c r="D918" s="16" t="n">
        <f aca="false">D917/D905</f>
        <v>0.259555408095554</v>
      </c>
      <c r="E918" s="16" t="n">
        <f aca="false">E917/E905</f>
        <v>0.360441243517807</v>
      </c>
      <c r="F918" s="16" t="n">
        <f aca="false">F917/F905</f>
        <v>0.368740773218964</v>
      </c>
      <c r="G918" s="16" t="n">
        <f aca="false">G917/G905</f>
        <v>0.358453765758415</v>
      </c>
    </row>
    <row r="919" customFormat="false" ht="17.15" hidden="false" customHeight="false" outlineLevel="0" collapsed="false">
      <c r="A919" s="5" t="s">
        <v>494</v>
      </c>
      <c r="B919" s="5" t="s">
        <v>238</v>
      </c>
      <c r="C919" s="15" t="n">
        <f aca="false">a25_sh</f>
        <v>71.0679611650485</v>
      </c>
      <c r="D919" s="15" t="n">
        <f aca="false">a26_sh</f>
        <v>90.2306805074971</v>
      </c>
      <c r="E919" s="15" t="n">
        <f aca="false">sh_q1</f>
        <v>102</v>
      </c>
      <c r="F919" s="15" t="n">
        <f aca="false">E919*(1+sh_g)</f>
        <v>103.02</v>
      </c>
      <c r="G919" s="15" t="n">
        <f aca="false">F919*(1+sh_g)</f>
        <v>104.0502</v>
      </c>
    </row>
    <row r="920" customFormat="false" ht="17.15" hidden="false" customHeight="false" outlineLevel="0" collapsed="false">
      <c r="A920" s="0" t="s">
        <v>496</v>
      </c>
      <c r="B920" s="0" t="s">
        <v>233</v>
      </c>
      <c r="C920" s="9" t="n">
        <f aca="false">C917*1000/C919</f>
        <v>2.06</v>
      </c>
      <c r="D920" s="9" t="n">
        <f aca="false">D917*1000/D919</f>
        <v>8.67</v>
      </c>
      <c r="E920" s="9" t="n">
        <f aca="false">E917*1000/E919</f>
        <v>22.4752820812919</v>
      </c>
      <c r="F920" s="9" t="n">
        <f aca="false">F917*1000/F919</f>
        <v>32.5659913868497</v>
      </c>
      <c r="G920" s="9" t="n">
        <f aca="false">G917*1000/G919</f>
        <v>36.8451630747075</v>
      </c>
    </row>
    <row r="921" customFormat="false" ht="17.15" hidden="false" customHeight="false" outlineLevel="0" collapsed="false">
      <c r="A921" s="0" t="s">
        <v>603</v>
      </c>
      <c r="B921" s="0" t="s">
        <v>164</v>
      </c>
      <c r="D921" s="16" t="n">
        <f aca="false">D920/C920-1</f>
        <v>3.20873786407767</v>
      </c>
      <c r="E921" s="16" t="n">
        <f aca="false">E920/D920-1</f>
        <v>1.59230473832663</v>
      </c>
      <c r="F921" s="16" t="n">
        <f aca="false">F920/E920-1</f>
        <v>0.448969195094424</v>
      </c>
      <c r="G921" s="16" t="n">
        <f aca="false">G920/F920-1</f>
        <v>0.1314000128854</v>
      </c>
    </row>
    <row r="924" customFormat="false" ht="17.15" hidden="false" customHeight="false" outlineLevel="0" collapsed="false">
      <c r="A924" s="3" t="s">
        <v>911</v>
      </c>
    </row>
    <row r="925" customFormat="false" ht="17.15" hidden="false" customHeight="false" outlineLevel="0" collapsed="false">
      <c r="A925" s="1" t="s">
        <v>561</v>
      </c>
    </row>
    <row r="926" customFormat="false" ht="17.15" hidden="false" customHeight="false" outlineLevel="0" collapsed="false">
      <c r="A926" s="6" t="s">
        <v>20</v>
      </c>
      <c r="B926" s="6" t="s">
        <v>21</v>
      </c>
      <c r="C926" s="14" t="s">
        <v>562</v>
      </c>
      <c r="D926" s="14" t="s">
        <v>517</v>
      </c>
      <c r="E926" s="14" t="s">
        <v>518</v>
      </c>
      <c r="F926" s="14" t="s">
        <v>519</v>
      </c>
      <c r="G926" s="14"/>
      <c r="H926" s="6" t="s">
        <v>480</v>
      </c>
    </row>
    <row r="927" customFormat="false" ht="17.15" hidden="false" customHeight="false" outlineLevel="0" collapsed="false">
      <c r="A927" s="0" t="s">
        <v>563</v>
      </c>
      <c r="B927" s="0" t="s">
        <v>31</v>
      </c>
      <c r="C927" s="26" t="n">
        <f aca="false">mpl_26*1</f>
        <v>29.753262</v>
      </c>
      <c r="D927" s="26" t="n">
        <f aca="false">mpl_27*1*1</f>
        <v>53.560715</v>
      </c>
      <c r="E927" s="26" t="n">
        <f aca="false">mpl_28*um28_A*1</f>
        <v>57.9915</v>
      </c>
      <c r="F927" s="26" t="n">
        <f aca="false">mpl_29*um29_A*1</f>
        <v>72.9348</v>
      </c>
    </row>
    <row r="928" customFormat="false" ht="17.15" hidden="false" customHeight="false" outlineLevel="0" collapsed="false">
      <c r="A928" s="5" t="s">
        <v>564</v>
      </c>
      <c r="B928" s="0" t="s">
        <v>97</v>
      </c>
      <c r="C928" s="20" t="n">
        <f aca="false">asp_26</f>
        <v>500</v>
      </c>
      <c r="D928" s="20" t="n">
        <f aca="false">asp_27</f>
        <v>520</v>
      </c>
      <c r="E928" s="20" t="n">
        <f aca="false">asp_28</f>
        <v>540</v>
      </c>
      <c r="F928" s="20" t="n">
        <f aca="false">asp_29</f>
        <v>560</v>
      </c>
    </row>
    <row r="929" customFormat="false" ht="17.15" hidden="false" customHeight="false" outlineLevel="0" collapsed="false">
      <c r="A929" s="5" t="s">
        <v>565</v>
      </c>
      <c r="B929" s="5" t="s">
        <v>349</v>
      </c>
      <c r="C929" s="15" t="n">
        <f aca="false">C927*1000/C928</f>
        <v>59.506524</v>
      </c>
      <c r="D929" s="15" t="n">
        <f aca="false">D927*1000/D928</f>
        <v>103.001375</v>
      </c>
      <c r="E929" s="15" t="n">
        <f aca="false">E927*1000/E928</f>
        <v>107.391666666667</v>
      </c>
      <c r="F929" s="15" t="n">
        <f aca="false">F927*1000/F928</f>
        <v>130.240714285714</v>
      </c>
    </row>
    <row r="930" customFormat="false" ht="17.15" hidden="false" customHeight="false" outlineLevel="0" collapsed="false">
      <c r="A930" s="5" t="s">
        <v>566</v>
      </c>
      <c r="B930" s="5" t="s">
        <v>109</v>
      </c>
      <c r="C930" s="18" t="n">
        <f aca="false">lpm_26</f>
        <v>5.5</v>
      </c>
      <c r="D930" s="18" t="n">
        <f aca="false">lpm_27</f>
        <v>5.5</v>
      </c>
      <c r="E930" s="18" t="n">
        <f aca="false">lpm_28</f>
        <v>5</v>
      </c>
      <c r="F930" s="18" t="n">
        <f aca="false">lpm_29</f>
        <v>4.8</v>
      </c>
    </row>
    <row r="931" customFormat="false" ht="17.15" hidden="false" customHeight="false" outlineLevel="0" collapsed="false">
      <c r="A931" s="5" t="s">
        <v>567</v>
      </c>
      <c r="B931" s="0" t="s">
        <v>121</v>
      </c>
      <c r="C931" s="18" t="n">
        <f aca="false">lasp_26</f>
        <v>13</v>
      </c>
      <c r="D931" s="18" t="n">
        <f aca="false">lasp_27</f>
        <v>15</v>
      </c>
      <c r="E931" s="18" t="n">
        <f aca="false">lasp_28</f>
        <v>15</v>
      </c>
      <c r="F931" s="18" t="n">
        <f aca="false">lasp_29</f>
        <v>14</v>
      </c>
    </row>
    <row r="932" customFormat="false" ht="17.15" hidden="false" customHeight="false" outlineLevel="0" collapsed="false">
      <c r="A932" s="5" t="s">
        <v>568</v>
      </c>
      <c r="B932" s="0" t="s">
        <v>31</v>
      </c>
      <c r="C932" s="26" t="n">
        <f aca="false">C929*C930*C931/1000</f>
        <v>4.254716466</v>
      </c>
      <c r="D932" s="26" t="n">
        <f aca="false">D929*D930*D931/1000</f>
        <v>8.4976134375</v>
      </c>
      <c r="E932" s="26" t="n">
        <f aca="false">E929*E930*E931/1000</f>
        <v>8.054375</v>
      </c>
      <c r="F932" s="26" t="n">
        <f aca="false">F929*F930*F931/1000</f>
        <v>8.752176</v>
      </c>
    </row>
    <row r="933" customFormat="false" ht="17.15" hidden="false" customHeight="false" outlineLevel="0" collapsed="false">
      <c r="A933" s="0" t="s">
        <v>569</v>
      </c>
      <c r="B933" s="0" t="s">
        <v>164</v>
      </c>
      <c r="C933" s="16" t="n">
        <f aca="false">c26_las/1000/C932</f>
        <v>0.43826657190933</v>
      </c>
      <c r="H933" s="8" t="s">
        <v>570</v>
      </c>
    </row>
    <row r="934" customFormat="false" ht="17.15" hidden="false" customHeight="false" outlineLevel="0" collapsed="false">
      <c r="A934" s="5" t="s">
        <v>571</v>
      </c>
      <c r="B934" s="0" t="s">
        <v>75</v>
      </c>
      <c r="C934" s="9" t="n">
        <f aca="false">1</f>
        <v>1</v>
      </c>
      <c r="D934" s="9" t="n">
        <f aca="false">lrel_27</f>
        <v>0.95</v>
      </c>
      <c r="E934" s="9" t="n">
        <f aca="false">lrel_28</f>
        <v>0.95</v>
      </c>
      <c r="F934" s="9" t="n">
        <f aca="false">lrel_29</f>
        <v>0.9</v>
      </c>
    </row>
    <row r="935" customFormat="false" ht="15" hidden="false" customHeight="false" outlineLevel="0" collapsed="false">
      <c r="A935" s="5" t="s">
        <v>572</v>
      </c>
      <c r="B935" s="0" t="s">
        <v>164</v>
      </c>
      <c r="C935" s="16" t="n">
        <f aca="false">$C$933*C934</f>
        <v>0.43826657190933</v>
      </c>
      <c r="D935" s="16" t="n">
        <f aca="false">$C$933*D934</f>
        <v>0.416353243313864</v>
      </c>
      <c r="E935" s="16" t="n">
        <f aca="false">$C$933*E934</f>
        <v>0.416353243313864</v>
      </c>
      <c r="F935" s="16" t="n">
        <f aca="false">$C$933*F934</f>
        <v>0.394439914718397</v>
      </c>
    </row>
    <row r="936" customFormat="false" ht="17.15" hidden="false" customHeight="false" outlineLevel="0" collapsed="false">
      <c r="A936" s="5" t="s">
        <v>573</v>
      </c>
      <c r="B936" s="0" t="s">
        <v>31</v>
      </c>
      <c r="C936" s="26" t="n">
        <f aca="false">C932*C935</f>
        <v>1.8647</v>
      </c>
      <c r="D936" s="26" t="n">
        <f aca="false">D932*D935</f>
        <v>3.53800891513059</v>
      </c>
      <c r="E936" s="26" t="n">
        <f aca="false">E932*E935</f>
        <v>3.3534651541161</v>
      </c>
      <c r="F936" s="26" t="n">
        <f aca="false">F932*F935</f>
        <v>3.4522075550404</v>
      </c>
    </row>
    <row r="937" customFormat="false" ht="17.15" hidden="false" customHeight="false" outlineLevel="0" collapsed="false">
      <c r="A937" s="5" t="s">
        <v>574</v>
      </c>
      <c r="B937" s="0" t="s">
        <v>164</v>
      </c>
      <c r="C937" s="16" t="n">
        <f aca="false">c26_xcvr/1000/C927</f>
        <v>0.0336097601668012</v>
      </c>
    </row>
    <row r="938" customFormat="false" ht="15" hidden="false" customHeight="false" outlineLevel="0" collapsed="false">
      <c r="A938" s="5" t="s">
        <v>575</v>
      </c>
      <c r="B938" s="0" t="s">
        <v>164</v>
      </c>
      <c r="C938" s="16" t="n">
        <f aca="false">C937</f>
        <v>0.0336097601668012</v>
      </c>
      <c r="D938" s="16" t="n">
        <f aca="false">$C$937*mrel_27</f>
        <v>0.0336097601668012</v>
      </c>
      <c r="E938" s="16" t="n">
        <f aca="false">$C$937*mrel_28</f>
        <v>0.0336097601668012</v>
      </c>
      <c r="F938" s="16" t="n">
        <f aca="false">$C$937*mrel_29</f>
        <v>0.0336097601668012</v>
      </c>
    </row>
    <row r="939" customFormat="false" ht="15" hidden="false" customHeight="false" outlineLevel="0" collapsed="false">
      <c r="A939" s="5" t="s">
        <v>576</v>
      </c>
      <c r="B939" s="0" t="s">
        <v>31</v>
      </c>
      <c r="C939" s="26" t="n">
        <f aca="false">C927*C938</f>
        <v>1</v>
      </c>
      <c r="D939" s="26" t="n">
        <f aca="false">D927*D938</f>
        <v>1.80016278551239</v>
      </c>
      <c r="E939" s="26" t="n">
        <f aca="false">E927*E938</f>
        <v>1.94908040671305</v>
      </c>
      <c r="F939" s="26" t="n">
        <f aca="false">F927*F938</f>
        <v>2.45132113581361</v>
      </c>
    </row>
    <row r="940" customFormat="false" ht="17.15" hidden="false" customHeight="false" outlineLevel="0" collapsed="false">
      <c r="A940" s="0" t="s">
        <v>577</v>
      </c>
      <c r="B940" s="5" t="s">
        <v>54</v>
      </c>
      <c r="C940" s="19" t="n">
        <f aca="false">tpu_26*1</f>
        <v>3.85</v>
      </c>
      <c r="D940" s="19" t="n">
        <f aca="false">tpu_27*1</f>
        <v>5.5</v>
      </c>
      <c r="E940" s="19" t="n">
        <f aca="false">tpu_28*um28_A</f>
        <v>7</v>
      </c>
      <c r="F940" s="19" t="n">
        <f aca="false">tpu_29*um29_A</f>
        <v>8.05</v>
      </c>
    </row>
    <row r="941" customFormat="false" ht="17.15" hidden="false" customHeight="false" outlineLevel="0" collapsed="false">
      <c r="A941" s="0" t="s">
        <v>578</v>
      </c>
      <c r="B941" s="0" t="s">
        <v>121</v>
      </c>
      <c r="C941" s="20" t="n">
        <f aca="false">c26_ocs/C940</f>
        <v>129.87012987013</v>
      </c>
      <c r="D941" s="20" t="n">
        <f aca="false">$C941*ocsk_27</f>
        <v>207.792207792208</v>
      </c>
      <c r="E941" s="20" t="n">
        <f aca="false">$C941*ocsk_28</f>
        <v>233.766233766234</v>
      </c>
      <c r="F941" s="20" t="n">
        <f aca="false">$C941*ocsk_29</f>
        <v>233.766233766234</v>
      </c>
    </row>
    <row r="942" customFormat="false" ht="17.15" hidden="false" customHeight="false" outlineLevel="0" collapsed="false">
      <c r="A942" s="0" t="s">
        <v>531</v>
      </c>
      <c r="B942" s="0" t="s">
        <v>31</v>
      </c>
      <c r="C942" s="26" t="n">
        <f aca="false">C940*C941/1000</f>
        <v>0.5</v>
      </c>
      <c r="D942" s="26" t="n">
        <f aca="false">D940*D941/1000</f>
        <v>1.14285714285714</v>
      </c>
      <c r="E942" s="26" t="n">
        <f aca="false">E940*E941/1000</f>
        <v>1.63636363636364</v>
      </c>
      <c r="F942" s="26" t="n">
        <f aca="false">F940*F941/1000</f>
        <v>1.88181818181818</v>
      </c>
    </row>
    <row r="943" customFormat="false" ht="17.15" hidden="false" customHeight="false" outlineLevel="0" collapsed="false">
      <c r="A943" s="0" t="s">
        <v>579</v>
      </c>
      <c r="B943" s="0" t="s">
        <v>31</v>
      </c>
      <c r="C943" s="26" t="n">
        <f aca="false">mcp_26*1</f>
        <v>0.300538</v>
      </c>
      <c r="D943" s="26" t="n">
        <f aca="false">mcp_27*1</f>
        <v>2.818985</v>
      </c>
      <c r="E943" s="26" t="n">
        <f aca="false">mcp_28*um28_A</f>
        <v>6.4435</v>
      </c>
      <c r="F943" s="26" t="n">
        <f aca="false">mcp_29*um29_A</f>
        <v>11.74736</v>
      </c>
    </row>
    <row r="944" customFormat="false" ht="17.15" hidden="false" customHeight="false" outlineLevel="0" collapsed="false">
      <c r="A944" s="0" t="s">
        <v>532</v>
      </c>
      <c r="B944" s="0" t="s">
        <v>164</v>
      </c>
      <c r="C944" s="16" t="n">
        <f aca="false">c26_cpo/1000/C943</f>
        <v>0.166368312825666</v>
      </c>
      <c r="D944" s="16" t="n">
        <f aca="false">cpo_27</f>
        <v>0.25</v>
      </c>
      <c r="E944" s="16" t="n">
        <f aca="false">cpo_28</f>
        <v>0.25</v>
      </c>
      <c r="F944" s="16" t="n">
        <f aca="false">cpo_29</f>
        <v>0.2</v>
      </c>
    </row>
    <row r="945" customFormat="false" ht="17.15" hidden="false" customHeight="false" outlineLevel="0" collapsed="false">
      <c r="A945" s="0" t="s">
        <v>580</v>
      </c>
      <c r="B945" s="0" t="s">
        <v>31</v>
      </c>
      <c r="C945" s="26" t="n">
        <f aca="false">C943*C944</f>
        <v>0.05</v>
      </c>
      <c r="D945" s="26" t="n">
        <f aca="false">D943*D944</f>
        <v>0.70474625</v>
      </c>
      <c r="E945" s="26" t="n">
        <f aca="false">E943*E944</f>
        <v>1.610875</v>
      </c>
      <c r="F945" s="26" t="n">
        <f aca="false">F943*F944</f>
        <v>2.349472</v>
      </c>
    </row>
    <row r="946" customFormat="false" ht="17.15" hidden="false" customHeight="false" outlineLevel="0" collapsed="false">
      <c r="A946" s="0" t="s">
        <v>581</v>
      </c>
      <c r="B946" s="0" t="s">
        <v>31</v>
      </c>
      <c r="C946" s="26" t="n">
        <f aca="false">C936+C939+C942+C945</f>
        <v>3.4147</v>
      </c>
      <c r="D946" s="26" t="n">
        <f aca="false">D936+D939+D942+D945</f>
        <v>7.18577509350013</v>
      </c>
      <c r="E946" s="26" t="n">
        <f aca="false">E936+E939+E942+E945</f>
        <v>8.54978419719279</v>
      </c>
      <c r="F946" s="26" t="n">
        <f aca="false">F936+F939+F942+F945</f>
        <v>10.1348188726722</v>
      </c>
    </row>
    <row r="947" customFormat="false" ht="17.15" hidden="false" customHeight="false" outlineLevel="0" collapsed="false">
      <c r="A947" s="5" t="s">
        <v>582</v>
      </c>
      <c r="B947" s="0" t="s">
        <v>31</v>
      </c>
      <c r="C947" s="26" t="n">
        <f aca="false">c26_tel/1000</f>
        <v>0.75</v>
      </c>
      <c r="D947" s="26" t="n">
        <f aca="false">C947*(1+g_tel_27)</f>
        <v>0.9375</v>
      </c>
      <c r="E947" s="26" t="n">
        <f aca="false">D947*(1+g_tel_28)</f>
        <v>1.078125</v>
      </c>
      <c r="F947" s="26" t="n">
        <f aca="false">E947*(1+g_tel_29)</f>
        <v>1.1859375</v>
      </c>
    </row>
    <row r="948" customFormat="false" ht="17.15" hidden="false" customHeight="false" outlineLevel="0" collapsed="false">
      <c r="A948" s="5" t="s">
        <v>583</v>
      </c>
      <c r="B948" s="0" t="s">
        <v>31</v>
      </c>
      <c r="C948" s="26" t="n">
        <f aca="false">c26_ind/1000</f>
        <v>0.3</v>
      </c>
      <c r="D948" s="26" t="n">
        <f aca="false">C948*(1+g_ind)</f>
        <v>0.309</v>
      </c>
      <c r="E948" s="26" t="n">
        <f aca="false">D948*(1+g_ind)</f>
        <v>0.31827</v>
      </c>
      <c r="F948" s="26" t="n">
        <f aca="false">E948*(1+g_ind)</f>
        <v>0.3278181</v>
      </c>
    </row>
    <row r="949" customFormat="false" ht="17.15" hidden="false" customHeight="false" outlineLevel="0" collapsed="false">
      <c r="A949" s="5" t="s">
        <v>584</v>
      </c>
      <c r="B949" s="0" t="s">
        <v>31</v>
      </c>
      <c r="C949" s="26" t="n">
        <f aca="false">C936+C947+C945+C948/2</f>
        <v>2.8147</v>
      </c>
      <c r="D949" s="26" t="n">
        <f aca="false">D936+D947+D945+D948/2</f>
        <v>5.3347551651306</v>
      </c>
      <c r="E949" s="26" t="n">
        <f aca="false">E936+E947+E945+E948/2</f>
        <v>6.2016001541161</v>
      </c>
      <c r="F949" s="26" t="n">
        <f aca="false">F936+F947+F945+F948/2</f>
        <v>7.1515261050404</v>
      </c>
      <c r="H949" s="5" t="s">
        <v>585</v>
      </c>
    </row>
    <row r="950" customFormat="false" ht="17.15" hidden="false" customHeight="false" outlineLevel="0" collapsed="false">
      <c r="A950" s="5" t="s">
        <v>586</v>
      </c>
      <c r="B950" s="0" t="s">
        <v>31</v>
      </c>
      <c r="C950" s="26" t="n">
        <f aca="false">C939+C942+C948/2</f>
        <v>1.65</v>
      </c>
      <c r="D950" s="26" t="n">
        <f aca="false">D939+D942+D948/2</f>
        <v>3.09751992836953</v>
      </c>
      <c r="E950" s="26" t="n">
        <f aca="false">E939+E942+E948/2</f>
        <v>3.74457904307669</v>
      </c>
      <c r="F950" s="26" t="n">
        <f aca="false">F939+F942+F948/2</f>
        <v>4.49704836763179</v>
      </c>
    </row>
    <row r="951" customFormat="false" ht="15" hidden="false" customHeight="false" outlineLevel="0" collapsed="false">
      <c r="A951" s="5" t="s">
        <v>587</v>
      </c>
      <c r="B951" s="0" t="s">
        <v>31</v>
      </c>
      <c r="C951" s="26" t="n">
        <f aca="false">C946+C947+C948</f>
        <v>4.4647</v>
      </c>
      <c r="D951" s="26" t="n">
        <f aca="false">D946+D947+D948</f>
        <v>8.43227509350013</v>
      </c>
      <c r="E951" s="26" t="n">
        <f aca="false">E946+E947+E948</f>
        <v>9.94617919719279</v>
      </c>
      <c r="F951" s="26" t="n">
        <f aca="false">F946+F947+F948</f>
        <v>11.6485744726722</v>
      </c>
    </row>
    <row r="952" customFormat="false" ht="15" hidden="false" customHeight="false" outlineLevel="0" collapsed="false">
      <c r="A952" s="5" t="s">
        <v>588</v>
      </c>
      <c r="B952" s="0" t="s">
        <v>164</v>
      </c>
      <c r="D952" s="16" t="n">
        <f aca="false">D951/C951-1</f>
        <v>0.888654353819995</v>
      </c>
      <c r="E952" s="16" t="n">
        <f aca="false">E951/D951-1</f>
        <v>0.179536849415602</v>
      </c>
      <c r="F952" s="16" t="n">
        <f aca="false">F951/E951-1</f>
        <v>0.171160728328712</v>
      </c>
    </row>
    <row r="953" customFormat="false" ht="17.15" hidden="false" customHeight="false" outlineLevel="0" collapsed="false">
      <c r="A953" s="1" t="s">
        <v>589</v>
      </c>
    </row>
    <row r="954" customFormat="false" ht="17.15" hidden="false" customHeight="false" outlineLevel="0" collapsed="false">
      <c r="A954" s="6" t="s">
        <v>20</v>
      </c>
      <c r="B954" s="6" t="s">
        <v>21</v>
      </c>
      <c r="C954" s="14" t="s">
        <v>472</v>
      </c>
      <c r="D954" s="14" t="s">
        <v>539</v>
      </c>
      <c r="E954" s="14" t="s">
        <v>540</v>
      </c>
      <c r="F954" s="14" t="s">
        <v>541</v>
      </c>
      <c r="G954" s="14" t="s">
        <v>542</v>
      </c>
      <c r="H954" s="6" t="s">
        <v>480</v>
      </c>
    </row>
    <row r="955" customFormat="false" ht="17.15" hidden="false" customHeight="false" outlineLevel="0" collapsed="false">
      <c r="A955" s="0" t="s">
        <v>590</v>
      </c>
      <c r="B955" s="0" t="s">
        <v>31</v>
      </c>
      <c r="E955" s="26" t="n">
        <f aca="false">w2h_26*C946+h_1h*D946</f>
        <v>5.40409212896197</v>
      </c>
      <c r="F955" s="26" t="n">
        <f aca="false">(1-h_1h)*D946+h_1h*E946</f>
        <v>7.82685937223568</v>
      </c>
      <c r="G955" s="26" t="n">
        <f aca="false">(1-h_1h)*E946+h_1h*F946</f>
        <v>9.29475049466811</v>
      </c>
      <c r="H955" s="8" t="s">
        <v>591</v>
      </c>
    </row>
    <row r="956" customFormat="false" ht="17.15" hidden="false" customHeight="false" outlineLevel="0" collapsed="false">
      <c r="A956" s="5" t="s">
        <v>592</v>
      </c>
      <c r="B956" s="0" t="s">
        <v>31</v>
      </c>
      <c r="E956" s="26" t="n">
        <f aca="false">w2h_26*C947+h_1h*D947+w2h_26*C948+h_1h*D948</f>
        <v>1.20907716498309</v>
      </c>
      <c r="F956" s="26" t="n">
        <f aca="false">(1-h_1h)*D947+h_1h*E947+(1-h_1h)*D948+h_1h*E948</f>
        <v>1.31695065</v>
      </c>
      <c r="G956" s="26" t="n">
        <f aca="false">(1-h_1h)*E947+h_1h*F947+(1-h_1h)*E948+h_1h*F948</f>
        <v>1.451554482</v>
      </c>
    </row>
    <row r="957" customFormat="false" ht="15" hidden="false" customHeight="false" outlineLevel="0" collapsed="false">
      <c r="A957" s="5" t="s">
        <v>481</v>
      </c>
      <c r="B957" s="0" t="s">
        <v>31</v>
      </c>
      <c r="C957" s="26" t="n">
        <f aca="false">a25_rev/1000</f>
        <v>1.645</v>
      </c>
      <c r="D957" s="26" t="n">
        <f aca="false">a26_rev/1000</f>
        <v>3.014</v>
      </c>
      <c r="E957" s="26" t="n">
        <f aca="false">E955+E956</f>
        <v>6.61316929394506</v>
      </c>
      <c r="F957" s="26" t="n">
        <f aca="false">F955+F956</f>
        <v>9.14381002223568</v>
      </c>
      <c r="G957" s="26" t="n">
        <f aca="false">G955+G956</f>
        <v>10.7463049766681</v>
      </c>
    </row>
    <row r="958" customFormat="false" ht="17.15" hidden="false" customHeight="false" outlineLevel="0" collapsed="false">
      <c r="A958" s="5" t="s">
        <v>593</v>
      </c>
      <c r="B958" s="0" t="s">
        <v>31</v>
      </c>
      <c r="C958" s="26" t="n">
        <f aca="false">a25_cmp/1000</f>
        <v>1.1163</v>
      </c>
      <c r="D958" s="26" t="n">
        <f aca="false">a26_cmp/1000</f>
        <v>2.0056</v>
      </c>
      <c r="E958" s="26" t="n">
        <f aca="false">w2h_26*C949+h_1h*D949</f>
        <v>4.17798581120938</v>
      </c>
      <c r="F958" s="26" t="n">
        <f aca="false">(1-h_1h)*D949+h_1h*E949</f>
        <v>5.74217230995378</v>
      </c>
      <c r="G958" s="26" t="n">
        <f aca="false">(1-h_1h)*E949+h_1h*F949</f>
        <v>6.64806535105052</v>
      </c>
      <c r="H958" s="5" t="s">
        <v>594</v>
      </c>
    </row>
    <row r="959" customFormat="false" ht="17.15" hidden="false" customHeight="false" outlineLevel="0" collapsed="false">
      <c r="A959" s="5" t="s">
        <v>595</v>
      </c>
      <c r="B959" s="0" t="s">
        <v>31</v>
      </c>
      <c r="C959" s="26" t="n">
        <f aca="false">a25_sys/1000</f>
        <v>0.5287</v>
      </c>
      <c r="D959" s="26" t="n">
        <f aca="false">a26_sys/1000</f>
        <v>1.0084</v>
      </c>
      <c r="E959" s="26" t="n">
        <f aca="false">w2h_26*C950+h_1h*D950</f>
        <v>2.43518348273568</v>
      </c>
      <c r="F959" s="26" t="n">
        <f aca="false">(1-h_1h)*D950+h_1h*E950</f>
        <v>3.4016377122819</v>
      </c>
      <c r="G959" s="26" t="n">
        <f aca="false">(1-h_1h)*E950+h_1h*F950</f>
        <v>4.09823962561759</v>
      </c>
      <c r="H959" s="5" t="s">
        <v>596</v>
      </c>
    </row>
    <row r="960" customFormat="false" ht="15" hidden="false" customHeight="false" outlineLevel="0" collapsed="false">
      <c r="A960" s="5" t="s">
        <v>597</v>
      </c>
      <c r="B960" s="0" t="s">
        <v>31</v>
      </c>
      <c r="C960" s="17" t="n">
        <f aca="false">C958+C959-C957</f>
        <v>0</v>
      </c>
      <c r="D960" s="17" t="n">
        <f aca="false">D958+D959-D957</f>
        <v>0</v>
      </c>
      <c r="E960" s="17" t="n">
        <f aca="false">E958+E959-E957</f>
        <v>0</v>
      </c>
      <c r="F960" s="17" t="n">
        <f aca="false">F958+F959-F957</f>
        <v>0</v>
      </c>
      <c r="G960" s="17" t="n">
        <f aca="false">G958+G959-G957</f>
        <v>0</v>
      </c>
    </row>
    <row r="961" customFormat="false" ht="15" hidden="false" customHeight="false" outlineLevel="0" collapsed="false">
      <c r="A961" s="5" t="s">
        <v>598</v>
      </c>
      <c r="B961" s="0" t="s">
        <v>164</v>
      </c>
      <c r="D961" s="16" t="n">
        <f aca="false">D957/C957-1</f>
        <v>0.832218844984802</v>
      </c>
      <c r="E961" s="16" t="n">
        <f aca="false">E957/D957-1</f>
        <v>1.19415039613307</v>
      </c>
      <c r="F961" s="16" t="n">
        <f aca="false">F957/E957-1</f>
        <v>0.38266685998915</v>
      </c>
      <c r="G961" s="16" t="n">
        <f aca="false">G957/F957-1</f>
        <v>0.175254620397354</v>
      </c>
    </row>
    <row r="962" customFormat="false" ht="17.15" hidden="false" customHeight="false" outlineLevel="0" collapsed="false">
      <c r="A962" s="0" t="s">
        <v>599</v>
      </c>
      <c r="B962" s="0" t="s">
        <v>164</v>
      </c>
      <c r="E962" s="16" t="n">
        <f aca="false">E955/E957</f>
        <v>0.817171296961941</v>
      </c>
      <c r="F962" s="16" t="n">
        <f aca="false">F955/F957</f>
        <v>0.855973533264856</v>
      </c>
      <c r="G962" s="16" t="n">
        <f aca="false">G955/G957</f>
        <v>0.864925247780372</v>
      </c>
    </row>
    <row r="963" customFormat="false" ht="17.15" hidden="false" customHeight="false" outlineLevel="0" collapsed="false">
      <c r="A963" s="5" t="s">
        <v>484</v>
      </c>
      <c r="B963" s="0" t="s">
        <v>164</v>
      </c>
      <c r="C963" s="16" t="n">
        <f aca="false">a25_gm</f>
        <v>0.347</v>
      </c>
      <c r="D963" s="16" t="n">
        <f aca="false">a26_gm</f>
        <v>0.46</v>
      </c>
      <c r="E963" s="16" t="n">
        <f aca="false">gm_27</f>
        <v>0.52</v>
      </c>
      <c r="F963" s="16" t="n">
        <f aca="false">gm_28</f>
        <v>0.51</v>
      </c>
      <c r="G963" s="16" t="n">
        <f aca="false">gm_29</f>
        <v>0.49</v>
      </c>
    </row>
    <row r="964" customFormat="false" ht="15" hidden="false" customHeight="false" outlineLevel="0" collapsed="false">
      <c r="A964" s="5" t="s">
        <v>485</v>
      </c>
      <c r="B964" s="0" t="s">
        <v>31</v>
      </c>
      <c r="C964" s="26" t="n">
        <f aca="false">C957*C963</f>
        <v>0.570815</v>
      </c>
      <c r="D964" s="26" t="n">
        <f aca="false">D957*D963</f>
        <v>1.38644</v>
      </c>
      <c r="E964" s="26" t="n">
        <f aca="false">E957*E963</f>
        <v>3.43884803285143</v>
      </c>
      <c r="F964" s="26" t="n">
        <f aca="false">F957*F963</f>
        <v>4.6633431113402</v>
      </c>
      <c r="G964" s="26" t="n">
        <f aca="false">G957*G963</f>
        <v>5.26568943856737</v>
      </c>
    </row>
    <row r="965" customFormat="false" ht="15" hidden="false" customHeight="false" outlineLevel="0" collapsed="false">
      <c r="A965" s="5" t="s">
        <v>600</v>
      </c>
      <c r="B965" s="0" t="s">
        <v>31</v>
      </c>
      <c r="C965" s="26" t="n">
        <f aca="false">a25_opx/1000</f>
        <v>0.4114</v>
      </c>
      <c r="D965" s="26" t="n">
        <f aca="false">a26_opx/1000</f>
        <v>0.4897</v>
      </c>
      <c r="E965" s="26" t="n">
        <f aca="false">D965*(1+MAX(0,phi*E961))</f>
        <v>0.623436224936844</v>
      </c>
      <c r="F965" s="26" t="n">
        <f aca="false">E965*(1+MAX(0,phi*F961))</f>
        <v>0.677996030642651</v>
      </c>
      <c r="G965" s="26" t="n">
        <f aca="false">F965*(1+MAX(0,phi*G961))</f>
        <v>0.705170217450754</v>
      </c>
    </row>
    <row r="966" customFormat="false" ht="15" hidden="false" customHeight="false" outlineLevel="0" collapsed="false">
      <c r="A966" s="5" t="s">
        <v>601</v>
      </c>
      <c r="B966" s="0" t="s">
        <v>31</v>
      </c>
      <c r="C966" s="26" t="n">
        <f aca="false">C965</f>
        <v>0.4114</v>
      </c>
      <c r="D966" s="26" t="n">
        <f aca="false">D965</f>
        <v>0.4897</v>
      </c>
      <c r="E966" s="26" t="n">
        <f aca="false">E965+opx_adj_hi*E957</f>
        <v>0.755699610815745</v>
      </c>
      <c r="F966" s="26" t="n">
        <f aca="false">F965+opx_adj_hi*F957</f>
        <v>0.860872231087365</v>
      </c>
      <c r="G966" s="26" t="n">
        <f aca="false">G965+opx_adj_hi*G957</f>
        <v>0.920096316984117</v>
      </c>
    </row>
    <row r="967" customFormat="false" ht="15" hidden="false" customHeight="false" outlineLevel="0" collapsed="false">
      <c r="A967" s="5" t="s">
        <v>602</v>
      </c>
      <c r="B967" s="0" t="s">
        <v>31</v>
      </c>
      <c r="C967" s="26" t="n">
        <f aca="false">C964-C966</f>
        <v>0.159415</v>
      </c>
      <c r="D967" s="26" t="n">
        <f aca="false">D964-D966</f>
        <v>0.89674</v>
      </c>
      <c r="E967" s="26" t="n">
        <f aca="false">E964-E966</f>
        <v>2.68314842203569</v>
      </c>
      <c r="F967" s="26" t="n">
        <f aca="false">F964-F966</f>
        <v>3.80247088025283</v>
      </c>
      <c r="G967" s="26" t="n">
        <f aca="false">G964-G966</f>
        <v>4.34559312158326</v>
      </c>
    </row>
    <row r="968" customFormat="false" ht="15" hidden="false" customHeight="false" outlineLevel="0" collapsed="false">
      <c r="A968" s="5" t="s">
        <v>489</v>
      </c>
      <c r="B968" s="0" t="s">
        <v>164</v>
      </c>
      <c r="C968" s="16" t="n">
        <f aca="false">C967/C957</f>
        <v>0.0969088145896656</v>
      </c>
      <c r="D968" s="16" t="n">
        <f aca="false">D967/D957</f>
        <v>0.297524883875249</v>
      </c>
      <c r="E968" s="16" t="n">
        <f aca="false">E967/E957</f>
        <v>0.405728071182503</v>
      </c>
      <c r="F968" s="16" t="n">
        <f aca="false">F967/F957</f>
        <v>0.415851911949842</v>
      </c>
      <c r="G968" s="16" t="n">
        <f aca="false">G967/G957</f>
        <v>0.404380215433883</v>
      </c>
    </row>
    <row r="969" customFormat="false" ht="17.15" hidden="false" customHeight="false" outlineLevel="0" collapsed="false">
      <c r="A969" s="5" t="s">
        <v>490</v>
      </c>
      <c r="B969" s="0" t="s">
        <v>31</v>
      </c>
      <c r="C969" s="26" t="n">
        <f aca="false">a25_ni/1000</f>
        <v>0.1464</v>
      </c>
      <c r="D969" s="26" t="n">
        <f aca="false">a26_ni/1000</f>
        <v>0.7823</v>
      </c>
      <c r="E969" s="26" t="n">
        <f aca="false">(E967+oi_oth)*(1-tx)</f>
        <v>2.2840289323998</v>
      </c>
      <c r="F969" s="26" t="n">
        <f aca="false">(F967+oi_oth)*(1-tx)</f>
        <v>3.21866318501111</v>
      </c>
      <c r="G969" s="26" t="n">
        <f aca="false">(G967+oi_oth)*(1-tx)</f>
        <v>3.67217025652202</v>
      </c>
    </row>
    <row r="970" customFormat="false" ht="15" hidden="false" customHeight="false" outlineLevel="0" collapsed="false">
      <c r="A970" s="5" t="s">
        <v>552</v>
      </c>
      <c r="B970" s="0" t="s">
        <v>164</v>
      </c>
      <c r="C970" s="16" t="n">
        <f aca="false">C969/C957</f>
        <v>0.0889969604863222</v>
      </c>
      <c r="D970" s="16" t="n">
        <f aca="false">D969/D957</f>
        <v>0.259555408095554</v>
      </c>
      <c r="E970" s="16" t="n">
        <f aca="false">E969/E957</f>
        <v>0.345375844905563</v>
      </c>
      <c r="F970" s="16" t="n">
        <f aca="false">F969/F957</f>
        <v>0.352004599525149</v>
      </c>
      <c r="G970" s="16" t="n">
        <f aca="false">G969/G957</f>
        <v>0.34171468839707</v>
      </c>
    </row>
    <row r="971" customFormat="false" ht="17.15" hidden="false" customHeight="false" outlineLevel="0" collapsed="false">
      <c r="A971" s="5" t="s">
        <v>494</v>
      </c>
      <c r="B971" s="5" t="s">
        <v>238</v>
      </c>
      <c r="C971" s="15" t="n">
        <f aca="false">a25_sh</f>
        <v>71.0679611650485</v>
      </c>
      <c r="D971" s="15" t="n">
        <f aca="false">a26_sh</f>
        <v>90.2306805074971</v>
      </c>
      <c r="E971" s="15" t="n">
        <f aca="false">sh_q1</f>
        <v>102</v>
      </c>
      <c r="F971" s="15" t="n">
        <f aca="false">E971*(1+sh_g)</f>
        <v>103.02</v>
      </c>
      <c r="G971" s="15" t="n">
        <f aca="false">F971*(1+sh_g)</f>
        <v>104.0502</v>
      </c>
    </row>
    <row r="972" customFormat="false" ht="17.15" hidden="false" customHeight="false" outlineLevel="0" collapsed="false">
      <c r="A972" s="0" t="s">
        <v>496</v>
      </c>
      <c r="B972" s="0" t="s">
        <v>233</v>
      </c>
      <c r="C972" s="9" t="n">
        <f aca="false">C969*1000/C971</f>
        <v>2.06</v>
      </c>
      <c r="D972" s="9" t="n">
        <f aca="false">D969*1000/D971</f>
        <v>8.67</v>
      </c>
      <c r="E972" s="9" t="n">
        <f aca="false">E969*1000/E971</f>
        <v>22.3924405137235</v>
      </c>
      <c r="F972" s="9" t="n">
        <f aca="false">F969*1000/F971</f>
        <v>31.2430905165125</v>
      </c>
      <c r="G972" s="9" t="n">
        <f aca="false">G969*1000/G971</f>
        <v>35.292294070766</v>
      </c>
    </row>
    <row r="973" customFormat="false" ht="17.15" hidden="false" customHeight="false" outlineLevel="0" collapsed="false">
      <c r="A973" s="0" t="s">
        <v>603</v>
      </c>
      <c r="B973" s="0" t="s">
        <v>164</v>
      </c>
      <c r="D973" s="16" t="n">
        <f aca="false">D972/C972-1</f>
        <v>3.20873786407767</v>
      </c>
      <c r="E973" s="16" t="n">
        <f aca="false">E972/D972-1</f>
        <v>1.58274977090237</v>
      </c>
      <c r="F973" s="16" t="n">
        <f aca="false">F972/E972-1</f>
        <v>0.395251692077276</v>
      </c>
      <c r="G973" s="16" t="n">
        <f aca="false">G972/F972-1</f>
        <v>0.129603169446809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912</v>
      </c>
    </row>
    <row r="2" customFormat="false" ht="17.15" hidden="false" customHeight="false" outlineLevel="0" collapsed="false">
      <c r="A2" s="5" t="s">
        <v>913</v>
      </c>
      <c r="B2" s="0" t="s">
        <v>277</v>
      </c>
    </row>
    <row r="3" customFormat="false" ht="17.15" hidden="false" customHeight="false" outlineLevel="0" collapsed="false">
      <c r="A3" s="5" t="s">
        <v>914</v>
      </c>
      <c r="B3" s="0" t="s">
        <v>915</v>
      </c>
    </row>
    <row r="4" customFormat="false" ht="17.15" hidden="false" customHeight="false" outlineLevel="0" collapsed="false">
      <c r="A4" s="5" t="s">
        <v>916</v>
      </c>
      <c r="B4" s="0" t="s">
        <v>917</v>
      </c>
    </row>
    <row r="5" customFormat="false" ht="17.15" hidden="false" customHeight="false" outlineLevel="0" collapsed="false">
      <c r="A5" s="5" t="s">
        <v>918</v>
      </c>
      <c r="B5" s="0" t="s">
        <v>919</v>
      </c>
    </row>
    <row r="6" customFormat="false" ht="17.15" hidden="false" customHeight="false" outlineLevel="0" collapsed="false">
      <c r="A6" s="5" t="s">
        <v>920</v>
      </c>
      <c r="B6" s="0" t="s">
        <v>921</v>
      </c>
    </row>
    <row r="7" customFormat="false" ht="17.15" hidden="false" customHeight="false" outlineLevel="0" collapsed="false">
      <c r="A7" s="5" t="s">
        <v>922</v>
      </c>
      <c r="B7" s="0" t="s">
        <v>923</v>
      </c>
    </row>
    <row r="8" customFormat="false" ht="17.15" hidden="false" customHeight="false" outlineLevel="0" collapsed="false">
      <c r="A8" s="5" t="s">
        <v>924</v>
      </c>
      <c r="B8" s="0" t="s">
        <v>925</v>
      </c>
    </row>
    <row r="9" customFormat="false" ht="17.15" hidden="false" customHeight="false" outlineLevel="0" collapsed="false">
      <c r="A9" s="5" t="s">
        <v>926</v>
      </c>
      <c r="B9" s="0" t="s">
        <v>927</v>
      </c>
    </row>
    <row r="10" customFormat="false" ht="17.15" hidden="false" customHeight="false" outlineLevel="0" collapsed="false">
      <c r="A10" s="5" t="s">
        <v>928</v>
      </c>
      <c r="B10" s="0" t="s">
        <v>929</v>
      </c>
    </row>
    <row r="11" customFormat="false" ht="17.15" hidden="false" customHeight="false" outlineLevel="0" collapsed="false">
      <c r="A11" s="5" t="s">
        <v>930</v>
      </c>
      <c r="B11" s="0" t="s">
        <v>931</v>
      </c>
    </row>
    <row r="12" customFormat="false" ht="17.15" hidden="false" customHeight="false" outlineLevel="0" collapsed="false">
      <c r="A12" s="5" t="s">
        <v>932</v>
      </c>
      <c r="B12" s="0" t="s">
        <v>933</v>
      </c>
    </row>
    <row r="13" customFormat="false" ht="17.15" hidden="false" customHeight="false" outlineLevel="0" collapsed="false">
      <c r="A13" s="5" t="s">
        <v>934</v>
      </c>
    </row>
    <row r="14" customFormat="false" ht="17.15" hidden="false" customHeight="false" outlineLevel="0" collapsed="false">
      <c r="A14" s="5" t="s">
        <v>935</v>
      </c>
      <c r="B14" s="5" t="s">
        <v>936</v>
      </c>
    </row>
    <row r="15" customFormat="false" ht="15" hidden="false" customHeight="false" outlineLevel="0" collapsed="false">
      <c r="A15" s="0" t="s">
        <v>937</v>
      </c>
      <c r="B15" s="5" t="s">
        <v>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2026-10-28T07:49:32Z</dcterms:created>
  <dc:creator>openpyxl</dc:creator>
  <dc:description/>
  <dc:language>en-US</dc:language>
  <cp:lastModifiedBy/>
  <dcterms:modified xsi:type="dcterms:W3CDTF">2026-10-28T07:49:32Z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