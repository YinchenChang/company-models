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RC_MM" sheetId="2" state="visible" r:id="rId4"/>
    <sheet name="TK_Link" sheetId="3" state="visible" r:id="rId5"/>
    <sheet name="Inputs" sheetId="4" state="visible" r:id="rId6"/>
    <sheet name="Demand" sheetId="5" state="visible" r:id="rId7"/>
    <sheet name="Revenue" sheetId="6" state="visible" r:id="rId8"/>
    <sheet name="Compute" sheetId="7" state="visible" r:id="rId9"/>
    <sheet name="PnL" sheetId="8" state="visible" r:id="rId10"/>
    <sheet name="PxQ" sheetId="9" state="visible" r:id="rId11"/>
    <sheet name="Funding" sheetId="10" state="visible" r:id="rId12"/>
    <sheet name="Valuation" sheetId="11" state="visible" r:id="rId13"/>
    <sheet name="Checks" sheetId="12" state="visible" r:id="rId14"/>
    <sheet name="Sensitivit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<sst xmlns="http://schemas.openxmlformats.org/spreadsheetml/2006/main" count="1983" uniqueCount="1123">
  <si>
    <r>
      <rPr>
        <b val="true"/>
        <sz val="11"/>
        <rFont val="Cambria"/>
        <family val="0"/>
        <charset val="1"/>
      </rPr>
      <t xml:space="preserve">MiniMax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00100.HK</t>
    </r>
    <r>
      <rPr>
        <b val="true"/>
        <sz val="11"/>
        <rFont val="Noto Sans CJK SC"/>
        <family val="2"/>
      </rPr>
      <t xml:space="preserve">，上海稀宇科技）收支模型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2026-10-22</t>
    </r>
    <r>
      <rPr>
        <b val="true"/>
        <sz val="11"/>
        <rFont val="Noto Sans CJK SC"/>
        <family val="2"/>
      </rPr>
      <t xml:space="preserve">）</t>
    </r>
  </si>
  <si>
    <t xml:space="preserve">命題：MiniMax 每 MW 算力（實體與 VR 等值）的營收，能否覆蓋每 MW 全成本（推論＋訓練算力、人事、其他）；若不能，缺口何時出現、由誰、以什麼條件補。FY2025–FY2030，曆年制（公司財年＝曆年）。</t>
  </si>
  <si>
    <t xml:space="preserve">比照 OpenAI 收支模型 v0.6：同一分層（SRC／TK_Link／Inputs）、同一 MW 主軸（token → MW、η 校準、VR 等值）、同一命題口徑；MiniMax 為上市公司，另加 Funding 與 Valuation。</t>
  </si>
  <si>
    <t xml:space="preserve">驅動 → 推導對照（因果方向由上而下）</t>
  </si>
  <si>
    <r>
      <rPr>
        <sz val="11"/>
        <color theme="1"/>
        <rFont val="Calibri"/>
        <family val="2"/>
        <charset val="1"/>
      </rPr>
      <t xml:space="preserve">Demand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實收單價（</t>
    </r>
    <r>
      <rPr>
        <sz val="11"/>
        <color theme="1"/>
        <rFont val="Calibri"/>
        <family val="2"/>
        <charset val="1"/>
      </rPr>
      <t xml:space="preserve">I07</t>
    </r>
    <r>
      <rPr>
        <sz val="11"/>
        <color theme="1"/>
        <rFont val="Noto Sans CJK SC"/>
        <family val="2"/>
      </rPr>
      <t xml:space="preserve">）、單價年變動（</t>
    </r>
    <r>
      <rPr>
        <sz val="11"/>
        <color theme="1"/>
        <rFont val="Calibri"/>
        <family val="2"/>
        <charset val="1"/>
      </rPr>
      <t xml:space="preserve">I08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量年增（</t>
    </r>
    <r>
      <rPr>
        <sz val="11"/>
        <color theme="1"/>
        <rFont val="Calibri"/>
        <family val="2"/>
        <charset val="1"/>
      </rPr>
      <t xml:space="preserve">I09</t>
    </r>
    <r>
      <rPr>
        <sz val="11"/>
        <color theme="1"/>
        <rFont val="Noto Sans CJK SC"/>
        <family val="2"/>
      </rPr>
      <t xml:space="preserve">）｜推導＝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單價校準）</t>
    </r>
  </si>
  <si>
    <r>
      <rPr>
        <sz val="11"/>
        <color theme="1"/>
        <rFont val="Calibri"/>
        <family val="2"/>
        <charset val="1"/>
      </rPr>
      <t xml:space="preserve">Revenue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下半年企業端年化（</t>
    </r>
    <r>
      <rPr>
        <sz val="11"/>
        <color theme="1"/>
        <rFont val="Calibri"/>
        <family val="2"/>
        <charset val="1"/>
      </rPr>
      <t xml:space="preserve">I10</t>
    </r>
    <r>
      <rPr>
        <sz val="11"/>
        <color theme="1"/>
        <rFont val="Noto Sans CJK SC"/>
        <family val="2"/>
      </rPr>
      <t xml:space="preserve">）、消費端成長（</t>
    </r>
    <r>
      <rPr>
        <sz val="11"/>
        <color theme="1"/>
        <rFont val="Calibri"/>
        <family val="2"/>
        <charset val="1"/>
      </rPr>
      <t xml:space="preserve">I11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I12</t>
    </r>
    <r>
      <rPr>
        <sz val="11"/>
        <color theme="1"/>
        <rFont val="Noto Sans CJK SC"/>
        <family val="2"/>
      </rPr>
      <t xml:space="preserve">）｜推導＝企業端＝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單價；消費端＝成長路徑；產品與收費方式拆分只依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結構示意</t>
    </r>
  </si>
  <si>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TK01–05</t>
    </r>
    <r>
      <rPr>
        <sz val="11"/>
        <color theme="1"/>
        <rFont val="Noto Sans CJK SC"/>
        <family val="2"/>
      </rPr>
      <t xml:space="preserve">）、利用率（</t>
    </r>
    <r>
      <rPr>
        <sz val="11"/>
        <color theme="1"/>
        <rFont val="Calibri"/>
        <family val="2"/>
        <charset val="1"/>
      </rPr>
      <t xml:space="preserve">TK06</t>
    </r>
    <r>
      <rPr>
        <sz val="11"/>
        <color theme="1"/>
        <rFont val="Noto Sans CJK SC"/>
        <family val="2"/>
      </rPr>
      <t xml:space="preserve">）、機隊組合（</t>
    </r>
    <r>
      <rPr>
        <sz val="11"/>
        <color theme="1"/>
        <rFont val="Calibri"/>
        <family val="2"/>
        <charset val="1"/>
      </rPr>
      <t xml:space="preserve">I05</t>
    </r>
    <r>
      <rPr>
        <sz val="11"/>
        <color theme="1"/>
        <rFont val="Noto Sans CJK SC"/>
        <family val="2"/>
      </rPr>
      <t xml:space="preserve">）、層級組合（</t>
    </r>
    <r>
      <rPr>
        <sz val="11"/>
        <color theme="1"/>
        <rFont val="Calibri"/>
        <family val="2"/>
        <charset val="1"/>
      </rPr>
      <t xml:space="preserve">I04</t>
    </r>
    <r>
      <rPr>
        <sz val="11"/>
        <color theme="1"/>
        <rFont val="Noto Sans CJK SC"/>
        <family val="2"/>
      </rPr>
      <t xml:space="preserve">）、模型效率（</t>
    </r>
    <r>
      <rPr>
        <sz val="11"/>
        <color theme="1"/>
        <rFont val="Calibri"/>
        <family val="2"/>
        <charset val="1"/>
      </rPr>
      <t xml:space="preserve">I06</t>
    </r>
    <r>
      <rPr>
        <sz val="11"/>
        <color theme="1"/>
        <rFont val="Noto Sans CJK SC"/>
        <family val="2"/>
      </rPr>
      <t xml:space="preserve">）、合約價（</t>
    </r>
    <r>
      <rPr>
        <sz val="11"/>
        <color theme="1"/>
        <rFont val="Calibri"/>
        <family val="2"/>
        <charset val="1"/>
      </rPr>
      <t xml:space="preserve">I02</t>
    </r>
    <r>
      <rPr>
        <sz val="11"/>
        <color theme="1"/>
        <rFont val="Noto Sans CJK SC"/>
        <family val="2"/>
      </rPr>
      <t xml:space="preserve">）、訓練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I17</t>
    </r>
    <r>
      <rPr>
        <sz val="11"/>
        <color theme="1"/>
        <rFont val="Noto Sans CJK SC"/>
        <family val="2"/>
      </rPr>
      <t xml:space="preserve">）｜推導＝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÷ η</t>
    </r>
    <r>
      <rPr>
        <sz val="11"/>
        <color theme="1"/>
        <rFont val="Noto Sans CJK SC"/>
        <family val="2"/>
      </rPr>
      <t xml:space="preserve">；消費端與訓練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合約價；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</si>
  <si>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PnL</t>
    </r>
    <r>
      <rPr>
        <sz val="11"/>
        <color theme="1"/>
        <rFont val="Noto Sans CJK SC"/>
        <family val="2"/>
      </rPr>
      <t xml:space="preserve">：推導＝算力成本＝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合約價；人事＝人數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每人成本；其他費用＝營收比例｜命題輸出＝每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營收、每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全成本、覆蓋率（</t>
    </r>
    <r>
      <rPr>
        <sz val="11"/>
        <color theme="1"/>
        <rFont val="Calibri"/>
        <family val="2"/>
        <charset val="1"/>
      </rPr>
      <t xml:space="preserve">P21–P23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</si>
  <si>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PxQ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新增）：輸入＝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、機隊組合（</t>
    </r>
    <r>
      <rPr>
        <sz val="11"/>
        <color theme="1"/>
        <rFont val="Calibri"/>
        <family val="2"/>
        <charset val="1"/>
      </rPr>
      <t xml:space="preserve">I05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｜推導＝每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、算力持有成本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、回本比值＝營收 </t>
    </r>
    <r>
      <rPr>
        <sz val="11"/>
        <color theme="1"/>
        <rFont val="Calibri"/>
        <family val="2"/>
        <charset val="1"/>
      </rPr>
      <t xml:space="preserve">÷ C</t>
    </r>
    <r>
      <rPr>
        <sz val="11"/>
        <color theme="1"/>
        <rFont val="Noto Sans CJK SC"/>
        <family val="2"/>
      </rPr>
      <t xml:space="preserve">（＝實際 </t>
    </r>
    <r>
      <rPr>
        <sz val="11"/>
        <color theme="1"/>
        <rFont val="Calibri"/>
        <family val="2"/>
        <charset val="1"/>
      </rPr>
      <t xml:space="preserve">m×L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m×L</t>
    </r>
    <r>
      <rPr>
        <sz val="11"/>
        <color theme="1"/>
        <rFont val="Noto Sans CJK SC"/>
        <family val="2"/>
      </rPr>
      <t xml:space="preserve">）；看年度趨勢，不看絕對數字。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MiniMax </t>
    </r>
    <r>
      <rPr>
        <sz val="11"/>
        <color theme="1"/>
        <rFont val="Noto Sans CJK SC"/>
        <family val="2"/>
      </rPr>
      <t xml:space="preserve">實收單價（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有效牌價不適用）</t>
    </r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</si>
  <si>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：輸入＝已完成融資（</t>
    </r>
    <r>
      <rPr>
        <sz val="11"/>
        <color theme="1"/>
        <rFont val="Calibri"/>
        <family val="2"/>
        <charset val="1"/>
      </rPr>
      <t xml:space="preserve">SRC</t>
    </r>
    <r>
      <rPr>
        <sz val="11"/>
        <color theme="1"/>
        <rFont val="Noto Sans CJK SC"/>
        <family val="2"/>
      </rPr>
      <t xml:space="preserve">）、預付與自建（</t>
    </r>
    <r>
      <rPr>
        <sz val="11"/>
        <color theme="1"/>
        <rFont val="Calibri"/>
        <family val="2"/>
        <charset val="1"/>
      </rPr>
      <t xml:space="preserve">I22</t>
    </r>
    <r>
      <rPr>
        <sz val="11"/>
        <color theme="1"/>
        <rFont val="Noto Sans CJK SC"/>
        <family val="2"/>
      </rPr>
      <t xml:space="preserve">）、可轉債轉股機率（</t>
    </r>
    <r>
      <rPr>
        <sz val="11"/>
        <color theme="1"/>
        <rFont val="Calibri"/>
        <family val="2"/>
        <charset val="1"/>
      </rPr>
      <t xml:space="preserve">I23</t>
    </r>
    <r>
      <rPr>
        <sz val="11"/>
        <color theme="1"/>
        <rFont val="Noto Sans CJK SC"/>
        <family val="2"/>
      </rPr>
      <t xml:space="preserve">）、最低現金（</t>
    </r>
    <r>
      <rPr>
        <sz val="11"/>
        <color theme="1"/>
        <rFont val="Calibri"/>
        <family val="2"/>
        <charset val="1"/>
      </rPr>
      <t xml:space="preserve">I24</t>
    </r>
    <r>
      <rPr>
        <sz val="11"/>
        <color theme="1"/>
        <rFont val="Noto Sans CJK SC"/>
        <family val="2"/>
      </rPr>
      <t xml:space="preserve">）｜推導＝各年期末現金、需新融資、稀釋</t>
    </r>
  </si>
  <si>
    <r>
      <rPr>
        <sz val="11"/>
        <color theme="1"/>
        <rFont val="Calibri"/>
        <family val="2"/>
        <charset val="1"/>
      </rPr>
      <t xml:space="preserve">Valuation</t>
    </r>
    <r>
      <rPr>
        <sz val="11"/>
        <color theme="1"/>
        <rFont val="Noto Sans CJK SC"/>
        <family val="2"/>
      </rPr>
      <t xml:space="preserve">：推導＝市值、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</t>
    </r>
    <r>
      <rPr>
        <sz val="11"/>
        <color theme="1"/>
        <rFont val="Noto Sans CJK SC"/>
        <family val="2"/>
      </rPr>
      <t xml:space="preserve">營收、反向檢驗（</t>
    </r>
    <r>
      <rPr>
        <sz val="11"/>
        <color theme="1"/>
        <rFont val="Calibri"/>
        <family val="2"/>
        <charset val="1"/>
      </rPr>
      <t xml:space="preserve">I27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I28</t>
    </r>
    <r>
      <rPr>
        <sz val="11"/>
        <color theme="1"/>
        <rFont val="Noto Sans CJK SC"/>
        <family val="2"/>
      </rPr>
      <t xml:space="preserve">）</t>
    </r>
  </si>
  <si>
    <t xml:space="preserve">沿用 OpenAI／CRWV 核心的部分：MW 主軸、TK 每 GW 產能 × 利用率、η 校準（2025 唯一倒推）、VR 等值換算、合約價口徑。只沿用外殼的部分：消費端（影片為主，不走 token 換算）、Funding、Valuation。</t>
  </si>
  <si>
    <t xml:space="preserve">圖例</t>
  </si>
  <si>
    <t xml:space="preserve">藍字＝輸入（SRC 值、TK 值、Inputs）；黑字＝公式；綠字＝跨頁引用；黃底＝關鍵輸出列。Python 只產生結構，數值全由 Excel 計算。</t>
  </si>
  <si>
    <t xml:space="preserve">標記：Verified／Interested-party／Analogy／Assumed／Derived；Analogy、Assumed 一律附區間（Inputs J、K 欄）。</t>
  </si>
  <si>
    <t xml:space="preserve">分層：公司財務原始數據→SRC_MM；AI 技術與算力→TK_Link（Tokenomics 名稱）；假設→Inputs。</t>
  </si>
  <si>
    <t xml:space="preserve">已套用的預設（判斷類，依 Andy 2026-10-07 起「先用預設、交付時列出」）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</si>
  <si>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錨定：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換算（同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）；消費端走支出換算（影片／語音無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產能口徑）。</t>
    </r>
  </si>
  <si>
    <r>
      <rPr>
        <sz val="11"/>
        <color theme="1"/>
        <rFont val="Calibri"/>
        <family val="2"/>
        <charset val="1"/>
      </rPr>
      <t xml:space="preserve">2. η </t>
    </r>
    <r>
      <rPr>
        <sz val="11"/>
        <color theme="1"/>
        <rFont val="Noto Sans CJK SC"/>
        <family val="2"/>
      </rPr>
      <t xml:space="preserve">以實際算力支出校準兩次：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上半年（年化；最新實際，採用此值）；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 </t>
    </r>
    <r>
      <rPr>
        <sz val="11"/>
        <color theme="1"/>
        <rFont val="Calibri"/>
        <family val="2"/>
        <charset val="1"/>
      </rPr>
      <t xml:space="preserve">× I29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M3.1 </t>
    </r>
    <r>
      <rPr>
        <sz val="11"/>
        <color theme="1"/>
        <rFont val="Noto Sans CJK SC"/>
        <family val="2"/>
      </rPr>
      <t xml:space="preserve">降本，只採一部分）；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起效率年增以 </t>
    </r>
    <r>
      <rPr>
        <sz val="11"/>
        <color theme="1"/>
        <rFont val="Calibri"/>
        <family val="2"/>
        <charset val="1"/>
      </rPr>
      <t xml:space="preserve">I06 </t>
    </r>
    <r>
      <rPr>
        <sz val="11"/>
        <color theme="1"/>
        <rFont val="Noto Sans CJK SC"/>
        <family val="2"/>
      </rPr>
      <t xml:space="preserve">表達。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η </t>
    </r>
    <r>
      <rPr>
        <sz val="11"/>
        <color theme="1"/>
        <rFont val="Noto Sans CJK SC"/>
        <family val="2"/>
      </rPr>
      <t xml:space="preserve">差距大（</t>
    </r>
    <r>
      <rPr>
        <sz val="11"/>
        <color theme="1"/>
        <rFont val="Calibri"/>
        <family val="2"/>
        <charset val="1"/>
      </rPr>
      <t xml:space="preserve">3.4 vs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），反映 </t>
    </r>
    <r>
      <rPr>
        <sz val="11"/>
        <color theme="1"/>
        <rFont val="Calibri"/>
        <family val="2"/>
        <charset val="1"/>
      </rPr>
      <t xml:space="preserve">Token Plan </t>
    </r>
    <r>
      <rPr>
        <sz val="11"/>
        <color theme="1"/>
        <rFont val="Noto Sans CJK SC"/>
        <family val="2"/>
      </rPr>
      <t xml:space="preserve">低價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較大模型，見 </t>
    </r>
    <r>
      <rPr>
        <sz val="11"/>
        <color theme="1"/>
        <rFont val="Calibri"/>
        <family val="2"/>
        <charset val="1"/>
      </rPr>
      <t xml:space="preserve">Compute C11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</si>
  <si>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合約價沿用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$12M/MW/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8–20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第七節並列中國雲租價證據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持有成本：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單一證據落在區間下方（樣本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台、口徑不明），</t>
    </r>
    <r>
      <rPr>
        <sz val="11"/>
        <color theme="1"/>
        <rFont val="Calibri"/>
        <family val="2"/>
        <charset val="1"/>
      </rPr>
      <t xml:space="preserve">H800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在區間內，基準不動，影響見 </t>
    </r>
    <r>
      <rPr>
        <sz val="11"/>
        <color theme="1"/>
        <rFont val="Calibri"/>
        <family val="2"/>
        <charset val="1"/>
      </rPr>
      <t xml:space="preserve">Sensitivity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</si>
  <si>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4. 2026 </t>
    </r>
    <r>
      <rPr>
        <sz val="11"/>
        <color theme="1"/>
        <rFont val="Noto Sans CJK SC"/>
        <family val="2"/>
      </rPr>
      <t xml:space="preserve">下半年企業端以 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）略打折為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；不採公司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ARR 10 </t>
    </r>
    <r>
      <rPr>
        <sz val="11"/>
        <color theme="1"/>
        <rFont val="Noto Sans CJK SC"/>
        <family val="2"/>
      </rPr>
      <t xml:space="preserve">億目標。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</si>
  <si>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自建集群：</t>
    </r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Noto Sans CJK SC"/>
        <family val="2"/>
      </rPr>
      <t xml:space="preserve">未找到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／資本支出 →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仍不建「自建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」經濟口徑列；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預付與資本支出只作現金時差（</t>
    </r>
    <r>
      <rPr>
        <sz val="11"/>
        <color theme="1"/>
        <rFont val="Calibri"/>
        <family val="2"/>
        <charset val="1"/>
      </rPr>
      <t xml:space="preserve">I22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P&amp;L </t>
    </r>
    <r>
      <rPr>
        <sz val="11"/>
        <color theme="1"/>
        <rFont val="Noto Sans CJK SC"/>
        <family val="2"/>
      </rPr>
      <t xml:space="preserve">算力一律以合約價計；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物業廠房設備增額 </t>
    </r>
    <r>
      <rPr>
        <sz val="11"/>
        <color theme="1"/>
        <rFont val="Calibri"/>
        <family val="2"/>
        <charset val="1"/>
      </rPr>
      <t xml:space="preserve">73.3 </t>
    </r>
    <r>
      <rPr>
        <sz val="11"/>
        <color theme="1"/>
        <rFont val="Noto Sans CJK SC"/>
        <family val="2"/>
      </rPr>
      <t xml:space="preserve">僅作對照（</t>
    </r>
    <r>
      <rPr>
        <sz val="11"/>
        <color theme="1"/>
        <rFont val="Calibri"/>
        <family val="2"/>
        <charset val="1"/>
      </rPr>
      <t xml:space="preserve">Compute C45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</si>
  <si>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可轉債基準以現金贖回（轉換價 </t>
    </r>
    <r>
      <rPr>
        <sz val="11"/>
        <color theme="1"/>
        <rFont val="Calibri"/>
        <family val="2"/>
        <charset val="1"/>
      </rPr>
      <t xml:space="preserve">HK$335 &gt; </t>
    </r>
    <r>
      <rPr>
        <sz val="11"/>
        <color theme="1"/>
        <rFont val="Noto Sans CJK SC"/>
        <family val="2"/>
      </rPr>
      <t xml:space="preserve">現價約 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</si>
  <si>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訂閱方案別、產品別營收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後未揭露：只依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結構示意，不進核心計算。消費端付費人數 </t>
    </r>
    <r>
      <rPr>
        <sz val="11"/>
        <color theme="1"/>
        <rFont val="Calibri"/>
        <family val="2"/>
        <charset val="1"/>
      </rPr>
      <t xml:space="preserve">× ARPPU</t>
    </r>
    <r>
      <rPr>
        <sz val="11"/>
        <color theme="1"/>
        <rFont val="Noto Sans CJK SC"/>
        <family val="2"/>
      </rPr>
      <t xml:space="preserve">：只有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可校準（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無一手人數）→ 不建驅動，</t>
    </r>
    <r>
      <rPr>
        <sz val="11"/>
        <color theme="1"/>
        <rFont val="Calibri"/>
        <family val="2"/>
        <charset val="1"/>
      </rPr>
      <t xml:space="preserve">Revenue </t>
    </r>
    <r>
      <rPr>
        <sz val="11"/>
        <color theme="1"/>
        <rFont val="Noto Sans CJK SC"/>
        <family val="2"/>
      </rPr>
      <t xml:space="preserve">第五節列對照與驗算。</t>
    </r>
  </si>
  <si>
    <r>
      <rPr>
        <sz val="11"/>
        <color theme="1"/>
        <rFont val="Calibri"/>
        <family val="2"/>
        <charset val="1"/>
      </rPr>
      <t xml:space="preserve">8. v0.2 </t>
    </r>
    <r>
      <rPr>
        <sz val="11"/>
        <color theme="1"/>
        <rFont val="Noto Sans CJK SC"/>
        <family val="2"/>
      </rPr>
      <t xml:space="preserve">單價路徑（</t>
    </r>
    <r>
      <rPr>
        <sz val="11"/>
        <color theme="1"/>
        <rFont val="Calibri"/>
        <family val="2"/>
        <charset val="1"/>
      </rPr>
      <t xml:space="preserve">D8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M3.1 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）較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牌價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。只更新已觀測的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年：上半年維持降價前校準價（</t>
    </r>
    <r>
      <rPr>
        <sz val="11"/>
        <color theme="1"/>
        <rFont val="Calibri"/>
        <family val="2"/>
        <charset val="1"/>
      </rPr>
      <t xml:space="preserve">η </t>
    </r>
    <r>
      <rPr>
        <sz val="11"/>
        <color theme="1"/>
        <rFont val="Noto Sans CJK SC"/>
        <family val="2"/>
      </rPr>
      <t xml:space="preserve">以此校準），下半年單價＝</t>
    </r>
    <r>
      <rPr>
        <sz val="11"/>
        <color theme="1"/>
        <rFont val="Calibri"/>
        <family val="2"/>
        <charset val="1"/>
      </rPr>
      <t xml:space="preserve">I07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I30 × I31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I31</t>
    </r>
    <r>
      <rPr>
        <sz val="11"/>
        <color theme="1"/>
        <rFont val="Noto Sans CJK SC"/>
        <family val="2"/>
      </rPr>
      <t xml:space="preserve">（新價流量占比）</t>
    </r>
    <r>
      <rPr>
        <sz val="11"/>
        <color theme="1"/>
        <rFont val="Calibri"/>
        <family val="2"/>
        <charset val="1"/>
      </rPr>
      <t xml:space="preserve">Assumed 0.20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起單價機制（</t>
    </r>
    <r>
      <rPr>
        <sz val="11"/>
        <color theme="1"/>
        <rFont val="Calibri"/>
        <family val="2"/>
        <charset val="1"/>
      </rPr>
      <t xml:space="preserve">I08</t>
    </r>
    <r>
      <rPr>
        <sz val="11"/>
        <color theme="1"/>
        <rFont val="Noto Sans CJK SC"/>
        <family val="2"/>
      </rPr>
      <t xml:space="preserve">）不改。</t>
    </r>
  </si>
  <si>
    <r>
      <rPr>
        <sz val="11"/>
        <color theme="1"/>
        <rFont val="Calibri"/>
        <family val="2"/>
        <charset val="1"/>
      </rPr>
      <t xml:space="preserve">9. v0.2 </t>
    </r>
    <r>
      <rPr>
        <sz val="11"/>
        <color theme="1"/>
        <rFont val="Noto Sans CJK SC"/>
        <family val="2"/>
      </rPr>
      <t xml:space="preserve">市值：以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推算收盤價 </t>
    </r>
    <r>
      <rPr>
        <sz val="11"/>
        <color theme="1"/>
        <rFont val="Calibri"/>
        <family val="2"/>
        <charset val="1"/>
      </rPr>
      <t xml:space="preserve">HK$171.9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S078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349.2M </t>
    </r>
    <r>
      <rPr>
        <sz val="11"/>
        <color theme="1"/>
        <rFont val="Noto Sans CJK SC"/>
        <family val="2"/>
      </rPr>
      <t xml:space="preserve">股；共識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並列 </t>
    </r>
    <r>
      <rPr>
        <sz val="11"/>
        <color theme="1"/>
        <rFont val="Calibri"/>
        <family val="2"/>
        <charset val="1"/>
      </rPr>
      <t xml:space="preserve">Bloomberg 363.8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stockanalysis 452</t>
    </r>
    <r>
      <rPr>
        <sz val="11"/>
        <color theme="1"/>
        <rFont val="Noto Sans CJK SC"/>
        <family val="2"/>
      </rPr>
      <t xml:space="preserve">（後兩者疑同源）。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股（科創板）上市情境與多情境機率加權不做（</t>
    </r>
    <r>
      <rPr>
        <sz val="11"/>
        <color theme="1"/>
        <rFont val="Calibri"/>
        <family val="2"/>
        <charset val="1"/>
      </rPr>
      <t xml:space="preserve">D5</t>
    </r>
    <r>
      <rPr>
        <sz val="11"/>
        <color theme="1"/>
        <rFont val="Noto Sans CJK SC"/>
        <family val="2"/>
      </rPr>
      <t xml:space="preserve">）。</t>
    </r>
  </si>
  <si>
    <t xml:space="preserve">已知限制（下一版）：季度層；自建集群規模（找不到）與其持有成本；2026 消費端付費人數 × ARPPU（缺一手資料）；1H26 現金流量表（找不到）；Tokenomics 缺口：中國晶片世代與租價、GPU／MW 官方值、服務端落差分解的 IF_ 名稱、中國 API 有效牌價。A 股上市情境、多情境加權（D5）不做。</t>
  </si>
  <si>
    <t xml:space="preserve">研究底稿與來源：minimax/data/research/financials.md、operations.md（repo YinchenChang/company-models）。</t>
  </si>
  <si>
    <r>
      <rPr>
        <b val="true"/>
        <sz val="11"/>
        <rFont val="Cambria"/>
        <family val="0"/>
        <charset val="1"/>
      </rPr>
      <t xml:space="preserve">SRC_MM — MiniMax </t>
    </r>
    <r>
      <rPr>
        <b val="true"/>
        <sz val="11"/>
        <rFont val="Noto Sans CJK SC"/>
        <family val="2"/>
      </rPr>
      <t xml:space="preserve">公司財務與營運原始數據（單位見各列；</t>
    </r>
    <r>
      <rPr>
        <b val="true"/>
        <sz val="11"/>
        <rFont val="Cambria"/>
        <family val="0"/>
        <charset val="1"/>
      </rPr>
      <t xml:space="preserve">US$ </t>
    </r>
    <r>
      <rPr>
        <b val="true"/>
        <sz val="11"/>
        <rFont val="Noto Sans CJK SC"/>
        <family val="2"/>
      </rPr>
      <t xml:space="preserve">除註明外）</t>
    </r>
  </si>
  <si>
    <t xml:space="preserve">一手＝公司公告／申報文件；二手（含一手公告轉載）＝媒體轉述公司公開說法；二手＝媒體或資料商。藍字可改。研究底稿：data/research/</t>
  </si>
  <si>
    <t xml:space="preserve">ID</t>
  </si>
  <si>
    <t xml:space="preserve">項目</t>
  </si>
  <si>
    <t xml:space="preserve">期間</t>
  </si>
  <si>
    <t xml:space="preserve">單位</t>
  </si>
  <si>
    <t xml:space="preserve">值</t>
  </si>
  <si>
    <t xml:space="preserve">標記</t>
  </si>
  <si>
    <t xml:space="preserve">一手／二手</t>
  </si>
  <si>
    <t xml:space="preserve">來源</t>
  </si>
  <si>
    <t xml:space="preserve">S001</t>
  </si>
  <si>
    <t xml:space="preserve">營收</t>
  </si>
  <si>
    <t xml:space="preserve">FY2024</t>
  </si>
  <si>
    <t xml:space="preserve">$M</t>
  </si>
  <si>
    <t xml:space="preserve">Verified</t>
  </si>
  <si>
    <t xml:space="preserve">一手</t>
  </si>
  <si>
    <r>
      <rPr>
        <sz val="11"/>
        <color theme="1"/>
        <rFont val="Calibri"/>
        <family val="2"/>
        <charset val="1"/>
      </rPr>
      <t xml:space="preserve">HKEX </t>
    </r>
    <r>
      <rPr>
        <sz val="11"/>
        <color theme="1"/>
        <rFont val="Noto Sans CJK SC"/>
        <family val="2"/>
      </rPr>
      <t xml:space="preserve">招股書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／附錄一會計師報告）</t>
    </r>
  </si>
  <si>
    <t xml:space="preserve">S002</t>
  </si>
  <si>
    <t xml:space="preserve">FY2025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</si>
  <si>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年度業績公告 </t>
    </r>
    <r>
      <rPr>
        <sz val="11"/>
        <color theme="1"/>
        <rFont val="Calibri"/>
        <family val="2"/>
        <charset val="1"/>
      </rPr>
      <t xml:space="preserve">2026-03-02</t>
    </r>
  </si>
  <si>
    <t xml:space="preserve">S003</t>
  </si>
  <si>
    <t xml:space="preserve">1H2025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</si>
  <si>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</si>
  <si>
    <t xml:space="preserve">S004</t>
  </si>
  <si>
    <t xml:space="preserve">1H2026</t>
  </si>
  <si>
    <t xml:space="preserve">S005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</si>
  <si>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原生產品營收（消費端）</t>
    </r>
  </si>
  <si>
    <t xml:space="preserve">S006</t>
  </si>
  <si>
    <t xml:space="preserve">開放平台及企業服務營收（API／企業端）</t>
  </si>
  <si>
    <t xml:space="preserve">S007</t>
  </si>
  <si>
    <t xml:space="preserve">S008</t>
  </si>
  <si>
    <t xml:space="preserve">S009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</si>
  <si>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原生產品營收</t>
    </r>
  </si>
  <si>
    <t xml:space="preserve">9M2025</t>
  </si>
  <si>
    <t xml:space="preserve">S010</t>
  </si>
  <si>
    <t xml:space="preserve">開放平台及企業服務營收</t>
  </si>
  <si>
    <t xml:space="preserve">S011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</si>
  <si>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營收</t>
    </r>
  </si>
  <si>
    <t xml:space="preserve">S012</t>
  </si>
  <si>
    <t xml:space="preserve">海螺 Hailuo（影片）營收</t>
  </si>
  <si>
    <t xml:space="preserve">S013</t>
  </si>
  <si>
    <r>
      <rPr>
        <sz val="11"/>
        <color theme="1"/>
        <rFont val="Calibri"/>
        <family val="2"/>
        <charset val="1"/>
      </rPr>
      <t xml:space="preserve">MiniMax Audio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MiniMax App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</si>
  <si>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HKEX </t>
    </r>
    <r>
      <rPr>
        <sz val="11"/>
        <color theme="1"/>
        <rFont val="Noto Sans CJK SC"/>
        <family val="2"/>
      </rPr>
      <t xml:space="preserve">招股書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／附錄一會計師報告）（</t>
    </r>
    <r>
      <rPr>
        <sz val="11"/>
        <color theme="1"/>
        <rFont val="Calibri"/>
        <family val="2"/>
        <charset val="1"/>
      </rPr>
      <t xml:space="preserve">1.050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0.756</t>
    </r>
    <r>
      <rPr>
        <sz val="11"/>
        <color theme="1"/>
        <rFont val="Noto Sans CJK SC"/>
        <family val="2"/>
      </rPr>
      <t xml:space="preserve">）</t>
    </r>
  </si>
  <si>
    <t xml:space="preserve">S014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</si>
  <si>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廣告（線上行銷）營收</t>
    </r>
  </si>
  <si>
    <t xml:space="preserve">S015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</si>
  <si>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 訂閱營收（</t>
    </r>
    <r>
      <rPr>
        <sz val="11"/>
        <color theme="1"/>
        <rFont val="Calibri"/>
        <family val="2"/>
        <charset val="1"/>
      </rPr>
      <t xml:space="preserve">Talkie 6.604</t>
    </r>
    <r>
      <rPr>
        <sz val="11"/>
        <color theme="1"/>
        <rFont val="Noto Sans CJK SC"/>
        <family val="2"/>
      </rPr>
      <t xml:space="preserve">＋海螺 </t>
    </r>
    <r>
      <rPr>
        <sz val="11"/>
        <color theme="1"/>
        <rFont val="Calibri"/>
        <family val="2"/>
        <charset val="1"/>
      </rPr>
      <t xml:space="preserve">14.147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Audio 0.854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App 0.552</t>
    </r>
    <r>
      <rPr>
        <sz val="11"/>
        <color theme="1"/>
        <rFont val="Noto Sans CJK SC"/>
        <family val="2"/>
      </rPr>
      <t xml:space="preserve">）</t>
    </r>
  </si>
  <si>
    <t xml:space="preserve">S016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</si>
  <si>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 儲值（</t>
    </r>
    <r>
      <rPr>
        <sz val="11"/>
        <color theme="1"/>
        <rFont val="Calibri"/>
        <family val="2"/>
        <charset val="1"/>
      </rPr>
      <t xml:space="preserve">top-up</t>
    </r>
    <r>
      <rPr>
        <sz val="11"/>
        <color theme="1"/>
        <rFont val="Noto Sans CJK SC"/>
        <family val="2"/>
      </rPr>
      <t xml:space="preserve">）營收（</t>
    </r>
    <r>
      <rPr>
        <sz val="11"/>
        <color theme="1"/>
        <rFont val="Calibri"/>
        <family val="2"/>
        <charset val="1"/>
      </rPr>
      <t xml:space="preserve">Talkie 0.958</t>
    </r>
    <r>
      <rPr>
        <sz val="11"/>
        <color theme="1"/>
        <rFont val="Noto Sans CJK SC"/>
        <family val="2"/>
      </rPr>
      <t xml:space="preserve">＋海螺 </t>
    </r>
    <r>
      <rPr>
        <sz val="11"/>
        <color theme="1"/>
        <rFont val="Calibri"/>
        <family val="2"/>
        <charset val="1"/>
      </rPr>
      <t xml:space="preserve">3.317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Audio 0.196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App 0.204</t>
    </r>
    <r>
      <rPr>
        <sz val="11"/>
        <color theme="1"/>
        <rFont val="Noto Sans CJK SC"/>
        <family val="2"/>
      </rPr>
      <t xml:space="preserve">）</t>
    </r>
  </si>
  <si>
    <t xml:space="preserve">S017</t>
  </si>
  <si>
    <t xml:space="preserve">分部毛利率：AI 原生產品</t>
  </si>
  <si>
    <t xml:space="preserve">比例</t>
  </si>
  <si>
    <t xml:space="preserve">Interested-party</t>
  </si>
  <si>
    <t xml:space="preserve">二手（含一手轉載）</t>
  </si>
  <si>
    <t xml:space="preserve">量子位、東吳 IPO 報告引招股書；未見原頁</t>
  </si>
  <si>
    <t xml:space="preserve">S018</t>
  </si>
  <si>
    <t xml:space="preserve">分部毛利率：開放平台</t>
  </si>
  <si>
    <t xml:space="preserve">S019</t>
  </si>
  <si>
    <t xml:space="preserve">銷售成本</t>
  </si>
  <si>
    <t xml:space="preserve">S020</t>
  </si>
  <si>
    <t xml:space="preserve">S021</t>
  </si>
  <si>
    <t xml:space="preserve">銷售及分銷費用</t>
  </si>
  <si>
    <t xml:space="preserve">S022</t>
  </si>
  <si>
    <t xml:space="preserve">行政費用</t>
  </si>
  <si>
    <t xml:space="preserve">S023</t>
  </si>
  <si>
    <t xml:space="preserve">研發費用</t>
  </si>
  <si>
    <t xml:space="preserve">S024</t>
  </si>
  <si>
    <t xml:space="preserve">S025</t>
  </si>
  <si>
    <t xml:space="preserve">S026</t>
  </si>
  <si>
    <t xml:space="preserve">S027</t>
  </si>
  <si>
    <t xml:space="preserve">研發成本（不含員工福利、折舊攤銷；≈訓練用雲端算力）</t>
  </si>
  <si>
    <t xml:space="preserve">S028</t>
  </si>
  <si>
    <t xml:space="preserve">員工福利開支合計（含 SBC）</t>
  </si>
  <si>
    <t xml:space="preserve">S029</t>
  </si>
  <si>
    <t xml:space="preserve">S030</t>
  </si>
  <si>
    <t xml:space="preserve">股份支付（非 IFRS 調節）</t>
  </si>
  <si>
    <t xml:space="preserve">S031</t>
  </si>
  <si>
    <t xml:space="preserve">S032</t>
  </si>
  <si>
    <t xml:space="preserve">其他收入及收益淨額（主要為理財與利息）</t>
  </si>
  <si>
    <t xml:space="preserve">S033</t>
  </si>
  <si>
    <t xml:space="preserve">其他收入及收益淨額</t>
  </si>
  <si>
    <t xml:space="preserve">S034</t>
  </si>
  <si>
    <t xml:space="preserve">經調整淨虧損（非 IFRS）</t>
  </si>
  <si>
    <t xml:space="preserve">S035</t>
  </si>
  <si>
    <t xml:space="preserve">S036</t>
  </si>
  <si>
    <t xml:space="preserve">淨虧損（IFRS；含優先股公允價值變動 1,589.9）</t>
  </si>
  <si>
    <t xml:space="preserve">S037</t>
  </si>
  <si>
    <t xml:space="preserve">上市開支</t>
  </si>
  <si>
    <t xml:space="preserve">S038</t>
  </si>
  <si>
    <t xml:space="preserve">全職員工數</t>
  </si>
  <si>
    <t xml:space="preserve">2025-12-31</t>
  </si>
  <si>
    <t xml:space="preserve">人</t>
  </si>
  <si>
    <t xml:space="preserve">S039</t>
  </si>
  <si>
    <t xml:space="preserve">2026-06-30</t>
  </si>
  <si>
    <t xml:space="preserve">S040</t>
  </si>
  <si>
    <t xml:space="preserve">現金結餘（公司口徑：現金＋定存＋理財等）</t>
  </si>
  <si>
    <t xml:space="preserve">S041</t>
  </si>
  <si>
    <t xml:space="preserve">現金結餘（公司口徑）</t>
  </si>
  <si>
    <t xml:space="preserve">S042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</si>
  <si>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淨募資（含超額配售）</t>
    </r>
  </si>
  <si>
    <t xml:space="preserve">2026-01</t>
  </si>
  <si>
    <t xml:space="preserve">HK$M</t>
  </si>
  <si>
    <t xml:space="preserve">配發結果公告 2026-01-08；超額配售權行使公告 2026-01-11</t>
  </si>
  <si>
    <t xml:space="preserve">S043</t>
  </si>
  <si>
    <t xml:space="preserve">配售新股淨額（35.6M 股 @HK$268）</t>
  </si>
  <si>
    <t xml:space="preserve">2026-07-14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</si>
  <si>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11</t>
    </r>
  </si>
  <si>
    <t xml:space="preserve">S044</t>
  </si>
  <si>
    <t xml:space="preserve">零息可轉債本金（2027 到期）</t>
  </si>
  <si>
    <t xml:space="preserve">2026-07-16</t>
  </si>
  <si>
    <t xml:space="preserve">S045</t>
  </si>
  <si>
    <t xml:space="preserve">零息可轉債淨額</t>
  </si>
  <si>
    <t xml:space="preserve">S046</t>
  </si>
  <si>
    <t xml:space="preserve">可轉債轉換價</t>
  </si>
  <si>
    <t xml:space="preserve">2026-07</t>
  </si>
  <si>
    <r>
      <rPr>
        <sz val="11"/>
        <color theme="1"/>
        <rFont val="Calibri"/>
        <family val="2"/>
        <charset val="1"/>
      </rPr>
      <t xml:space="preserve">HK$/</t>
    </r>
    <r>
      <rPr>
        <sz val="11"/>
        <color theme="1"/>
        <rFont val="Noto Sans CJK SC"/>
        <family val="2"/>
      </rPr>
      <t xml:space="preserve">股</t>
    </r>
  </si>
  <si>
    <t xml:space="preserve">S047</t>
  </si>
  <si>
    <t xml:space="preserve">計息銀行借款</t>
  </si>
  <si>
    <t xml:space="preserve">S048</t>
  </si>
  <si>
    <t xml:space="preserve">S049</t>
  </si>
  <si>
    <t xml:space="preserve">物業廠房設備＋預付款（2025-12-31：1.6＋17.2）</t>
  </si>
  <si>
    <t xml:space="preserve">S050</t>
  </si>
  <si>
    <t xml:space="preserve">物業廠房設備＋預付款（2026-06-30：74.9＋266.2）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</si>
  <si>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（未說明用途；推測為算力採購）</t>
    </r>
  </si>
  <si>
    <t xml:space="preserve">S051</t>
  </si>
  <si>
    <t xml:space="preserve">已發行股數（配售後）</t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</si>
  <si>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股</t>
    </r>
  </si>
  <si>
    <t xml:space="preserve">S052</t>
  </si>
  <si>
    <t xml:space="preserve">市值【已更新，見 S078】</t>
  </si>
  <si>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收盤</t>
    </r>
  </si>
  <si>
    <t xml:space="preserve">二手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</si>
  <si>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Valuation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S078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 S051 </t>
    </r>
    <r>
      <rPr>
        <sz val="11"/>
        <color theme="1"/>
        <rFont val="Noto Sans CJK SC"/>
        <family val="2"/>
      </rPr>
      <t xml:space="preserve">股數）</t>
    </r>
  </si>
  <si>
    <t xml:space="preserve">S053</t>
  </si>
  <si>
    <r>
      <rPr>
        <sz val="11"/>
        <color theme="1"/>
        <rFont val="Calibri"/>
        <family val="2"/>
        <charset val="1"/>
      </rPr>
      <t xml:space="preserve">ARR</t>
    </r>
    <r>
      <rPr>
        <sz val="11"/>
        <color theme="1"/>
        <rFont val="Noto Sans CJK SC"/>
        <family val="2"/>
      </rPr>
      <t xml:space="preserve">（週營收</t>
    </r>
    <r>
      <rPr>
        <sz val="11"/>
        <color theme="1"/>
        <rFont val="Calibri"/>
        <family val="2"/>
        <charset val="1"/>
      </rPr>
      <t xml:space="preserve">×52</t>
    </r>
    <r>
      <rPr>
        <sz val="11"/>
        <color theme="1"/>
        <rFont val="Noto Sans CJK SC"/>
        <family val="2"/>
      </rPr>
      <t xml:space="preserve">）</t>
    </r>
  </si>
  <si>
    <t xml:space="preserve">2026-08</t>
  </si>
  <si>
    <t xml:space="preserve">二手（含一手公告轉載）</t>
  </si>
  <si>
    <t xml:space="preserve">中期業績電話會（副總裁薛子釗），騰訊新聞／InfoQ 轉述；「超過」</t>
  </si>
  <si>
    <t xml:space="preserve">S054</t>
  </si>
  <si>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中企業端（</t>
    </r>
    <r>
      <rPr>
        <sz val="11"/>
        <color theme="1"/>
        <rFont val="Calibri"/>
        <family val="2"/>
        <charset val="1"/>
      </rPr>
      <t xml:space="preserve">B2B</t>
    </r>
    <r>
      <rPr>
        <sz val="11"/>
        <color theme="1"/>
        <rFont val="Noto Sans CJK SC"/>
        <family val="2"/>
      </rPr>
      <t xml:space="preserve">）占比</t>
    </r>
  </si>
  <si>
    <t xml:space="preserve">同上</t>
  </si>
  <si>
    <t xml:space="preserve">S055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</si>
  <si>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用量倍數（</t>
    </r>
    <r>
      <rPr>
        <sz val="11"/>
        <color theme="1"/>
        <rFont val="Calibri"/>
        <family val="2"/>
        <charset val="1"/>
      </rPr>
      <t xml:space="preserve">2026-07 ÷ 2026-01</t>
    </r>
    <r>
      <rPr>
        <sz val="11"/>
        <color theme="1"/>
        <rFont val="Noto Sans CJK SC"/>
        <family val="2"/>
      </rPr>
      <t xml:space="preserve">）</t>
    </r>
  </si>
  <si>
    <t xml:space="preserve">倍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</si>
  <si>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）；計費方式改變與降價會放大倍數</t>
    </r>
  </si>
  <si>
    <t xml:space="preserve">S056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</si>
  <si>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輸入（≤</t>
    </r>
    <r>
      <rPr>
        <sz val="11"/>
        <color theme="1"/>
        <rFont val="Calibri"/>
        <family val="2"/>
        <charset val="1"/>
      </rPr>
      <t xml:space="preserve">512K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</si>
  <si>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起</t>
    </r>
  </si>
  <si>
    <t xml:space="preserve">$/M</t>
  </si>
  <si>
    <r>
      <rPr>
        <sz val="11"/>
        <color theme="1"/>
        <rFont val="Calibri"/>
        <family val="2"/>
        <charset val="1"/>
      </rPr>
      <t xml:space="preserve">platform.minimax.io </t>
    </r>
    <r>
      <rPr>
        <sz val="11"/>
        <color theme="1"/>
        <rFont val="Noto Sans CJK SC"/>
        <family val="2"/>
      </rPr>
      <t xml:space="preserve">定價頁</t>
    </r>
  </si>
  <si>
    <t xml:space="preserve">S057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</si>
  <si>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輸出</t>
    </r>
  </si>
  <si>
    <t xml:space="preserve">S058</t>
  </si>
  <si>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綜合實收單價</t>
    </r>
  </si>
  <si>
    <t xml:space="preserve">中期電話會轉述；一手出處未找到</t>
  </si>
  <si>
    <t xml:space="preserve">S059</t>
  </si>
  <si>
    <t xml:space="preserve">阿里雲採購年度上限（2026；人民幣 21 億）</t>
  </si>
  <si>
    <t xml:space="preserve">2026</t>
  </si>
  <si>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關連交易上限修訂（媒體轉述）；原上限 </t>
    </r>
    <r>
      <rPr>
        <sz val="11"/>
        <color theme="1"/>
        <rFont val="Calibri"/>
        <family val="2"/>
        <charset val="1"/>
      </rPr>
      <t xml:space="preserve">115</t>
    </r>
  </si>
  <si>
    <t xml:space="preserve">S060</t>
  </si>
  <si>
    <t xml:space="preserve">阿里雲採購年度上限（2027）</t>
  </si>
  <si>
    <t xml:space="preserve">2027</t>
  </si>
  <si>
    <t xml:space="preserve">S061</t>
  </si>
  <si>
    <t xml:space="preserve">阿里雲採購年度上限（2028）</t>
  </si>
  <si>
    <t xml:space="preserve">2028</t>
  </si>
  <si>
    <t xml:space="preserve">S062</t>
  </si>
  <si>
    <t xml:space="preserve">市場共識營收（23 位分析師平均；與 Yahoo 彙整同值，疑同源，見 S081 另一獨立點）</t>
  </si>
  <si>
    <t xml:space="preserve">FY2026E</t>
  </si>
  <si>
    <r>
      <rPr>
        <sz val="11"/>
        <color theme="1"/>
        <rFont val="Calibri"/>
        <family val="2"/>
        <charset val="1"/>
      </rPr>
      <t xml:space="preserve">stockanalysis.com 2026-09-21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228–594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M2 2026-10-22</t>
    </r>
    <r>
      <rPr>
        <sz val="11"/>
        <color theme="1"/>
        <rFont val="Noto Sans CJK SC"/>
        <family val="2"/>
      </rPr>
      <t xml:space="preserve">）</t>
    </r>
  </si>
  <si>
    <t xml:space="preserve">S063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</si>
  <si>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營收預估</t>
    </r>
  </si>
  <si>
    <t xml:space="preserve">FY2027E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</si>
  <si>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研報（</t>
    </r>
    <r>
      <rPr>
        <sz val="11"/>
        <color theme="1"/>
        <rFont val="Calibri"/>
        <family val="2"/>
        <charset val="1"/>
      </rPr>
      <t xml:space="preserve">163.com </t>
    </r>
    <r>
      <rPr>
        <sz val="11"/>
        <color theme="1"/>
        <rFont val="Noto Sans CJK SC"/>
        <family val="2"/>
      </rPr>
      <t xml:space="preserve">轉述）</t>
    </r>
  </si>
  <si>
    <t xml:space="preserve">S064</t>
  </si>
  <si>
    <t xml:space="preserve">FY2028E</t>
  </si>
  <si>
    <t xml:space="preserve">S065</t>
  </si>
  <si>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共識營收</t>
    </r>
  </si>
  <si>
    <t xml:space="preserve">FY2030E</t>
  </si>
  <si>
    <t xml:space="preserve">S&amp;P Global MI 2026-04-22</t>
  </si>
  <si>
    <t xml:space="preserve">S066</t>
  </si>
  <si>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經調整淨虧損預估</t>
    </r>
  </si>
  <si>
    <r>
      <rPr>
        <sz val="11"/>
        <color theme="1"/>
        <rFont val="Calibri"/>
        <family val="2"/>
        <charset val="1"/>
      </rPr>
      <t xml:space="preserve">Citi 2026-08-27</t>
    </r>
    <r>
      <rPr>
        <sz val="11"/>
        <color theme="1"/>
        <rFont val="Noto Sans CJK SC"/>
        <family val="2"/>
      </rPr>
      <t xml:space="preserve">（媒體轉述）</t>
    </r>
  </si>
  <si>
    <t xml:space="preserve">S067</t>
  </si>
  <si>
    <t xml:space="preserve">S068</t>
  </si>
  <si>
    <t xml:space="preserve">S069</t>
  </si>
  <si>
    <t xml:space="preserve">上市前股權融資累計（天使至 Pre-B++）</t>
  </si>
  <si>
    <t xml:space="preserve">2021–2025</t>
  </si>
  <si>
    <t xml:space="preserve">東吳 IPO 報告轉載招股書歷史沿革表</t>
  </si>
  <si>
    <t xml:space="preserve">S070</t>
  </si>
  <si>
    <t xml:space="preserve">智譜（2513.HK）市值</t>
  </si>
  <si>
    <t xml:space="preserve">2026-10-02</t>
  </si>
  <si>
    <t xml:space="preserve">stockanalysis.com</t>
  </si>
  <si>
    <t xml:space="preserve">S071</t>
  </si>
  <si>
    <t xml:space="preserve">智譜 1H2026 營收</t>
  </si>
  <si>
    <t xml:space="preserve">RMB M</t>
  </si>
  <si>
    <t xml:space="preserve">第一財經轉述 2026-08-31 業績</t>
  </si>
  <si>
    <t xml:space="preserve">S072</t>
  </si>
  <si>
    <t xml:space="preserve">訓練相關雲端服務支出</t>
  </si>
  <si>
    <t xml:space="preserve">量子位、東吳引招股書</t>
  </si>
  <si>
    <t xml:space="preserve">S073</t>
  </si>
  <si>
    <r>
      <rPr>
        <sz val="11"/>
        <color theme="1"/>
        <rFont val="Calibri"/>
        <family val="2"/>
        <charset val="1"/>
      </rPr>
      <t xml:space="preserve">M1 </t>
    </r>
    <r>
      <rPr>
        <sz val="11"/>
        <color theme="1"/>
        <rFont val="Noto Sans CJK SC"/>
        <family val="2"/>
      </rPr>
      <t xml:space="preserve">強化學習訓練：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H800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</t>
    </r>
  </si>
  <si>
    <t xml:space="preserve">2025-06</t>
  </si>
  <si>
    <t xml:space="preserve">arXiv 2506.13585</t>
  </si>
  <si>
    <t xml:space="preserve">S074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</si>
  <si>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原生產品付費用戶（期間）</t>
    </r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</si>
  <si>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人</t>
    </r>
  </si>
  <si>
    <t xml:space="preserve">S075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</si>
  <si>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原生產品平均 </t>
    </r>
    <r>
      <rPr>
        <sz val="11"/>
        <color theme="1"/>
        <rFont val="Calibri"/>
        <family val="2"/>
        <charset val="1"/>
      </rPr>
      <t xml:space="preserve">MAU</t>
    </r>
  </si>
  <si>
    <t xml:space="preserve">S076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</si>
  <si>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第二季營收季增</t>
    </r>
  </si>
  <si>
    <t xml:space="preserve">2Q2026</t>
  </si>
  <si>
    <r>
      <rPr>
        <sz val="11"/>
        <color theme="1"/>
        <rFont val="Calibri"/>
        <family val="2"/>
        <charset val="1"/>
      </rPr>
      <t xml:space="preserve">InfoQ </t>
    </r>
    <r>
      <rPr>
        <sz val="11"/>
        <color theme="1"/>
        <rFont val="Noto Sans CJK SC"/>
        <family val="2"/>
      </rPr>
      <t xml:space="preserve">轉述業績會；季度營收未揭露</t>
    </r>
  </si>
  <si>
    <t xml:space="preserve">S077</t>
  </si>
  <si>
    <t xml:space="preserve">人民幣兌美元（換算阿里雲上限用）【已更新，見 S097】</t>
  </si>
  <si>
    <t xml:space="preserve">RMB/$</t>
  </si>
  <si>
    <t xml:space="preserve">Assumed</t>
  </si>
  <si>
    <t xml:space="preserve">—</t>
  </si>
  <si>
    <t xml:space="preserve">僅說明用（v0.1）；v0.2 的 Valuation V07 改用 S097</t>
  </si>
  <si>
    <t xml:space="preserve">S078</t>
  </si>
  <si>
    <t xml:space="preserve">收盤價（由多個行情頁 10-22「昨收」欄推算；非直接收盤公告）</t>
  </si>
  <si>
    <t xml:space="preserve">2026-10-21</t>
  </si>
  <si>
    <t xml:space="preserve">Derived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</si>
  <si>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、新浪（</t>
    </r>
    <r>
      <rPr>
        <sz val="11"/>
        <color theme="1"/>
        <rFont val="Calibri"/>
        <family val="2"/>
        <charset val="1"/>
      </rPr>
      <t xml:space="preserve">M2 §1a</t>
    </r>
    <r>
      <rPr>
        <sz val="11"/>
        <color theme="1"/>
        <rFont val="Noto Sans CJK SC"/>
        <family val="2"/>
      </rPr>
      <t xml:space="preserve">；搜尋摘要）；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港元</t>
    </r>
  </si>
  <si>
    <t xml:space="preserve">S079</t>
  </si>
  <si>
    <t xml:space="preserve">盤中價（跌破 IPO 價；未收盤）</t>
  </si>
  <si>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</t>
    </r>
  </si>
  <si>
    <t xml:space="preserve">鳳凰網（M2 §1a）；盤中低點 159.3</t>
  </si>
  <si>
    <t xml:space="preserve">S080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</si>
  <si>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發行價</t>
    </r>
  </si>
  <si>
    <t xml:space="preserve">鳳凰網報導「跌破 IPO 價 165」（M2 §1a）</t>
  </si>
  <si>
    <t xml:space="preserve">S081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</si>
  <si>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共識營收（與 </t>
    </r>
    <r>
      <rPr>
        <sz val="11"/>
        <color theme="1"/>
        <rFont val="Calibri"/>
        <family val="2"/>
        <charset val="1"/>
      </rPr>
      <t xml:space="preserve">S062 </t>
    </r>
    <r>
      <rPr>
        <sz val="11"/>
        <color theme="1"/>
        <rFont val="Noto Sans CJK SC"/>
        <family val="2"/>
      </rPr>
      <t xml:space="preserve">不同源）</t>
    </r>
  </si>
  <si>
    <r>
      <rPr>
        <sz val="11"/>
        <color theme="1"/>
        <rFont val="Calibri"/>
        <family val="2"/>
        <charset val="1"/>
      </rPr>
      <t xml:space="preserve">SCMP 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§1b</t>
    </r>
    <r>
      <rPr>
        <sz val="11"/>
        <color theme="1"/>
        <rFont val="Noto Sans CJK SC"/>
        <family val="2"/>
      </rPr>
      <t xml:space="preserve">；搜尋摘要）；賣方有承銷關係與樂觀偏誤</t>
    </r>
  </si>
  <si>
    <t xml:space="preserve">S082</t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</si>
  <si>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共識營收（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</si>
  <si>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§1b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598–2,240</t>
    </r>
    <r>
      <rPr>
        <sz val="11"/>
        <color theme="1"/>
        <rFont val="Noto Sans CJK SC"/>
        <family val="2"/>
      </rPr>
      <t xml:space="preserve">；未標日期）</t>
    </r>
  </si>
  <si>
    <t xml:space="preserve">S083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</si>
  <si>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資料 共識營收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</si>
  <si>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§1b</t>
    </r>
    <r>
      <rPr>
        <sz val="11"/>
        <color theme="1"/>
        <rFont val="Noto Sans CJK SC"/>
        <family val="2"/>
      </rPr>
      <t xml:space="preserve">；搜尋摘要）</t>
    </r>
  </si>
  <si>
    <t xml:space="preserve">S084</t>
  </si>
  <si>
    <t xml:space="preserve">分析師平均目標價（18 買／4 持有／1 賣）</t>
  </si>
  <si>
    <t xml:space="preserve">2026-09-30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</si>
  <si>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§1b</t>
    </r>
    <r>
      <rPr>
        <sz val="11"/>
        <color theme="1"/>
        <rFont val="Noto Sans CJK SC"/>
        <family val="2"/>
      </rPr>
      <t xml:space="preserve">）；現價為其 </t>
    </r>
    <r>
      <rPr>
        <sz val="11"/>
        <color theme="1"/>
        <rFont val="Calibri"/>
        <family val="2"/>
        <charset val="1"/>
      </rPr>
      <t xml:space="preserve">27–29%</t>
    </r>
    <r>
      <rPr>
        <sz val="11"/>
        <color theme="1"/>
        <rFont val="Noto Sans CJK SC"/>
        <family val="2"/>
      </rPr>
      <t xml:space="preserve">，視為過時</t>
    </r>
  </si>
  <si>
    <t xml:space="preserve">S085</t>
  </si>
  <si>
    <t xml:space="preserve">合約負債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</si>
  <si>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 p14</t>
    </r>
    <r>
      <rPr>
        <sz val="11"/>
        <color theme="1"/>
        <rFont val="Noto Sans CJK SC"/>
        <family val="2"/>
      </rPr>
      <t xml:space="preserve">（未經審計）</t>
    </r>
  </si>
  <si>
    <t xml:space="preserve">S086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</si>
  <si>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 p14</t>
    </r>
  </si>
  <si>
    <t xml:space="preserve">S087</t>
  </si>
  <si>
    <t xml:space="preserve">物業廠房設備</t>
  </si>
  <si>
    <t xml:space="preserve">S088</t>
  </si>
  <si>
    <t xml:space="preserve">S089</t>
  </si>
  <si>
    <t xml:space="preserve">經營活動現金流</t>
  </si>
  <si>
    <r>
      <rPr>
        <sz val="11"/>
        <color theme="1"/>
        <rFont val="Calibri"/>
        <family val="2"/>
        <charset val="1"/>
      </rPr>
      <t xml:space="preserve">etnet </t>
    </r>
    <r>
      <rPr>
        <sz val="11"/>
        <color theme="1"/>
        <rFont val="Noto Sans CJK SC"/>
        <family val="2"/>
      </rPr>
      <t xml:space="preserve">經濟通現金流量頁（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補充 </t>
    </r>
    <r>
      <rPr>
        <sz val="11"/>
        <color theme="1"/>
        <rFont val="Calibri"/>
        <family val="2"/>
        <charset val="1"/>
      </rPr>
      <t xml:space="preserve">§B</t>
    </r>
    <r>
      <rPr>
        <sz val="11"/>
        <color theme="1"/>
        <rFont val="Noto Sans CJK SC"/>
        <family val="2"/>
      </rPr>
      <t xml:space="preserve">；原始為公司年報）</t>
    </r>
  </si>
  <si>
    <t xml:space="preserve">S090</t>
  </si>
  <si>
    <t xml:space="preserve">投資活動現金流（含理財產品贖回，不能當資本支出）</t>
  </si>
  <si>
    <t xml:space="preserve">S091</t>
  </si>
  <si>
    <t xml:space="preserve">融資活動現金流</t>
  </si>
  <si>
    <t xml:space="preserve">S092</t>
  </si>
  <si>
    <t xml:space="preserve">期初現金（現金流量表口徑）</t>
  </si>
  <si>
    <t xml:space="preserve">S093</t>
  </si>
  <si>
    <t xml:space="preserve">匯率影響</t>
  </si>
  <si>
    <t xml:space="preserve">S094</t>
  </si>
  <si>
    <t xml:space="preserve">期末現金（現金流量表口徑；公司口徑含定存理財為 S040）</t>
  </si>
  <si>
    <t xml:space="preserve">S095</t>
  </si>
  <si>
    <t xml:space="preserve">S096</t>
  </si>
  <si>
    <t xml:space="preserve">人民幣兌美元中間價（期末）</t>
  </si>
  <si>
    <r>
      <rPr>
        <sz val="11"/>
        <color theme="1"/>
        <rFont val="Calibri"/>
        <family val="2"/>
        <charset val="1"/>
      </rPr>
      <t xml:space="preserve">CFETS </t>
    </r>
    <r>
      <rPr>
        <sz val="11"/>
        <color theme="1"/>
        <rFont val="Noto Sans CJK SC"/>
        <family val="2"/>
      </rPr>
      <t xml:space="preserve">中間價經證券時報、新華網轉載（</t>
    </r>
    <r>
      <rPr>
        <sz val="11"/>
        <color theme="1"/>
        <rFont val="Calibri"/>
        <family val="2"/>
        <charset val="1"/>
      </rPr>
      <t xml:space="preserve">M2 §7</t>
    </r>
    <r>
      <rPr>
        <sz val="11"/>
        <color theme="1"/>
        <rFont val="Noto Sans CJK SC"/>
        <family val="2"/>
      </rPr>
      <t xml:space="preserve">）</t>
    </r>
  </si>
  <si>
    <t xml:space="preserve">S097</t>
  </si>
  <si>
    <t xml:space="preserve">人民幣兌美元（1H26 期間平均；未取得，範圍 6.85–6.98）</t>
  </si>
  <si>
    <r>
      <rPr>
        <sz val="11"/>
        <color theme="1"/>
        <rFont val="Calibri"/>
        <family val="2"/>
        <charset val="1"/>
      </rPr>
      <t xml:space="preserve">M2 §7</t>
    </r>
    <r>
      <rPr>
        <sz val="11"/>
        <color theme="1"/>
        <rFont val="Noto Sans CJK SC"/>
        <family val="2"/>
      </rPr>
      <t xml:space="preserve">：期初約 </t>
    </r>
    <r>
      <rPr>
        <sz val="11"/>
        <color theme="1"/>
        <rFont val="Calibri"/>
        <family val="2"/>
        <charset val="1"/>
      </rPr>
      <t xml:space="preserve">7.03</t>
    </r>
    <r>
      <rPr>
        <sz val="11"/>
        <color theme="1"/>
        <rFont val="Noto Sans CJK SC"/>
        <family val="2"/>
      </rPr>
      <t xml:space="preserve">、期末 </t>
    </r>
    <r>
      <rPr>
        <sz val="11"/>
        <color theme="1"/>
        <rFont val="Calibri"/>
        <family val="2"/>
        <charset val="1"/>
      </rPr>
      <t xml:space="preserve">6.81 </t>
    </r>
    <r>
      <rPr>
        <sz val="11"/>
        <color theme="1"/>
        <rFont val="Noto Sans CJK SC"/>
        <family val="2"/>
      </rPr>
      <t xml:space="preserve">的線性中點；請取 </t>
    </r>
    <r>
      <rPr>
        <sz val="11"/>
        <color theme="1"/>
        <rFont val="Calibri"/>
        <family val="2"/>
        <charset val="1"/>
      </rPr>
      <t xml:space="preserve">PBoC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CFETS </t>
    </r>
    <r>
      <rPr>
        <sz val="11"/>
        <color theme="1"/>
        <rFont val="Noto Sans CJK SC"/>
        <family val="2"/>
      </rPr>
      <t xml:space="preserve">逐日平均</t>
    </r>
  </si>
  <si>
    <t xml:space="preserve">S098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</si>
  <si>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M3.1 Flash</t>
    </r>
    <r>
      <rPr>
        <sz val="11"/>
        <color theme="1"/>
        <rFont val="Noto Sans CJK SC"/>
        <family val="2"/>
      </rPr>
      <t xml:space="preserve">：輸入</t>
    </r>
  </si>
  <si>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</si>
  <si>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上架時間戳為一手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；價格見 </t>
    </r>
    <r>
      <rPr>
        <sz val="11"/>
        <color theme="1"/>
        <rFont val="Calibri"/>
        <family val="2"/>
        <charset val="1"/>
      </rPr>
      <t xml:space="preserve">apiyi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routerplex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sandbase</t>
    </r>
    <r>
      <rPr>
        <sz val="11"/>
        <color theme="1"/>
        <rFont val="Noto Sans CJK SC"/>
        <family val="2"/>
      </rPr>
      <t xml:space="preserve">（同源轉載，</t>
    </r>
    <r>
      <rPr>
        <sz val="11"/>
        <color theme="1"/>
        <rFont val="Calibri"/>
        <family val="2"/>
        <charset val="1"/>
      </rPr>
      <t xml:space="preserve">M2 §5</t>
    </r>
    <r>
      <rPr>
        <sz val="11"/>
        <color theme="1"/>
        <rFont val="Noto Sans CJK SC"/>
        <family val="2"/>
      </rPr>
      <t xml:space="preserve">）；與公司「降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」吻合</t>
    </r>
  </si>
  <si>
    <t xml:space="preserve">S099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</si>
  <si>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M3.1 Flash</t>
    </r>
    <r>
      <rPr>
        <sz val="11"/>
        <color theme="1"/>
        <rFont val="Noto Sans CJK SC"/>
        <family val="2"/>
      </rPr>
      <t xml:space="preserve">：輸出</t>
    </r>
  </si>
  <si>
    <t xml:space="preserve">S100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</si>
  <si>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M3.1 Flash</t>
    </r>
    <r>
      <rPr>
        <sz val="11"/>
        <color theme="1"/>
        <rFont val="Noto Sans CJK SC"/>
        <family val="2"/>
      </rPr>
      <t xml:space="preserve">：快取讀取</t>
    </r>
  </si>
  <si>
    <t xml:space="preserve">同上；M3 為 0.06（OpenRouter API，一手）</t>
  </si>
  <si>
    <t xml:space="preserve">S101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</si>
  <si>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輸入（</t>
    </r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官方端點現況，獨立確認 </t>
    </r>
    <r>
      <rPr>
        <sz val="11"/>
        <color theme="1"/>
        <rFont val="Calibri"/>
        <family val="2"/>
        <charset val="1"/>
      </rPr>
      <t xml:space="preserve">S056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</si>
  <si>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</si>
  <si>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t xml:space="preserve">OpenRouter /api/v1/models/minimax/minimax-m3/endpoints</t>
  </si>
  <si>
    <t xml:space="preserve">S102</t>
  </si>
  <si>
    <r>
      <rPr>
        <sz val="11"/>
        <color theme="1"/>
        <rFont val="Calibri"/>
        <family val="2"/>
        <charset val="1"/>
      </rPr>
      <t xml:space="preserve">AutoDL H800 80G </t>
    </r>
    <r>
      <rPr>
        <sz val="11"/>
        <color theme="1"/>
        <rFont val="Noto Sans CJK SC"/>
        <family val="2"/>
      </rPr>
      <t xml:space="preserve">單卡租價（公開標價）</t>
    </r>
  </si>
  <si>
    <t xml:space="preserve">擷取日</t>
  </si>
  <si>
    <r>
      <rPr>
        <sz val="11"/>
        <color theme="1"/>
        <rFont val="Calibri"/>
        <family val="2"/>
        <charset val="1"/>
      </rPr>
      <t xml:space="preserve">RMB/</t>
    </r>
    <r>
      <rPr>
        <sz val="11"/>
        <color theme="1"/>
        <rFont val="Noto Sans CJK SC"/>
        <family val="2"/>
      </rPr>
      <t xml:space="preserve">卡時</t>
    </r>
  </si>
  <si>
    <r>
      <rPr>
        <sz val="11"/>
        <color theme="1"/>
        <rFont val="Calibri"/>
        <family val="2"/>
        <charset val="1"/>
      </rPr>
      <t xml:space="preserve">autodl.com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§6c</t>
    </r>
    <r>
      <rPr>
        <sz val="11"/>
        <color theme="1"/>
        <rFont val="Noto Sans CJK SC"/>
        <family val="2"/>
      </rPr>
      <t xml:space="preserve">；搜尋摘要）；小平台、無大廠 </t>
    </r>
    <r>
      <rPr>
        <sz val="11"/>
        <color theme="1"/>
        <rFont val="Calibri"/>
        <family val="2"/>
        <charset val="1"/>
      </rPr>
      <t xml:space="preserve">SLA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H20 96G </t>
    </r>
    <r>
      <rPr>
        <sz val="11"/>
        <color theme="1"/>
        <rFont val="Noto Sans CJK SC"/>
        <family val="2"/>
      </rPr>
      <t xml:space="preserve">同價</t>
    </r>
  </si>
  <si>
    <t xml:space="preserve">S103</t>
  </si>
  <si>
    <r>
      <rPr>
        <sz val="11"/>
        <color theme="1"/>
        <rFont val="Calibri"/>
        <family val="2"/>
        <charset val="1"/>
      </rPr>
      <t xml:space="preserve">SMM H20 96G 1 </t>
    </r>
    <r>
      <rPr>
        <sz val="11"/>
        <color theme="1"/>
        <rFont val="Noto Sans CJK SC"/>
        <family val="2"/>
      </rPr>
      <t xml:space="preserve">年約租價（口徑：整機或單卡未寫清；樣本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台）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</si>
  <si>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</si>
  <si>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RMB/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</si>
  <si>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SMM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§6c</t>
    </r>
    <r>
      <rPr>
        <sz val="11"/>
        <color theme="1"/>
        <rFont val="Noto Sans CJK SC"/>
        <family val="2"/>
      </rPr>
      <t xml:space="preserve">；搜尋摘要）；行情媒體引賣方報價</t>
    </r>
  </si>
  <si>
    <t xml:space="preserve">S104</t>
  </si>
  <si>
    <r>
      <rPr>
        <sz val="11"/>
        <color theme="1"/>
        <rFont val="Calibri"/>
        <family val="2"/>
        <charset val="1"/>
      </rPr>
      <t xml:space="preserve">SMM H100 80G SXM </t>
    </r>
    <r>
      <rPr>
        <sz val="11"/>
        <color theme="1"/>
        <rFont val="Noto Sans CJK SC"/>
        <family val="2"/>
      </rPr>
      <t xml:space="preserve">現貨租價（長三角）</t>
    </r>
  </si>
  <si>
    <r>
      <rPr>
        <sz val="11"/>
        <color theme="1"/>
        <rFont val="Calibri"/>
        <family val="2"/>
        <charset val="1"/>
      </rPr>
      <t xml:space="preserve">SMM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M2 §6c</t>
    </r>
    <r>
      <rPr>
        <sz val="11"/>
        <color theme="1"/>
        <rFont val="Noto Sans CJK SC"/>
        <family val="2"/>
      </rPr>
      <t xml:space="preserve">；搜尋摘要）；標題稱「新高」</t>
    </r>
  </si>
  <si>
    <t xml:space="preserve">S105</t>
  </si>
  <si>
    <t xml:space="preserve">海螺 Hailuo 付費用戶（9M25 平均）</t>
  </si>
  <si>
    <t xml:space="preserve">東吳證券 IPO 報告引招股書（M2 §4）；經 S106 驗算較像期間平均</t>
  </si>
  <si>
    <t xml:space="preserve">S106</t>
  </si>
  <si>
    <t xml:space="preserve">海螺 Hailuo 付費用戶平均支出（ARPPU）</t>
  </si>
  <si>
    <t xml:space="preserve">$</t>
  </si>
  <si>
    <t xml:space="preserve">S107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</si>
  <si>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付費用戶</t>
    </r>
  </si>
  <si>
    <t xml:space="preserve">S108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</si>
  <si>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</t>
    </r>
    <r>
      <rPr>
        <sz val="11"/>
        <color theme="1"/>
        <rFont val="Calibri"/>
        <family val="2"/>
        <charset val="1"/>
      </rPr>
      <t xml:space="preserve">ARPPU</t>
    </r>
    <r>
      <rPr>
        <sz val="11"/>
        <color theme="1"/>
        <rFont val="Noto Sans CJK SC"/>
        <family val="2"/>
      </rPr>
      <t xml:space="preserve">（約）</t>
    </r>
  </si>
  <si>
    <t xml:space="preserve">S109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</si>
  <si>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訂閱營收</t>
    </r>
  </si>
  <si>
    <t xml:space="preserve">S110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</si>
  <si>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儲值營收</t>
    </r>
  </si>
  <si>
    <t xml:space="preserve">S111</t>
  </si>
  <si>
    <t xml:space="preserve">海螺 Hailuo 訂閱營收</t>
  </si>
  <si>
    <t xml:space="preserve">S112</t>
  </si>
  <si>
    <t xml:space="preserve">海螺 Hailuo 儲值營收</t>
  </si>
  <si>
    <r>
      <rPr>
        <b val="true"/>
        <sz val="11"/>
        <rFont val="Cambria"/>
        <family val="0"/>
        <charset val="1"/>
      </rPr>
      <t xml:space="preserve">TK_Link — Tokenomics </t>
    </r>
    <r>
      <rPr>
        <b val="true"/>
        <sz val="11"/>
        <rFont val="Noto Sans CJK SC"/>
        <family val="2"/>
      </rPr>
      <t xml:space="preserve">快照（第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層；本模型不重算物理層）</t>
    </r>
  </si>
  <si>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｜檔名 </t>
    </r>
    <r>
      <rPr>
        <sz val="11"/>
        <color theme="1"/>
        <rFont val="Calibri"/>
        <family val="2"/>
        <charset val="1"/>
      </rPr>
      <t xml:space="preserve">20261022_Tokenomics_v19.0.xlsx</t>
    </r>
    <r>
      <rPr>
        <sz val="11"/>
        <color theme="1"/>
        <rFont val="Noto Sans CJK SC"/>
        <family val="2"/>
      </rPr>
      <t xml:space="preserve">｜提交 </t>
    </r>
    <r>
      <rPr>
        <sz val="11"/>
        <color theme="1"/>
        <rFont val="Calibri"/>
        <family val="2"/>
        <charset val="1"/>
      </rPr>
      <t xml:space="preserve">1916a06465bb0c7efed21383075f2ae098508e24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SHA-256 d1728705daaf19bfdfa7657b667f3617ac57d67a4c8e55404ac66522b970b9d8</t>
    </r>
    <r>
      <rPr>
        <sz val="11"/>
        <color theme="1"/>
        <rFont val="Noto Sans CJK SC"/>
        <family val="2"/>
      </rPr>
      <t xml:space="preserve">｜讀取日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（官方快照 </t>
    </r>
    <r>
      <rPr>
        <sz val="11"/>
        <color theme="1"/>
        <rFont val="Calibri"/>
        <family val="2"/>
        <charset val="1"/>
      </rPr>
      <t xml:space="preserve">tokenomics_snapshot_v19.0.json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scripts/tk_snapshot.py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具名範圍；基準成本情境）</t>
    </r>
  </si>
  <si>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名稱</t>
    </r>
  </si>
  <si>
    <t xml:space="preserve">世代</t>
  </si>
  <si>
    <t xml:space="preserve">說明</t>
  </si>
  <si>
    <t xml:space="preserve">TK01</t>
  </si>
  <si>
    <t xml:space="preserve">IF_TokGW_Luna</t>
  </si>
  <si>
    <t xml:space="preserve">Hopper H100</t>
  </si>
  <si>
    <t xml:space="preserve">每 GW 總產出（100% 利用率）：低層（Luna）</t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</si>
  <si>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</si>
  <si>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t xml:space="preserve">TK02</t>
  </si>
  <si>
    <t xml:space="preserve">GB200 NVL72</t>
  </si>
  <si>
    <t xml:space="preserve">TK03</t>
  </si>
  <si>
    <t xml:space="preserve">IF_TokGW_Sol</t>
  </si>
  <si>
    <t xml:space="preserve">每 GW 總產出（100% 利用率）：中層（Sol）</t>
  </si>
  <si>
    <t xml:space="preserve">TK04</t>
  </si>
  <si>
    <t xml:space="preserve">TK05</t>
  </si>
  <si>
    <t xml:space="preserve">VR200 NVL72</t>
  </si>
  <si>
    <t xml:space="preserve">每 GW 總產出（100% 利用率）：中層（Sol；VR 等值換算基準）</t>
  </si>
  <si>
    <t xml:space="preserve">TK06</t>
  </si>
  <si>
    <t xml:space="preserve">IF_Util</t>
  </si>
  <si>
    <t xml:space="preserve">基準利用率（第 0 層；下游可覆寫）</t>
  </si>
  <si>
    <t xml:space="preserve">TK07</t>
  </si>
  <si>
    <t xml:space="preserve">IF_HoldEcon</t>
  </si>
  <si>
    <t xml:space="preserve">每 GW 年持有成本（經濟口徑；供應商參考）</t>
  </si>
  <si>
    <r>
      <rPr>
        <sz val="11"/>
        <color theme="1"/>
        <rFont val="Calibri"/>
        <family val="2"/>
        <charset val="1"/>
      </rPr>
      <t xml:space="preserve">$B/GW/</t>
    </r>
    <r>
      <rPr>
        <sz val="11"/>
        <color theme="1"/>
        <rFont val="Noto Sans CJK SC"/>
        <family val="2"/>
      </rPr>
      <t xml:space="preserve">年</t>
    </r>
  </si>
  <si>
    <t xml:space="preserve">TK08</t>
  </si>
  <si>
    <t xml:space="preserve">TK09</t>
  </si>
  <si>
    <t xml:space="preserve">IF_FullCost_Luna</t>
  </si>
  <si>
    <t xml:space="preserve">全成本 $/M（基準利用率）：低層</t>
  </si>
  <si>
    <t xml:space="preserve">TK10</t>
  </si>
  <si>
    <t xml:space="preserve">IF_FullCost_Sol</t>
  </si>
  <si>
    <t xml:space="preserve">全成本 $/M（基準利用率）：中層</t>
  </si>
  <si>
    <t xml:space="preserve">TK11</t>
  </si>
  <si>
    <t xml:space="preserve">TK12</t>
  </si>
  <si>
    <r>
      <rPr>
        <b val="true"/>
        <sz val="11"/>
        <rFont val="Cambria"/>
        <family val="0"/>
        <charset val="1"/>
      </rPr>
      <t xml:space="preserve">IF_HoldEcon </t>
    </r>
    <r>
      <rPr>
        <b val="true"/>
        <sz val="11"/>
        <rFont val="Noto Sans CJK SC"/>
        <family val="2"/>
      </rPr>
      <t xml:space="preserve">全 </t>
    </r>
    <r>
      <rPr>
        <b val="true"/>
        <sz val="11"/>
        <rFont val="Cambria"/>
        <family val="0"/>
        <charset val="1"/>
      </rPr>
      <t xml:space="preserve">15 </t>
    </r>
    <r>
      <rPr>
        <b val="true"/>
        <sz val="11"/>
        <rFont val="Noto Sans CJK SC"/>
        <family val="2"/>
      </rPr>
      <t xml:space="preserve">欄</t>
    </r>
  </si>
  <si>
    <t xml:space="preserve">單位 $B/GW/年；換算 $M/MW/年數值相同（1 $B ÷ 1,000 MW ＝ $1M/MW）。本模型不引用 L1_HoldEconMW_*（單位疑義）</t>
  </si>
  <si>
    <t xml:space="preserve">成本情境</t>
  </si>
  <si>
    <r>
      <rPr>
        <b val="true"/>
        <sz val="11"/>
        <rFont val="Cambria"/>
        <family val="0"/>
        <charset val="1"/>
      </rPr>
      <t xml:space="preserve">$B/GW/</t>
    </r>
    <r>
      <rPr>
        <b val="true"/>
        <sz val="11"/>
        <rFont val="Noto Sans CJK SC"/>
        <family val="2"/>
      </rPr>
      <t xml:space="preserve">年（＝</t>
    </r>
    <r>
      <rPr>
        <b val="true"/>
        <sz val="11"/>
        <rFont val="Cambria"/>
        <family val="0"/>
        <charset val="1"/>
      </rPr>
      <t xml:space="preserve">$M/MW/</t>
    </r>
    <r>
      <rPr>
        <b val="true"/>
        <sz val="11"/>
        <rFont val="Noto Sans CJK SC"/>
        <family val="2"/>
      </rPr>
      <t xml:space="preserve">年）</t>
    </r>
  </si>
  <si>
    <t xml:space="preserve">低成本</t>
  </si>
  <si>
    <t xml:space="preserve">基準</t>
  </si>
  <si>
    <t xml:space="preserve">高成本</t>
  </si>
  <si>
    <t xml:space="preserve">GB300 NVL72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</si>
  <si>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</si>
  <si>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Inputs — </t>
    </r>
    <r>
      <rPr>
        <b val="true"/>
        <sz val="11"/>
        <rFont val="Noto Sans CJK SC"/>
        <family val="2"/>
      </rPr>
      <t xml:space="preserve">假設（藍字＝輸入；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一律附區間）</t>
    </r>
  </si>
  <si>
    <t xml:space="preserve">純量放 D 欄；逐年路徑放 D–I（2025–2030）。低／高：純量為數值（供敏感度），逐年為文字描述（敏感度頁以整列調整重算）。</t>
  </si>
  <si>
    <t xml:space="preserve">2025</t>
  </si>
  <si>
    <t xml:space="preserve">2029</t>
  </si>
  <si>
    <t xml:space="preserve">2030</t>
  </si>
  <si>
    <t xml:space="preserve">低</t>
  </si>
  <si>
    <t xml:space="preserve">高</t>
  </si>
  <si>
    <t xml:space="preserve">I01</t>
  </si>
  <si>
    <t xml:space="preserve">港幣兌美元</t>
  </si>
  <si>
    <t xml:space="preserve">HK$/$</t>
  </si>
  <si>
    <t xml:space="preserve">聯繫匯率區間</t>
  </si>
  <si>
    <t xml:space="preserve">I02</t>
  </si>
  <si>
    <t xml:space="preserve">每 MW 年合約價（雲端租用、IT 關鍵電力口徑）</t>
  </si>
  <si>
    <r>
      <rPr>
        <sz val="11"/>
        <color theme="1"/>
        <rFont val="Calibri"/>
        <family val="2"/>
        <charset val="1"/>
      </rPr>
      <t xml:space="preserve">$M/MW/</t>
    </r>
    <r>
      <rPr>
        <sz val="11"/>
        <color theme="1"/>
        <rFont val="Noto Sans CJK SC"/>
        <family val="2"/>
      </rPr>
      <t xml:space="preserve">年</t>
    </r>
  </si>
  <si>
    <t xml:space="preserve">Analogy</t>
  </si>
  <si>
    <t xml:space="preserve">同 OpenAI 模型 INP_229（$12B/GW/年）；中國 H800／H20 與國產晶片租價可能較低。Tokenomics Hopper 持有成本 9.7（TK07）為下限參考。v0.2：維持 12（D2 預設），Compute 第七節並列中國雲租價證據 ÷ TK 持有成本</t>
  </si>
  <si>
    <t xml:space="preserve">I03</t>
  </si>
  <si>
    <t xml:space="preserve">銷售成本中算力（推論雲端）占比</t>
  </si>
  <si>
    <t xml:space="preserve">公司稱銷售成本主要為推論雲端；未揭露金額</t>
  </si>
  <si>
    <t xml:space="preserve">I04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</si>
  <si>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層級組合：低層（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）占比（其餘＝中層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</si>
  <si>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啟用參數 </t>
    </r>
    <r>
      <rPr>
        <sz val="11"/>
        <color theme="1"/>
        <rFont val="Calibri"/>
        <family val="2"/>
        <charset val="1"/>
      </rPr>
      <t xml:space="preserve">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23B</t>
    </r>
    <r>
      <rPr>
        <sz val="11"/>
        <color theme="1"/>
        <rFont val="Noto Sans CJK SC"/>
        <family val="2"/>
      </rPr>
      <t xml:space="preserve">，牌價 </t>
    </r>
    <r>
      <rPr>
        <sz val="11"/>
        <color theme="1"/>
        <rFont val="Calibri"/>
        <family val="2"/>
        <charset val="1"/>
      </rPr>
      <t xml:space="preserve">$0.30/$1.20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Tokenomics Luna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$0.08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$1.6</t>
    </r>
    <r>
      <rPr>
        <sz val="11"/>
        <color theme="1"/>
        <rFont val="Noto Sans CJK SC"/>
        <family val="2"/>
      </rPr>
      <t xml:space="preserve">）之間</t>
    </r>
  </si>
  <si>
    <t xml:space="preserve">I05</t>
  </si>
  <si>
    <t xml:space="preserve">機隊組合：Hopper 級占比（其餘＝Blackwell 級，含國產 ASIC 等值）</t>
  </si>
  <si>
    <t xml:space="preserve">各年 −0.15</t>
  </si>
  <si>
    <t xml:space="preserve">各年 +0.15</t>
  </si>
  <si>
    <t xml:space="preserve">中國受出口管制，Hopper 級（H800／H20）汰換慢；海外雲可租 Blackwell。V1 比照 OpenAI 時變組合</t>
  </si>
  <si>
    <t xml:space="preserve">I06</t>
  </si>
  <si>
    <t xml:space="preserve">模型效率指數（同硬體每 MW token 產出，2025＝1）</t>
  </si>
  <si>
    <r>
      <rPr>
        <sz val="11"/>
        <color rgb="FF0000CC"/>
        <rFont val="Cambria"/>
        <family val="0"/>
        <charset val="1"/>
      </rPr>
      <t xml:space="preserve">2027 </t>
    </r>
    <r>
      <rPr>
        <sz val="11"/>
        <color rgb="FF0000CC"/>
        <rFont val="Noto Sans CJK SC"/>
        <family val="2"/>
      </rPr>
      <t xml:space="preserve">起年增 </t>
    </r>
    <r>
      <rPr>
        <sz val="11"/>
        <color rgb="FF0000CC"/>
        <rFont val="Cambria"/>
        <family val="0"/>
        <charset val="1"/>
      </rPr>
      <t xml:space="preserve">15%</t>
    </r>
  </si>
  <si>
    <r>
      <rPr>
        <sz val="11"/>
        <color rgb="FF0000CC"/>
        <rFont val="Cambria"/>
        <family val="0"/>
        <charset val="1"/>
      </rPr>
      <t xml:space="preserve">2027 </t>
    </r>
    <r>
      <rPr>
        <sz val="11"/>
        <color rgb="FF0000CC"/>
        <rFont val="Noto Sans CJK SC"/>
        <family val="2"/>
      </rPr>
      <t xml:space="preserve">起年增 </t>
    </r>
    <r>
      <rPr>
        <sz val="11"/>
        <color rgb="FF0000CC"/>
        <rFont val="Cambria"/>
        <family val="0"/>
        <charset val="1"/>
      </rPr>
      <t xml:space="preserve">50%</t>
    </r>
  </si>
  <si>
    <t xml:space="preserve">公司：M3 長上下文每 token 算力為前代 1/20；文字模型單位吞吐兩個月三倍。η 於 2026 以實際支出重新校準，2026 值相互抵銷；有作用的是 2027 起相對 2026 的年增（基準 30%）</t>
  </si>
  <si>
    <t xml:space="preserve">I07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</si>
  <si>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綜合實收單價（含快取、訂閱方案）</t>
    </r>
  </si>
  <si>
    <r>
      <rPr>
        <sz val="11"/>
        <color rgb="FF0000CC"/>
        <rFont val="Cambria"/>
        <family val="0"/>
        <charset val="1"/>
      </rPr>
      <t xml:space="preserve">2025 0.25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2026 0.12</t>
    </r>
  </si>
  <si>
    <r>
      <rPr>
        <sz val="11"/>
        <color rgb="FF0000CC"/>
        <rFont val="Cambria"/>
        <family val="0"/>
        <charset val="1"/>
      </rPr>
      <t xml:space="preserve">2025 0.60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2026 0.35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</si>
  <si>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Text-01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M1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$0.2–0.4 </t>
    </r>
    <r>
      <rPr>
        <sz val="11"/>
        <color theme="1"/>
        <rFont val="Noto Sans CJK SC"/>
        <family val="2"/>
      </rPr>
      <t xml:space="preserve">輸入、</t>
    </r>
    <r>
      <rPr>
        <sz val="11"/>
        <color theme="1"/>
        <rFont val="Calibri"/>
        <family val="2"/>
        <charset val="1"/>
      </rPr>
      <t xml:space="preserve">$1.1–2.2 </t>
    </r>
    <r>
      <rPr>
        <sz val="11"/>
        <color theme="1"/>
        <rFont val="Noto Sans CJK SC"/>
        <family val="2"/>
      </rPr>
      <t xml:space="preserve">輸出，混合後約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綜合 </t>
    </r>
    <r>
      <rPr>
        <sz val="11"/>
        <color theme="1"/>
        <rFont val="Calibri"/>
        <family val="2"/>
        <charset val="1"/>
      </rPr>
      <t xml:space="preserve">$0.22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S058</t>
    </r>
    <r>
      <rPr>
        <sz val="11"/>
        <color theme="1"/>
        <rFont val="Noto Sans CJK SC"/>
        <family val="2"/>
      </rPr>
      <t xml:space="preserve">，未見一手）。</t>
    </r>
    <r>
      <rPr>
        <sz val="11"/>
        <color theme="1"/>
        <rFont val="Calibri"/>
        <family val="2"/>
        <charset val="1"/>
      </rPr>
      <t xml:space="preserve">Token Plan </t>
    </r>
    <r>
      <rPr>
        <sz val="11"/>
        <color theme="1"/>
        <rFont val="Noto Sans CJK SC"/>
        <family val="2"/>
      </rPr>
      <t xml:space="preserve">滿用約 </t>
    </r>
    <r>
      <rPr>
        <sz val="11"/>
        <color theme="1"/>
        <rFont val="Calibri"/>
        <family val="2"/>
        <charset val="1"/>
      </rPr>
      <t xml:space="preserve">$0.012/M </t>
    </r>
    <r>
      <rPr>
        <sz val="11"/>
        <color theme="1"/>
        <rFont val="Noto Sans CJK SC"/>
        <family val="2"/>
      </rPr>
      <t xml:space="preserve">會拉低</t>
    </r>
  </si>
  <si>
    <t xml:space="preserve">I08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</si>
  <si>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</si>
  <si>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各年 −0.50</t>
  </si>
  <si>
    <t xml:space="preserve">各年 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</si>
  <si>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上半年中國大廠六次降價，下半年持平或回升（</t>
    </r>
    <r>
      <rPr>
        <sz val="11"/>
        <color theme="1"/>
        <rFont val="Calibri"/>
        <family val="2"/>
        <charset val="1"/>
      </rPr>
      <t xml:space="preserve">DeepSeek 8 </t>
    </r>
    <r>
      <rPr>
        <sz val="11"/>
        <color theme="1"/>
        <rFont val="Noto Sans CJK SC"/>
        <family val="2"/>
      </rPr>
      <t xml:space="preserve">月漲價）；基準仍假設逐年下降</t>
    </r>
  </si>
  <si>
    <t xml:space="preserve">I09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</si>
  <si>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量年增（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起；不含價格效果）</t>
    </r>
  </si>
  <si>
    <r>
      <rPr>
        <sz val="11"/>
        <color rgb="FF0000CC"/>
        <rFont val="Cambria"/>
        <family val="0"/>
        <charset val="1"/>
      </rPr>
      <t xml:space="preserve">0.8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0.3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0.2</t>
    </r>
  </si>
  <si>
    <r>
      <rPr>
        <sz val="11"/>
        <color rgb="FF0000CC"/>
        <rFont val="Cambria"/>
        <family val="0"/>
        <charset val="1"/>
      </rPr>
      <t xml:space="preserve">4.0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1.5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0.9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</si>
  <si>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份額由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9–10%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月跌出前十（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</t>
    </r>
  </si>
  <si>
    <t xml:space="preserve">I10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</si>
  <si>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下半年企業端（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）平均年化營收</t>
    </r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</si>
  <si>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年</t>
    </r>
  </si>
  <si>
    <t xml:space="preserve">錨：2026-08 ARR &gt;800 × B2B 80%＝640（S053×S054）；9 月同業降價、OpenRouter 份額下滑，基準略低於 640</t>
  </si>
  <si>
    <t xml:space="preserve">I11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</si>
  <si>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下半年消費端營收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</si>
  <si>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消費端年增 </t>
    </r>
    <r>
      <rPr>
        <sz val="11"/>
        <color theme="1"/>
        <rFont val="Calibri"/>
        <family val="2"/>
        <charset val="1"/>
      </rPr>
      <t xml:space="preserve">101%</t>
    </r>
  </si>
  <si>
    <t xml:space="preserve">I12</t>
  </si>
  <si>
    <t xml:space="preserve">消費端營收年增（2027 起）</t>
  </si>
  <si>
    <t xml:space="preserve">各年 ×0.5</t>
  </si>
  <si>
    <t xml:space="preserve">各年 ×1.5</t>
  </si>
  <si>
    <r>
      <rPr>
        <sz val="11"/>
        <color theme="1"/>
        <rFont val="Calibri"/>
        <family val="2"/>
        <charset val="1"/>
      </rPr>
      <t xml:space="preserve">Talkie 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MAU 32.9M</t>
    </r>
    <r>
      <rPr>
        <sz val="11"/>
        <color theme="1"/>
        <rFont val="Noto Sans CJK SC"/>
        <family val="2"/>
      </rPr>
      <t xml:space="preserve">（第三方）；影片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開源後消費訂閱競爭加劇</t>
    </r>
  </si>
  <si>
    <t xml:space="preserve">I13</t>
  </si>
  <si>
    <t xml:space="preserve">消費端算力成本 ÷ 消費端營收（2026 起）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</si>
  <si>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由財報推得（</t>
    </r>
    <r>
      <rPr>
        <sz val="11"/>
        <color theme="1"/>
        <rFont val="Calibri"/>
        <family val="2"/>
        <charset val="1"/>
      </rPr>
      <t xml:space="preserve">Compute C12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消費端毛利率約 </t>
    </r>
    <r>
      <rPr>
        <sz val="11"/>
        <color theme="1"/>
        <rFont val="Calibri"/>
        <family val="2"/>
        <charset val="1"/>
      </rPr>
      <t xml:space="preserve">5%</t>
    </r>
  </si>
  <si>
    <t xml:space="preserve">I14</t>
  </si>
  <si>
    <t xml:space="preserve">其他銷售成本（非算力）占營收（2026 起）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</si>
  <si>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由財報推得</t>
    </r>
  </si>
  <si>
    <t xml:space="preserve">I15</t>
  </si>
  <si>
    <t xml:space="preserve">員工福利中研發人員占比（推 1H26 研發算力）</t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</si>
  <si>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研發人員占 </t>
    </r>
    <r>
      <rPr>
        <sz val="11"/>
        <color theme="1"/>
        <rFont val="Calibri"/>
        <family val="2"/>
        <charset val="1"/>
      </rPr>
      <t xml:space="preserve">73.8%</t>
    </r>
    <r>
      <rPr>
        <sz val="11"/>
        <color theme="1"/>
        <rFont val="Noto Sans CJK SC"/>
        <family val="2"/>
      </rPr>
      <t xml:space="preserve">（招股書，二手）</t>
    </r>
  </si>
  <si>
    <t xml:space="preserve">I16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</si>
  <si>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下半年訓練算力支出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</si>
  <si>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月募資約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用於算力與模型研發；</t>
    </r>
    <r>
      <rPr>
        <sz val="11"/>
        <color theme="1"/>
        <rFont val="Calibri"/>
        <family val="2"/>
        <charset val="1"/>
      </rPr>
      <t xml:space="preserve">M3 Pro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3T </t>
    </r>
    <r>
      <rPr>
        <sz val="11"/>
        <color theme="1"/>
        <rFont val="Noto Sans CJK SC"/>
        <family val="2"/>
      </rPr>
      <t xml:space="preserve">參數）在研</t>
    </r>
  </si>
  <si>
    <t xml:space="preserve">I17</t>
  </si>
  <si>
    <t xml:space="preserve">訓練 MW 年增（2027 起）</t>
  </si>
  <si>
    <t xml:space="preserve">公司路線：3T → 10T 參數；阿里雲上限 2026–28 年增約 33%／25%</t>
  </si>
  <si>
    <t xml:space="preserve">I18</t>
  </si>
  <si>
    <t xml:space="preserve">平均員工數</t>
  </si>
  <si>
    <t xml:space="preserve">各年 ×0.8</t>
  </si>
  <si>
    <t xml:space="preserve">各年 ×1.3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</si>
  <si>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底 </t>
    </r>
    <r>
      <rPr>
        <sz val="11"/>
        <color theme="1"/>
        <rFont val="Calibri"/>
        <family val="2"/>
        <charset val="1"/>
      </rPr>
      <t xml:space="preserve">428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2026-06 568</t>
    </r>
  </si>
  <si>
    <t xml:space="preserve">I19</t>
  </si>
  <si>
    <t xml:space="preserve">每人年人事成本年增（2027 起；含 SBC）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</si>
  <si>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每人成本由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推得</t>
    </r>
  </si>
  <si>
    <t xml:space="preserve">I20</t>
  </si>
  <si>
    <t xml:space="preserve">其他營業費用（非人事、非算力：行銷、行政、上市費）占營收（2026 起）</t>
  </si>
  <si>
    <t xml:space="preserve">各年 ×0.7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</si>
  <si>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（推得）；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（推得）</t>
    </r>
  </si>
  <si>
    <t xml:space="preserve">I21</t>
  </si>
  <si>
    <t xml:space="preserve">現金收益率（利息與理財）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</si>
  <si>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40.4 ÷ </t>
    </r>
    <r>
      <rPr>
        <sz val="11"/>
        <color theme="1"/>
        <rFont val="Noto Sans CJK SC"/>
        <family val="2"/>
      </rPr>
      <t xml:space="preserve">平均現金約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（含公允價值收益）</t>
    </r>
  </si>
  <si>
    <t xml:space="preserve">I22</t>
  </si>
  <si>
    <t xml:space="preserve">算力預付與自建資本支出（超出 P&amp;L 算力費用的現金時差）</t>
  </si>
  <si>
    <r>
      <rPr>
        <sz val="11"/>
        <color rgb="FF0000CC"/>
        <rFont val="Cambria"/>
        <family val="0"/>
        <charset val="1"/>
      </rPr>
      <t xml:space="preserve">2026 322</t>
    </r>
    <r>
      <rPr>
        <sz val="11"/>
        <color rgb="FF0000CC"/>
        <rFont val="Noto Sans CJK SC"/>
        <family val="2"/>
      </rPr>
      <t xml:space="preserve">、其後 </t>
    </r>
    <r>
      <rPr>
        <sz val="11"/>
        <color rgb="FF0000CC"/>
        <rFont val="Cambria"/>
        <family val="0"/>
        <charset val="1"/>
      </rPr>
      <t xml:space="preserve">0</t>
    </r>
  </si>
  <si>
    <r>
      <rPr>
        <sz val="11"/>
        <color rgb="FF0000CC"/>
        <rFont val="Cambria"/>
        <family val="0"/>
        <charset val="1"/>
      </rPr>
      <t xml:space="preserve">2026 700</t>
    </r>
    <r>
      <rPr>
        <sz val="11"/>
        <color rgb="FF0000CC"/>
        <rFont val="Noto Sans CJK SC"/>
        <family val="2"/>
      </rPr>
      <t xml:space="preserve">、其後每年 </t>
    </r>
    <r>
      <rPr>
        <sz val="11"/>
        <color rgb="FF0000CC"/>
        <rFont val="Cambria"/>
        <family val="0"/>
        <charset val="1"/>
      </rPr>
      <t xml:space="preserve">300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</si>
  <si>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物業廠房設備＋預付款增加（</t>
    </r>
    <r>
      <rPr>
        <sz val="11"/>
        <color theme="1"/>
        <rFont val="Calibri"/>
        <family val="2"/>
        <charset val="1"/>
      </rPr>
      <t xml:space="preserve">S050−S049</t>
    </r>
    <r>
      <rPr>
        <sz val="11"/>
        <color theme="1"/>
        <rFont val="Noto Sans CJK SC"/>
        <family val="2"/>
      </rPr>
      <t xml:space="preserve">）；公司稱自控核心集群即將上線</t>
    </r>
  </si>
  <si>
    <t xml:space="preserve">I23</t>
  </si>
  <si>
    <t xml:space="preserve">可轉債到期轉股機率（其餘以現金贖回）</t>
  </si>
  <si>
    <t xml:space="preserve">轉換價 HK$335 高於 10-21 推算收盤價 HK$171.9（S078），為其 1.9 倍</t>
  </si>
  <si>
    <t xml:space="preserve">I24</t>
  </si>
  <si>
    <t xml:space="preserve">最低現金水位</t>
  </si>
  <si>
    <t xml:space="preserve">約一季燒錢</t>
  </si>
  <si>
    <t xml:space="preserve">I25</t>
  </si>
  <si>
    <t xml:space="preserve">新股發行折價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</si>
  <si>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配售折價 </t>
    </r>
    <r>
      <rPr>
        <sz val="11"/>
        <color theme="1"/>
        <rFont val="Calibri"/>
        <family val="2"/>
        <charset val="1"/>
      </rPr>
      <t xml:space="preserve">9.89%</t>
    </r>
  </si>
  <si>
    <t xml:space="preserve">I26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</si>
  <si>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級每張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電力（含網路、儲存）</t>
    </r>
  </si>
  <si>
    <t xml:space="preserve">kW</t>
  </si>
  <si>
    <t xml:space="preserve">只用於 GPU 等值換算（顯示用）</t>
  </si>
  <si>
    <t xml:space="preserve">I29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</si>
  <si>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推論效率相對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校準值的改善</t>
    </r>
  </si>
  <si>
    <t xml:space="preserve">公司：M3.1 推論成本約 M3 首發的 1/3、下半年文字毛利率改善；基準只採一部分</t>
  </si>
  <si>
    <t xml:space="preserve">I30</t>
  </si>
  <si>
    <r>
      <rPr>
        <sz val="11"/>
        <color theme="1"/>
        <rFont val="Calibri"/>
        <family val="2"/>
        <charset val="1"/>
      </rPr>
      <t xml:space="preserve">M3.1 Flash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的牌價降幅（輸入、輸出同為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，快取 −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起）</t>
    </r>
  </si>
  <si>
    <t xml:space="preserve">觀測值：M3 0.30／1.20 → M3.1 Flash 0.15／0.60（S101、S098、S099）；公司稱 Agent 任務成本 −70%。Checks K11 驗證與 SRC 一致。規格 D8：只更新已觀測年份，不改機制</t>
  </si>
  <si>
    <t xml:space="preserve">I31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</si>
  <si>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流量中以 </t>
    </r>
    <r>
      <rPr>
        <sz val="11"/>
        <color theme="1"/>
        <rFont val="Calibri"/>
        <family val="2"/>
        <charset val="1"/>
      </rPr>
      <t xml:space="preserve">M3.1 Flash </t>
    </r>
    <r>
      <rPr>
        <sz val="11"/>
        <color theme="1"/>
        <rFont val="Noto Sans CJK SC"/>
        <family val="2"/>
      </rPr>
      <t xml:space="preserve">牌價計價的比例（上架日起的時間占比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遷移率）</t>
    </r>
  </si>
  <si>
    <r>
      <rPr>
        <sz val="11"/>
        <color theme="1"/>
        <rFont val="Calibri"/>
        <family val="2"/>
        <charset val="1"/>
      </rPr>
      <t xml:space="preserve">10-19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73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184 </t>
    </r>
    <r>
      <rPr>
        <sz val="11"/>
        <color theme="1"/>
        <rFont val="Noto Sans CJK SC"/>
        <family val="2"/>
      </rPr>
      <t xml:space="preserve">天＝</t>
    </r>
    <r>
      <rPr>
        <sz val="11"/>
        <color theme="1"/>
        <rFont val="Calibri"/>
        <family val="2"/>
        <charset val="1"/>
      </rPr>
      <t xml:space="preserve">0.40</t>
    </r>
    <r>
      <rPr>
        <sz val="11"/>
        <color theme="1"/>
        <rFont val="Noto Sans CJK SC"/>
        <family val="2"/>
      </rPr>
      <t xml:space="preserve">，乘遷移率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行為；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＝下半年全面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。流量遷移與是否另有新用量（價格彈性）皆無資料</t>
    </r>
  </si>
  <si>
    <t xml:space="preserve">I34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</si>
  <si>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流量占全年的權重（全年平均單價的下半年權重）</t>
    </r>
  </si>
  <si>
    <t xml:space="preserve">Decision</t>
  </si>
  <si>
    <t xml:space="preserve">簡化：上下半年等量平均（原寫死於 D01 公式的 0.5，2026-10-22 獨立查核 #2 移入 Inputs）；以營收加權約 0.6–0.7（下半年企業端年化較高），區間上緣 0.75</t>
  </si>
  <si>
    <t xml:space="preserve">I33</t>
  </si>
  <si>
    <r>
      <rPr>
        <sz val="11"/>
        <color theme="1"/>
        <rFont val="Calibri"/>
        <family val="2"/>
        <charset val="1"/>
      </rPr>
      <t xml:space="preserve">SMM </t>
    </r>
    <r>
      <rPr>
        <sz val="11"/>
        <color theme="1"/>
        <rFont val="Noto Sans CJK SC"/>
        <family val="2"/>
      </rPr>
      <t xml:space="preserve">租價報價的卡數口徑（每筆月租對應幾張卡）</t>
    </r>
  </si>
  <si>
    <t xml:space="preserve">張</t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</si>
  <si>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SMM </t>
    </r>
    <r>
      <rPr>
        <sz val="11"/>
        <color theme="1"/>
        <rFont val="Noto Sans CJK SC"/>
        <family val="2"/>
      </rPr>
      <t xml:space="preserve">文內同時出現「</t>
    </r>
    <r>
      <rPr>
        <sz val="11"/>
        <color theme="1"/>
        <rFont val="Calibri"/>
        <family val="2"/>
        <charset val="1"/>
      </rPr>
      <t xml:space="preserve">2 units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8-card servers</t>
    </r>
    <r>
      <rPr>
        <sz val="11"/>
        <color theme="1"/>
        <rFont val="Noto Sans CJK SC"/>
        <family val="2"/>
      </rPr>
      <t xml:space="preserve">」，口徑不明；取整機（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卡）。若實為單卡，每卡時價高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結論翻轉</t>
    </r>
  </si>
  <si>
    <t xml:space="preserve">I27</t>
  </si>
  <si>
    <t xml:space="preserve">反向檢驗：2030 年 EV/營收 退出倍數</t>
  </si>
  <si>
    <t xml:space="preserve">軟體／AI 平台高成長倍數</t>
  </si>
  <si>
    <t xml:space="preserve">I28</t>
  </si>
  <si>
    <t xml:space="preserve">反向檢驗：股權折現率</t>
  </si>
  <si>
    <r>
      <rPr>
        <b val="true"/>
        <sz val="12"/>
        <rFont val="Cambria"/>
        <family val="0"/>
        <charset val="1"/>
      </rPr>
      <t xml:space="preserve">Demand — </t>
    </r>
    <r>
      <rPr>
        <b val="true"/>
        <sz val="12"/>
        <rFont val="Noto Sans CJK SC"/>
        <family val="2"/>
      </rPr>
      <t xml:space="preserve">需求：</t>
    </r>
    <r>
      <rPr>
        <b val="true"/>
        <sz val="12"/>
        <rFont val="Cambria"/>
        <family val="0"/>
        <charset val="1"/>
      </rPr>
      <t xml:space="preserve">API </t>
    </r>
    <r>
      <rPr>
        <b val="true"/>
        <sz val="12"/>
        <rFont val="Noto Sans CJK SC"/>
        <family val="2"/>
      </rPr>
      <t xml:space="preserve">單價與 </t>
    </r>
    <r>
      <rPr>
        <b val="true"/>
        <sz val="12"/>
        <rFont val="Cambria"/>
        <family val="0"/>
        <charset val="1"/>
      </rPr>
      <t xml:space="preserve">token </t>
    </r>
    <r>
      <rPr>
        <b val="true"/>
        <sz val="12"/>
        <rFont val="Noto Sans CJK SC"/>
        <family val="2"/>
      </rPr>
      <t xml:space="preserve">量</t>
    </r>
  </si>
  <si>
    <t xml:space="preserve">單位：$M＝百萬美元；MW＝IT 關鍵電力；T＝10^12 token。2025＝實際校準年；2026＝上半年實際＋下半年推估。黑字＝公式；綠字＝引用其他頁。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</si>
  <si>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</si>
  <si>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</si>
  <si>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</si>
  <si>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</si>
  <si>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</si>
  <si>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年度</t>
  </si>
  <si>
    <t xml:space="preserve">一、API 綜合實收單價（$/M tokens）</t>
  </si>
  <si>
    <t xml:space="preserve">D01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</si>
  <si>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</si>
  <si>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Inputs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＝全年平均（上半年 </t>
    </r>
    <r>
      <rPr>
        <sz val="11"/>
        <color theme="1"/>
        <rFont val="Calibri"/>
        <family val="2"/>
        <charset val="1"/>
      </rPr>
      <t xml:space="preserve">I07</t>
    </r>
    <r>
      <rPr>
        <sz val="11"/>
        <color theme="1"/>
        <rFont val="Noto Sans CJK SC"/>
        <family val="2"/>
      </rPr>
      <t xml:space="preserve">、下半年見 </t>
    </r>
    <r>
      <rPr>
        <sz val="11"/>
        <color theme="1"/>
        <rFont val="Calibri"/>
        <family val="2"/>
        <charset val="1"/>
      </rPr>
      <t xml:space="preserve">D09</t>
    </r>
    <r>
      <rPr>
        <sz val="11"/>
        <color theme="1"/>
        <rFont val="Noto Sans CJK SC"/>
        <family val="2"/>
      </rPr>
      <t xml:space="preserve">，下半年權重 </t>
    </r>
    <r>
      <rPr>
        <sz val="11"/>
        <color theme="1"/>
        <rFont val="Calibri"/>
        <family val="2"/>
        <charset val="1"/>
      </rPr>
      <t xml:space="preserve">I34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時同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起逐年變動</t>
    </r>
  </si>
  <si>
    <t xml:space="preserve">D02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</si>
  <si>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單價年變動</t>
    </r>
  </si>
  <si>
    <t xml:space="preserve">二、API 計費 token 量（2025、2026 由營收與單價推得＝校準年；2027 起需求成長）</t>
  </si>
  <si>
    <t xml:space="preserve">D03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</si>
  <si>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</si>
  <si>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T/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</si>
  <si>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$M ÷ $/M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；單位換算：</t>
    </r>
    <r>
      <rPr>
        <sz val="11"/>
        <color theme="1"/>
        <rFont val="Calibri"/>
        <family val="2"/>
        <charset val="1"/>
      </rPr>
      <t xml:space="preserve">$M/($/M)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10^12 token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</t>
    </r>
  </si>
  <si>
    <t xml:space="preserve">D04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</si>
  <si>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（每日）</t>
    </r>
  </si>
  <si>
    <r>
      <rPr>
        <sz val="11"/>
        <color theme="1"/>
        <rFont val="Calibri"/>
        <family val="2"/>
        <charset val="1"/>
      </rPr>
      <t xml:space="preserve">T/</t>
    </r>
    <r>
      <rPr>
        <sz val="11"/>
        <color theme="1"/>
        <rFont val="Noto Sans CJK SC"/>
        <family val="2"/>
      </rPr>
      <t xml:space="preserve">日</t>
    </r>
  </si>
  <si>
    <t xml:space="preserve">D05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</si>
  <si>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年增</t>
    </r>
  </si>
  <si>
    <t xml:space="preserve">D09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</si>
  <si>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綜合實收單價（含 </t>
    </r>
    <r>
      <rPr>
        <sz val="11"/>
        <color theme="1"/>
        <rFont val="Calibri"/>
        <family val="2"/>
        <charset val="1"/>
      </rPr>
      <t xml:space="preserve">M3.1 Flash </t>
    </r>
    <r>
      <rPr>
        <sz val="11"/>
        <color theme="1"/>
        <rFont val="Noto Sans CJK SC"/>
        <family val="2"/>
      </rPr>
      <t xml:space="preserve">降價的已觀測部分）</t>
    </r>
  </si>
  <si>
    <r>
      <rPr>
        <sz val="11"/>
        <color theme="1"/>
        <rFont val="Calibri"/>
        <family val="2"/>
        <charset val="1"/>
      </rPr>
      <t xml:space="preserve">D8</t>
    </r>
    <r>
      <rPr>
        <sz val="11"/>
        <color theme="1"/>
        <rFont val="Noto Sans CJK SC"/>
        <family val="2"/>
      </rPr>
      <t xml:space="preserve">：只更新已觀測年份。</t>
    </r>
    <r>
      <rPr>
        <sz val="11"/>
        <color theme="1"/>
        <rFont val="Calibri"/>
        <family val="2"/>
        <charset val="1"/>
      </rPr>
      <t xml:space="preserve">I07 </t>
    </r>
    <r>
      <rPr>
        <sz val="11"/>
        <color theme="1"/>
        <rFont val="Noto Sans CJK SC"/>
        <family val="2"/>
      </rPr>
      <t xml:space="preserve">為上半年（降價前）校準價；下半年＝</t>
    </r>
    <r>
      <rPr>
        <sz val="11"/>
        <color theme="1"/>
        <rFont val="Calibri"/>
        <family val="2"/>
        <charset val="1"/>
      </rPr>
      <t xml:space="preserve">I07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降幅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新價流量占比）</t>
    </r>
  </si>
  <si>
    <t xml:space="preserve">三、對照（只列差距，不校準）</t>
  </si>
  <si>
    <t xml:space="preserve">D06</t>
  </si>
  <si>
    <r>
      <rPr>
        <sz val="11"/>
        <color theme="1"/>
        <rFont val="Calibri"/>
        <family val="2"/>
        <charset val="1"/>
      </rPr>
      <t xml:space="preserve">2026 ÷ 2025 token </t>
    </r>
    <r>
      <rPr>
        <sz val="11"/>
        <color theme="1"/>
        <rFont val="Noto Sans CJK SC"/>
        <family val="2"/>
      </rPr>
      <t xml:space="preserve">倍數（模型）</t>
    </r>
  </si>
  <si>
    <t xml:space="preserve">D07</t>
  </si>
  <si>
    <t xml:space="preserve">對照：公司稱 2026-07 ÷ 2026-01 token 倍數（S055）</t>
  </si>
  <si>
    <t xml:space="preserve">月度時點 vs 年度平均，口徑不同</t>
  </si>
  <si>
    <t xml:space="preserve">D08</t>
  </si>
  <si>
    <t xml:space="preserve">對照：2026 下半年企業端 ARR 錨（S053 × S054）</t>
  </si>
  <si>
    <r>
      <rPr>
        <b val="true"/>
        <sz val="12"/>
        <rFont val="Cambria"/>
        <family val="0"/>
        <charset val="1"/>
      </rPr>
      <t xml:space="preserve">Revenue — </t>
    </r>
    <r>
      <rPr>
        <b val="true"/>
        <sz val="12"/>
        <rFont val="Noto Sans CJK SC"/>
        <family val="2"/>
      </rPr>
      <t xml:space="preserve">營收：企業端（</t>
    </r>
    <r>
      <rPr>
        <b val="true"/>
        <sz val="12"/>
        <rFont val="Cambria"/>
        <family val="0"/>
        <charset val="1"/>
      </rPr>
      <t xml:space="preserve">API</t>
    </r>
    <r>
      <rPr>
        <b val="true"/>
        <sz val="12"/>
        <rFont val="Noto Sans CJK SC"/>
        <family val="2"/>
      </rPr>
      <t xml:space="preserve">）與消費端</t>
    </r>
  </si>
  <si>
    <t xml:space="preserve">一、企業端：開放平台及企業服務（API、Coding／Token／M Plan）</t>
  </si>
  <si>
    <t xml:space="preserve">R01</t>
  </si>
  <si>
    <t xml:space="preserve">企業端營收（API）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</si>
  <si>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＝上半年實際＋下半年年化 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單價</t>
    </r>
  </si>
  <si>
    <t xml:space="preserve">二、消費端：AI 原生產品（Talkie／星野、海螺、Agent、Audio）</t>
  </si>
  <si>
    <t xml:space="preserve">R02</t>
  </si>
  <si>
    <t xml:space="preserve">消費端營收</t>
  </si>
  <si>
    <t xml:space="preserve">R03</t>
  </si>
  <si>
    <t xml:space="preserve">  其中 Talkie／星野（依 9M25 結構）</t>
  </si>
  <si>
    <t xml:space="preserve">產品別 2025 後未揭露；僅示意</t>
  </si>
  <si>
    <t xml:space="preserve">R04</t>
  </si>
  <si>
    <t xml:space="preserve">  其中 海螺 Hailuo（依 9M25 結構）</t>
  </si>
  <si>
    <t xml:space="preserve">R05</t>
  </si>
  <si>
    <t xml:space="preserve">  其中 Audio＋App／Agent（依 9M25 結構）</t>
  </si>
  <si>
    <t xml:space="preserve">R06</t>
  </si>
  <si>
    <t xml:space="preserve">  其中 廣告（依 9M25 結構）</t>
  </si>
  <si>
    <t xml:space="preserve">收費方式別 2025 後未揭露</t>
  </si>
  <si>
    <t xml:space="preserve">R07</t>
  </si>
  <si>
    <t xml:space="preserve">  其中 訂閱（依 9M25 結構）</t>
  </si>
  <si>
    <t xml:space="preserve">方案別（Standard／Pro 等）未揭露</t>
  </si>
  <si>
    <t xml:space="preserve">R08</t>
  </si>
  <si>
    <t xml:space="preserve">  其中 儲值（依 9M25 結構）</t>
  </si>
  <si>
    <t xml:space="preserve">三、總額</t>
  </si>
  <si>
    <t xml:space="preserve">R09</t>
  </si>
  <si>
    <t xml:space="preserve">總營收</t>
  </si>
  <si>
    <t xml:space="preserve">R10</t>
  </si>
  <si>
    <t xml:space="preserve">總營收年增</t>
  </si>
  <si>
    <t xml:space="preserve">R11</t>
  </si>
  <si>
    <t xml:space="preserve">企業端占比</t>
  </si>
  <si>
    <t xml:space="preserve">R12</t>
  </si>
  <si>
    <t xml:space="preserve">檢查：2025 模型總額 − 實際營收（應為 0）</t>
  </si>
  <si>
    <t xml:space="preserve">四、對照市場（只對照，不校準；皆 Interested-party）</t>
  </si>
  <si>
    <t xml:space="preserve">R13</t>
  </si>
  <si>
    <t xml:space="preserve">對照：賣方預估營收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</si>
  <si>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共識平均；</t>
    </r>
    <r>
      <rPr>
        <sz val="11"/>
        <color theme="1"/>
        <rFont val="Calibri"/>
        <family val="2"/>
        <charset val="1"/>
      </rPr>
      <t xml:space="preserve">2027–28 Goldman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Visible Alpha</t>
    </r>
  </si>
  <si>
    <t xml:space="preserve">R14</t>
  </si>
  <si>
    <t xml:space="preserve">模型 ÷ 賣方預估</t>
  </si>
  <si>
    <t xml:space="preserve">R15</t>
  </si>
  <si>
    <t xml:space="preserve">對照：Bloomberg 共識（另一獨立點；S062 與 Yahoo 同源）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</si>
  <si>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分歧：</t>
    </r>
    <r>
      <rPr>
        <sz val="11"/>
        <color theme="1"/>
        <rFont val="Calibri"/>
        <family val="2"/>
        <charset val="1"/>
      </rPr>
      <t xml:space="preserve">452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363.8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</si>
  <si>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R16</t>
  </si>
  <si>
    <t xml:space="preserve">模型 ÷ Bloomberg 共識</t>
  </si>
  <si>
    <t xml:space="preserve">R17</t>
  </si>
  <si>
    <t xml:space="preserve">對照：2027 共識（Yahoo 24 位）</t>
  </si>
  <si>
    <t xml:space="preserve">R18</t>
  </si>
  <si>
    <t xml:space="preserve">對照：2027 共識（stockanalysis／S&amp;P）</t>
  </si>
  <si>
    <t xml:space="preserve">R19</t>
  </si>
  <si>
    <t xml:space="preserve">模型 ÷ 2027 共識平均</t>
  </si>
  <si>
    <t xml:space="preserve">共識只作對照，不反推參數</t>
  </si>
  <si>
    <t xml:space="preserve">R20</t>
  </si>
  <si>
    <t xml:space="preserve">對照：1H26 已實現營收占 Bloomberg 全年共識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</si>
  <si>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需達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的倍數見 </t>
    </r>
    <r>
      <rPr>
        <sz val="11"/>
        <color theme="1"/>
        <rFont val="Calibri"/>
        <family val="2"/>
        <charset val="1"/>
      </rPr>
      <t xml:space="preserve">R21</t>
    </r>
  </si>
  <si>
    <t xml:space="preserve">R21</t>
  </si>
  <si>
    <t xml:space="preserve">對照：Bloomberg 共識隱含 2H26 ÷ 1H26</t>
  </si>
  <si>
    <t xml:space="preserve">五、消費端付費人數 × ARPPU 對照（工作單步驟 4；只有 9M25 有資料，不建驅動；欄位置 FY2025 代表 9M2025）</t>
  </si>
  <si>
    <t xml:space="preserve">R22</t>
  </si>
  <si>
    <t xml:space="preserve">對照：AI 原生產品付費用戶（9M25 期間，S074）</t>
  </si>
  <si>
    <t xml:space="preserve">公司一手</t>
  </si>
  <si>
    <t xml:space="preserve">R23</t>
  </si>
  <si>
    <t xml:space="preserve">對照：AI 原生 ARPPU＝(訂閱＋儲值) ÷ 付費用戶</t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</si>
  <si>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人</t>
    </r>
  </si>
  <si>
    <t xml:space="preserve">不含廣告；2026 無一手付費人數</t>
  </si>
  <si>
    <t xml:space="preserve">R24</t>
  </si>
  <si>
    <t xml:space="preserve">驗算：海螺 ARPPU＝(訂閱＋儲值) ÷ 付費用戶（S105）</t>
  </si>
  <si>
    <t xml:space="preserve">對照東吳引招股書 ARPPU 56（S106）</t>
  </si>
  <si>
    <t xml:space="preserve">R25</t>
  </si>
  <si>
    <t xml:space="preserve">驗算：Talkie／星野 ARPPU＝(訂閱＋儲值) ÷ 付費用戶（S107）</t>
  </si>
  <si>
    <t xml:space="preserve">對照 S108 約 5</t>
  </si>
  <si>
    <t xml:space="preserve">R26</t>
  </si>
  <si>
    <t xml:space="preserve">廣告占 Talkie／星野營收（付費人數 × ARPPU 不涵蓋的部分）</t>
  </si>
  <si>
    <t xml:space="preserve">R27</t>
  </si>
  <si>
    <t xml:space="preserve">消費端 2026 營收：模型 ÷ 1H26 實際年化</t>
  </si>
  <si>
    <t xml:space="preserve">未建付費人數驅動：缺 2026 一手付費人數與 ARPPU（資料缺口）</t>
  </si>
  <si>
    <r>
      <rPr>
        <b val="true"/>
        <sz val="12"/>
        <rFont val="Cambria"/>
        <family val="0"/>
        <charset val="1"/>
      </rPr>
      <t xml:space="preserve">Compute — </t>
    </r>
    <r>
      <rPr>
        <b val="true"/>
        <sz val="12"/>
        <rFont val="Noto Sans CJK SC"/>
        <family val="2"/>
      </rPr>
      <t xml:space="preserve">算力：</t>
    </r>
    <r>
      <rPr>
        <b val="true"/>
        <sz val="12"/>
        <rFont val="Cambria"/>
        <family val="0"/>
        <charset val="1"/>
      </rPr>
      <t xml:space="preserve">token → MW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API</t>
    </r>
    <r>
      <rPr>
        <b val="true"/>
        <sz val="12"/>
        <rFont val="Noto Sans CJK SC"/>
        <family val="2"/>
      </rPr>
      <t xml:space="preserve">）、支出 → </t>
    </r>
    <r>
      <rPr>
        <b val="true"/>
        <sz val="12"/>
        <rFont val="Cambria"/>
        <family val="0"/>
        <charset val="1"/>
      </rPr>
      <t xml:space="preserve">MW</t>
    </r>
    <r>
      <rPr>
        <b val="true"/>
        <sz val="12"/>
        <rFont val="Noto Sans CJK SC"/>
        <family val="2"/>
      </rPr>
      <t xml:space="preserve">（消費端、訓練）</t>
    </r>
  </si>
  <si>
    <t xml:space="preserve">一、機隊組合與每 MW 產能（Tokenomics；M tok/GW/年 ÷ 10^9 ＝ T/MW/年）</t>
  </si>
  <si>
    <t xml:space="preserve">C01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</si>
  <si>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級占比</t>
    </r>
  </si>
  <si>
    <t xml:space="preserve">C02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</si>
  <si>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級占比</t>
    </r>
  </si>
  <si>
    <t xml:space="preserve">C03</t>
  </si>
  <si>
    <t xml:space="preserve">每 MW 年產能：低層（Luna；基準利用率）</t>
  </si>
  <si>
    <r>
      <rPr>
        <sz val="11"/>
        <color theme="1"/>
        <rFont val="Calibri"/>
        <family val="2"/>
        <charset val="1"/>
      </rPr>
      <t xml:space="preserve">T/MW/</t>
    </r>
    <r>
      <rPr>
        <sz val="11"/>
        <color theme="1"/>
        <rFont val="Noto Sans CJK SC"/>
        <family val="2"/>
      </rPr>
      <t xml:space="preserve">年</t>
    </r>
  </si>
  <si>
    <t xml:space="preserve">C04</t>
  </si>
  <si>
    <t xml:space="preserve">每 MW 年產能：中層（Sol；基準利用率）</t>
  </si>
  <si>
    <t xml:space="preserve">C05</t>
  </si>
  <si>
    <t xml:space="preserve">每 MW 年產能：MiniMax 層級組合</t>
  </si>
  <si>
    <t xml:space="preserve">C06</t>
  </si>
  <si>
    <t xml:space="preserve">模型效率指數</t>
  </si>
  <si>
    <t xml:space="preserve">C07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</si>
  <si>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換算，未除 </t>
    </r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Noto Sans CJK SC"/>
        <family val="2"/>
      </rPr>
      <t xml:space="preserve">）</t>
    </r>
  </si>
  <si>
    <t xml:space="preserve">MW</t>
  </si>
  <si>
    <t xml:space="preserve">二、V2 有效產出係數 η：以實際算力支出校準（2025 全年；2026 以上半年年化，為最新實際）</t>
  </si>
  <si>
    <t xml:space="preserve">C08</t>
  </si>
  <si>
    <t xml:space="preserve">校準期 API 算力支出（年化）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</si>
  <si>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1−9M25 </t>
    </r>
    <r>
      <rPr>
        <sz val="11"/>
        <color theme="1"/>
        <rFont val="Noto Sans CJK SC"/>
        <family val="2"/>
      </rPr>
      <t xml:space="preserve">分部毛利率）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算力占比；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算力占比 − 消費端算力）</t>
    </r>
    <r>
      <rPr>
        <sz val="11"/>
        <color theme="1"/>
        <rFont val="Calibri"/>
        <family val="2"/>
        <charset val="1"/>
      </rPr>
      <t xml:space="preserve">× 2</t>
    </r>
  </si>
  <si>
    <t xml:space="preserve">C09</t>
  </si>
  <si>
    <t xml:space="preserve">校準期 API 推論 MW（支出換算）</t>
  </si>
  <si>
    <t xml:space="preserve">C10</t>
  </si>
  <si>
    <t xml:space="preserve">校準期 API 推論 MW（token 換算）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</si>
  <si>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降價前單價（</t>
    </r>
    <r>
      <rPr>
        <sz val="11"/>
        <color theme="1"/>
        <rFont val="Calibri"/>
        <family val="2"/>
        <charset val="1"/>
      </rPr>
      <t xml:space="preserve">I07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2</t>
    </r>
  </si>
  <si>
    <t xml:space="preserve">C11</t>
  </si>
  <si>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支出換算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</si>
  <si>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&lt;1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實際產出的計費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少於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推算（訂閱方案低價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、免費額度、長上下文、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較大）</t>
    </r>
  </si>
  <si>
    <t xml:space="preserve">C12</t>
  </si>
  <si>
    <t xml:space="preserve">採用的 η（2026 上半年＝校準值；2026 下半年起 × I29）</t>
  </si>
  <si>
    <t xml:space="preserve">C13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</si>
  <si>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（有效；年均）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</si>
  <si>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＝上半年實際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與下半年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的平均</t>
    </r>
  </si>
  <si>
    <t xml:space="preserve">三、消費端推論 MW（支出換算；影片生成為主，token 口徑不適用）</t>
  </si>
  <si>
    <t xml:space="preserve">C14</t>
  </si>
  <si>
    <t xml:space="preserve">消費端算力成本 ÷ 消費端營收</t>
  </si>
  <si>
    <t xml:space="preserve">C15</t>
  </si>
  <si>
    <t xml:space="preserve">消費端算力支出</t>
  </si>
  <si>
    <t xml:space="preserve">C16</t>
  </si>
  <si>
    <t xml:space="preserve">消費端推論 MW</t>
  </si>
  <si>
    <t xml:space="preserve">四、訓練（研發）MW</t>
  </si>
  <si>
    <t xml:space="preserve">C17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</si>
  <si>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研發算力（推得）＝研發費用 − 員工福利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研發占比</t>
    </r>
  </si>
  <si>
    <t xml:space="preserve">C18</t>
  </si>
  <si>
    <t xml:space="preserve">訓練算力支出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</si>
  <si>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上半年推得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＋下半年倍數</t>
    </r>
    <r>
      <rPr>
        <sz val="11"/>
        <color theme="1"/>
        <rFont val="Calibri"/>
        <family val="2"/>
        <charset val="1"/>
      </rPr>
      <t xml:space="preserve">)</t>
    </r>
  </si>
  <si>
    <t xml:space="preserve">C19</t>
  </si>
  <si>
    <t xml:space="preserve">訓練 MW</t>
  </si>
  <si>
    <t xml:space="preserve">五、總 MW（年均）與 VR 等值</t>
  </si>
  <si>
    <t xml:space="preserve">C20</t>
  </si>
  <si>
    <t xml:space="preserve">推論 MW 合計（API＋消費端）</t>
  </si>
  <si>
    <t xml:space="preserve">C21</t>
  </si>
  <si>
    <t xml:space="preserve">總 MW</t>
  </si>
  <si>
    <t xml:space="preserve">C22</t>
  </si>
  <si>
    <t xml:space="preserve">訓練占總 MW</t>
  </si>
  <si>
    <t xml:space="preserve">C23</t>
  </si>
  <si>
    <t xml:space="preserve">機隊 VR200 等值係數（Sol 層級每 GW 產能比）</t>
  </si>
  <si>
    <t xml:space="preserve">C24</t>
  </si>
  <si>
    <t xml:space="preserve">總 MW（VR 等值）</t>
  </si>
  <si>
    <t xml:space="preserve">C25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</si>
  <si>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數（顯示用）</t>
    </r>
  </si>
  <si>
    <r>
      <rPr>
        <sz val="11"/>
        <color theme="1"/>
        <rFont val="Calibri"/>
        <family val="2"/>
        <charset val="1"/>
      </rPr>
      <t xml:space="preserve">MW × 1000 ÷ </t>
    </r>
    <r>
      <rPr>
        <sz val="11"/>
        <color theme="1"/>
        <rFont val="Noto Sans CJK SC"/>
        <family val="2"/>
      </rPr>
      <t xml:space="preserve">每張 </t>
    </r>
    <r>
      <rPr>
        <sz val="11"/>
        <color theme="1"/>
        <rFont val="Calibri"/>
        <family val="2"/>
        <charset val="1"/>
      </rPr>
      <t xml:space="preserve">kW</t>
    </r>
  </si>
  <si>
    <t xml:space="preserve">六、對照（只列差距）</t>
  </si>
  <si>
    <t xml:space="preserve">C26</t>
  </si>
  <si>
    <t xml:space="preserve">總算力支出（推論＋訓練）</t>
  </si>
  <si>
    <t xml:space="preserve">C27</t>
  </si>
  <si>
    <t xml:space="preserve">對照：阿里雲採購上限（S059–S061）</t>
  </si>
  <si>
    <t xml:space="preserve">阿里雲之外尚有其他中國及海外雲、自建集群</t>
  </si>
  <si>
    <t xml:space="preserve">C28</t>
  </si>
  <si>
    <t xml:space="preserve">阿里雲上限占總算力支出</t>
  </si>
  <si>
    <t xml:space="preserve">C29</t>
  </si>
  <si>
    <t xml:space="preserve">對照：Tokenomics Hopper 每 MW 年持有成本（供應商口徑）</t>
  </si>
  <si>
    <t xml:space="preserve">合約價 − 持有成本＝雲端毛利</t>
  </si>
  <si>
    <t xml:space="preserve">C30</t>
  </si>
  <si>
    <t xml:space="preserve">對照：每百萬 token API 推論成本（有效）</t>
  </si>
  <si>
    <t xml:space="preserve">與 TK 全成本 $/M（TK09–TK12）比較</t>
  </si>
  <si>
    <t xml:space="preserve">七、合約價檢查（規格 D2）：中國雲 GPU 租價證據 ÷ Tokenomics Hopper 持有成本（只並列，I02 基準不動）</t>
  </si>
  <si>
    <t xml:space="preserve">C31</t>
  </si>
  <si>
    <t xml:space="preserve">每 MW 可容納 Hopper 級 GPU 數（1,000 kW ÷ 每張 kW；Analogy，Tokenomics 官方 GPU／MW 不在快照）</t>
  </si>
  <si>
    <t xml:space="preserve">張/MW</t>
  </si>
  <si>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Noto Sans CJK SC"/>
        <family val="2"/>
      </rPr>
      <t xml:space="preserve">建議改用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官方值：快照無此名稱（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缺口）</t>
    </r>
  </si>
  <si>
    <t xml:space="preserve">C32</t>
  </si>
  <si>
    <t xml:space="preserve">證據價 A：AutoDL H800 單卡（口徑明確）</t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</si>
  <si>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卡時</t>
    </r>
  </si>
  <si>
    <t xml:space="preserve">期末中間價 S096</t>
  </si>
  <si>
    <t xml:space="preserve">C33</t>
  </si>
  <si>
    <t xml:space="preserve">證據價 B：SMM H20 96G 1 年約（整機 8 卡口徑）</t>
  </si>
  <si>
    <t xml:space="preserve">樣本 2 台、口徑不明（I33）</t>
  </si>
  <si>
    <t xml:space="preserve">C34</t>
  </si>
  <si>
    <t xml:space="preserve">證據價 C：SMM H100 80G 現貨</t>
  </si>
  <si>
    <t xml:space="preserve">現貨價，與多年合約口徑不同</t>
  </si>
  <si>
    <t xml:space="preserve">C35</t>
  </si>
  <si>
    <t xml:space="preserve">隱含每 MW 年租金：A（H800）</t>
  </si>
  <si>
    <t xml:space="preserve">每卡時 × 8,760 小時 × 每 MW 張數</t>
  </si>
  <si>
    <t xml:space="preserve">C36</t>
  </si>
  <si>
    <t xml:space="preserve">隱含每 MW 年租金：B（H20）</t>
  </si>
  <si>
    <t xml:space="preserve">C37</t>
  </si>
  <si>
    <t xml:space="preserve">隱含每 MW 年租金：C（H100）</t>
  </si>
  <si>
    <t xml:space="preserve">C38</t>
  </si>
  <si>
    <t xml:space="preserve">證據價 ÷ TK 持有成本：A（H800）</t>
  </si>
  <si>
    <t xml:space="preserve">＞1＝租價高於持有成本（含供應商毛利）</t>
  </si>
  <si>
    <t xml:space="preserve">C39</t>
  </si>
  <si>
    <t xml:space="preserve">證據價 ÷ TK 持有成本：B（H20）</t>
  </si>
  <si>
    <t xml:space="preserve">C40</t>
  </si>
  <si>
    <t xml:space="preserve">證據價 ÷ TK 持有成本：C（H100）</t>
  </si>
  <si>
    <t xml:space="preserve">C41</t>
  </si>
  <si>
    <t xml:space="preserve">對照：I02（合約價基準）÷ TK 持有成本</t>
  </si>
  <si>
    <t xml:space="preserve">12 ÷ TK07</t>
  </si>
  <si>
    <t xml:space="preserve">C42</t>
  </si>
  <si>
    <t xml:space="preserve">證據落在 I02 區間（8–20）外的個數（0–3）</t>
  </si>
  <si>
    <t xml:space="preserve">個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</si>
  <si>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規則：證據落在區間外才改基準。基準不動，影響由 </t>
    </r>
    <r>
      <rPr>
        <sz val="11"/>
        <color theme="1"/>
        <rFont val="Calibri"/>
        <family val="2"/>
        <charset val="1"/>
      </rPr>
      <t xml:space="preserve">Sensitivity </t>
    </r>
    <r>
      <rPr>
        <sz val="11"/>
        <color theme="1"/>
        <rFont val="Noto Sans CJK SC"/>
        <family val="2"/>
      </rPr>
      <t xml:space="preserve">頁「合約價 </t>
    </r>
    <r>
      <rPr>
        <sz val="11"/>
        <color theme="1"/>
        <rFont val="Calibri"/>
        <family val="2"/>
        <charset val="1"/>
      </rPr>
      <t xml:space="preserve">$5.5M</t>
    </r>
    <r>
      <rPr>
        <sz val="11"/>
        <color theme="1"/>
        <rFont val="Noto Sans CJK SC"/>
        <family val="2"/>
      </rPr>
      <t xml:space="preserve">」列呈現</t>
    </r>
  </si>
  <si>
    <t xml:space="preserve">八、η 對照（規格 D4）：只並列，不回饋</t>
  </si>
  <si>
    <t xml:space="preserve">C43</t>
  </si>
  <si>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Noto Sans CJK SC"/>
        <family val="2"/>
      </rPr>
      <t xml:space="preserve">（本模型總校準係數）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</si>
  <si>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</t>
    </r>
  </si>
  <si>
    <t xml:space="preserve">C44</t>
  </si>
  <si>
    <r>
      <rPr>
        <sz val="11"/>
        <color theme="1"/>
        <rFont val="Calibri"/>
        <family val="2"/>
        <charset val="1"/>
      </rPr>
      <t xml:space="preserve">η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推算的偏離（</t>
    </r>
    <r>
      <rPr>
        <sz val="11"/>
        <color theme="1"/>
        <rFont val="Calibri"/>
        <family val="2"/>
        <charset val="1"/>
      </rPr>
      <t xml:space="preserve">η−1</t>
    </r>
    <r>
      <rPr>
        <sz val="11"/>
        <color theme="1"/>
        <rFont val="Noto Sans CJK SC"/>
        <family val="2"/>
      </rPr>
      <t xml:space="preserve">；＜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實際計費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少於推算）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</si>
  <si>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服務端落差分解（</t>
    </r>
    <r>
      <rPr>
        <sz val="11"/>
        <color theme="1"/>
        <rFont val="Calibri"/>
        <family val="2"/>
        <charset val="1"/>
      </rPr>
      <t xml:space="preserve">L1_ </t>
    </r>
    <r>
      <rPr>
        <sz val="11"/>
        <color theme="1"/>
        <rFont val="Noto Sans CJK SC"/>
        <family val="2"/>
      </rPr>
      <t xml:space="preserve">開頭）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契約無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等義名稱 → 不引用、不回饋，列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缺口（</t>
    </r>
    <r>
      <rPr>
        <sz val="11"/>
        <color theme="1"/>
        <rFont val="Calibri"/>
        <family val="2"/>
        <charset val="1"/>
      </rPr>
      <t xml:space="preserve">OpenAI v0.6.2 </t>
    </r>
    <r>
      <rPr>
        <sz val="11"/>
        <color theme="1"/>
        <rFont val="Noto Sans CJK SC"/>
        <family val="2"/>
      </rPr>
      <t xml:space="preserve">交接檔同列：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L1_Ans3</t>
    </r>
    <r>
      <rPr>
        <sz val="11"/>
        <color theme="1"/>
        <rFont val="Noto Sans CJK SC"/>
        <family val="2"/>
      </rPr>
      <t xml:space="preserve">）</t>
    </r>
  </si>
  <si>
    <t xml:space="preserve">九、自建集群（規格 D3、工作單步驟 3）</t>
  </si>
  <si>
    <t xml:space="preserve">C45</t>
  </si>
  <si>
    <t xml:space="preserve">對照：1H26 物業廠房設備增額（資本支出下限近似，非 MW）</t>
  </si>
  <si>
    <r>
      <rPr>
        <sz val="11"/>
        <color theme="1"/>
        <rFont val="Calibri"/>
        <family val="2"/>
        <charset val="1"/>
      </rPr>
      <t xml:space="preserve">M2 </t>
    </r>
    <r>
      <rPr>
        <sz val="11"/>
        <color theme="1"/>
        <rFont val="Noto Sans CJK SC"/>
        <family val="2"/>
      </rPr>
      <t xml:space="preserve">未找到自建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／資本支出 → 不建「自建 </t>
    </r>
    <r>
      <rPr>
        <sz val="11"/>
        <color theme="1"/>
        <rFont val="Calibri"/>
        <family val="2"/>
        <charset val="1"/>
      </rPr>
      <t xml:space="preserve">MW × IF_HoldEcon</t>
    </r>
    <r>
      <rPr>
        <sz val="11"/>
        <color theme="1"/>
        <rFont val="Noto Sans CJK SC"/>
        <family val="2"/>
      </rPr>
      <t xml:space="preserve">」經濟口徑列；保留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「不建折舊」，</t>
    </r>
    <r>
      <rPr>
        <sz val="11"/>
        <color theme="1"/>
        <rFont val="Calibri"/>
        <family val="2"/>
        <charset val="1"/>
      </rPr>
      <t xml:space="preserve">P&amp;L </t>
    </r>
    <r>
      <rPr>
        <sz val="11"/>
        <color theme="1"/>
        <rFont val="Noto Sans CJK SC"/>
        <family val="2"/>
      </rPr>
      <t xml:space="preserve">算力一律以合約價計；現金口徑見 </t>
    </r>
    <r>
      <rPr>
        <sz val="11"/>
        <color theme="1"/>
        <rFont val="Calibri"/>
        <family val="2"/>
        <charset val="1"/>
      </rPr>
      <t xml:space="preserve">Funding I22</t>
    </r>
  </si>
  <si>
    <r>
      <rPr>
        <b val="true"/>
        <sz val="12"/>
        <rFont val="Cambria"/>
        <family val="0"/>
        <charset val="1"/>
      </rPr>
      <t xml:space="preserve">PnL — </t>
    </r>
    <r>
      <rPr>
        <b val="true"/>
        <sz val="12"/>
        <rFont val="Noto Sans CJK SC"/>
        <family val="2"/>
      </rPr>
      <t xml:space="preserve">損益與命題：每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營收 </t>
    </r>
    <r>
      <rPr>
        <b val="true"/>
        <sz val="12"/>
        <rFont val="Cambria"/>
        <family val="0"/>
        <charset val="1"/>
      </rPr>
      <t xml:space="preserve">vs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全成本</t>
    </r>
  </si>
  <si>
    <t xml:space="preserve">一、營收與銷售成本</t>
  </si>
  <si>
    <t xml:space="preserve">P01</t>
  </si>
  <si>
    <t xml:space="preserve">P02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</si>
  <si>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推論算力</t>
    </r>
  </si>
  <si>
    <t xml:space="preserve">P03</t>
  </si>
  <si>
    <t xml:space="preserve">消費端推論算力</t>
  </si>
  <si>
    <t xml:space="preserve">P04</t>
  </si>
  <si>
    <t xml:space="preserve">其他銷售成本（非算力）</t>
  </si>
  <si>
    <t xml:space="preserve">P05</t>
  </si>
  <si>
    <t xml:space="preserve">銷售成本合計</t>
  </si>
  <si>
    <t xml:space="preserve">P06</t>
  </si>
  <si>
    <t xml:space="preserve">毛利</t>
  </si>
  <si>
    <t xml:space="preserve">P07</t>
  </si>
  <si>
    <t xml:space="preserve">毛利率</t>
  </si>
  <si>
    <t xml:space="preserve">P08</t>
  </si>
  <si>
    <t xml:space="preserve">企業端（API）毛利率</t>
  </si>
  <si>
    <t xml:space="preserve">其他銷售成本按營收比例分攤</t>
  </si>
  <si>
    <t xml:space="preserve">P09</t>
  </si>
  <si>
    <t xml:space="preserve">消費端毛利率</t>
  </si>
  <si>
    <t xml:space="preserve">二、營業費用（依成本性質：訓練算力／人事／其他）</t>
  </si>
  <si>
    <t xml:space="preserve">P10</t>
  </si>
  <si>
    <t xml:space="preserve">訓練算力（研發）</t>
  </si>
  <si>
    <t xml:space="preserve">P11</t>
  </si>
  <si>
    <t xml:space="preserve">每人年人事成本（含 SBC）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</si>
  <si>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人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</si>
  <si>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員工福利 </t>
    </r>
    <r>
      <rPr>
        <sz val="11"/>
        <color theme="1"/>
        <rFont val="Calibri"/>
        <family val="2"/>
        <charset val="1"/>
      </rPr>
      <t xml:space="preserve">× 2 ÷ </t>
    </r>
    <r>
      <rPr>
        <sz val="11"/>
        <color theme="1"/>
        <rFont val="Noto Sans CJK SC"/>
        <family val="2"/>
      </rPr>
      <t xml:space="preserve">平均人數</t>
    </r>
  </si>
  <si>
    <t xml:space="preserve">P12</t>
  </si>
  <si>
    <t xml:space="preserve">人事成本（含 SBC）</t>
  </si>
  <si>
    <t xml:space="preserve">P13</t>
  </si>
  <si>
    <t xml:space="preserve">  其中 SBC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</si>
  <si>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占人事比例沿用 </t>
    </r>
    <r>
      <rPr>
        <sz val="11"/>
        <color theme="1"/>
        <rFont val="Calibri"/>
        <family val="2"/>
        <charset val="1"/>
      </rPr>
      <t xml:space="preserve">1H26</t>
    </r>
  </si>
  <si>
    <t xml:space="preserve">P14</t>
  </si>
  <si>
    <t xml:space="preserve">其他營業費用（行銷、行政、上市費等）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</si>
  <si>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＝三項費用 − 人事 − 研發算力；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同法推得＋下半年營收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</t>
    </r>
  </si>
  <si>
    <t xml:space="preserve">P15</t>
  </si>
  <si>
    <t xml:space="preserve">營業費用合計</t>
  </si>
  <si>
    <t xml:space="preserve">P16</t>
  </si>
  <si>
    <t xml:space="preserve">營業虧損（負＝虧損）</t>
  </si>
  <si>
    <t xml:space="preserve">P17</t>
  </si>
  <si>
    <t xml:space="preserve">利息與理財收益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</si>
  <si>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期初現金＋當年融資 </t>
    </r>
    <r>
      <rPr>
        <sz val="11"/>
        <color theme="1"/>
        <rFont val="Calibri"/>
        <family val="2"/>
        <charset val="1"/>
      </rPr>
      <t xml:space="preserve">÷ 2) × </t>
    </r>
    <r>
      <rPr>
        <sz val="11"/>
        <color theme="1"/>
        <rFont val="Noto Sans CJK SC"/>
        <family val="2"/>
      </rPr>
      <t xml:space="preserve">收益率（避免循環參照）</t>
    </r>
  </si>
  <si>
    <t xml:space="preserve">P18</t>
  </si>
  <si>
    <t xml:space="preserve">經調整淨利（非 IFRS；不含 SBC、公允價值變動、稅）</t>
  </si>
  <si>
    <t xml:space="preserve">P19</t>
  </si>
  <si>
    <t xml:space="preserve">檢查：2025 經調整淨利 − 實際（−250.9；差額＝財務成本等）</t>
  </si>
  <si>
    <t xml:space="preserve">三、命題：每 MW 營收能否覆蓋每 MW 全成本</t>
  </si>
  <si>
    <t xml:space="preserve">P20</t>
  </si>
  <si>
    <t xml:space="preserve">總 MW（年均）</t>
  </si>
  <si>
    <t xml:space="preserve">P21</t>
  </si>
  <si>
    <t xml:space="preserve">每 MW 營收</t>
  </si>
  <si>
    <t xml:space="preserve">P22</t>
  </si>
  <si>
    <t xml:space="preserve">每 MW 全成本（銷售成本＋營業費用，含 SBC）</t>
  </si>
  <si>
    <t xml:space="preserve">P23</t>
  </si>
  <si>
    <t xml:space="preserve">覆蓋率＝每 MW 營收 ÷ 每 MW 全成本</t>
  </si>
  <si>
    <r>
      <rPr>
        <sz val="11"/>
        <color theme="1"/>
        <rFont val="Calibri"/>
        <family val="2"/>
        <charset val="1"/>
      </rPr>
      <t xml:space="preserve">≥1 </t>
    </r>
    <r>
      <rPr>
        <sz val="11"/>
        <color theme="1"/>
        <rFont val="Noto Sans CJK SC"/>
        <family val="2"/>
      </rPr>
      <t xml:space="preserve">才算打平</t>
    </r>
  </si>
  <si>
    <t xml:space="preserve">P24</t>
  </si>
  <si>
    <t xml:space="preserve">每 MW 全成本：算力部分（＝合約價）</t>
  </si>
  <si>
    <t xml:space="preserve">P25</t>
  </si>
  <si>
    <t xml:space="preserve">每 MW 全成本：非算力部分（人事＋其他）</t>
  </si>
  <si>
    <t xml:space="preserve">P26</t>
  </si>
  <si>
    <t xml:space="preserve">每 VR 等值 MW 營收</t>
  </si>
  <si>
    <t xml:space="preserve">P27</t>
  </si>
  <si>
    <t xml:space="preserve">每 VR 等值 MW 全成本</t>
  </si>
  <si>
    <t xml:space="preserve">P28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</si>
  <si>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單位經濟：每推論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合約價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</si>
  <si>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＝推論本身賺錢</t>
    </r>
  </si>
  <si>
    <t xml:space="preserve">P29</t>
  </si>
  <si>
    <t xml:space="preserve">訓練＋人事＋其他 占營收</t>
  </si>
  <si>
    <t xml:space="preserve">P30</t>
  </si>
  <si>
    <t xml:space="preserve">打平旗標（覆蓋率 ≥ 1）</t>
  </si>
  <si>
    <t xml:space="preserve">旗標</t>
  </si>
  <si>
    <t xml:space="preserve">四、對照（只列差距，不校準）</t>
  </si>
  <si>
    <t xml:space="preserve">P31</t>
  </si>
  <si>
    <t xml:space="preserve">對照：1H2026 實際毛利率</t>
  </si>
  <si>
    <t xml:space="preserve">模型 2026 全年含下半年效率改善</t>
  </si>
  <si>
    <t xml:space="preserve">P32</t>
  </si>
  <si>
    <t xml:space="preserve">對照：1H2026 實際經調整淨虧損 × 2</t>
  </si>
  <si>
    <t xml:space="preserve">P33</t>
  </si>
  <si>
    <t xml:space="preserve">對照：Citi 經調整淨虧損預估</t>
  </si>
  <si>
    <r>
      <rPr>
        <b val="true"/>
        <sz val="12"/>
        <rFont val="Cambria"/>
        <family val="0"/>
        <charset val="1"/>
      </rPr>
      <t xml:space="preserve">PxQ — P×Q </t>
    </r>
    <r>
      <rPr>
        <b val="true"/>
        <sz val="12"/>
        <rFont val="Noto Sans CJK SC"/>
        <family val="2"/>
      </rPr>
      <t xml:space="preserve">回本比值：營收 </t>
    </r>
    <r>
      <rPr>
        <b val="true"/>
        <sz val="12"/>
        <rFont val="Cambria"/>
        <family val="0"/>
        <charset val="1"/>
      </rPr>
      <t xml:space="preserve">÷</t>
    </r>
    <r>
      <rPr>
        <b val="true"/>
        <sz val="12"/>
        <rFont val="Noto Sans CJK SC"/>
        <family val="2"/>
      </rPr>
      <t xml:space="preserve">（年均上線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年持有成本）的年度序列（比照 </t>
    </r>
    <r>
      <rPr>
        <b val="true"/>
        <sz val="12"/>
        <rFont val="Cambria"/>
        <family val="0"/>
        <charset val="1"/>
      </rPr>
      <t xml:space="preserve">OpenAI v0.6.1</t>
    </r>
    <r>
      <rPr>
        <b val="true"/>
        <sz val="12"/>
        <rFont val="Noto Sans CJK SC"/>
        <family val="2"/>
      </rPr>
      <t xml:space="preserve">）</t>
    </r>
  </si>
  <si>
    <t xml:space="preserve">一、主輸出：回本比值＝營收 ÷ 算力持有成本（＝實際 m×L ÷ 所需 m×L）。看的是趨勢，不是絕對數字</t>
  </si>
  <si>
    <t xml:space="preserve">X01</t>
  </si>
  <si>
    <t xml:space="preserve">年均上線 MW（Compute 總 MW；D6：模型自身 MW）</t>
  </si>
  <si>
    <t xml:space="preserve">推論＋訓練；消費端與訓練 MW 由支出 ÷ 合約價(I02) 換算，故 MW 水準隨 I02 變動（比值也是）</t>
  </si>
  <si>
    <t xml:space="preserve">X02</t>
  </si>
  <si>
    <t xml:space="preserve">每 MW 年持有成本 h＝Σ 世代占比 × IF_HoldEcon 基準欄</t>
  </si>
  <si>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機隊組合（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I05</t>
    </r>
    <r>
      <rPr>
        <sz val="11"/>
        <color theme="1"/>
        <rFont val="Noto Sans CJK SC"/>
        <family val="2"/>
      </rPr>
      <t xml:space="preserve">，其餘以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計）；</t>
    </r>
    <r>
      <rPr>
        <sz val="11"/>
        <color theme="1"/>
        <rFont val="Calibri"/>
        <family val="2"/>
        <charset val="1"/>
      </rPr>
      <t xml:space="preserve">$B/GW/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$M/MW/</t>
    </r>
    <r>
      <rPr>
        <sz val="11"/>
        <color theme="1"/>
        <rFont val="Noto Sans CJK SC"/>
        <family val="2"/>
      </rPr>
      <t xml:space="preserve">年。中國晶片以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代理（</t>
    </r>
    <r>
      <rPr>
        <sz val="11"/>
        <color theme="1"/>
        <rFont val="Calibri"/>
        <family val="2"/>
        <charset val="1"/>
      </rPr>
      <t xml:space="preserve">D3</t>
    </r>
    <r>
      <rPr>
        <sz val="11"/>
        <color theme="1"/>
        <rFont val="Noto Sans CJK SC"/>
        <family val="2"/>
      </rPr>
      <t xml:space="preserve">）</t>
    </r>
  </si>
  <si>
    <t xml:space="preserve">X03</t>
  </si>
  <si>
    <t xml:space="preserve">算力持有成本 C＝MW × h</t>
  </si>
  <si>
    <t xml:space="preserve">機隊持有成本口徑（Tokenomics 供應商參考），不等於合約價 × MW</t>
  </si>
  <si>
    <t xml:space="preserve">X04</t>
  </si>
  <si>
    <t xml:space="preserve">X05</t>
  </si>
  <si>
    <t xml:space="preserve">回本比值＝營收 ÷ C</t>
  </si>
  <si>
    <t xml:space="preserve">＞1＝營收足以覆蓋機隊持有成本</t>
  </si>
  <si>
    <t xml:space="preserve">X06</t>
  </si>
  <si>
    <t xml:space="preserve">比值相對 FY2025（FY2025＝1）</t>
  </si>
  <si>
    <t xml:space="preserve">趨勢</t>
  </si>
  <si>
    <t xml:space="preserve">X07</t>
  </si>
  <si>
    <t xml:space="preserve">讀法</t>
  </si>
  <si>
    <t xml:space="preserve">文字公式，數字取自本頁儲存格</t>
  </si>
  <si>
    <t xml:space="preserve">二、Q、P、m×L（P＝MiniMax 實收單價；Tokenomics 有效牌價 IF_PxEffMix 為 OpenAI 層級牌價，不適用，且不在快照）</t>
  </si>
  <si>
    <t xml:space="preserve">X08</t>
  </si>
  <si>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</si>
  <si>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</si>
  <si>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Demand D03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token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10^6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為營收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單價推得，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起由需求成長決定</t>
    </r>
  </si>
  <si>
    <t xml:space="preserve">X09</t>
  </si>
  <si>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</t>
    </r>
  </si>
  <si>
    <t xml:space="preserve">$/M tok</t>
  </si>
  <si>
    <t xml:space="preserve">實收含折扣、快取與訂閱方案；不拆 m 與 L（中國模型無 Tokenomics 牌價可拆）</t>
  </si>
  <si>
    <t xml:space="preserve">X10</t>
  </si>
  <si>
    <r>
      <rPr>
        <sz val="11"/>
        <color theme="1"/>
        <rFont val="Calibri"/>
        <family val="2"/>
        <charset val="1"/>
      </rPr>
      <t xml:space="preserve">Q × 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計價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價值</t>
    </r>
  </si>
  <si>
    <t xml:space="preserve">＝企業端（API）營收；Checks K10 驗證</t>
  </si>
  <si>
    <t xml:space="preserve">X11</t>
  </si>
  <si>
    <t xml:space="preserve">實際 m×L＝總營收 ÷（Q × P）</t>
  </si>
  <si>
    <t xml:space="preserve">分子含消費端營收，故大於 1</t>
  </si>
  <si>
    <t xml:space="preserve">X12</t>
  </si>
  <si>
    <t xml:space="preserve">所需 m×L＝C ÷（Q × P）</t>
  </si>
  <si>
    <t xml:space="preserve">X13</t>
  </si>
  <si>
    <t xml:space="preserve">比值＝實際 ÷ 所需（恆等式，應＝X05）</t>
  </si>
  <si>
    <r>
      <rPr>
        <sz val="11"/>
        <color theme="1"/>
        <rFont val="Calibri"/>
        <family val="2"/>
        <charset val="1"/>
      </rPr>
      <t xml:space="preserve">Checks K09 </t>
    </r>
    <r>
      <rPr>
        <sz val="11"/>
        <color theme="1"/>
        <rFont val="Noto Sans CJK SC"/>
        <family val="2"/>
      </rPr>
      <t xml:space="preserve">驗證</t>
    </r>
  </si>
  <si>
    <t xml:space="preserve">三、分項比值（誰在拖累）</t>
  </si>
  <si>
    <t xml:space="preserve">X14</t>
  </si>
  <si>
    <t xml:space="preserve">企業端（API）比值＝API 營收 ÷（API 推論 MW × h）</t>
  </si>
  <si>
    <t xml:space="preserve">推論本身是否回本</t>
  </si>
  <si>
    <t xml:space="preserve">X15</t>
  </si>
  <si>
    <t xml:space="preserve">消費端比值＝消費端營收 ÷（消費端 MW × h）</t>
  </si>
  <si>
    <t xml:space="preserve">X16</t>
  </si>
  <si>
    <t xml:space="preserve">訓練 MW 占總 MW</t>
  </si>
  <si>
    <t xml:space="preserve">訓練無直接營收，是比值的主要分母項</t>
  </si>
  <si>
    <t xml:space="preserve">四、持平所需 MW（比值維持 FY2025 水準）</t>
  </si>
  <si>
    <t xml:space="preserve">X17</t>
  </si>
  <si>
    <t xml:space="preserve">持平所需 MW＝營收 ÷（h × FY2025 比值）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</si>
  <si>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高於此值比值低於 </t>
    </r>
    <r>
      <rPr>
        <sz val="11"/>
        <color theme="1"/>
        <rFont val="Calibri"/>
        <family val="2"/>
        <charset val="1"/>
      </rPr>
      <t xml:space="preserve">FY2025</t>
    </r>
  </si>
  <si>
    <t xml:space="preserve">X18</t>
  </si>
  <si>
    <t xml:space="preserve">實際 MW ÷ 持平所需 MW</t>
  </si>
  <si>
    <t xml:space="preserve">＞1＝MW 擴張快於營收</t>
  </si>
  <si>
    <t xml:space="preserve">五、單價路徑敏感度（規格 D8：先列敏感度，再看基準；M3.1 Flash 降價只更新已觀測的 2026 年）</t>
  </si>
  <si>
    <t xml:space="preserve">X19</t>
  </si>
  <si>
    <r>
      <rPr>
        <sz val="11"/>
        <color theme="1"/>
        <rFont val="Calibri"/>
        <family val="2"/>
        <charset val="1"/>
      </rPr>
      <t xml:space="preserve">M3.1 Flash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牌價降幅（觀測值）</t>
    </r>
  </si>
  <si>
    <r>
      <rPr>
        <sz val="11"/>
        <color theme="1"/>
        <rFont val="Calibri"/>
        <family val="2"/>
        <charset val="1"/>
      </rPr>
      <t xml:space="preserve">S098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S099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S101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S056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S057</t>
    </r>
  </si>
  <si>
    <t xml:space="preserve">X20</t>
  </si>
  <si>
    <t xml:space="preserve">降價後營收持平所需用量倍數＝1 ÷（1 − 降幅）</t>
  </si>
  <si>
    <t xml:space="preserve">全面 −50% 時用量要 2 倍才持平（價格彈性無資料）</t>
  </si>
  <si>
    <t xml:space="preserve">X21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</si>
  <si>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下半年已觀測折減＝降幅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新價流量占比（</t>
    </r>
    <r>
      <rPr>
        <sz val="11"/>
        <color theme="1"/>
        <rFont val="Calibri"/>
        <family val="2"/>
        <charset val="1"/>
      </rPr>
      <t xml:space="preserve">I31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</si>
  <si>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I31 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0.20</t>
    </r>
  </si>
  <si>
    <t xml:space="preserve">X22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</si>
  <si>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下半年所需用量倍數</t>
    </r>
  </si>
  <si>
    <t xml:space="preserve">X23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</si>
  <si>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全年平均折減</t>
    </r>
  </si>
  <si>
    <t xml:space="preserve">＝I34 × X21</t>
  </si>
  <si>
    <t xml:space="preserve">六、對照</t>
  </si>
  <si>
    <t xml:space="preserve">X24</t>
  </si>
  <si>
    <t xml:space="preserve">合約價 I02 ÷ h（算力成本中雲端租用溢價）</t>
  </si>
  <si>
    <t xml:space="preserve">同 Compute C41</t>
  </si>
  <si>
    <t xml:space="preserve">X25</t>
  </si>
  <si>
    <t xml:space="preserve">每 MW 營收 ÷ h（＝X05，與 PnL 每 MW 營收同口徑）</t>
  </si>
  <si>
    <t xml:space="preserve">七、比值的結構：比值＝（營收 ÷ 算力支出）×（合約價 ÷ h）。MW 皆由支出 ÷ I02 換算（API 經 η 校準亦同），故比值水準與 I02 成正比</t>
  </si>
  <si>
    <t xml:space="preserve">X26</t>
  </si>
  <si>
    <t xml:space="preserve">營收 ÷ 算力支出（合約價口徑，＝Compute C26）</t>
  </si>
  <si>
    <t xml:space="preserve">不受 I02 影響的部分</t>
  </si>
  <si>
    <t xml:space="preserve">X27</t>
  </si>
  <si>
    <t xml:space="preserve">分解檢查：X26 × X24 − X05（應＝0）</t>
  </si>
  <si>
    <r>
      <rPr>
        <sz val="11"/>
        <color theme="1"/>
        <rFont val="Calibri"/>
        <family val="2"/>
        <charset val="1"/>
      </rPr>
      <t xml:space="preserve">Checks K13 </t>
    </r>
    <r>
      <rPr>
        <sz val="11"/>
        <color theme="1"/>
        <rFont val="Noto Sans CJK SC"/>
        <family val="2"/>
      </rPr>
      <t xml:space="preserve">驗證</t>
    </r>
  </si>
  <si>
    <t xml:space="preserve">X28</t>
  </si>
  <si>
    <t xml:space="preserve">比值＝1 所需的合約價 I02（＝I02 ÷ 比值；what must be true）</t>
  </si>
  <si>
    <t xml:space="preserve">落在 I02 區間 8–20 內者，比值有機會≥1；對照 Compute C35–C37 租價證據</t>
  </si>
  <si>
    <r>
      <rPr>
        <b val="true"/>
        <sz val="12"/>
        <rFont val="Cambria"/>
        <family val="0"/>
        <charset val="1"/>
      </rPr>
      <t xml:space="preserve">Funding — </t>
    </r>
    <r>
      <rPr>
        <b val="true"/>
        <sz val="12"/>
        <rFont val="Noto Sans CJK SC"/>
        <family val="2"/>
      </rPr>
      <t xml:space="preserve">現金、缺口與融資來源</t>
    </r>
  </si>
  <si>
    <t xml:space="preserve">一、現金來源（2026 已完成的融資為實際；單位 $M）</t>
  </si>
  <si>
    <t xml:space="preserve">F01</t>
  </si>
  <si>
    <t xml:space="preserve">期初現金（公司口徑）</t>
  </si>
  <si>
    <t xml:space="preserve">F02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</si>
  <si>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淨募資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</si>
  <si>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；含超額配售</t>
    </r>
  </si>
  <si>
    <t xml:space="preserve">F03</t>
  </si>
  <si>
    <t xml:space="preserve">配售新股淨額</t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</si>
  <si>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HK$268</t>
    </r>
  </si>
  <si>
    <t xml:space="preserve">F04</t>
  </si>
  <si>
    <t xml:space="preserve">可轉債淨額</t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</si>
  <si>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；零息，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到期</t>
    </r>
  </si>
  <si>
    <t xml:space="preserve">F05</t>
  </si>
  <si>
    <t xml:space="preserve">銀行借款淨增加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</si>
  <si>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實際；其後假設不變</t>
    </r>
  </si>
  <si>
    <t xml:space="preserve">二、現金用途</t>
  </si>
  <si>
    <t xml:space="preserve">F06</t>
  </si>
  <si>
    <t xml:space="preserve">營運燒錢（＝經調整淨利；負＝流出）</t>
  </si>
  <si>
    <t xml:space="preserve">經調整淨利已排除 SBC；未計營運資金</t>
  </si>
  <si>
    <t xml:space="preserve">F07</t>
  </si>
  <si>
    <t xml:space="preserve">算力預付與自建資本支出（現金時差）</t>
  </si>
  <si>
    <t xml:space="preserve">F08</t>
  </si>
  <si>
    <t xml:space="preserve">可轉債到期現金贖回</t>
  </si>
  <si>
    <t xml:space="preserve">F09</t>
  </si>
  <si>
    <t xml:space="preserve">期末現金（新融資前）</t>
  </si>
  <si>
    <t xml:space="preserve">F10</t>
  </si>
  <si>
    <t xml:space="preserve">需新融資（補足至最低現金）</t>
  </si>
  <si>
    <t xml:space="preserve">F11</t>
  </si>
  <si>
    <t xml:space="preserve">累計需新融資（2026 起）</t>
  </si>
  <si>
    <t xml:space="preserve">F12</t>
  </si>
  <si>
    <t xml:space="preserve">期末現金（含新融資）</t>
  </si>
  <si>
    <t xml:space="preserve">F13</t>
  </si>
  <si>
    <t xml:space="preserve">新融資旗標年（第一個需融資的年度）</t>
  </si>
  <si>
    <t xml:space="preserve">年</t>
  </si>
  <si>
    <t xml:space="preserve">F19</t>
  </si>
  <si>
    <t xml:space="preserve">首次需新融資年度（9999＝2030 年內不需要）</t>
  </si>
  <si>
    <t xml:space="preserve">F20</t>
  </si>
  <si>
    <t xml:space="preserve">對照：公告經營活動現金流（FY2025；1H26 現金流量表未取得）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</si>
  <si>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補充 </t>
    </r>
    <r>
      <rPr>
        <sz val="11"/>
        <color theme="1"/>
        <rFont val="Calibri"/>
        <family val="2"/>
        <charset val="1"/>
      </rPr>
      <t xml:space="preserve">§B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etnet </t>
    </r>
    <r>
      <rPr>
        <sz val="11"/>
        <color theme="1"/>
        <rFont val="Noto Sans CJK SC"/>
        <family val="2"/>
      </rPr>
      <t xml:space="preserve">轉載年報；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258.5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S095</t>
    </r>
    <r>
      <rPr>
        <sz val="11"/>
        <color theme="1"/>
        <rFont val="Noto Sans CJK SC"/>
        <family val="2"/>
      </rPr>
      <t xml:space="preserve">）</t>
    </r>
  </si>
  <si>
    <t xml:space="preserve">F21</t>
  </si>
  <si>
    <t xml:space="preserve">對照：經營現金流 − 模型經調整淨利（FY2025；負＝實際流出較多）</t>
  </si>
  <si>
    <r>
      <rPr>
        <sz val="11"/>
        <color theme="1"/>
        <rFont val="Calibri"/>
        <family val="2"/>
        <charset val="1"/>
      </rPr>
      <t xml:space="preserve">F06 </t>
    </r>
    <r>
      <rPr>
        <sz val="11"/>
        <color theme="1"/>
        <rFont val="Noto Sans CJK SC"/>
        <family val="2"/>
      </rPr>
      <t xml:space="preserve">以經調整淨利代營運燒錢（排除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、未計營運資金）；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實際經營現金流較重，差額＝營運資金與其他</t>
    </r>
  </si>
  <si>
    <t xml:space="preserve">F22</t>
  </si>
  <si>
    <t xml:space="preserve">對照：1H26 物業廠房設備增額</t>
  </si>
  <si>
    <t xml:space="preserve">對照 I22（2026 預付與自建 322，含預付款）</t>
  </si>
  <si>
    <t xml:space="preserve">F23</t>
  </si>
  <si>
    <t xml:space="preserve">對照：1H26 合約負債增額</t>
  </si>
  <si>
    <t xml:space="preserve">預收款，營運資金正向項；半年 +142%</t>
  </si>
  <si>
    <t xml:space="preserve">F14</t>
  </si>
  <si>
    <t xml:space="preserve">累計新股稀釋（依現價 ×（1−折價）發行）</t>
  </si>
  <si>
    <t xml:space="preserve">占目前市值</t>
  </si>
  <si>
    <t xml:space="preserve">三、已投入資金（誰在付錢；累計，$M）</t>
  </si>
  <si>
    <t xml:space="preserve">F15</t>
  </si>
  <si>
    <t xml:space="preserve">上市前創投與策略投資人（阿里巴巴、騰訊、米哈遊、紅杉、高瓴、IDG 等）</t>
  </si>
  <si>
    <r>
      <rPr>
        <sz val="11"/>
        <color theme="1"/>
        <rFont val="Calibri"/>
        <family val="2"/>
        <charset val="1"/>
      </rPr>
      <t xml:space="preserve">Pre-B </t>
    </r>
    <r>
      <rPr>
        <sz val="11"/>
        <color theme="1"/>
        <rFont val="Noto Sans CJK SC"/>
        <family val="2"/>
      </rPr>
      <t xml:space="preserve">由阿里巴巴領投 </t>
    </r>
    <r>
      <rPr>
        <sz val="11"/>
        <color theme="1"/>
        <rFont val="Calibri"/>
        <family val="2"/>
        <charset val="1"/>
      </rPr>
      <t xml:space="preserve">654</t>
    </r>
  </si>
  <si>
    <t xml:space="preserve">F16</t>
  </si>
  <si>
    <r>
      <rPr>
        <sz val="11"/>
        <color theme="1"/>
        <rFont val="Calibri"/>
        <family val="2"/>
        <charset val="1"/>
      </rPr>
      <t xml:space="preserve">IPO</t>
    </r>
    <r>
      <rPr>
        <sz val="11"/>
        <color theme="1"/>
        <rFont val="Noto Sans CJK SC"/>
        <family val="2"/>
      </rPr>
      <t xml:space="preserve">（基石：</t>
    </r>
    <r>
      <rPr>
        <sz val="11"/>
        <color theme="1"/>
        <rFont val="Calibri"/>
        <family val="2"/>
        <charset val="1"/>
      </rPr>
      <t xml:space="preserve">ADIA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Aspex</t>
    </r>
    <r>
      <rPr>
        <sz val="11"/>
        <color theme="1"/>
        <rFont val="Noto Sans CJK SC"/>
        <family val="2"/>
      </rPr>
      <t xml:space="preserve">、阿里巴巴等，占 </t>
    </r>
    <r>
      <rPr>
        <sz val="11"/>
        <color theme="1"/>
        <rFont val="Calibri"/>
        <family val="2"/>
        <charset val="1"/>
      </rPr>
      <t xml:space="preserve">56.5%</t>
    </r>
    <r>
      <rPr>
        <sz val="11"/>
        <color theme="1"/>
        <rFont val="Noto Sans CJK SC"/>
        <family val="2"/>
      </rPr>
      <t xml:space="preserve">）</t>
    </r>
  </si>
  <si>
    <t xml:space="preserve">F17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</si>
  <si>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配售＋可轉債（承配人與債權人未具名）</t>
    </r>
  </si>
  <si>
    <t xml:space="preserve">F18</t>
  </si>
  <si>
    <t xml:space="preserve">累計外部資金</t>
  </si>
  <si>
    <r>
      <rPr>
        <b val="true"/>
        <sz val="12"/>
        <rFont val="Cambria"/>
        <family val="0"/>
        <charset val="1"/>
      </rPr>
      <t xml:space="preserve">Valuation — </t>
    </r>
    <r>
      <rPr>
        <b val="true"/>
        <sz val="12"/>
        <rFont val="Noto Sans CJK SC"/>
        <family val="2"/>
      </rPr>
      <t xml:space="preserve">市值、</t>
    </r>
    <r>
      <rPr>
        <b val="true"/>
        <sz val="12"/>
        <rFont val="Cambria"/>
        <family val="0"/>
        <charset val="1"/>
      </rPr>
      <t xml:space="preserve">EV </t>
    </r>
    <r>
      <rPr>
        <b val="true"/>
        <sz val="12"/>
        <rFont val="Noto Sans CJK SC"/>
        <family val="2"/>
      </rPr>
      <t xml:space="preserve">與反向檢驗</t>
    </r>
  </si>
  <si>
    <t xml:space="preserve">一、市值與企業價值（以 2026-10-21 推算收盤價 S078；v0.1 為 10-02 收盤市值）</t>
  </si>
  <si>
    <t xml:space="preserve">V01</t>
  </si>
  <si>
    <t xml:space="preserve">股價（10-21 推算收盤）</t>
  </si>
  <si>
    <r>
      <rPr>
        <sz val="11"/>
        <color theme="1"/>
        <rFont val="Calibri"/>
        <family val="2"/>
        <charset val="1"/>
      </rPr>
      <t xml:space="preserve">S078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港元）；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盤中約 </t>
    </r>
    <r>
      <rPr>
        <sz val="11"/>
        <color theme="1"/>
        <rFont val="Calibri"/>
        <family val="2"/>
        <charset val="1"/>
      </rPr>
      <t xml:space="preserve">162</t>
    </r>
    <r>
      <rPr>
        <sz val="11"/>
        <color theme="1"/>
        <rFont val="Noto Sans CJK SC"/>
        <family val="2"/>
      </rPr>
      <t xml:space="preserve">，已跌破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165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S080</t>
    </r>
    <r>
      <rPr>
        <sz val="11"/>
        <color theme="1"/>
        <rFont val="Noto Sans CJK SC"/>
        <family val="2"/>
      </rPr>
      <t xml:space="preserve">）</t>
    </r>
  </si>
  <si>
    <t xml:space="preserve">V02</t>
  </si>
  <si>
    <t xml:space="preserve">市值</t>
  </si>
  <si>
    <t xml:space="preserve">股價 × 配售後股數（10-08 之後未見增減資公告：找不到，非不存在）</t>
  </si>
  <si>
    <t xml:space="preserve">V03</t>
  </si>
  <si>
    <t xml:space="preserve">淨現金（模型年底：現金 − 銀行借款 − 未轉股可轉債）</t>
  </si>
  <si>
    <t xml:space="preserve">V04</t>
  </si>
  <si>
    <t xml:space="preserve">企業價值 EV（市值 − 淨現金）</t>
  </si>
  <si>
    <t xml:space="preserve">市值固定為現值；只看各年淨現金變化</t>
  </si>
  <si>
    <t xml:space="preserve">V05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</si>
  <si>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各年模型營收</t>
    </r>
  </si>
  <si>
    <t xml:space="preserve">以 2026 年底 EV 對各年營收</t>
  </si>
  <si>
    <t xml:space="preserve">二、同業對照（智譜 2513.HK）</t>
  </si>
  <si>
    <t xml:space="preserve">V06</t>
  </si>
  <si>
    <t xml:space="preserve">智譜市值（10-02，未更新；與 MiniMax 日期不一致）</t>
  </si>
  <si>
    <t xml:space="preserve">V07</t>
  </si>
  <si>
    <t xml:space="preserve">智譜 市值 ÷ 1H26 年化營收</t>
  </si>
  <si>
    <t xml:space="preserve">V08</t>
  </si>
  <si>
    <r>
      <rPr>
        <sz val="11"/>
        <color theme="1"/>
        <rFont val="Calibri"/>
        <family val="2"/>
        <charset val="1"/>
      </rPr>
      <t xml:space="preserve">MiniMax </t>
    </r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1H26 </t>
    </r>
    <r>
      <rPr>
        <sz val="11"/>
        <color theme="1"/>
        <rFont val="Noto Sans CJK SC"/>
        <family val="2"/>
      </rPr>
      <t xml:space="preserve">年化營收</t>
    </r>
  </si>
  <si>
    <t xml:space="preserve">三、反向檢驗：以模型 2030 年營收與退出倍數，折回今天、扣除稀釋，是否支持現價</t>
  </si>
  <si>
    <t xml:space="preserve">V09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</si>
  <si>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＝模型營收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退出倍數</t>
    </r>
  </si>
  <si>
    <t xml:space="preserve">V10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</si>
  <si>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年股權價值＝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＋淨現金</t>
    </r>
  </si>
  <si>
    <t xml:space="preserve">V11</t>
  </si>
  <si>
    <t xml:space="preserve">現有股東持有比例＝1 ÷（1＋累計稀釋）</t>
  </si>
  <si>
    <t xml:space="preserve">V12</t>
  </si>
  <si>
    <t xml:space="preserve">現有股東價值折現至今</t>
  </si>
  <si>
    <t xml:space="preserve">折現 4 年</t>
  </si>
  <si>
    <t xml:space="preserve">V13</t>
  </si>
  <si>
    <t xml:space="preserve">折現價值 ÷ 目前市值</t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</si>
  <si>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＝模型支持現價</t>
    </r>
  </si>
  <si>
    <t xml:space="preserve">V14</t>
  </si>
  <si>
    <t xml:space="preserve">支持現價所需的 2030 營收</t>
  </si>
  <si>
    <r>
      <rPr>
        <b val="true"/>
        <sz val="11"/>
        <rFont val="Cambria"/>
        <family val="0"/>
        <charset val="1"/>
      </rPr>
      <t xml:space="preserve">Checks — </t>
    </r>
    <r>
      <rPr>
        <b val="true"/>
        <sz val="11"/>
        <rFont val="Noto Sans CJK SC"/>
        <family val="2"/>
      </rPr>
      <t xml:space="preserve">檢查（全部應為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CHK_Errors </t>
    </r>
    <r>
      <rPr>
        <b val="true"/>
        <sz val="11"/>
        <rFont val="Noto Sans CJK SC"/>
        <family val="2"/>
      </rPr>
      <t xml:space="preserve">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</si>
  <si>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</t>
  </si>
  <si>
    <t xml:space="preserve">值（應為 0）</t>
  </si>
  <si>
    <t xml:space="preserve">K01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</si>
  <si>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模型總營收 − 實際（分部捨入，容許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</si>
  <si>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K02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</si>
  <si>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銷售成本（模型）− 實際</t>
    </r>
  </si>
  <si>
    <t xml:space="preserve">K03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</si>
  <si>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營業費用（模型）− 實際三項費用合計</t>
    </r>
  </si>
  <si>
    <t xml:space="preserve">K04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</si>
  <si>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上半年營收：企業端＋消費端 − 總額（揭露捨入，容許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</si>
  <si>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K05</t>
  </si>
  <si>
    <t xml:space="preserve">機隊組合各年介於 0–1</t>
  </si>
  <si>
    <t xml:space="preserve">K06</t>
  </si>
  <si>
    <t xml:space="preserve">總 MW ＝ 推論＋訓練（各年合計差）</t>
  </si>
  <si>
    <t xml:space="preserve">K07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</si>
  <si>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− 實際（</t>
    </r>
    <r>
      <rPr>
        <sz val="11"/>
        <color theme="1"/>
        <rFont val="Calibri"/>
        <family val="2"/>
        <charset val="1"/>
      </rPr>
      <t xml:space="preserve">25.4%</t>
    </r>
    <r>
      <rPr>
        <sz val="11"/>
        <color theme="1"/>
        <rFont val="Noto Sans CJK SC"/>
        <family val="2"/>
      </rPr>
      <t xml:space="preserve">）</t>
    </r>
  </si>
  <si>
    <t xml:space="preserve">K09</t>
  </si>
  <si>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Noto Sans CJK SC"/>
        <family val="2"/>
      </rPr>
      <t xml:space="preserve">恆等式：實際 </t>
    </r>
    <r>
      <rPr>
        <sz val="11"/>
        <color theme="1"/>
        <rFont val="Calibri"/>
        <family val="2"/>
        <charset val="1"/>
      </rPr>
      <t xml:space="preserve">m×L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m×L −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</t>
    </r>
    <r>
      <rPr>
        <sz val="11"/>
        <color theme="1"/>
        <rFont val="Noto Sans CJK SC"/>
        <family val="2"/>
      </rPr>
      <t xml:space="preserve">（各年合計差）</t>
    </r>
  </si>
  <si>
    <t xml:space="preserve">K10</t>
  </si>
  <si>
    <r>
      <rPr>
        <sz val="11"/>
        <color theme="1"/>
        <rFont val="Calibri"/>
        <family val="2"/>
        <charset val="1"/>
      </rPr>
      <t xml:space="preserve">PxQ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 × P − </t>
    </r>
    <r>
      <rPr>
        <sz val="11"/>
        <color theme="1"/>
        <rFont val="Noto Sans CJK SC"/>
        <family val="2"/>
      </rPr>
      <t xml:space="preserve">企業端營收（各年合計差，容許 </t>
    </r>
    <r>
      <rPr>
        <sz val="11"/>
        <color theme="1"/>
        <rFont val="Calibri"/>
        <family val="2"/>
        <charset val="1"/>
      </rPr>
      <t xml:space="preserve">0.001</t>
    </r>
    <r>
      <rPr>
        <sz val="11"/>
        <color theme="1"/>
        <rFont val="Noto Sans CJK SC"/>
        <family val="2"/>
      </rPr>
      <t xml:space="preserve">）</t>
    </r>
  </si>
  <si>
    <t xml:space="preserve">K11</t>
  </si>
  <si>
    <r>
      <rPr>
        <sz val="11"/>
        <color theme="1"/>
        <rFont val="Calibri"/>
        <family val="2"/>
        <charset val="1"/>
      </rPr>
      <t xml:space="preserve">I30 </t>
    </r>
    <r>
      <rPr>
        <sz val="11"/>
        <color theme="1"/>
        <rFont val="Noto Sans CJK SC"/>
        <family val="2"/>
      </rPr>
      <t xml:space="preserve">降幅 − </t>
    </r>
    <r>
      <rPr>
        <sz val="11"/>
        <color theme="1"/>
        <rFont val="Calibri"/>
        <family val="2"/>
        <charset val="1"/>
      </rPr>
      <t xml:space="preserve">(1 − S098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S101) </t>
    </r>
    <r>
      <rPr>
        <sz val="11"/>
        <color theme="1"/>
        <rFont val="Noto Sans CJK SC"/>
        <family val="2"/>
      </rPr>
      <t xml:space="preserve">（觀測值一致，容許 </t>
    </r>
    <r>
      <rPr>
        <sz val="11"/>
        <color theme="1"/>
        <rFont val="Calibri"/>
        <family val="2"/>
        <charset val="1"/>
      </rPr>
      <t xml:space="preserve">0.001</t>
    </r>
    <r>
      <rPr>
        <sz val="11"/>
        <color theme="1"/>
        <rFont val="Noto Sans CJK SC"/>
        <family val="2"/>
      </rPr>
      <t xml:space="preserve">）</t>
    </r>
  </si>
  <si>
    <t xml:space="preserve">K12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</si>
  <si>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現金流量表內部一致：經營＋投資＋融資＋匯率 −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期末 − 期初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（容許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</si>
  <si>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t xml:space="preserve">K13</t>
  </si>
  <si>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Noto Sans CJK SC"/>
        <family val="2"/>
      </rPr>
      <t xml:space="preserve">結構分解：（營收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算力支出）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I02÷h</t>
    </r>
    <r>
      <rPr>
        <sz val="11"/>
        <color theme="1"/>
        <rFont val="Noto Sans CJK SC"/>
        <family val="2"/>
      </rPr>
      <t xml:space="preserve">）− 比值（各年合計差）</t>
    </r>
  </si>
  <si>
    <t xml:space="preserve">K08</t>
  </si>
  <si>
    <t xml:space="preserve">期末現金不得低於最低水位（含新融資）</t>
  </si>
  <si>
    <t xml:space="preserve">CHK_Sum</t>
  </si>
  <si>
    <t xml:space="preserve">檢查合計（應為 0）</t>
  </si>
  <si>
    <t xml:space="preserve">CHK_Errors</t>
  </si>
  <si>
    <t xml:space="preserve">計算頁錯誤值個數（應為 0）</t>
  </si>
  <si>
    <r>
      <rPr>
        <b val="true"/>
        <sz val="11"/>
        <rFont val="Noto Sans CJK SC"/>
        <family val="2"/>
      </rPr>
      <t xml:space="preserve">敏感度（快照值：每列為改寫該項 </t>
    </r>
    <r>
      <rPr>
        <b val="true"/>
        <sz val="11"/>
        <rFont val="Cambria"/>
        <family val="0"/>
        <charset val="1"/>
      </rPr>
      <t xml:space="preserve">Inputs </t>
    </r>
    <r>
      <rPr>
        <b val="true"/>
        <sz val="11"/>
        <rFont val="Noto Sans CJK SC"/>
        <family val="2"/>
      </rPr>
      <t xml:space="preserve">後由 </t>
    </r>
    <r>
      <rPr>
        <b val="true"/>
        <sz val="11"/>
        <rFont val="Cambria"/>
        <family val="0"/>
        <charset val="1"/>
      </rPr>
      <t xml:space="preserve">LibreOffice </t>
    </r>
    <r>
      <rPr>
        <b val="true"/>
        <sz val="11"/>
        <rFont val="Noto Sans CJK SC"/>
        <family val="2"/>
      </rPr>
      <t xml:space="preserve">重算的結果；改 </t>
    </r>
    <r>
      <rPr>
        <b val="true"/>
        <sz val="11"/>
        <rFont val="Cambria"/>
        <family val="0"/>
        <charset val="1"/>
      </rPr>
      <t xml:space="preserve">Inputs </t>
    </r>
    <r>
      <rPr>
        <b val="true"/>
        <sz val="11"/>
        <rFont val="Noto Sans CJK SC"/>
        <family val="2"/>
      </rPr>
      <t xml:space="preserve">後此頁不會自動更新，需重跑 </t>
    </r>
    <r>
      <rPr>
        <b val="true"/>
        <sz val="11"/>
        <rFont val="Cambria"/>
        <family val="0"/>
        <charset val="1"/>
      </rPr>
      <t xml:space="preserve">scripts/sensitivity.py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</si>
  <si>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</si>
  <si>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改寫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</si>
  <si>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</si>
  <si>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</si>
  <si>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</si>
  <si>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覆蓋率（每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營收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全成本）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</si>
  <si>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經調整淨利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</si>
  <si>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Noto Sans CJK SC"/>
        <family val="2"/>
      </rPr>
      <t xml:space="preserve">至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累計需新融資 </t>
    </r>
    <r>
      <rPr>
        <b val="true"/>
        <sz val="11"/>
        <rFont val="Cambria"/>
        <family val="0"/>
        <charset val="1"/>
      </rPr>
      <t xml:space="preserve">$M</t>
    </r>
  </si>
  <si>
    <t xml:space="preserve">首次需新融資年</t>
  </si>
  <si>
    <r>
      <rPr>
        <b val="true"/>
        <sz val="11"/>
        <rFont val="Noto Sans CJK SC"/>
        <family val="2"/>
      </rPr>
      <t xml:space="preserve">折現價值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市值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</si>
  <si>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回本比值（營收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持有成本）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</si>
  <si>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回本比值</t>
    </r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</si>
  <si>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$8M/MW</t>
    </r>
  </si>
  <si>
    <t xml:space="preserve">I02=8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</si>
  <si>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$20M/MW</t>
    </r>
  </si>
  <si>
    <t xml:space="preserve">I02=20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</si>
  <si>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量成長低（</t>
    </r>
    <r>
      <rPr>
        <sz val="11"/>
        <color theme="1"/>
        <rFont val="Calibri"/>
        <family val="2"/>
        <charset val="1"/>
      </rPr>
      <t xml:space="preserve">0.8/0.5/0.3/0.2</t>
    </r>
    <r>
      <rPr>
        <sz val="11"/>
        <color theme="1"/>
        <rFont val="Noto Sans CJK SC"/>
        <family val="2"/>
      </rPr>
      <t xml:space="preserve">）</t>
    </r>
  </si>
  <si>
    <t xml:space="preserve">I09@2027=0.8 I09@2028=0.5 I09@2029=0.3 I09@2030=0.2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</si>
  <si>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量成長高（</t>
    </r>
    <r>
      <rPr>
        <sz val="11"/>
        <color theme="1"/>
        <rFont val="Calibri"/>
        <family val="2"/>
        <charset val="1"/>
      </rPr>
      <t xml:space="preserve">4.0/1.5/0.9/0.6</t>
    </r>
    <r>
      <rPr>
        <sz val="11"/>
        <color theme="1"/>
        <rFont val="Noto Sans CJK SC"/>
        <family val="2"/>
      </rPr>
      <t xml:space="preserve">）</t>
    </r>
  </si>
  <si>
    <t xml:space="preserve">I09@2027=4.0 I09@2028=1.5 I09@2029=0.9 I09@2030=0.6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</si>
  <si>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單價每年 −</t>
    </r>
    <r>
      <rPr>
        <sz val="11"/>
        <color theme="1"/>
        <rFont val="Calibri"/>
        <family val="2"/>
        <charset val="1"/>
      </rPr>
      <t xml:space="preserve">50%</t>
    </r>
  </si>
  <si>
    <t xml:space="preserve">I08=-0.5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</si>
  <si>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單價持平</t>
    </r>
  </si>
  <si>
    <t xml:space="preserve">I08=0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</si>
  <si>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企業端年化 </t>
    </r>
    <r>
      <rPr>
        <sz val="11"/>
        <color theme="1"/>
        <rFont val="Calibri"/>
        <family val="2"/>
        <charset val="1"/>
      </rPr>
      <t xml:space="preserve">350</t>
    </r>
  </si>
  <si>
    <t xml:space="preserve">I10=350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</si>
  <si>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企業端年化 </t>
    </r>
    <r>
      <rPr>
        <sz val="11"/>
        <color theme="1"/>
        <rFont val="Calibri"/>
        <family val="2"/>
        <charset val="1"/>
      </rPr>
      <t xml:space="preserve">750</t>
    </r>
  </si>
  <si>
    <t xml:space="preserve">I10=750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</si>
  <si>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2027 </t>
    </r>
    <r>
      <rPr>
        <sz val="11"/>
        <color theme="1"/>
        <rFont val="Noto Sans CJK SC"/>
        <family val="2"/>
      </rPr>
      <t xml:space="preserve">起不再成長</t>
    </r>
  </si>
  <si>
    <t xml:space="preserve">I17=0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</si>
  <si>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×0.5</t>
    </r>
  </si>
  <si>
    <t xml:space="preserve">I17=*0.5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</si>
  <si>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×1.5</t>
    </r>
  </si>
  <si>
    <t xml:space="preserve">I17=*1.5</t>
  </si>
  <si>
    <r>
      <rPr>
        <sz val="11"/>
        <color theme="1"/>
        <rFont val="Noto Sans CJK SC"/>
        <family val="2"/>
      </rPr>
      <t xml:space="preserve">模型效率年增 </t>
    </r>
    <r>
      <rPr>
        <sz val="11"/>
        <color theme="1"/>
        <rFont val="Calibri"/>
        <family val="2"/>
        <charset val="1"/>
      </rPr>
      <t xml:space="preserve">15%</t>
    </r>
  </si>
  <si>
    <t xml:space="preserve">I06@2027=2.3 I06@2028=2.645 I06@2029=3.042 I06@2030=3.498</t>
  </si>
  <si>
    <r>
      <rPr>
        <sz val="11"/>
        <color theme="1"/>
        <rFont val="Noto Sans CJK SC"/>
        <family val="2"/>
      </rPr>
      <t xml:space="preserve">模型效率年增 </t>
    </r>
    <r>
      <rPr>
        <sz val="11"/>
        <color theme="1"/>
        <rFont val="Calibri"/>
        <family val="2"/>
        <charset val="1"/>
      </rPr>
      <t xml:space="preserve">50%</t>
    </r>
  </si>
  <si>
    <t xml:space="preserve">I06@2027=3.0 I06@2028=4.5 I06@2029=6.75 I06@2030=10.125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</si>
  <si>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推論效率改善 </t>
    </r>
    <r>
      <rPr>
        <sz val="11"/>
        <color theme="1"/>
        <rFont val="Calibri"/>
        <family val="2"/>
        <charset val="1"/>
      </rPr>
      <t xml:space="preserve">1.0</t>
    </r>
  </si>
  <si>
    <t xml:space="preserve">I29=1.0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</si>
  <si>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推論效率改善 </t>
    </r>
    <r>
      <rPr>
        <sz val="11"/>
        <color theme="1"/>
        <rFont val="Calibri"/>
        <family val="2"/>
        <charset val="1"/>
      </rPr>
      <t xml:space="preserve">2.0</t>
    </r>
  </si>
  <si>
    <t xml:space="preserve">I29=2.0</t>
  </si>
  <si>
    <r>
      <rPr>
        <sz val="11"/>
        <color theme="1"/>
        <rFont val="Noto Sans CJK SC"/>
        <family val="2"/>
      </rPr>
      <t xml:space="preserve">消費端算力比 −</t>
    </r>
    <r>
      <rPr>
        <sz val="11"/>
        <color theme="1"/>
        <rFont val="Calibri"/>
        <family val="2"/>
        <charset val="1"/>
      </rPr>
      <t xml:space="preserve">0.15</t>
    </r>
  </si>
  <si>
    <t xml:space="preserve">I13=+-0.15</t>
  </si>
  <si>
    <r>
      <rPr>
        <sz val="11"/>
        <color theme="1"/>
        <rFont val="Noto Sans CJK SC"/>
        <family val="2"/>
      </rPr>
      <t xml:space="preserve">消費端算力比 </t>
    </r>
    <r>
      <rPr>
        <sz val="11"/>
        <color theme="1"/>
        <rFont val="Calibri"/>
        <family val="2"/>
        <charset val="1"/>
      </rPr>
      <t xml:space="preserve">+0.15</t>
    </r>
  </si>
  <si>
    <t xml:space="preserve">I13=+0.15</t>
  </si>
  <si>
    <r>
      <rPr>
        <sz val="11"/>
        <color theme="1"/>
        <rFont val="Noto Sans CJK SC"/>
        <family val="2"/>
      </rPr>
      <t xml:space="preserve">其他費用率 </t>
    </r>
    <r>
      <rPr>
        <sz val="11"/>
        <color theme="1"/>
        <rFont val="Calibri"/>
        <family val="2"/>
        <charset val="1"/>
      </rPr>
      <t xml:space="preserve">×0.7</t>
    </r>
  </si>
  <si>
    <t xml:space="preserve">I20=*0.7</t>
  </si>
  <si>
    <r>
      <rPr>
        <sz val="11"/>
        <color theme="1"/>
        <rFont val="Noto Sans CJK SC"/>
        <family val="2"/>
      </rPr>
      <t xml:space="preserve">其他費用率 </t>
    </r>
    <r>
      <rPr>
        <sz val="11"/>
        <color theme="1"/>
        <rFont val="Calibri"/>
        <family val="2"/>
        <charset val="1"/>
      </rPr>
      <t xml:space="preserve">×1.3</t>
    </r>
  </si>
  <si>
    <t xml:space="preserve">I20=*1.3</t>
  </si>
  <si>
    <r>
      <rPr>
        <sz val="11"/>
        <color theme="1"/>
        <rFont val="Noto Sans CJK SC"/>
        <family val="2"/>
      </rPr>
      <t xml:space="preserve">員工數 </t>
    </r>
    <r>
      <rPr>
        <sz val="11"/>
        <color theme="1"/>
        <rFont val="Calibri"/>
        <family val="2"/>
        <charset val="1"/>
      </rPr>
      <t xml:space="preserve">×0.8</t>
    </r>
  </si>
  <si>
    <t xml:space="preserve">I18=*0.8</t>
  </si>
  <si>
    <r>
      <rPr>
        <sz val="11"/>
        <color theme="1"/>
        <rFont val="Noto Sans CJK SC"/>
        <family val="2"/>
      </rPr>
      <t xml:space="preserve">員工數 </t>
    </r>
    <r>
      <rPr>
        <sz val="11"/>
        <color theme="1"/>
        <rFont val="Calibri"/>
        <family val="2"/>
        <charset val="1"/>
      </rPr>
      <t xml:space="preserve">×1.3</t>
    </r>
  </si>
  <si>
    <t xml:space="preserve">I18=*1.3</t>
  </si>
  <si>
    <r>
      <rPr>
        <sz val="11"/>
        <color theme="1"/>
        <rFont val="Noto Sans CJK SC"/>
        <family val="2"/>
      </rPr>
      <t xml:space="preserve">層級：低層占 </t>
    </r>
    <r>
      <rPr>
        <sz val="11"/>
        <color theme="1"/>
        <rFont val="Calibri"/>
        <family val="2"/>
        <charset val="1"/>
      </rPr>
      <t xml:space="preserve">30%</t>
    </r>
  </si>
  <si>
    <t xml:space="preserve">I04=0.3</t>
  </si>
  <si>
    <r>
      <rPr>
        <sz val="11"/>
        <color theme="1"/>
        <rFont val="Noto Sans CJK SC"/>
        <family val="2"/>
      </rPr>
      <t xml:space="preserve">層級：低層占 </t>
    </r>
    <r>
      <rPr>
        <sz val="11"/>
        <color theme="1"/>
        <rFont val="Calibri"/>
        <family val="2"/>
        <charset val="1"/>
      </rPr>
      <t xml:space="preserve">90%</t>
    </r>
  </si>
  <si>
    <t xml:space="preserve">I04=0.9</t>
  </si>
  <si>
    <t xml:space="preserve">可轉債全數轉股</t>
  </si>
  <si>
    <t xml:space="preserve">I23=1</t>
  </si>
  <si>
    <r>
      <rPr>
        <sz val="11"/>
        <color theme="1"/>
        <rFont val="Calibri"/>
        <family val="2"/>
        <charset val="1"/>
      </rPr>
      <t xml:space="preserve">M3.1 </t>
    </r>
    <r>
      <rPr>
        <sz val="11"/>
        <color theme="1"/>
        <rFont val="Noto Sans CJK SC"/>
        <family val="2"/>
      </rPr>
      <t xml:space="preserve">降價：不計入（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行為）</t>
    </r>
  </si>
  <si>
    <t xml:space="preserve">I31=0</t>
  </si>
  <si>
    <r>
      <rPr>
        <sz val="11"/>
        <color theme="1"/>
        <rFont val="Calibri"/>
        <family val="2"/>
        <charset val="1"/>
      </rPr>
      <t xml:space="preserve">M3.1 </t>
    </r>
    <r>
      <rPr>
        <sz val="11"/>
        <color theme="1"/>
        <rFont val="Noto Sans CJK SC"/>
        <family val="2"/>
      </rPr>
      <t xml:space="preserve">降價：新價流量 </t>
    </r>
    <r>
      <rPr>
        <sz val="11"/>
        <color theme="1"/>
        <rFont val="Calibri"/>
        <family val="2"/>
        <charset val="1"/>
      </rPr>
      <t xml:space="preserve">50%</t>
    </r>
  </si>
  <si>
    <t xml:space="preserve">I31=0.5</t>
  </si>
  <si>
    <r>
      <rPr>
        <sz val="11"/>
        <color theme="1"/>
        <rFont val="Calibri"/>
        <family val="2"/>
        <charset val="1"/>
      </rPr>
      <t xml:space="preserve">M3.1 </t>
    </r>
    <r>
      <rPr>
        <sz val="11"/>
        <color theme="1"/>
        <rFont val="Noto Sans CJK SC"/>
        <family val="2"/>
      </rPr>
      <t xml:space="preserve">降價：下半年全面 −</t>
    </r>
    <r>
      <rPr>
        <sz val="11"/>
        <color theme="1"/>
        <rFont val="Calibri"/>
        <family val="2"/>
        <charset val="1"/>
      </rPr>
      <t xml:space="preserve">50%</t>
    </r>
  </si>
  <si>
    <t xml:space="preserve">I31=1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</si>
  <si>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$5.5M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證據價）</t>
    </r>
  </si>
  <si>
    <t xml:space="preserve">I02=5.5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</si>
  <si>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$9.2M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H800 </t>
    </r>
    <r>
      <rPr>
        <sz val="11"/>
        <color theme="1"/>
        <rFont val="Noto Sans CJK SC"/>
        <family val="2"/>
      </rPr>
      <t xml:space="preserve">證據價）</t>
    </r>
  </si>
  <si>
    <t xml:space="preserve">I02=9.2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</si>
  <si>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$13.4M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證據價）</t>
    </r>
  </si>
  <si>
    <t xml:space="preserve">I02=13.4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</si>
</sst>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00"/>
    <numFmt numFmtId="166" formatCode="0.000"/>
    <numFmt numFmtId="167" formatCode="0.0%;[RED]\-0.0%"/>
    <numFmt numFmtId="168" formatCode="#,##0.0;[RED]\-#,##0.0"/>
    <numFmt numFmtId="169" formatCode="#,##0.00;[RED]\-#,##0.00"/>
    <numFmt numFmtId="170" formatCode="0.00\x"/>
    <numFmt numFmtId="171" formatCode="#,##0"/>
    <numFmt numFmtId="172" formatCode="0.00"/>
    <numFmt numFmtId="173" formatCode="0"/>
    <numFmt numFmtId="174" formatCode="0.0E+00"/>
    <numFmt numFmtId="175" formatCode="0.0\x"/>
    <numFmt numFmtId="176" formatCode="0.0000"/>
    <numFmt numFmtId="177" formatCode="0.0%"/>
    <numFmt numFmtId="178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0000CC"/>
      <name val="Cambria"/>
      <family val="0"/>
      <charset val="1"/>
    </font>
    <font>
      <sz val="11"/>
      <color rgb="FF0000CC"/>
      <name val="Noto Sans CJK SC"/>
      <family val="2"/>
      <charset val="1"/>
    </font>
    <font>
      <sz val="11"/>
      <color rgb="FF0000CC"/>
      <name val="Noto Sans CJK SC"/>
      <family val="2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sz val="11"/>
      <color rgb="FF007A3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6.5" hidden="false" customHeight="true" outlineLevel="0" collapsed="false">
      <c r="A1" s="2" t="s">
        <v>0</v>
      </c>
    </row>
    <row r="2" customFormat="false" ht="32.25" hidden="false" customHeight="true" outlineLevel="0" collapsed="false">
      <c r="A2" s="3" t="s">
        <v>1</v>
      </c>
    </row>
    <row r="3" customFormat="false" ht="32.2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6.5" hidden="false" customHeight="true" outlineLevel="0" collapsed="false">
      <c r="A5" s="4" t="s">
        <v>3</v>
      </c>
    </row>
    <row r="6" customFormat="false" ht="16.5" hidden="false" customHeight="true" outlineLevel="0" collapsed="false">
      <c r="A6" s="5" t="s">
        <v>4</v>
      </c>
    </row>
    <row r="7" customFormat="false" ht="16.5" hidden="false" customHeight="true" outlineLevel="0" collapsed="false">
      <c r="A7" s="5" t="s">
        <v>5</v>
      </c>
    </row>
    <row r="8" customFormat="false" ht="32.25" hidden="false" customHeight="true" outlineLevel="0" collapsed="false">
      <c r="A8" s="5" t="s">
        <v>6</v>
      </c>
    </row>
    <row r="9" customFormat="false" ht="16.5" hidden="false" customHeight="true" outlineLevel="0" collapsed="false">
      <c r="A9" s="5" t="s">
        <v>7</v>
      </c>
    </row>
    <row r="10" customFormat="false" ht="32.25" hidden="false" customHeight="true" outlineLevel="0" collapsed="false">
      <c r="A10" s="5" t="s">
        <v>8</v>
      </c>
    </row>
    <row r="11" customFormat="false" ht="16.5" hidden="false" customHeight="true" outlineLevel="0" collapsed="false">
      <c r="A11" s="5" t="s">
        <v>9</v>
      </c>
    </row>
    <row r="12" customFormat="false" ht="16.5" hidden="false" customHeight="true" outlineLevel="0" collapsed="false">
      <c r="A12" s="5" t="s">
        <v>10</v>
      </c>
    </row>
    <row r="13" customFormat="false" ht="32.2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5"/>
    </row>
    <row r="15" customFormat="false" ht="16.5" hidden="false" customHeight="true" outlineLevel="0" collapsed="false">
      <c r="A15" s="4" t="s">
        <v>12</v>
      </c>
    </row>
    <row r="16" customFormat="false" ht="16.5" hidden="false" customHeight="true" outlineLevel="0" collapsed="false">
      <c r="A16" s="3" t="s">
        <v>13</v>
      </c>
    </row>
    <row r="17" customFormat="false" ht="16.5" hidden="false" customHeight="true" outlineLevel="0" collapsed="false">
      <c r="A17" s="3" t="s">
        <v>14</v>
      </c>
    </row>
    <row r="18" customFormat="false" ht="16.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5"/>
    </row>
    <row r="20" customFormat="false" ht="16.5" hidden="false" customHeight="true" outlineLevel="0" collapsed="false">
      <c r="A20" s="4" t="s">
        <v>16</v>
      </c>
    </row>
    <row r="21" customFormat="false" ht="16.5" hidden="false" customHeight="true" outlineLevel="0" collapsed="false">
      <c r="A21" s="5" t="s">
        <v>17</v>
      </c>
    </row>
    <row r="22" customFormat="false" ht="32.25" hidden="false" customHeight="true" outlineLevel="0" collapsed="false">
      <c r="A22" s="5" t="s">
        <v>18</v>
      </c>
    </row>
    <row r="23" customFormat="false" ht="32.25" hidden="false" customHeight="true" outlineLevel="0" collapsed="false">
      <c r="A23" s="5" t="s">
        <v>19</v>
      </c>
    </row>
    <row r="24" customFormat="false" ht="16.5" hidden="false" customHeight="true" outlineLevel="0" collapsed="false">
      <c r="A24" s="5" t="s">
        <v>20</v>
      </c>
    </row>
    <row r="25" customFormat="false" ht="32.25" hidden="false" customHeight="true" outlineLevel="0" collapsed="false">
      <c r="A25" s="5" t="s">
        <v>21</v>
      </c>
    </row>
    <row r="26" customFormat="false" ht="16.5" hidden="false" customHeight="true" outlineLevel="0" collapsed="false">
      <c r="A26" s="5" t="s">
        <v>22</v>
      </c>
    </row>
    <row r="27" customFormat="false" ht="32.25" hidden="false" customHeight="true" outlineLevel="0" collapsed="false">
      <c r="A27" s="5" t="s">
        <v>23</v>
      </c>
    </row>
    <row r="28" customFormat="false" ht="32.25" hidden="false" customHeight="true" outlineLevel="0" collapsed="false">
      <c r="A28" s="5" t="s">
        <v>24</v>
      </c>
    </row>
    <row r="29" customFormat="false" ht="32.25" hidden="false" customHeight="true" outlineLevel="0" collapsed="false">
      <c r="A29" s="5" t="s">
        <v>25</v>
      </c>
    </row>
    <row r="30" customFormat="false" ht="15" hidden="false" customHeight="true" outlineLevel="0" collapsed="false">
      <c r="A30" s="5"/>
    </row>
    <row r="31" customFormat="false" ht="32.25" hidden="false" customHeight="true" outlineLevel="0" collapsed="false">
      <c r="A31" s="3" t="s">
        <v>26</v>
      </c>
    </row>
    <row r="32" customFormat="false" ht="16.5" hidden="false" customHeight="true" outlineLevel="0" collapsed="false">
      <c r="A32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70"/>
  </cols>
  <sheetData>
    <row r="1" customFormat="false" ht="16.5" hidden="false" customHeight="true" outlineLevel="0" collapsed="false">
      <c r="A1" s="6" t="s">
        <v>28</v>
      </c>
    </row>
    <row r="2" customFormat="false" ht="16.5" hidden="false" customHeight="true" outlineLevel="0" collapsed="false">
      <c r="A2" s="7" t="s">
        <v>29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16.5" hidden="false" customHeight="true" outlineLevel="0" collapsed="false">
      <c r="A5" s="1" t="s">
        <v>38</v>
      </c>
      <c r="B5" s="7" t="s">
        <v>39</v>
      </c>
      <c r="C5" s="1" t="s">
        <v>40</v>
      </c>
      <c r="D5" s="1" t="s">
        <v>41</v>
      </c>
      <c r="E5" s="10" t="n">
        <v>30.523</v>
      </c>
      <c r="F5" s="1" t="s">
        <v>42</v>
      </c>
      <c r="G5" s="7" t="s">
        <v>43</v>
      </c>
      <c r="H5" s="1" t="s">
        <v>44</v>
      </c>
    </row>
    <row r="6" customFormat="false" ht="16.5" hidden="false" customHeight="true" outlineLevel="0" collapsed="false">
      <c r="A6" s="1" t="s">
        <v>45</v>
      </c>
      <c r="B6" s="7" t="s">
        <v>39</v>
      </c>
      <c r="C6" s="1" t="s">
        <v>46</v>
      </c>
      <c r="D6" s="1" t="s">
        <v>41</v>
      </c>
      <c r="E6" s="10" t="n">
        <v>79.038</v>
      </c>
      <c r="F6" s="1" t="s">
        <v>42</v>
      </c>
      <c r="G6" s="7" t="s">
        <v>43</v>
      </c>
      <c r="H6" s="1" t="s">
        <v>47</v>
      </c>
    </row>
    <row r="7" customFormat="false" ht="16.5" hidden="false" customHeight="true" outlineLevel="0" collapsed="false">
      <c r="A7" s="1" t="s">
        <v>48</v>
      </c>
      <c r="B7" s="7" t="s">
        <v>39</v>
      </c>
      <c r="C7" s="1" t="s">
        <v>49</v>
      </c>
      <c r="D7" s="1" t="s">
        <v>41</v>
      </c>
      <c r="E7" s="10" t="n">
        <v>30.429</v>
      </c>
      <c r="F7" s="1" t="s">
        <v>42</v>
      </c>
      <c r="G7" s="7" t="s">
        <v>43</v>
      </c>
      <c r="H7" s="1" t="s">
        <v>50</v>
      </c>
    </row>
    <row r="8" customFormat="false" ht="16.5" hidden="false" customHeight="true" outlineLevel="0" collapsed="false">
      <c r="A8" s="1" t="s">
        <v>51</v>
      </c>
      <c r="B8" s="7" t="s">
        <v>39</v>
      </c>
      <c r="C8" s="1" t="s">
        <v>52</v>
      </c>
      <c r="D8" s="1" t="s">
        <v>41</v>
      </c>
      <c r="E8" s="10" t="n">
        <v>116.573</v>
      </c>
      <c r="F8" s="1" t="s">
        <v>42</v>
      </c>
      <c r="G8" s="7" t="s">
        <v>43</v>
      </c>
      <c r="H8" s="1" t="s">
        <v>50</v>
      </c>
    </row>
    <row r="9" customFormat="false" ht="16.5" hidden="false" customHeight="true" outlineLevel="0" collapsed="false">
      <c r="A9" s="1" t="s">
        <v>53</v>
      </c>
      <c r="B9" s="1" t="s">
        <v>54</v>
      </c>
      <c r="C9" s="1" t="s">
        <v>46</v>
      </c>
      <c r="D9" s="1" t="s">
        <v>41</v>
      </c>
      <c r="E9" s="10" t="n">
        <v>53.1</v>
      </c>
      <c r="F9" s="1" t="s">
        <v>42</v>
      </c>
      <c r="G9" s="7" t="s">
        <v>43</v>
      </c>
      <c r="H9" s="1" t="s">
        <v>47</v>
      </c>
    </row>
    <row r="10" customFormat="false" ht="16.5" hidden="false" customHeight="true" outlineLevel="0" collapsed="false">
      <c r="A10" s="1" t="s">
        <v>55</v>
      </c>
      <c r="B10" s="7" t="s">
        <v>56</v>
      </c>
      <c r="C10" s="1" t="s">
        <v>46</v>
      </c>
      <c r="D10" s="1" t="s">
        <v>41</v>
      </c>
      <c r="E10" s="10" t="n">
        <v>26</v>
      </c>
      <c r="F10" s="1" t="s">
        <v>42</v>
      </c>
      <c r="G10" s="7" t="s">
        <v>43</v>
      </c>
      <c r="H10" s="1" t="s">
        <v>47</v>
      </c>
    </row>
    <row r="11" customFormat="false" ht="16.5" hidden="false" customHeight="true" outlineLevel="0" collapsed="false">
      <c r="A11" s="1" t="s">
        <v>57</v>
      </c>
      <c r="B11" s="1" t="s">
        <v>54</v>
      </c>
      <c r="C11" s="1" t="s">
        <v>52</v>
      </c>
      <c r="D11" s="1" t="s">
        <v>41</v>
      </c>
      <c r="E11" s="10" t="n">
        <v>42.6</v>
      </c>
      <c r="F11" s="1" t="s">
        <v>42</v>
      </c>
      <c r="G11" s="7" t="s">
        <v>43</v>
      </c>
      <c r="H11" s="1" t="s">
        <v>50</v>
      </c>
    </row>
    <row r="12" customFormat="false" ht="16.5" hidden="false" customHeight="true" outlineLevel="0" collapsed="false">
      <c r="A12" s="1" t="s">
        <v>58</v>
      </c>
      <c r="B12" s="7" t="s">
        <v>56</v>
      </c>
      <c r="C12" s="1" t="s">
        <v>52</v>
      </c>
      <c r="D12" s="1" t="s">
        <v>41</v>
      </c>
      <c r="E12" s="10" t="n">
        <v>73.9</v>
      </c>
      <c r="F12" s="1" t="s">
        <v>42</v>
      </c>
      <c r="G12" s="7" t="s">
        <v>43</v>
      </c>
      <c r="H12" s="1" t="s">
        <v>50</v>
      </c>
    </row>
    <row r="13" customFormat="false" ht="16.5" hidden="false" customHeight="true" outlineLevel="0" collapsed="false">
      <c r="A13" s="1" t="s">
        <v>59</v>
      </c>
      <c r="B13" s="1" t="s">
        <v>60</v>
      </c>
      <c r="C13" s="1" t="s">
        <v>61</v>
      </c>
      <c r="D13" s="1" t="s">
        <v>41</v>
      </c>
      <c r="E13" s="10" t="n">
        <v>38.02</v>
      </c>
      <c r="F13" s="1" t="s">
        <v>42</v>
      </c>
      <c r="G13" s="7" t="s">
        <v>43</v>
      </c>
      <c r="H13" s="1" t="s">
        <v>44</v>
      </c>
    </row>
    <row r="14" customFormat="false" ht="16.5" hidden="false" customHeight="true" outlineLevel="0" collapsed="false">
      <c r="A14" s="1" t="s">
        <v>62</v>
      </c>
      <c r="B14" s="7" t="s">
        <v>63</v>
      </c>
      <c r="C14" s="1" t="s">
        <v>61</v>
      </c>
      <c r="D14" s="1" t="s">
        <v>41</v>
      </c>
      <c r="E14" s="10" t="n">
        <v>15.417</v>
      </c>
      <c r="F14" s="1" t="s">
        <v>42</v>
      </c>
      <c r="G14" s="7" t="s">
        <v>43</v>
      </c>
      <c r="H14" s="1" t="s">
        <v>44</v>
      </c>
    </row>
    <row r="15" customFormat="false" ht="16.5" hidden="false" customHeight="true" outlineLevel="0" collapsed="false">
      <c r="A15" s="1" t="s">
        <v>64</v>
      </c>
      <c r="B15" s="1" t="s">
        <v>65</v>
      </c>
      <c r="C15" s="1" t="s">
        <v>61</v>
      </c>
      <c r="D15" s="1" t="s">
        <v>41</v>
      </c>
      <c r="E15" s="10" t="n">
        <v>18.75</v>
      </c>
      <c r="F15" s="1" t="s">
        <v>42</v>
      </c>
      <c r="G15" s="7" t="s">
        <v>43</v>
      </c>
      <c r="H15" s="1" t="s">
        <v>44</v>
      </c>
    </row>
    <row r="16" customFormat="false" ht="16.5" hidden="false" customHeight="true" outlineLevel="0" collapsed="false">
      <c r="A16" s="1" t="s">
        <v>66</v>
      </c>
      <c r="B16" s="7" t="s">
        <v>67</v>
      </c>
      <c r="C16" s="1" t="s">
        <v>61</v>
      </c>
      <c r="D16" s="1" t="s">
        <v>41</v>
      </c>
      <c r="E16" s="10" t="n">
        <v>17.464</v>
      </c>
      <c r="F16" s="1" t="s">
        <v>42</v>
      </c>
      <c r="G16" s="7" t="s">
        <v>43</v>
      </c>
      <c r="H16" s="1" t="s">
        <v>44</v>
      </c>
    </row>
    <row r="17" customFormat="false" ht="16.5" hidden="false" customHeight="true" outlineLevel="0" collapsed="false">
      <c r="A17" s="1" t="s">
        <v>68</v>
      </c>
      <c r="B17" s="1" t="s">
        <v>69</v>
      </c>
      <c r="C17" s="1" t="s">
        <v>61</v>
      </c>
      <c r="D17" s="1" t="s">
        <v>41</v>
      </c>
      <c r="E17" s="10" t="n">
        <v>1.806</v>
      </c>
      <c r="F17" s="1" t="s">
        <v>42</v>
      </c>
      <c r="G17" s="7" t="s">
        <v>43</v>
      </c>
      <c r="H17" s="1" t="s">
        <v>70</v>
      </c>
    </row>
    <row r="18" customFormat="false" ht="16.5" hidden="false" customHeight="true" outlineLevel="0" collapsed="false">
      <c r="A18" s="1" t="s">
        <v>71</v>
      </c>
      <c r="B18" s="1" t="s">
        <v>72</v>
      </c>
      <c r="C18" s="1" t="s">
        <v>61</v>
      </c>
      <c r="D18" s="1" t="s">
        <v>41</v>
      </c>
      <c r="E18" s="10" t="n">
        <v>11.188</v>
      </c>
      <c r="F18" s="1" t="s">
        <v>42</v>
      </c>
      <c r="G18" s="7" t="s">
        <v>43</v>
      </c>
      <c r="H18" s="1" t="s">
        <v>44</v>
      </c>
    </row>
    <row r="19" customFormat="false" ht="16.5" hidden="false" customHeight="true" outlineLevel="0" collapsed="false">
      <c r="A19" s="1" t="s">
        <v>73</v>
      </c>
      <c r="B19" s="1" t="s">
        <v>74</v>
      </c>
      <c r="C19" s="1" t="s">
        <v>61</v>
      </c>
      <c r="D19" s="1" t="s">
        <v>41</v>
      </c>
      <c r="E19" s="10" t="n">
        <v>22.157</v>
      </c>
      <c r="F19" s="1" t="s">
        <v>42</v>
      </c>
      <c r="G19" s="7" t="s">
        <v>43</v>
      </c>
      <c r="H19" s="1" t="s">
        <v>44</v>
      </c>
    </row>
    <row r="20" customFormat="false" ht="16.5" hidden="false" customHeight="true" outlineLevel="0" collapsed="false">
      <c r="A20" s="1" t="s">
        <v>75</v>
      </c>
      <c r="B20" s="1" t="s">
        <v>76</v>
      </c>
      <c r="C20" s="1" t="s">
        <v>61</v>
      </c>
      <c r="D20" s="1" t="s">
        <v>41</v>
      </c>
      <c r="E20" s="10" t="n">
        <v>4.675</v>
      </c>
      <c r="F20" s="1" t="s">
        <v>42</v>
      </c>
      <c r="G20" s="7" t="s">
        <v>43</v>
      </c>
      <c r="H20" s="1" t="s">
        <v>44</v>
      </c>
    </row>
    <row r="21" customFormat="false" ht="16.5" hidden="false" customHeight="true" outlineLevel="0" collapsed="false">
      <c r="A21" s="1" t="s">
        <v>77</v>
      </c>
      <c r="B21" s="7" t="s">
        <v>78</v>
      </c>
      <c r="C21" s="1" t="s">
        <v>61</v>
      </c>
      <c r="D21" s="7" t="s">
        <v>79</v>
      </c>
      <c r="E21" s="10" t="n">
        <v>0.047</v>
      </c>
      <c r="F21" s="1" t="s">
        <v>80</v>
      </c>
      <c r="G21" s="7" t="s">
        <v>81</v>
      </c>
      <c r="H21" s="7" t="s">
        <v>82</v>
      </c>
    </row>
    <row r="22" customFormat="false" ht="16.5" hidden="false" customHeight="true" outlineLevel="0" collapsed="false">
      <c r="A22" s="1" t="s">
        <v>83</v>
      </c>
      <c r="B22" s="7" t="s">
        <v>84</v>
      </c>
      <c r="C22" s="1" t="s">
        <v>61</v>
      </c>
      <c r="D22" s="7" t="s">
        <v>79</v>
      </c>
      <c r="E22" s="10" t="n">
        <v>0.694</v>
      </c>
      <c r="F22" s="1" t="s">
        <v>80</v>
      </c>
      <c r="G22" s="7" t="s">
        <v>81</v>
      </c>
      <c r="H22" s="7" t="s">
        <v>82</v>
      </c>
    </row>
    <row r="23" customFormat="false" ht="16.5" hidden="false" customHeight="true" outlineLevel="0" collapsed="false">
      <c r="A23" s="1" t="s">
        <v>85</v>
      </c>
      <c r="B23" s="7" t="s">
        <v>86</v>
      </c>
      <c r="C23" s="1" t="s">
        <v>46</v>
      </c>
      <c r="D23" s="1" t="s">
        <v>41</v>
      </c>
      <c r="E23" s="10" t="n">
        <v>58.959</v>
      </c>
      <c r="F23" s="1" t="s">
        <v>42</v>
      </c>
      <c r="G23" s="7" t="s">
        <v>43</v>
      </c>
      <c r="H23" s="1" t="s">
        <v>47</v>
      </c>
    </row>
    <row r="24" customFormat="false" ht="16.5" hidden="false" customHeight="true" outlineLevel="0" collapsed="false">
      <c r="A24" s="1" t="s">
        <v>87</v>
      </c>
      <c r="B24" s="7" t="s">
        <v>86</v>
      </c>
      <c r="C24" s="1" t="s">
        <v>52</v>
      </c>
      <c r="D24" s="1" t="s">
        <v>41</v>
      </c>
      <c r="E24" s="10" t="n">
        <v>95.76</v>
      </c>
      <c r="F24" s="1" t="s">
        <v>42</v>
      </c>
      <c r="G24" s="7" t="s">
        <v>43</v>
      </c>
      <c r="H24" s="1" t="s">
        <v>50</v>
      </c>
    </row>
    <row r="25" customFormat="false" ht="16.5" hidden="false" customHeight="true" outlineLevel="0" collapsed="false">
      <c r="A25" s="1" t="s">
        <v>88</v>
      </c>
      <c r="B25" s="7" t="s">
        <v>89</v>
      </c>
      <c r="C25" s="1" t="s">
        <v>46</v>
      </c>
      <c r="D25" s="1" t="s">
        <v>41</v>
      </c>
      <c r="E25" s="10" t="n">
        <v>51.896</v>
      </c>
      <c r="F25" s="1" t="s">
        <v>42</v>
      </c>
      <c r="G25" s="7" t="s">
        <v>43</v>
      </c>
      <c r="H25" s="1" t="s">
        <v>47</v>
      </c>
    </row>
    <row r="26" customFormat="false" ht="16.5" hidden="false" customHeight="true" outlineLevel="0" collapsed="false">
      <c r="A26" s="1" t="s">
        <v>90</v>
      </c>
      <c r="B26" s="7" t="s">
        <v>91</v>
      </c>
      <c r="C26" s="1" t="s">
        <v>46</v>
      </c>
      <c r="D26" s="1" t="s">
        <v>41</v>
      </c>
      <c r="E26" s="10" t="n">
        <v>36.813</v>
      </c>
      <c r="F26" s="1" t="s">
        <v>42</v>
      </c>
      <c r="G26" s="7" t="s">
        <v>43</v>
      </c>
      <c r="H26" s="1" t="s">
        <v>47</v>
      </c>
    </row>
    <row r="27" customFormat="false" ht="16.5" hidden="false" customHeight="true" outlineLevel="0" collapsed="false">
      <c r="A27" s="1" t="s">
        <v>92</v>
      </c>
      <c r="B27" s="7" t="s">
        <v>93</v>
      </c>
      <c r="C27" s="1" t="s">
        <v>46</v>
      </c>
      <c r="D27" s="1" t="s">
        <v>41</v>
      </c>
      <c r="E27" s="10" t="n">
        <v>252.771</v>
      </c>
      <c r="F27" s="1" t="s">
        <v>42</v>
      </c>
      <c r="G27" s="7" t="s">
        <v>43</v>
      </c>
      <c r="H27" s="1" t="s">
        <v>47</v>
      </c>
    </row>
    <row r="28" customFormat="false" ht="16.5" hidden="false" customHeight="true" outlineLevel="0" collapsed="false">
      <c r="A28" s="1" t="s">
        <v>94</v>
      </c>
      <c r="B28" s="7" t="s">
        <v>89</v>
      </c>
      <c r="C28" s="1" t="s">
        <v>52</v>
      </c>
      <c r="D28" s="1" t="s">
        <v>41</v>
      </c>
      <c r="E28" s="10" t="n">
        <v>26.973</v>
      </c>
      <c r="F28" s="1" t="s">
        <v>42</v>
      </c>
      <c r="G28" s="7" t="s">
        <v>43</v>
      </c>
      <c r="H28" s="1" t="s">
        <v>50</v>
      </c>
    </row>
    <row r="29" customFormat="false" ht="16.5" hidden="false" customHeight="true" outlineLevel="0" collapsed="false">
      <c r="A29" s="1" t="s">
        <v>95</v>
      </c>
      <c r="B29" s="7" t="s">
        <v>91</v>
      </c>
      <c r="C29" s="1" t="s">
        <v>52</v>
      </c>
      <c r="D29" s="1" t="s">
        <v>41</v>
      </c>
      <c r="E29" s="10" t="n">
        <v>30.23</v>
      </c>
      <c r="F29" s="1" t="s">
        <v>42</v>
      </c>
      <c r="G29" s="7" t="s">
        <v>43</v>
      </c>
      <c r="H29" s="1" t="s">
        <v>50</v>
      </c>
    </row>
    <row r="30" customFormat="false" ht="16.5" hidden="false" customHeight="true" outlineLevel="0" collapsed="false">
      <c r="A30" s="1" t="s">
        <v>96</v>
      </c>
      <c r="B30" s="7" t="s">
        <v>93</v>
      </c>
      <c r="C30" s="1" t="s">
        <v>52</v>
      </c>
      <c r="D30" s="1" t="s">
        <v>41</v>
      </c>
      <c r="E30" s="10" t="n">
        <v>296.87</v>
      </c>
      <c r="F30" s="1" t="s">
        <v>42</v>
      </c>
      <c r="G30" s="7" t="s">
        <v>43</v>
      </c>
      <c r="H30" s="1" t="s">
        <v>50</v>
      </c>
    </row>
    <row r="31" customFormat="false" ht="16.5" hidden="false" customHeight="true" outlineLevel="0" collapsed="false">
      <c r="A31" s="1" t="s">
        <v>97</v>
      </c>
      <c r="B31" s="7" t="s">
        <v>98</v>
      </c>
      <c r="C31" s="1" t="s">
        <v>46</v>
      </c>
      <c r="D31" s="1" t="s">
        <v>41</v>
      </c>
      <c r="E31" s="10" t="n">
        <v>194.2</v>
      </c>
      <c r="F31" s="1" t="s">
        <v>42</v>
      </c>
      <c r="G31" s="7" t="s">
        <v>43</v>
      </c>
      <c r="H31" s="1" t="s">
        <v>47</v>
      </c>
    </row>
    <row r="32" customFormat="false" ht="16.5" hidden="false" customHeight="true" outlineLevel="0" collapsed="false">
      <c r="A32" s="1" t="s">
        <v>99</v>
      </c>
      <c r="B32" s="7" t="s">
        <v>100</v>
      </c>
      <c r="C32" s="1" t="s">
        <v>46</v>
      </c>
      <c r="D32" s="1" t="s">
        <v>41</v>
      </c>
      <c r="E32" s="10" t="n">
        <v>84.3</v>
      </c>
      <c r="F32" s="1" t="s">
        <v>42</v>
      </c>
      <c r="G32" s="7" t="s">
        <v>43</v>
      </c>
      <c r="H32" s="1" t="s">
        <v>47</v>
      </c>
    </row>
    <row r="33" customFormat="false" ht="16.5" hidden="false" customHeight="true" outlineLevel="0" collapsed="false">
      <c r="A33" s="1" t="s">
        <v>101</v>
      </c>
      <c r="B33" s="7" t="s">
        <v>100</v>
      </c>
      <c r="C33" s="1" t="s">
        <v>52</v>
      </c>
      <c r="D33" s="1" t="s">
        <v>41</v>
      </c>
      <c r="E33" s="10" t="n">
        <v>68.9</v>
      </c>
      <c r="F33" s="1" t="s">
        <v>42</v>
      </c>
      <c r="G33" s="7" t="s">
        <v>43</v>
      </c>
      <c r="H33" s="1" t="s">
        <v>50</v>
      </c>
    </row>
    <row r="34" customFormat="false" ht="16.5" hidden="false" customHeight="true" outlineLevel="0" collapsed="false">
      <c r="A34" s="1" t="s">
        <v>102</v>
      </c>
      <c r="B34" s="7" t="s">
        <v>103</v>
      </c>
      <c r="C34" s="1" t="s">
        <v>46</v>
      </c>
      <c r="D34" s="1" t="s">
        <v>41</v>
      </c>
      <c r="E34" s="10" t="n">
        <v>24.031</v>
      </c>
      <c r="F34" s="1" t="s">
        <v>42</v>
      </c>
      <c r="G34" s="7" t="s">
        <v>43</v>
      </c>
      <c r="H34" s="1" t="s">
        <v>47</v>
      </c>
    </row>
    <row r="35" customFormat="false" ht="16.5" hidden="false" customHeight="true" outlineLevel="0" collapsed="false">
      <c r="A35" s="1" t="s">
        <v>104</v>
      </c>
      <c r="B35" s="7" t="s">
        <v>103</v>
      </c>
      <c r="C35" s="1" t="s">
        <v>52</v>
      </c>
      <c r="D35" s="1" t="s">
        <v>41</v>
      </c>
      <c r="E35" s="10" t="n">
        <v>28.208</v>
      </c>
      <c r="F35" s="1" t="s">
        <v>42</v>
      </c>
      <c r="G35" s="7" t="s">
        <v>43</v>
      </c>
      <c r="H35" s="1" t="s">
        <v>50</v>
      </c>
    </row>
    <row r="36" customFormat="false" ht="16.5" hidden="false" customHeight="true" outlineLevel="0" collapsed="false">
      <c r="A36" s="1" t="s">
        <v>105</v>
      </c>
      <c r="B36" s="7" t="s">
        <v>106</v>
      </c>
      <c r="C36" s="1" t="s">
        <v>46</v>
      </c>
      <c r="D36" s="1" t="s">
        <v>41</v>
      </c>
      <c r="E36" s="10" t="n">
        <v>40.369</v>
      </c>
      <c r="F36" s="1" t="s">
        <v>42</v>
      </c>
      <c r="G36" s="7" t="s">
        <v>43</v>
      </c>
      <c r="H36" s="1" t="s">
        <v>47</v>
      </c>
    </row>
    <row r="37" customFormat="false" ht="16.5" hidden="false" customHeight="true" outlineLevel="0" collapsed="false">
      <c r="A37" s="1" t="s">
        <v>107</v>
      </c>
      <c r="B37" s="7" t="s">
        <v>108</v>
      </c>
      <c r="C37" s="1" t="s">
        <v>52</v>
      </c>
      <c r="D37" s="1" t="s">
        <v>41</v>
      </c>
      <c r="E37" s="10" t="n">
        <v>8.039</v>
      </c>
      <c r="F37" s="1" t="s">
        <v>42</v>
      </c>
      <c r="G37" s="7" t="s">
        <v>43</v>
      </c>
      <c r="H37" s="1" t="s">
        <v>50</v>
      </c>
    </row>
    <row r="38" customFormat="false" ht="16.5" hidden="false" customHeight="true" outlineLevel="0" collapsed="false">
      <c r="A38" s="1" t="s">
        <v>109</v>
      </c>
      <c r="B38" s="7" t="s">
        <v>110</v>
      </c>
      <c r="C38" s="1" t="s">
        <v>46</v>
      </c>
      <c r="D38" s="1" t="s">
        <v>41</v>
      </c>
      <c r="E38" s="10" t="n">
        <v>250.856</v>
      </c>
      <c r="F38" s="1" t="s">
        <v>42</v>
      </c>
      <c r="G38" s="7" t="s">
        <v>43</v>
      </c>
      <c r="H38" s="1" t="s">
        <v>47</v>
      </c>
    </row>
    <row r="39" customFormat="false" ht="16.5" hidden="false" customHeight="true" outlineLevel="0" collapsed="false">
      <c r="A39" s="1" t="s">
        <v>111</v>
      </c>
      <c r="B39" s="7" t="s">
        <v>110</v>
      </c>
      <c r="C39" s="1" t="s">
        <v>52</v>
      </c>
      <c r="D39" s="1" t="s">
        <v>41</v>
      </c>
      <c r="E39" s="10" t="n">
        <v>293.031</v>
      </c>
      <c r="F39" s="1" t="s">
        <v>42</v>
      </c>
      <c r="G39" s="7" t="s">
        <v>43</v>
      </c>
      <c r="H39" s="1" t="s">
        <v>50</v>
      </c>
    </row>
    <row r="40" customFormat="false" ht="16.5" hidden="false" customHeight="true" outlineLevel="0" collapsed="false">
      <c r="A40" s="1" t="s">
        <v>112</v>
      </c>
      <c r="B40" s="7" t="s">
        <v>113</v>
      </c>
      <c r="C40" s="1" t="s">
        <v>46</v>
      </c>
      <c r="D40" s="1" t="s">
        <v>41</v>
      </c>
      <c r="E40" s="10" t="n">
        <v>1871.617</v>
      </c>
      <c r="F40" s="1" t="s">
        <v>42</v>
      </c>
      <c r="G40" s="7" t="s">
        <v>43</v>
      </c>
      <c r="H40" s="1" t="s">
        <v>47</v>
      </c>
    </row>
    <row r="41" customFormat="false" ht="16.5" hidden="false" customHeight="true" outlineLevel="0" collapsed="false">
      <c r="A41" s="1" t="s">
        <v>114</v>
      </c>
      <c r="B41" s="7" t="s">
        <v>115</v>
      </c>
      <c r="C41" s="1" t="s">
        <v>46</v>
      </c>
      <c r="D41" s="1" t="s">
        <v>41</v>
      </c>
      <c r="E41" s="10" t="n">
        <v>6.88</v>
      </c>
      <c r="F41" s="1" t="s">
        <v>42</v>
      </c>
      <c r="G41" s="7" t="s">
        <v>43</v>
      </c>
      <c r="H41" s="1" t="s">
        <v>47</v>
      </c>
    </row>
    <row r="42" customFormat="false" ht="16.5" hidden="false" customHeight="true" outlineLevel="0" collapsed="false">
      <c r="A42" s="1" t="s">
        <v>116</v>
      </c>
      <c r="B42" s="7" t="s">
        <v>117</v>
      </c>
      <c r="C42" s="1" t="s">
        <v>118</v>
      </c>
      <c r="D42" s="7" t="s">
        <v>119</v>
      </c>
      <c r="E42" s="10" t="n">
        <v>428</v>
      </c>
      <c r="F42" s="1" t="s">
        <v>42</v>
      </c>
      <c r="G42" s="7" t="s">
        <v>43</v>
      </c>
      <c r="H42" s="1" t="s">
        <v>47</v>
      </c>
    </row>
    <row r="43" customFormat="false" ht="16.5" hidden="false" customHeight="true" outlineLevel="0" collapsed="false">
      <c r="A43" s="1" t="s">
        <v>120</v>
      </c>
      <c r="B43" s="7" t="s">
        <v>117</v>
      </c>
      <c r="C43" s="1" t="s">
        <v>121</v>
      </c>
      <c r="D43" s="7" t="s">
        <v>119</v>
      </c>
      <c r="E43" s="10" t="n">
        <v>568</v>
      </c>
      <c r="F43" s="1" t="s">
        <v>42</v>
      </c>
      <c r="G43" s="7" t="s">
        <v>43</v>
      </c>
      <c r="H43" s="1" t="s">
        <v>50</v>
      </c>
    </row>
    <row r="44" customFormat="false" ht="16.5" hidden="false" customHeight="true" outlineLevel="0" collapsed="false">
      <c r="A44" s="1" t="s">
        <v>122</v>
      </c>
      <c r="B44" s="7" t="s">
        <v>123</v>
      </c>
      <c r="C44" s="1" t="s">
        <v>118</v>
      </c>
      <c r="D44" s="1" t="s">
        <v>41</v>
      </c>
      <c r="E44" s="10" t="n">
        <v>1050.3</v>
      </c>
      <c r="F44" s="1" t="s">
        <v>42</v>
      </c>
      <c r="G44" s="7" t="s">
        <v>43</v>
      </c>
      <c r="H44" s="1" t="s">
        <v>47</v>
      </c>
    </row>
    <row r="45" customFormat="false" ht="16.5" hidden="false" customHeight="true" outlineLevel="0" collapsed="false">
      <c r="A45" s="1" t="s">
        <v>124</v>
      </c>
      <c r="B45" s="7" t="s">
        <v>125</v>
      </c>
      <c r="C45" s="1" t="s">
        <v>121</v>
      </c>
      <c r="D45" s="1" t="s">
        <v>41</v>
      </c>
      <c r="E45" s="10" t="n">
        <v>1322.8</v>
      </c>
      <c r="F45" s="1" t="s">
        <v>42</v>
      </c>
      <c r="G45" s="7" t="s">
        <v>43</v>
      </c>
      <c r="H45" s="1" t="s">
        <v>50</v>
      </c>
    </row>
    <row r="46" customFormat="false" ht="16.5" hidden="false" customHeight="true" outlineLevel="0" collapsed="false">
      <c r="A46" s="1" t="s">
        <v>126</v>
      </c>
      <c r="B46" s="1" t="s">
        <v>127</v>
      </c>
      <c r="C46" s="1" t="s">
        <v>128</v>
      </c>
      <c r="D46" s="1" t="s">
        <v>129</v>
      </c>
      <c r="E46" s="10" t="n">
        <v>5293.4</v>
      </c>
      <c r="F46" s="1" t="s">
        <v>42</v>
      </c>
      <c r="G46" s="7" t="s">
        <v>43</v>
      </c>
      <c r="H46" s="7" t="s">
        <v>130</v>
      </c>
    </row>
    <row r="47" customFormat="false" ht="16.5" hidden="false" customHeight="true" outlineLevel="0" collapsed="false">
      <c r="A47" s="1" t="s">
        <v>131</v>
      </c>
      <c r="B47" s="7" t="s">
        <v>132</v>
      </c>
      <c r="C47" s="1" t="s">
        <v>133</v>
      </c>
      <c r="D47" s="1" t="s">
        <v>129</v>
      </c>
      <c r="E47" s="10" t="n">
        <v>9443.7</v>
      </c>
      <c r="F47" s="1" t="s">
        <v>42</v>
      </c>
      <c r="G47" s="7" t="s">
        <v>43</v>
      </c>
      <c r="H47" s="1" t="s">
        <v>134</v>
      </c>
    </row>
    <row r="48" customFormat="false" ht="16.5" hidden="false" customHeight="true" outlineLevel="0" collapsed="false">
      <c r="A48" s="1" t="s">
        <v>135</v>
      </c>
      <c r="B48" s="7" t="s">
        <v>136</v>
      </c>
      <c r="C48" s="1" t="s">
        <v>137</v>
      </c>
      <c r="D48" s="1" t="s">
        <v>129</v>
      </c>
      <c r="E48" s="10" t="n">
        <v>6500</v>
      </c>
      <c r="F48" s="1" t="s">
        <v>42</v>
      </c>
      <c r="G48" s="7" t="s">
        <v>43</v>
      </c>
      <c r="H48" s="1" t="s">
        <v>134</v>
      </c>
    </row>
    <row r="49" customFormat="false" ht="16.5" hidden="false" customHeight="true" outlineLevel="0" collapsed="false">
      <c r="A49" s="1" t="s">
        <v>138</v>
      </c>
      <c r="B49" s="7" t="s">
        <v>139</v>
      </c>
      <c r="C49" s="1" t="s">
        <v>137</v>
      </c>
      <c r="D49" s="1" t="s">
        <v>129</v>
      </c>
      <c r="E49" s="10" t="n">
        <v>6433.3</v>
      </c>
      <c r="F49" s="1" t="s">
        <v>42</v>
      </c>
      <c r="G49" s="7" t="s">
        <v>43</v>
      </c>
      <c r="H49" s="1" t="s">
        <v>134</v>
      </c>
    </row>
    <row r="50" customFormat="false" ht="16.5" hidden="false" customHeight="true" outlineLevel="0" collapsed="false">
      <c r="A50" s="1" t="s">
        <v>140</v>
      </c>
      <c r="B50" s="7" t="s">
        <v>141</v>
      </c>
      <c r="C50" s="1" t="s">
        <v>142</v>
      </c>
      <c r="D50" s="1" t="s">
        <v>143</v>
      </c>
      <c r="E50" s="10" t="n">
        <v>335</v>
      </c>
      <c r="F50" s="1" t="s">
        <v>42</v>
      </c>
      <c r="G50" s="7" t="s">
        <v>43</v>
      </c>
      <c r="H50" s="1" t="s">
        <v>134</v>
      </c>
    </row>
    <row r="51" customFormat="false" ht="16.5" hidden="false" customHeight="true" outlineLevel="0" collapsed="false">
      <c r="A51" s="1" t="s">
        <v>144</v>
      </c>
      <c r="B51" s="7" t="s">
        <v>145</v>
      </c>
      <c r="C51" s="1" t="s">
        <v>118</v>
      </c>
      <c r="D51" s="1" t="s">
        <v>41</v>
      </c>
      <c r="E51" s="10" t="n">
        <v>35.452</v>
      </c>
      <c r="F51" s="1" t="s">
        <v>42</v>
      </c>
      <c r="G51" s="7" t="s">
        <v>43</v>
      </c>
      <c r="H51" s="1" t="s">
        <v>47</v>
      </c>
    </row>
    <row r="52" customFormat="false" ht="16.5" hidden="false" customHeight="true" outlineLevel="0" collapsed="false">
      <c r="A52" s="1" t="s">
        <v>146</v>
      </c>
      <c r="B52" s="7" t="s">
        <v>145</v>
      </c>
      <c r="C52" s="1" t="s">
        <v>121</v>
      </c>
      <c r="D52" s="1" t="s">
        <v>41</v>
      </c>
      <c r="E52" s="10" t="n">
        <v>133.555</v>
      </c>
      <c r="F52" s="1" t="s">
        <v>42</v>
      </c>
      <c r="G52" s="7" t="s">
        <v>43</v>
      </c>
      <c r="H52" s="1" t="s">
        <v>50</v>
      </c>
    </row>
    <row r="53" customFormat="false" ht="16.5" hidden="false" customHeight="true" outlineLevel="0" collapsed="false">
      <c r="A53" s="1" t="s">
        <v>147</v>
      </c>
      <c r="B53" s="7" t="s">
        <v>148</v>
      </c>
      <c r="C53" s="1" t="s">
        <v>118</v>
      </c>
      <c r="D53" s="1" t="s">
        <v>41</v>
      </c>
      <c r="E53" s="10" t="n">
        <v>18.8</v>
      </c>
      <c r="F53" s="1" t="s">
        <v>42</v>
      </c>
      <c r="G53" s="7" t="s">
        <v>43</v>
      </c>
      <c r="H53" s="1" t="s">
        <v>47</v>
      </c>
    </row>
    <row r="54" customFormat="false" ht="16.5" hidden="false" customHeight="true" outlineLevel="0" collapsed="false">
      <c r="A54" s="1" t="s">
        <v>149</v>
      </c>
      <c r="B54" s="7" t="s">
        <v>150</v>
      </c>
      <c r="C54" s="1" t="s">
        <v>121</v>
      </c>
      <c r="D54" s="1" t="s">
        <v>41</v>
      </c>
      <c r="E54" s="10" t="n">
        <v>341.1</v>
      </c>
      <c r="F54" s="1" t="s">
        <v>42</v>
      </c>
      <c r="G54" s="7" t="s">
        <v>43</v>
      </c>
      <c r="H54" s="1" t="s">
        <v>151</v>
      </c>
    </row>
    <row r="55" customFormat="false" ht="16.5" hidden="false" customHeight="true" outlineLevel="0" collapsed="false">
      <c r="A55" s="1" t="s">
        <v>152</v>
      </c>
      <c r="B55" s="7" t="s">
        <v>153</v>
      </c>
      <c r="C55" s="1" t="s">
        <v>133</v>
      </c>
      <c r="D55" s="1" t="s">
        <v>154</v>
      </c>
      <c r="E55" s="10" t="n">
        <v>349.235308</v>
      </c>
      <c r="F55" s="1" t="s">
        <v>42</v>
      </c>
      <c r="G55" s="7" t="s">
        <v>43</v>
      </c>
      <c r="H55" s="1" t="s">
        <v>50</v>
      </c>
    </row>
    <row r="56" customFormat="false" ht="16.5" hidden="false" customHeight="true" outlineLevel="0" collapsed="false">
      <c r="A56" s="1" t="s">
        <v>155</v>
      </c>
      <c r="B56" s="7" t="s">
        <v>156</v>
      </c>
      <c r="C56" s="1" t="s">
        <v>157</v>
      </c>
      <c r="D56" s="1" t="s">
        <v>129</v>
      </c>
      <c r="E56" s="10" t="n">
        <v>76150</v>
      </c>
      <c r="F56" s="1" t="s">
        <v>42</v>
      </c>
      <c r="G56" s="7" t="s">
        <v>158</v>
      </c>
      <c r="H56" s="1" t="s">
        <v>159</v>
      </c>
    </row>
    <row r="57" customFormat="false" ht="16.5" hidden="false" customHeight="true" outlineLevel="0" collapsed="false">
      <c r="A57" s="1" t="s">
        <v>160</v>
      </c>
      <c r="B57" s="1" t="s">
        <v>161</v>
      </c>
      <c r="C57" s="1" t="s">
        <v>162</v>
      </c>
      <c r="D57" s="1" t="s">
        <v>41</v>
      </c>
      <c r="E57" s="10" t="n">
        <v>800</v>
      </c>
      <c r="F57" s="1" t="s">
        <v>80</v>
      </c>
      <c r="G57" s="7" t="s">
        <v>163</v>
      </c>
      <c r="H57" s="7" t="s">
        <v>164</v>
      </c>
    </row>
    <row r="58" customFormat="false" ht="16.5" hidden="false" customHeight="true" outlineLevel="0" collapsed="false">
      <c r="A58" s="1" t="s">
        <v>165</v>
      </c>
      <c r="B58" s="1" t="s">
        <v>166</v>
      </c>
      <c r="C58" s="1" t="s">
        <v>162</v>
      </c>
      <c r="D58" s="7" t="s">
        <v>79</v>
      </c>
      <c r="E58" s="10" t="n">
        <v>0.8</v>
      </c>
      <c r="F58" s="1" t="s">
        <v>80</v>
      </c>
      <c r="G58" s="7" t="s">
        <v>163</v>
      </c>
      <c r="H58" s="7" t="s">
        <v>167</v>
      </c>
    </row>
    <row r="59" customFormat="false" ht="16.5" hidden="false" customHeight="true" outlineLevel="0" collapsed="false">
      <c r="A59" s="1" t="s">
        <v>168</v>
      </c>
      <c r="B59" s="1" t="s">
        <v>169</v>
      </c>
      <c r="C59" s="1" t="s">
        <v>142</v>
      </c>
      <c r="D59" s="7" t="s">
        <v>170</v>
      </c>
      <c r="E59" s="10" t="n">
        <v>20</v>
      </c>
      <c r="F59" s="1" t="s">
        <v>80</v>
      </c>
      <c r="G59" s="7" t="s">
        <v>43</v>
      </c>
      <c r="H59" s="1" t="s">
        <v>171</v>
      </c>
    </row>
    <row r="60" customFormat="false" ht="16.5" hidden="false" customHeight="true" outlineLevel="0" collapsed="false">
      <c r="A60" s="1" t="s">
        <v>172</v>
      </c>
      <c r="B60" s="1" t="s">
        <v>173</v>
      </c>
      <c r="C60" s="1" t="s">
        <v>174</v>
      </c>
      <c r="D60" s="1" t="s">
        <v>175</v>
      </c>
      <c r="E60" s="10" t="n">
        <v>0.3</v>
      </c>
      <c r="F60" s="1" t="s">
        <v>42</v>
      </c>
      <c r="G60" s="7" t="s">
        <v>43</v>
      </c>
      <c r="H60" s="1" t="s">
        <v>176</v>
      </c>
    </row>
    <row r="61" customFormat="false" ht="16.5" hidden="false" customHeight="true" outlineLevel="0" collapsed="false">
      <c r="A61" s="1" t="s">
        <v>177</v>
      </c>
      <c r="B61" s="1" t="s">
        <v>178</v>
      </c>
      <c r="C61" s="1" t="s">
        <v>174</v>
      </c>
      <c r="D61" s="1" t="s">
        <v>175</v>
      </c>
      <c r="E61" s="10" t="n">
        <v>1.2</v>
      </c>
      <c r="F61" s="1" t="s">
        <v>42</v>
      </c>
      <c r="G61" s="7" t="s">
        <v>43</v>
      </c>
      <c r="H61" s="1" t="s">
        <v>176</v>
      </c>
    </row>
    <row r="62" customFormat="false" ht="16.5" hidden="false" customHeight="true" outlineLevel="0" collapsed="false">
      <c r="A62" s="1" t="s">
        <v>179</v>
      </c>
      <c r="B62" s="1" t="s">
        <v>180</v>
      </c>
      <c r="C62" s="1" t="s">
        <v>162</v>
      </c>
      <c r="D62" s="1" t="s">
        <v>175</v>
      </c>
      <c r="E62" s="10" t="n">
        <v>0.22</v>
      </c>
      <c r="F62" s="1" t="s">
        <v>80</v>
      </c>
      <c r="G62" s="7" t="s">
        <v>163</v>
      </c>
      <c r="H62" s="7" t="s">
        <v>181</v>
      </c>
    </row>
    <row r="63" customFormat="false" ht="16.5" hidden="false" customHeight="true" outlineLevel="0" collapsed="false">
      <c r="A63" s="1" t="s">
        <v>182</v>
      </c>
      <c r="B63" s="7" t="s">
        <v>183</v>
      </c>
      <c r="C63" s="1" t="s">
        <v>184</v>
      </c>
      <c r="D63" s="1" t="s">
        <v>41</v>
      </c>
      <c r="E63" s="10" t="n">
        <v>300</v>
      </c>
      <c r="F63" s="1" t="s">
        <v>80</v>
      </c>
      <c r="G63" s="7" t="s">
        <v>163</v>
      </c>
      <c r="H63" s="1" t="s">
        <v>185</v>
      </c>
    </row>
    <row r="64" customFormat="false" ht="16.5" hidden="false" customHeight="true" outlineLevel="0" collapsed="false">
      <c r="A64" s="1" t="s">
        <v>186</v>
      </c>
      <c r="B64" s="7" t="s">
        <v>187</v>
      </c>
      <c r="C64" s="1" t="s">
        <v>188</v>
      </c>
      <c r="D64" s="1" t="s">
        <v>41</v>
      </c>
      <c r="E64" s="10" t="n">
        <v>400</v>
      </c>
      <c r="F64" s="1" t="s">
        <v>80</v>
      </c>
      <c r="G64" s="7" t="s">
        <v>163</v>
      </c>
      <c r="H64" s="7" t="s">
        <v>167</v>
      </c>
    </row>
    <row r="65" customFormat="false" ht="16.5" hidden="false" customHeight="true" outlineLevel="0" collapsed="false">
      <c r="A65" s="1" t="s">
        <v>189</v>
      </c>
      <c r="B65" s="7" t="s">
        <v>190</v>
      </c>
      <c r="C65" s="1" t="s">
        <v>191</v>
      </c>
      <c r="D65" s="1" t="s">
        <v>41</v>
      </c>
      <c r="E65" s="10" t="n">
        <v>500</v>
      </c>
      <c r="F65" s="1" t="s">
        <v>80</v>
      </c>
      <c r="G65" s="7" t="s">
        <v>163</v>
      </c>
      <c r="H65" s="7" t="s">
        <v>167</v>
      </c>
    </row>
    <row r="66" customFormat="false" ht="16.5" hidden="false" customHeight="true" outlineLevel="0" collapsed="false">
      <c r="A66" s="1" t="s">
        <v>192</v>
      </c>
      <c r="B66" s="7" t="s">
        <v>193</v>
      </c>
      <c r="C66" s="1" t="s">
        <v>194</v>
      </c>
      <c r="D66" s="1" t="s">
        <v>41</v>
      </c>
      <c r="E66" s="10" t="n">
        <v>452</v>
      </c>
      <c r="F66" s="1" t="s">
        <v>80</v>
      </c>
      <c r="G66" s="7" t="s">
        <v>158</v>
      </c>
      <c r="H66" s="1" t="s">
        <v>195</v>
      </c>
    </row>
    <row r="67" customFormat="false" ht="16.5" hidden="false" customHeight="true" outlineLevel="0" collapsed="false">
      <c r="A67" s="1" t="s">
        <v>196</v>
      </c>
      <c r="B67" s="1" t="s">
        <v>197</v>
      </c>
      <c r="C67" s="1" t="s">
        <v>198</v>
      </c>
      <c r="D67" s="1" t="s">
        <v>41</v>
      </c>
      <c r="E67" s="10" t="n">
        <v>880.1</v>
      </c>
      <c r="F67" s="1" t="s">
        <v>80</v>
      </c>
      <c r="G67" s="7" t="s">
        <v>158</v>
      </c>
      <c r="H67" s="1" t="s">
        <v>199</v>
      </c>
    </row>
    <row r="68" customFormat="false" ht="16.5" hidden="false" customHeight="true" outlineLevel="0" collapsed="false">
      <c r="A68" s="1" t="s">
        <v>200</v>
      </c>
      <c r="B68" s="1" t="s">
        <v>197</v>
      </c>
      <c r="C68" s="1" t="s">
        <v>201</v>
      </c>
      <c r="D68" s="1" t="s">
        <v>41</v>
      </c>
      <c r="E68" s="10" t="n">
        <v>2469.6</v>
      </c>
      <c r="F68" s="1" t="s">
        <v>80</v>
      </c>
      <c r="G68" s="7" t="s">
        <v>158</v>
      </c>
      <c r="H68" s="7" t="s">
        <v>167</v>
      </c>
    </row>
    <row r="69" customFormat="false" ht="16.5" hidden="false" customHeight="true" outlineLevel="0" collapsed="false">
      <c r="A69" s="1" t="s">
        <v>202</v>
      </c>
      <c r="B69" s="1" t="s">
        <v>203</v>
      </c>
      <c r="C69" s="1" t="s">
        <v>204</v>
      </c>
      <c r="D69" s="1" t="s">
        <v>41</v>
      </c>
      <c r="E69" s="10" t="n">
        <v>5800</v>
      </c>
      <c r="F69" s="1" t="s">
        <v>80</v>
      </c>
      <c r="G69" s="7" t="s">
        <v>158</v>
      </c>
      <c r="H69" s="1" t="s">
        <v>205</v>
      </c>
    </row>
    <row r="70" customFormat="false" ht="16.5" hidden="false" customHeight="true" outlineLevel="0" collapsed="false">
      <c r="A70" s="1" t="s">
        <v>206</v>
      </c>
      <c r="B70" s="1" t="s">
        <v>207</v>
      </c>
      <c r="C70" s="1" t="s">
        <v>194</v>
      </c>
      <c r="D70" s="1" t="s">
        <v>41</v>
      </c>
      <c r="E70" s="10" t="n">
        <v>710</v>
      </c>
      <c r="F70" s="1" t="s">
        <v>80</v>
      </c>
      <c r="G70" s="7" t="s">
        <v>158</v>
      </c>
      <c r="H70" s="1" t="s">
        <v>208</v>
      </c>
    </row>
    <row r="71" customFormat="false" ht="16.5" hidden="false" customHeight="true" outlineLevel="0" collapsed="false">
      <c r="A71" s="1" t="s">
        <v>209</v>
      </c>
      <c r="B71" s="1" t="s">
        <v>207</v>
      </c>
      <c r="C71" s="1" t="s">
        <v>198</v>
      </c>
      <c r="D71" s="1" t="s">
        <v>41</v>
      </c>
      <c r="E71" s="10" t="n">
        <v>917</v>
      </c>
      <c r="F71" s="1" t="s">
        <v>80</v>
      </c>
      <c r="G71" s="7" t="s">
        <v>158</v>
      </c>
      <c r="H71" s="7" t="s">
        <v>167</v>
      </c>
    </row>
    <row r="72" customFormat="false" ht="16.5" hidden="false" customHeight="true" outlineLevel="0" collapsed="false">
      <c r="A72" s="1" t="s">
        <v>210</v>
      </c>
      <c r="B72" s="1" t="s">
        <v>207</v>
      </c>
      <c r="C72" s="1" t="s">
        <v>201</v>
      </c>
      <c r="D72" s="1" t="s">
        <v>41</v>
      </c>
      <c r="E72" s="10" t="n">
        <v>539</v>
      </c>
      <c r="F72" s="1" t="s">
        <v>80</v>
      </c>
      <c r="G72" s="7" t="s">
        <v>158</v>
      </c>
      <c r="H72" s="7" t="s">
        <v>167</v>
      </c>
    </row>
    <row r="73" customFormat="false" ht="16.5" hidden="false" customHeight="true" outlineLevel="0" collapsed="false">
      <c r="A73" s="1" t="s">
        <v>211</v>
      </c>
      <c r="B73" s="7" t="s">
        <v>212</v>
      </c>
      <c r="C73" s="1" t="s">
        <v>213</v>
      </c>
      <c r="D73" s="1" t="s">
        <v>41</v>
      </c>
      <c r="E73" s="10" t="n">
        <v>1555</v>
      </c>
      <c r="F73" s="1" t="s">
        <v>42</v>
      </c>
      <c r="G73" s="7" t="s">
        <v>81</v>
      </c>
      <c r="H73" s="7" t="s">
        <v>214</v>
      </c>
    </row>
    <row r="74" customFormat="false" ht="16.5" hidden="false" customHeight="true" outlineLevel="0" collapsed="false">
      <c r="A74" s="1" t="s">
        <v>215</v>
      </c>
      <c r="B74" s="7" t="s">
        <v>216</v>
      </c>
      <c r="C74" s="1" t="s">
        <v>217</v>
      </c>
      <c r="D74" s="1" t="s">
        <v>129</v>
      </c>
      <c r="E74" s="10" t="n">
        <v>291700</v>
      </c>
      <c r="F74" s="1" t="s">
        <v>42</v>
      </c>
      <c r="G74" s="7" t="s">
        <v>158</v>
      </c>
      <c r="H74" s="1" t="s">
        <v>218</v>
      </c>
    </row>
    <row r="75" customFormat="false" ht="16.5" hidden="false" customHeight="true" outlineLevel="0" collapsed="false">
      <c r="A75" s="1" t="s">
        <v>219</v>
      </c>
      <c r="B75" s="7" t="s">
        <v>220</v>
      </c>
      <c r="C75" s="1" t="s">
        <v>52</v>
      </c>
      <c r="D75" s="1" t="s">
        <v>221</v>
      </c>
      <c r="E75" s="10" t="n">
        <v>954</v>
      </c>
      <c r="F75" s="1" t="s">
        <v>42</v>
      </c>
      <c r="G75" s="7" t="s">
        <v>163</v>
      </c>
      <c r="H75" s="7" t="s">
        <v>222</v>
      </c>
    </row>
    <row r="76" customFormat="false" ht="15" hidden="false" customHeight="true" outlineLevel="0" collapsed="false">
      <c r="A76" s="1" t="s">
        <v>223</v>
      </c>
      <c r="B76" s="7" t="s">
        <v>224</v>
      </c>
      <c r="C76" s="1" t="s">
        <v>61</v>
      </c>
      <c r="D76" s="1" t="s">
        <v>41</v>
      </c>
      <c r="E76" s="10" t="n">
        <v>142</v>
      </c>
      <c r="F76" s="1" t="s">
        <v>80</v>
      </c>
      <c r="G76" s="7" t="s">
        <v>81</v>
      </c>
      <c r="H76" s="7" t="s">
        <v>225</v>
      </c>
    </row>
    <row r="77" customFormat="false" ht="16.5" hidden="false" customHeight="true" outlineLevel="0" collapsed="false">
      <c r="A77" s="1" t="s">
        <v>226</v>
      </c>
      <c r="B77" s="1" t="s">
        <v>227</v>
      </c>
      <c r="C77" s="1" t="s">
        <v>228</v>
      </c>
      <c r="D77" s="1" t="s">
        <v>41</v>
      </c>
      <c r="E77" s="10" t="n">
        <v>0.5347</v>
      </c>
      <c r="F77" s="1" t="s">
        <v>42</v>
      </c>
      <c r="G77" s="7" t="s">
        <v>43</v>
      </c>
      <c r="H77" s="1" t="s">
        <v>229</v>
      </c>
    </row>
    <row r="78" customFormat="false" ht="16.5" hidden="false" customHeight="true" outlineLevel="0" collapsed="false">
      <c r="A78" s="1" t="s">
        <v>230</v>
      </c>
      <c r="B78" s="1" t="s">
        <v>231</v>
      </c>
      <c r="C78" s="1" t="s">
        <v>61</v>
      </c>
      <c r="D78" s="1" t="s">
        <v>232</v>
      </c>
      <c r="E78" s="10" t="n">
        <v>1.7716</v>
      </c>
      <c r="F78" s="1" t="s">
        <v>42</v>
      </c>
      <c r="G78" s="7" t="s">
        <v>43</v>
      </c>
      <c r="H78" s="1" t="s">
        <v>44</v>
      </c>
    </row>
    <row r="79" customFormat="false" ht="16.5" hidden="false" customHeight="true" outlineLevel="0" collapsed="false">
      <c r="A79" s="1" t="s">
        <v>233</v>
      </c>
      <c r="B79" s="1" t="s">
        <v>234</v>
      </c>
      <c r="C79" s="1" t="s">
        <v>61</v>
      </c>
      <c r="D79" s="1" t="s">
        <v>232</v>
      </c>
      <c r="E79" s="10" t="n">
        <v>27.6</v>
      </c>
      <c r="F79" s="1" t="s">
        <v>42</v>
      </c>
      <c r="G79" s="7" t="s">
        <v>43</v>
      </c>
      <c r="H79" s="1" t="s">
        <v>44</v>
      </c>
    </row>
    <row r="80" customFormat="false" ht="16.5" hidden="false" customHeight="true" outlineLevel="0" collapsed="false">
      <c r="A80" s="1" t="s">
        <v>235</v>
      </c>
      <c r="B80" s="1" t="s">
        <v>236</v>
      </c>
      <c r="C80" s="1" t="s">
        <v>237</v>
      </c>
      <c r="D80" s="7" t="s">
        <v>79</v>
      </c>
      <c r="E80" s="10" t="n">
        <v>0.818</v>
      </c>
      <c r="F80" s="1" t="s">
        <v>42</v>
      </c>
      <c r="G80" s="7" t="s">
        <v>163</v>
      </c>
      <c r="H80" s="1" t="s">
        <v>238</v>
      </c>
    </row>
    <row r="81" customFormat="false" ht="16.5" hidden="false" customHeight="true" outlineLevel="0" collapsed="false">
      <c r="A81" s="1" t="s">
        <v>239</v>
      </c>
      <c r="B81" s="7" t="s">
        <v>240</v>
      </c>
      <c r="C81" s="1" t="s">
        <v>184</v>
      </c>
      <c r="D81" s="1" t="s">
        <v>241</v>
      </c>
      <c r="E81" s="10" t="n">
        <v>7.1</v>
      </c>
      <c r="F81" s="1" t="s">
        <v>242</v>
      </c>
      <c r="G81" s="1" t="s">
        <v>243</v>
      </c>
      <c r="H81" s="7" t="s">
        <v>244</v>
      </c>
    </row>
    <row r="82" customFormat="false" ht="16.5" hidden="false" customHeight="true" outlineLevel="0" collapsed="false">
      <c r="A82" s="1" t="s">
        <v>245</v>
      </c>
      <c r="B82" s="7" t="s">
        <v>246</v>
      </c>
      <c r="C82" s="1" t="s">
        <v>247</v>
      </c>
      <c r="D82" s="1" t="s">
        <v>143</v>
      </c>
      <c r="E82" s="10" t="n">
        <v>171.9</v>
      </c>
      <c r="F82" s="1" t="s">
        <v>248</v>
      </c>
      <c r="G82" s="7" t="s">
        <v>158</v>
      </c>
      <c r="H82" s="1" t="s">
        <v>249</v>
      </c>
    </row>
    <row r="83" customFormat="false" ht="16.5" hidden="false" customHeight="true" outlineLevel="0" collapsed="false">
      <c r="A83" s="1" t="s">
        <v>250</v>
      </c>
      <c r="B83" s="7" t="s">
        <v>251</v>
      </c>
      <c r="C83" s="1" t="s">
        <v>252</v>
      </c>
      <c r="D83" s="1" t="s">
        <v>143</v>
      </c>
      <c r="E83" s="10" t="n">
        <v>162</v>
      </c>
      <c r="F83" s="1" t="s">
        <v>42</v>
      </c>
      <c r="G83" s="7" t="s">
        <v>158</v>
      </c>
      <c r="H83" s="7" t="s">
        <v>253</v>
      </c>
    </row>
    <row r="84" customFormat="false" ht="16.5" hidden="false" customHeight="true" outlineLevel="0" collapsed="false">
      <c r="A84" s="1" t="s">
        <v>254</v>
      </c>
      <c r="B84" s="1" t="s">
        <v>255</v>
      </c>
      <c r="C84" s="1" t="s">
        <v>128</v>
      </c>
      <c r="D84" s="1" t="s">
        <v>143</v>
      </c>
      <c r="E84" s="10" t="n">
        <v>165</v>
      </c>
      <c r="F84" s="1" t="s">
        <v>42</v>
      </c>
      <c r="G84" s="7" t="s">
        <v>158</v>
      </c>
      <c r="H84" s="7" t="s">
        <v>256</v>
      </c>
    </row>
    <row r="85" customFormat="false" ht="16.5" hidden="false" customHeight="true" outlineLevel="0" collapsed="false">
      <c r="A85" s="1" t="s">
        <v>257</v>
      </c>
      <c r="B85" s="1" t="s">
        <v>258</v>
      </c>
      <c r="C85" s="1" t="s">
        <v>194</v>
      </c>
      <c r="D85" s="1" t="s">
        <v>41</v>
      </c>
      <c r="E85" s="10" t="n">
        <v>363.77</v>
      </c>
      <c r="F85" s="1" t="s">
        <v>80</v>
      </c>
      <c r="G85" s="7" t="s">
        <v>158</v>
      </c>
      <c r="H85" s="1" t="s">
        <v>259</v>
      </c>
    </row>
    <row r="86" customFormat="false" ht="16.5" hidden="false" customHeight="true" outlineLevel="0" collapsed="false">
      <c r="A86" s="1" t="s">
        <v>260</v>
      </c>
      <c r="B86" s="1" t="s">
        <v>261</v>
      </c>
      <c r="C86" s="1" t="s">
        <v>198</v>
      </c>
      <c r="D86" s="1" t="s">
        <v>41</v>
      </c>
      <c r="E86" s="10" t="n">
        <v>1360</v>
      </c>
      <c r="F86" s="1" t="s">
        <v>80</v>
      </c>
      <c r="G86" s="7" t="s">
        <v>158</v>
      </c>
      <c r="H86" s="1" t="s">
        <v>262</v>
      </c>
    </row>
    <row r="87" customFormat="false" ht="16.5" hidden="false" customHeight="true" outlineLevel="0" collapsed="false">
      <c r="A87" s="1" t="s">
        <v>263</v>
      </c>
      <c r="B87" s="1" t="s">
        <v>264</v>
      </c>
      <c r="C87" s="1" t="s">
        <v>198</v>
      </c>
      <c r="D87" s="1" t="s">
        <v>41</v>
      </c>
      <c r="E87" s="10" t="n">
        <v>1030</v>
      </c>
      <c r="F87" s="1" t="s">
        <v>80</v>
      </c>
      <c r="G87" s="7" t="s">
        <v>158</v>
      </c>
      <c r="H87" s="1" t="s">
        <v>265</v>
      </c>
    </row>
    <row r="88" customFormat="false" ht="16.5" hidden="false" customHeight="true" outlineLevel="0" collapsed="false">
      <c r="A88" s="1" t="s">
        <v>266</v>
      </c>
      <c r="B88" s="7" t="s">
        <v>267</v>
      </c>
      <c r="C88" s="1" t="s">
        <v>268</v>
      </c>
      <c r="D88" s="1" t="s">
        <v>143</v>
      </c>
      <c r="E88" s="10" t="n">
        <v>588.79</v>
      </c>
      <c r="F88" s="1" t="s">
        <v>80</v>
      </c>
      <c r="G88" s="7" t="s">
        <v>158</v>
      </c>
      <c r="H88" s="1" t="s">
        <v>269</v>
      </c>
    </row>
    <row r="89" customFormat="false" ht="16.5" hidden="false" customHeight="true" outlineLevel="0" collapsed="false">
      <c r="A89" s="1" t="s">
        <v>270</v>
      </c>
      <c r="B89" s="7" t="s">
        <v>271</v>
      </c>
      <c r="C89" s="1" t="s">
        <v>121</v>
      </c>
      <c r="D89" s="1" t="s">
        <v>41</v>
      </c>
      <c r="E89" s="10" t="n">
        <v>18.287</v>
      </c>
      <c r="F89" s="1" t="s">
        <v>42</v>
      </c>
      <c r="G89" s="7" t="s">
        <v>43</v>
      </c>
      <c r="H89" s="1" t="s">
        <v>272</v>
      </c>
    </row>
    <row r="90" customFormat="false" ht="16.5" hidden="false" customHeight="true" outlineLevel="0" collapsed="false">
      <c r="A90" s="1" t="s">
        <v>273</v>
      </c>
      <c r="B90" s="7" t="s">
        <v>271</v>
      </c>
      <c r="C90" s="1" t="s">
        <v>118</v>
      </c>
      <c r="D90" s="1" t="s">
        <v>41</v>
      </c>
      <c r="E90" s="10" t="n">
        <v>7.541</v>
      </c>
      <c r="F90" s="1" t="s">
        <v>42</v>
      </c>
      <c r="G90" s="7" t="s">
        <v>43</v>
      </c>
      <c r="H90" s="1" t="s">
        <v>274</v>
      </c>
    </row>
    <row r="91" customFormat="false" ht="16.5" hidden="false" customHeight="true" outlineLevel="0" collapsed="false">
      <c r="A91" s="1" t="s">
        <v>275</v>
      </c>
      <c r="B91" s="7" t="s">
        <v>276</v>
      </c>
      <c r="C91" s="1" t="s">
        <v>121</v>
      </c>
      <c r="D91" s="1" t="s">
        <v>41</v>
      </c>
      <c r="E91" s="10" t="n">
        <v>74.913</v>
      </c>
      <c r="F91" s="1" t="s">
        <v>42</v>
      </c>
      <c r="G91" s="7" t="s">
        <v>43</v>
      </c>
      <c r="H91" s="1" t="s">
        <v>50</v>
      </c>
    </row>
    <row r="92" customFormat="false" ht="16.5" hidden="false" customHeight="true" outlineLevel="0" collapsed="false">
      <c r="A92" s="1" t="s">
        <v>277</v>
      </c>
      <c r="B92" s="7" t="s">
        <v>276</v>
      </c>
      <c r="C92" s="1" t="s">
        <v>118</v>
      </c>
      <c r="D92" s="1" t="s">
        <v>41</v>
      </c>
      <c r="E92" s="10" t="n">
        <v>1.571</v>
      </c>
      <c r="F92" s="1" t="s">
        <v>42</v>
      </c>
      <c r="G92" s="7" t="s">
        <v>43</v>
      </c>
      <c r="H92" s="1" t="s">
        <v>50</v>
      </c>
    </row>
    <row r="93" customFormat="false" ht="16.5" hidden="false" customHeight="true" outlineLevel="0" collapsed="false">
      <c r="A93" s="1" t="s">
        <v>278</v>
      </c>
      <c r="B93" s="7" t="s">
        <v>279</v>
      </c>
      <c r="C93" s="1" t="s">
        <v>46</v>
      </c>
      <c r="D93" s="1" t="s">
        <v>41</v>
      </c>
      <c r="E93" s="10" t="n">
        <v>-279.641</v>
      </c>
      <c r="F93" s="1" t="s">
        <v>80</v>
      </c>
      <c r="G93" s="7" t="s">
        <v>81</v>
      </c>
      <c r="H93" s="1" t="s">
        <v>280</v>
      </c>
    </row>
    <row r="94" customFormat="false" ht="15" hidden="false" customHeight="true" outlineLevel="0" collapsed="false">
      <c r="A94" s="1" t="s">
        <v>281</v>
      </c>
      <c r="B94" s="7" t="s">
        <v>282</v>
      </c>
      <c r="C94" s="1" t="s">
        <v>46</v>
      </c>
      <c r="D94" s="1" t="s">
        <v>41</v>
      </c>
      <c r="E94" s="10" t="n">
        <v>72.261</v>
      </c>
      <c r="F94" s="1" t="s">
        <v>80</v>
      </c>
      <c r="G94" s="7" t="s">
        <v>81</v>
      </c>
      <c r="H94" s="7" t="s">
        <v>167</v>
      </c>
    </row>
    <row r="95" customFormat="false" ht="15" hidden="false" customHeight="true" outlineLevel="0" collapsed="false">
      <c r="A95" s="1" t="s">
        <v>283</v>
      </c>
      <c r="B95" s="7" t="s">
        <v>284</v>
      </c>
      <c r="C95" s="1" t="s">
        <v>46</v>
      </c>
      <c r="D95" s="1" t="s">
        <v>41</v>
      </c>
      <c r="E95" s="10" t="n">
        <v>423.342</v>
      </c>
      <c r="F95" s="1" t="s">
        <v>80</v>
      </c>
      <c r="G95" s="7" t="s">
        <v>81</v>
      </c>
      <c r="H95" s="7" t="s">
        <v>167</v>
      </c>
    </row>
    <row r="96" customFormat="false" ht="15" hidden="false" customHeight="true" outlineLevel="0" collapsed="false">
      <c r="A96" s="1" t="s">
        <v>285</v>
      </c>
      <c r="B96" s="7" t="s">
        <v>286</v>
      </c>
      <c r="C96" s="1" t="s">
        <v>46</v>
      </c>
      <c r="D96" s="1" t="s">
        <v>41</v>
      </c>
      <c r="E96" s="10" t="n">
        <v>288.912</v>
      </c>
      <c r="F96" s="1" t="s">
        <v>80</v>
      </c>
      <c r="G96" s="7" t="s">
        <v>81</v>
      </c>
      <c r="H96" s="7" t="s">
        <v>167</v>
      </c>
    </row>
    <row r="97" customFormat="false" ht="15" hidden="false" customHeight="true" outlineLevel="0" collapsed="false">
      <c r="A97" s="1" t="s">
        <v>287</v>
      </c>
      <c r="B97" s="7" t="s">
        <v>288</v>
      </c>
      <c r="C97" s="1" t="s">
        <v>46</v>
      </c>
      <c r="D97" s="1" t="s">
        <v>41</v>
      </c>
      <c r="E97" s="10" t="n">
        <v>2.747</v>
      </c>
      <c r="F97" s="1" t="s">
        <v>80</v>
      </c>
      <c r="G97" s="7" t="s">
        <v>81</v>
      </c>
      <c r="H97" s="7" t="s">
        <v>167</v>
      </c>
    </row>
    <row r="98" customFormat="false" ht="16.5" hidden="false" customHeight="true" outlineLevel="0" collapsed="false">
      <c r="A98" s="1" t="s">
        <v>289</v>
      </c>
      <c r="B98" s="7" t="s">
        <v>290</v>
      </c>
      <c r="C98" s="1" t="s">
        <v>46</v>
      </c>
      <c r="D98" s="1" t="s">
        <v>41</v>
      </c>
      <c r="E98" s="10" t="n">
        <v>507.621</v>
      </c>
      <c r="F98" s="1" t="s">
        <v>80</v>
      </c>
      <c r="G98" s="7" t="s">
        <v>81</v>
      </c>
      <c r="H98" s="7" t="s">
        <v>167</v>
      </c>
    </row>
    <row r="99" customFormat="false" ht="15" hidden="false" customHeight="true" outlineLevel="0" collapsed="false">
      <c r="A99" s="1" t="s">
        <v>291</v>
      </c>
      <c r="B99" s="7" t="s">
        <v>279</v>
      </c>
      <c r="C99" s="1" t="s">
        <v>40</v>
      </c>
      <c r="D99" s="1" t="s">
        <v>41</v>
      </c>
      <c r="E99" s="10" t="n">
        <v>-258.483</v>
      </c>
      <c r="F99" s="1" t="s">
        <v>80</v>
      </c>
      <c r="G99" s="7" t="s">
        <v>81</v>
      </c>
      <c r="H99" s="7" t="s">
        <v>167</v>
      </c>
    </row>
    <row r="100" customFormat="false" ht="16.5" hidden="false" customHeight="true" outlineLevel="0" collapsed="false">
      <c r="A100" s="1" t="s">
        <v>292</v>
      </c>
      <c r="B100" s="7" t="s">
        <v>293</v>
      </c>
      <c r="C100" s="1" t="s">
        <v>121</v>
      </c>
      <c r="D100" s="1" t="s">
        <v>241</v>
      </c>
      <c r="E100" s="10" t="n">
        <v>6.8109</v>
      </c>
      <c r="F100" s="1" t="s">
        <v>42</v>
      </c>
      <c r="G100" s="7" t="s">
        <v>81</v>
      </c>
      <c r="H100" s="1" t="s">
        <v>294</v>
      </c>
    </row>
    <row r="101" customFormat="false" ht="16.5" hidden="false" customHeight="true" outlineLevel="0" collapsed="false">
      <c r="A101" s="1" t="s">
        <v>295</v>
      </c>
      <c r="B101" s="7" t="s">
        <v>296</v>
      </c>
      <c r="C101" s="1" t="s">
        <v>52</v>
      </c>
      <c r="D101" s="1" t="s">
        <v>241</v>
      </c>
      <c r="E101" s="10" t="n">
        <v>6.9</v>
      </c>
      <c r="F101" s="1" t="s">
        <v>242</v>
      </c>
      <c r="G101" s="1" t="s">
        <v>243</v>
      </c>
      <c r="H101" s="1" t="s">
        <v>297</v>
      </c>
    </row>
    <row r="102" customFormat="false" ht="16.5" hidden="false" customHeight="true" outlineLevel="0" collapsed="false">
      <c r="A102" s="1" t="s">
        <v>298</v>
      </c>
      <c r="B102" s="1" t="s">
        <v>299</v>
      </c>
      <c r="C102" s="1" t="s">
        <v>300</v>
      </c>
      <c r="D102" s="1" t="s">
        <v>175</v>
      </c>
      <c r="E102" s="10" t="n">
        <v>0.15</v>
      </c>
      <c r="F102" s="1" t="s">
        <v>42</v>
      </c>
      <c r="G102" s="7" t="s">
        <v>158</v>
      </c>
      <c r="H102" s="1" t="s">
        <v>301</v>
      </c>
    </row>
    <row r="103" customFormat="false" ht="16.5" hidden="false" customHeight="true" outlineLevel="0" collapsed="false">
      <c r="A103" s="1" t="s">
        <v>302</v>
      </c>
      <c r="B103" s="1" t="s">
        <v>303</v>
      </c>
      <c r="C103" s="1" t="s">
        <v>300</v>
      </c>
      <c r="D103" s="1" t="s">
        <v>175</v>
      </c>
      <c r="E103" s="10" t="n">
        <v>0.6</v>
      </c>
      <c r="F103" s="1" t="s">
        <v>42</v>
      </c>
      <c r="G103" s="7" t="s">
        <v>158</v>
      </c>
      <c r="H103" s="7" t="s">
        <v>167</v>
      </c>
    </row>
    <row r="104" customFormat="false" ht="16.5" hidden="false" customHeight="true" outlineLevel="0" collapsed="false">
      <c r="A104" s="1" t="s">
        <v>304</v>
      </c>
      <c r="B104" s="1" t="s">
        <v>305</v>
      </c>
      <c r="C104" s="1" t="s">
        <v>300</v>
      </c>
      <c r="D104" s="1" t="s">
        <v>175</v>
      </c>
      <c r="E104" s="10" t="n">
        <v>0.015</v>
      </c>
      <c r="F104" s="1" t="s">
        <v>42</v>
      </c>
      <c r="G104" s="7" t="s">
        <v>158</v>
      </c>
      <c r="H104" s="7" t="s">
        <v>306</v>
      </c>
    </row>
    <row r="105" customFormat="false" ht="16.5" hidden="false" customHeight="true" outlineLevel="0" collapsed="false">
      <c r="A105" s="1" t="s">
        <v>307</v>
      </c>
      <c r="B105" s="1" t="s">
        <v>308</v>
      </c>
      <c r="C105" s="1" t="s">
        <v>309</v>
      </c>
      <c r="D105" s="1" t="s">
        <v>175</v>
      </c>
      <c r="E105" s="10" t="n">
        <v>0.3</v>
      </c>
      <c r="F105" s="1" t="s">
        <v>42</v>
      </c>
      <c r="G105" s="7" t="s">
        <v>43</v>
      </c>
      <c r="H105" s="1" t="s">
        <v>310</v>
      </c>
    </row>
    <row r="106" customFormat="false" ht="16.5" hidden="false" customHeight="true" outlineLevel="0" collapsed="false">
      <c r="A106" s="1" t="s">
        <v>311</v>
      </c>
      <c r="B106" s="1" t="s">
        <v>312</v>
      </c>
      <c r="C106" s="7" t="s">
        <v>313</v>
      </c>
      <c r="D106" s="1" t="s">
        <v>314</v>
      </c>
      <c r="E106" s="10" t="n">
        <v>9.98</v>
      </c>
      <c r="F106" s="1" t="s">
        <v>42</v>
      </c>
      <c r="G106" s="7" t="s">
        <v>158</v>
      </c>
      <c r="H106" s="1" t="s">
        <v>315</v>
      </c>
    </row>
    <row r="107" customFormat="false" ht="16.5" hidden="false" customHeight="true" outlineLevel="0" collapsed="false">
      <c r="A107" s="1" t="s">
        <v>316</v>
      </c>
      <c r="B107" s="1" t="s">
        <v>317</v>
      </c>
      <c r="C107" s="1" t="s">
        <v>318</v>
      </c>
      <c r="D107" s="1" t="s">
        <v>319</v>
      </c>
      <c r="E107" s="10" t="n">
        <v>35000</v>
      </c>
      <c r="F107" s="1" t="s">
        <v>80</v>
      </c>
      <c r="G107" s="7" t="s">
        <v>158</v>
      </c>
      <c r="H107" s="1" t="s">
        <v>320</v>
      </c>
    </row>
    <row r="108" customFormat="false" ht="16.5" hidden="false" customHeight="true" outlineLevel="0" collapsed="false">
      <c r="A108" s="1" t="s">
        <v>321</v>
      </c>
      <c r="B108" s="1" t="s">
        <v>322</v>
      </c>
      <c r="C108" s="1" t="s">
        <v>142</v>
      </c>
      <c r="D108" s="1" t="s">
        <v>319</v>
      </c>
      <c r="E108" s="10" t="n">
        <v>85000</v>
      </c>
      <c r="F108" s="1" t="s">
        <v>80</v>
      </c>
      <c r="G108" s="7" t="s">
        <v>158</v>
      </c>
      <c r="H108" s="1" t="s">
        <v>323</v>
      </c>
    </row>
    <row r="109" customFormat="false" ht="16.5" hidden="false" customHeight="true" outlineLevel="0" collapsed="false">
      <c r="A109" s="1" t="s">
        <v>324</v>
      </c>
      <c r="B109" s="7" t="s">
        <v>325</v>
      </c>
      <c r="C109" s="1" t="s">
        <v>61</v>
      </c>
      <c r="D109" s="1" t="s">
        <v>232</v>
      </c>
      <c r="E109" s="10" t="n">
        <v>0.31</v>
      </c>
      <c r="F109" s="1" t="s">
        <v>80</v>
      </c>
      <c r="G109" s="7" t="s">
        <v>158</v>
      </c>
      <c r="H109" s="7" t="s">
        <v>326</v>
      </c>
    </row>
    <row r="110" customFormat="false" ht="16.5" hidden="false" customHeight="true" outlineLevel="0" collapsed="false">
      <c r="A110" s="1" t="s">
        <v>327</v>
      </c>
      <c r="B110" s="7" t="s">
        <v>328</v>
      </c>
      <c r="C110" s="1" t="s">
        <v>61</v>
      </c>
      <c r="D110" s="1" t="s">
        <v>329</v>
      </c>
      <c r="E110" s="10" t="n">
        <v>56</v>
      </c>
      <c r="F110" s="1" t="s">
        <v>80</v>
      </c>
      <c r="G110" s="7" t="s">
        <v>158</v>
      </c>
      <c r="H110" s="7" t="s">
        <v>167</v>
      </c>
    </row>
    <row r="111" customFormat="false" ht="16.5" hidden="false" customHeight="true" outlineLevel="0" collapsed="false">
      <c r="A111" s="1" t="s">
        <v>330</v>
      </c>
      <c r="B111" s="1" t="s">
        <v>331</v>
      </c>
      <c r="C111" s="1" t="s">
        <v>61</v>
      </c>
      <c r="D111" s="1" t="s">
        <v>232</v>
      </c>
      <c r="E111" s="10" t="n">
        <v>1.39</v>
      </c>
      <c r="F111" s="1" t="s">
        <v>80</v>
      </c>
      <c r="G111" s="7" t="s">
        <v>158</v>
      </c>
      <c r="H111" s="7" t="s">
        <v>167</v>
      </c>
    </row>
    <row r="112" customFormat="false" ht="16.5" hidden="false" customHeight="true" outlineLevel="0" collapsed="false">
      <c r="A112" s="1" t="s">
        <v>332</v>
      </c>
      <c r="B112" s="1" t="s">
        <v>333</v>
      </c>
      <c r="C112" s="1" t="s">
        <v>61</v>
      </c>
      <c r="D112" s="1" t="s">
        <v>329</v>
      </c>
      <c r="E112" s="10" t="n">
        <v>5</v>
      </c>
      <c r="F112" s="1" t="s">
        <v>80</v>
      </c>
      <c r="G112" s="7" t="s">
        <v>158</v>
      </c>
      <c r="H112" s="7" t="s">
        <v>167</v>
      </c>
    </row>
    <row r="113" customFormat="false" ht="16.5" hidden="false" customHeight="true" outlineLevel="0" collapsed="false">
      <c r="A113" s="1" t="s">
        <v>334</v>
      </c>
      <c r="B113" s="1" t="s">
        <v>335</v>
      </c>
      <c r="C113" s="1" t="s">
        <v>61</v>
      </c>
      <c r="D113" s="1" t="s">
        <v>41</v>
      </c>
      <c r="E113" s="10" t="n">
        <v>6.604</v>
      </c>
      <c r="F113" s="1" t="s">
        <v>42</v>
      </c>
      <c r="G113" s="7" t="s">
        <v>43</v>
      </c>
      <c r="H113" s="1" t="s">
        <v>44</v>
      </c>
    </row>
    <row r="114" customFormat="false" ht="16.5" hidden="false" customHeight="true" outlineLevel="0" collapsed="false">
      <c r="A114" s="1" t="s">
        <v>336</v>
      </c>
      <c r="B114" s="1" t="s">
        <v>337</v>
      </c>
      <c r="C114" s="1" t="s">
        <v>61</v>
      </c>
      <c r="D114" s="1" t="s">
        <v>41</v>
      </c>
      <c r="E114" s="10" t="n">
        <v>0.958</v>
      </c>
      <c r="F114" s="1" t="s">
        <v>42</v>
      </c>
      <c r="G114" s="7" t="s">
        <v>43</v>
      </c>
      <c r="H114" s="1" t="s">
        <v>44</v>
      </c>
    </row>
    <row r="115" customFormat="false" ht="16.5" hidden="false" customHeight="true" outlineLevel="0" collapsed="false">
      <c r="A115" s="1" t="s">
        <v>338</v>
      </c>
      <c r="B115" s="7" t="s">
        <v>339</v>
      </c>
      <c r="C115" s="1" t="s">
        <v>61</v>
      </c>
      <c r="D115" s="1" t="s">
        <v>41</v>
      </c>
      <c r="E115" s="10" t="n">
        <v>14.147</v>
      </c>
      <c r="F115" s="1" t="s">
        <v>42</v>
      </c>
      <c r="G115" s="7" t="s">
        <v>43</v>
      </c>
      <c r="H115" s="1" t="s">
        <v>44</v>
      </c>
    </row>
    <row r="116" customFormat="false" ht="16.5" hidden="false" customHeight="true" outlineLevel="0" collapsed="false">
      <c r="A116" s="1" t="s">
        <v>340</v>
      </c>
      <c r="B116" s="7" t="s">
        <v>341</v>
      </c>
      <c r="C116" s="1" t="s">
        <v>61</v>
      </c>
      <c r="D116" s="1" t="s">
        <v>41</v>
      </c>
      <c r="E116" s="10" t="n">
        <v>3.317</v>
      </c>
      <c r="F116" s="1" t="s">
        <v>42</v>
      </c>
      <c r="G116" s="7" t="s">
        <v>43</v>
      </c>
      <c r="H116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6.5" hidden="false" customHeight="true" outlineLevel="0" collapsed="false">
      <c r="A1" s="6" t="s">
        <v>342</v>
      </c>
    </row>
    <row r="2" customFormat="false" ht="16.5" hidden="false" customHeight="true" outlineLevel="0" collapsed="false">
      <c r="A2" s="1" t="s">
        <v>343</v>
      </c>
    </row>
    <row r="4" customFormat="false" ht="16.5" hidden="false" customHeight="true" outlineLevel="0" collapsed="false">
      <c r="A4" s="8" t="s">
        <v>30</v>
      </c>
      <c r="B4" s="8" t="s">
        <v>344</v>
      </c>
      <c r="C4" s="9" t="s">
        <v>345</v>
      </c>
      <c r="D4" s="9" t="s">
        <v>346</v>
      </c>
      <c r="E4" s="9" t="s">
        <v>33</v>
      </c>
      <c r="F4" s="9" t="s">
        <v>34</v>
      </c>
    </row>
    <row r="5" customFormat="false" ht="16.5" hidden="false" customHeight="true" outlineLevel="0" collapsed="false">
      <c r="A5" s="1" t="s">
        <v>347</v>
      </c>
      <c r="B5" s="1" t="s">
        <v>348</v>
      </c>
      <c r="C5" s="1" t="s">
        <v>349</v>
      </c>
      <c r="D5" s="7" t="s">
        <v>350</v>
      </c>
      <c r="E5" s="1" t="s">
        <v>351</v>
      </c>
      <c r="F5" s="11" t="n">
        <v>112228240510.472</v>
      </c>
    </row>
    <row r="6" customFormat="false" ht="16.5" hidden="false" customHeight="true" outlineLevel="0" collapsed="false">
      <c r="A6" s="1" t="s">
        <v>352</v>
      </c>
      <c r="B6" s="1" t="s">
        <v>348</v>
      </c>
      <c r="C6" s="1" t="s">
        <v>353</v>
      </c>
      <c r="D6" s="7" t="s">
        <v>350</v>
      </c>
      <c r="E6" s="1" t="s">
        <v>351</v>
      </c>
      <c r="F6" s="11" t="n">
        <v>557838911578.971</v>
      </c>
    </row>
    <row r="7" customFormat="false" ht="16.5" hidden="false" customHeight="true" outlineLevel="0" collapsed="false">
      <c r="A7" s="1" t="s">
        <v>354</v>
      </c>
      <c r="B7" s="1" t="s">
        <v>355</v>
      </c>
      <c r="C7" s="1" t="s">
        <v>349</v>
      </c>
      <c r="D7" s="7" t="s">
        <v>356</v>
      </c>
      <c r="E7" s="1" t="s">
        <v>351</v>
      </c>
      <c r="F7" s="11" t="n">
        <v>33634916325.118</v>
      </c>
    </row>
    <row r="8" customFormat="false" ht="16.5" hidden="false" customHeight="true" outlineLevel="0" collapsed="false">
      <c r="A8" s="1" t="s">
        <v>357</v>
      </c>
      <c r="B8" s="1" t="s">
        <v>355</v>
      </c>
      <c r="C8" s="1" t="s">
        <v>353</v>
      </c>
      <c r="D8" s="7" t="s">
        <v>356</v>
      </c>
      <c r="E8" s="1" t="s">
        <v>351</v>
      </c>
      <c r="F8" s="11" t="n">
        <v>163715850475.954</v>
      </c>
    </row>
    <row r="9" customFormat="false" ht="16.5" hidden="false" customHeight="true" outlineLevel="0" collapsed="false">
      <c r="A9" s="1" t="s">
        <v>358</v>
      </c>
      <c r="B9" s="1" t="s">
        <v>355</v>
      </c>
      <c r="C9" s="1" t="s">
        <v>359</v>
      </c>
      <c r="D9" s="7" t="s">
        <v>360</v>
      </c>
      <c r="E9" s="1" t="s">
        <v>351</v>
      </c>
      <c r="F9" s="11" t="n">
        <v>318984897819.054</v>
      </c>
    </row>
    <row r="10" customFormat="false" ht="16.5" hidden="false" customHeight="true" outlineLevel="0" collapsed="false">
      <c r="A10" s="1" t="s">
        <v>361</v>
      </c>
      <c r="B10" s="1" t="s">
        <v>362</v>
      </c>
      <c r="C10" s="1" t="s">
        <v>243</v>
      </c>
      <c r="D10" s="7" t="s">
        <v>363</v>
      </c>
      <c r="E10" s="7" t="s">
        <v>79</v>
      </c>
      <c r="F10" s="11" t="n">
        <v>0.6</v>
      </c>
    </row>
    <row r="11" customFormat="false" ht="16.5" hidden="false" customHeight="true" outlineLevel="0" collapsed="false">
      <c r="A11" s="1" t="s">
        <v>364</v>
      </c>
      <c r="B11" s="1" t="s">
        <v>365</v>
      </c>
      <c r="C11" s="1" t="s">
        <v>349</v>
      </c>
      <c r="D11" s="7" t="s">
        <v>366</v>
      </c>
      <c r="E11" s="1" t="s">
        <v>367</v>
      </c>
      <c r="F11" s="11" t="n">
        <v>9.70308728611469</v>
      </c>
    </row>
    <row r="12" customFormat="false" ht="16.5" hidden="false" customHeight="true" outlineLevel="0" collapsed="false">
      <c r="A12" s="1" t="s">
        <v>368</v>
      </c>
      <c r="B12" s="1" t="s">
        <v>365</v>
      </c>
      <c r="C12" s="1" t="s">
        <v>353</v>
      </c>
      <c r="D12" s="7" t="s">
        <v>366</v>
      </c>
      <c r="E12" s="1" t="s">
        <v>367</v>
      </c>
      <c r="F12" s="11" t="n">
        <v>8.82816556596761</v>
      </c>
    </row>
    <row r="13" customFormat="false" ht="16.5" hidden="false" customHeight="true" outlineLevel="0" collapsed="false">
      <c r="A13" s="1" t="s">
        <v>369</v>
      </c>
      <c r="B13" s="1" t="s">
        <v>370</v>
      </c>
      <c r="C13" s="1" t="s">
        <v>349</v>
      </c>
      <c r="D13" s="7" t="s">
        <v>371</v>
      </c>
      <c r="E13" s="1" t="s">
        <v>175</v>
      </c>
      <c r="F13" s="11" t="n">
        <v>0.210121291884421</v>
      </c>
    </row>
    <row r="14" customFormat="false" ht="16.5" hidden="false" customHeight="true" outlineLevel="0" collapsed="false">
      <c r="A14" s="1" t="s">
        <v>372</v>
      </c>
      <c r="B14" s="1" t="s">
        <v>373</v>
      </c>
      <c r="C14" s="1" t="s">
        <v>349</v>
      </c>
      <c r="D14" s="7" t="s">
        <v>374</v>
      </c>
      <c r="E14" s="1" t="s">
        <v>175</v>
      </c>
      <c r="F14" s="11" t="n">
        <v>0.643774480313015</v>
      </c>
    </row>
    <row r="15" customFormat="false" ht="16.5" hidden="false" customHeight="true" outlineLevel="0" collapsed="false">
      <c r="A15" s="1" t="s">
        <v>375</v>
      </c>
      <c r="B15" s="1" t="s">
        <v>370</v>
      </c>
      <c r="C15" s="1" t="s">
        <v>353</v>
      </c>
      <c r="D15" s="7" t="s">
        <v>371</v>
      </c>
      <c r="E15" s="1" t="s">
        <v>175</v>
      </c>
      <c r="F15" s="11" t="n">
        <v>0.0300374200650076</v>
      </c>
    </row>
    <row r="16" customFormat="false" ht="16.5" hidden="false" customHeight="true" outlineLevel="0" collapsed="false">
      <c r="A16" s="1" t="s">
        <v>376</v>
      </c>
      <c r="B16" s="1" t="s">
        <v>373</v>
      </c>
      <c r="C16" s="1" t="s">
        <v>353</v>
      </c>
      <c r="D16" s="7" t="s">
        <v>374</v>
      </c>
      <c r="E16" s="1" t="s">
        <v>175</v>
      </c>
      <c r="F16" s="11" t="n">
        <v>0.100290180645192</v>
      </c>
    </row>
    <row r="19" customFormat="false" ht="16.5" hidden="false" customHeight="true" outlineLevel="0" collapsed="false">
      <c r="A19" s="6" t="s">
        <v>377</v>
      </c>
      <c r="D19" s="7" t="s">
        <v>378</v>
      </c>
    </row>
    <row r="20" customFormat="false" ht="16.5" hidden="false" customHeight="true" outlineLevel="0" collapsed="false">
      <c r="A20" s="8"/>
      <c r="B20" s="9" t="s">
        <v>345</v>
      </c>
      <c r="C20" s="9" t="s">
        <v>379</v>
      </c>
      <c r="D20" s="8" t="s">
        <v>380</v>
      </c>
    </row>
    <row r="21" customFormat="false" ht="15" hidden="false" customHeight="true" outlineLevel="0" collapsed="false">
      <c r="B21" s="1" t="s">
        <v>349</v>
      </c>
      <c r="C21" s="7" t="s">
        <v>381</v>
      </c>
      <c r="D21" s="11" t="n">
        <v>6.79107465326444</v>
      </c>
    </row>
    <row r="22" customFormat="false" ht="15" hidden="false" customHeight="true" outlineLevel="0" collapsed="false">
      <c r="B22" s="1" t="s">
        <v>349</v>
      </c>
      <c r="C22" s="7" t="s">
        <v>382</v>
      </c>
      <c r="D22" s="11" t="n">
        <v>9.70308728611469</v>
      </c>
    </row>
    <row r="23" customFormat="false" ht="15" hidden="false" customHeight="true" outlineLevel="0" collapsed="false">
      <c r="B23" s="1" t="s">
        <v>349</v>
      </c>
      <c r="C23" s="7" t="s">
        <v>383</v>
      </c>
      <c r="D23" s="11" t="n">
        <v>16.6637697337026</v>
      </c>
    </row>
    <row r="24" customFormat="false" ht="15" hidden="false" customHeight="true" outlineLevel="0" collapsed="false">
      <c r="B24" s="1" t="s">
        <v>353</v>
      </c>
      <c r="C24" s="7" t="s">
        <v>381</v>
      </c>
      <c r="D24" s="11" t="n">
        <v>6.6118162762144</v>
      </c>
    </row>
    <row r="25" customFormat="false" ht="15" hidden="false" customHeight="true" outlineLevel="0" collapsed="false">
      <c r="B25" s="1" t="s">
        <v>353</v>
      </c>
      <c r="C25" s="7" t="s">
        <v>382</v>
      </c>
      <c r="D25" s="11" t="n">
        <v>8.82816556596761</v>
      </c>
    </row>
    <row r="26" customFormat="false" ht="15" hidden="false" customHeight="true" outlineLevel="0" collapsed="false">
      <c r="B26" s="1" t="s">
        <v>353</v>
      </c>
      <c r="C26" s="7" t="s">
        <v>383</v>
      </c>
      <c r="D26" s="11" t="n">
        <v>14.3185748619737</v>
      </c>
    </row>
    <row r="27" customFormat="false" ht="15" hidden="false" customHeight="true" outlineLevel="0" collapsed="false">
      <c r="B27" s="1" t="s">
        <v>384</v>
      </c>
      <c r="C27" s="7" t="s">
        <v>381</v>
      </c>
      <c r="D27" s="11" t="n">
        <v>8.42889912085495</v>
      </c>
    </row>
    <row r="28" customFormat="false" ht="15" hidden="false" customHeight="true" outlineLevel="0" collapsed="false">
      <c r="B28" s="1" t="s">
        <v>384</v>
      </c>
      <c r="C28" s="7" t="s">
        <v>382</v>
      </c>
      <c r="D28" s="11" t="n">
        <v>10.8864110021101</v>
      </c>
    </row>
    <row r="29" customFormat="false" ht="15" hidden="false" customHeight="true" outlineLevel="0" collapsed="false">
      <c r="B29" s="1" t="s">
        <v>384</v>
      </c>
      <c r="C29" s="7" t="s">
        <v>383</v>
      </c>
      <c r="D29" s="11" t="n">
        <v>18.5346455040469</v>
      </c>
    </row>
    <row r="30" customFormat="false" ht="15" hidden="false" customHeight="true" outlineLevel="0" collapsed="false">
      <c r="B30" s="1" t="s">
        <v>359</v>
      </c>
      <c r="C30" s="7" t="s">
        <v>381</v>
      </c>
      <c r="D30" s="11" t="n">
        <v>9.51207691858967</v>
      </c>
    </row>
    <row r="31" customFormat="false" ht="15" hidden="false" customHeight="true" outlineLevel="0" collapsed="false">
      <c r="B31" s="1" t="s">
        <v>359</v>
      </c>
      <c r="C31" s="7" t="s">
        <v>382</v>
      </c>
      <c r="D31" s="11" t="n">
        <v>12.2254710045841</v>
      </c>
    </row>
    <row r="32" customFormat="false" ht="15" hidden="false" customHeight="true" outlineLevel="0" collapsed="false">
      <c r="B32" s="1" t="s">
        <v>359</v>
      </c>
      <c r="C32" s="7" t="s">
        <v>383</v>
      </c>
      <c r="D32" s="11" t="n">
        <v>19.7506269894487</v>
      </c>
    </row>
    <row r="33" customFormat="false" ht="16.5" hidden="false" customHeight="true" outlineLevel="0" collapsed="false">
      <c r="B33" s="1" t="s">
        <v>385</v>
      </c>
      <c r="C33" s="7" t="s">
        <v>381</v>
      </c>
      <c r="D33" s="11" t="n">
        <v>10.1025446864987</v>
      </c>
    </row>
    <row r="34" customFormat="false" ht="16.5" hidden="false" customHeight="true" outlineLevel="0" collapsed="false">
      <c r="B34" s="1" t="s">
        <v>385</v>
      </c>
      <c r="C34" s="7" t="s">
        <v>382</v>
      </c>
      <c r="D34" s="11" t="n">
        <v>15.3544827030524</v>
      </c>
    </row>
    <row r="35" customFormat="false" ht="16.5" hidden="false" customHeight="true" outlineLevel="0" collapsed="false">
      <c r="B35" s="1" t="s">
        <v>385</v>
      </c>
      <c r="C35" s="7" t="s">
        <v>383</v>
      </c>
      <c r="D35" s="11" t="n">
        <v>28.0302450108258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1"/>
    <col collapsed="false" customWidth="true" hidden="false" outlineLevel="0" max="9" min="4" style="1" width="9"/>
    <col collapsed="false" customWidth="true" hidden="false" outlineLevel="0" max="11" min="10" style="1" width="18"/>
    <col collapsed="false" customWidth="true" hidden="false" outlineLevel="0" max="12" min="12" style="1" width="16"/>
    <col collapsed="false" customWidth="true" hidden="false" outlineLevel="0" max="13" min="13" style="1" width="80"/>
  </cols>
  <sheetData>
    <row r="1" customFormat="false" ht="16.5" hidden="false" customHeight="true" outlineLevel="0" collapsed="false">
      <c r="A1" s="6" t="s">
        <v>386</v>
      </c>
    </row>
    <row r="2" customFormat="false" ht="16.5" hidden="false" customHeight="true" outlineLevel="0" collapsed="false">
      <c r="A2" s="7" t="s">
        <v>387</v>
      </c>
    </row>
    <row r="5" customFormat="false" ht="15" hidden="false" customHeight="true" outlineLevel="0" collapsed="false">
      <c r="A5" s="8" t="s">
        <v>30</v>
      </c>
      <c r="B5" s="9" t="s">
        <v>31</v>
      </c>
      <c r="C5" s="9" t="s">
        <v>33</v>
      </c>
      <c r="D5" s="8" t="s">
        <v>388</v>
      </c>
      <c r="E5" s="8" t="s">
        <v>184</v>
      </c>
      <c r="F5" s="8" t="s">
        <v>188</v>
      </c>
      <c r="G5" s="8" t="s">
        <v>191</v>
      </c>
      <c r="H5" s="8" t="s">
        <v>389</v>
      </c>
      <c r="I5" s="8" t="s">
        <v>390</v>
      </c>
      <c r="J5" s="9" t="s">
        <v>391</v>
      </c>
      <c r="K5" s="9" t="s">
        <v>392</v>
      </c>
      <c r="L5" s="9" t="s">
        <v>35</v>
      </c>
      <c r="M5" s="9" t="s">
        <v>346</v>
      </c>
    </row>
    <row r="6" customFormat="false" ht="15" hidden="false" customHeight="true" outlineLevel="0" collapsed="false">
      <c r="A6" s="1" t="s">
        <v>393</v>
      </c>
      <c r="B6" s="7" t="s">
        <v>394</v>
      </c>
      <c r="C6" s="1" t="s">
        <v>395</v>
      </c>
      <c r="D6" s="10" t="n">
        <v>7.78</v>
      </c>
      <c r="J6" s="10" t="n">
        <v>7.75</v>
      </c>
      <c r="K6" s="10" t="n">
        <v>7.85</v>
      </c>
      <c r="L6" s="1" t="s">
        <v>42</v>
      </c>
      <c r="M6" s="7" t="s">
        <v>396</v>
      </c>
    </row>
    <row r="7" customFormat="false" ht="16.5" hidden="false" customHeight="true" outlineLevel="0" collapsed="false">
      <c r="A7" s="1" t="s">
        <v>397</v>
      </c>
      <c r="B7" s="7" t="s">
        <v>398</v>
      </c>
      <c r="C7" s="1" t="s">
        <v>399</v>
      </c>
      <c r="D7" s="10" t="n">
        <v>12</v>
      </c>
      <c r="J7" s="10" t="n">
        <v>8</v>
      </c>
      <c r="K7" s="10" t="n">
        <v>20</v>
      </c>
      <c r="L7" s="1" t="s">
        <v>400</v>
      </c>
      <c r="M7" s="7" t="s">
        <v>401</v>
      </c>
    </row>
    <row r="8" customFormat="false" ht="15" hidden="false" customHeight="true" outlineLevel="0" collapsed="false">
      <c r="A8" s="1" t="s">
        <v>402</v>
      </c>
      <c r="B8" s="7" t="s">
        <v>403</v>
      </c>
      <c r="C8" s="7" t="s">
        <v>79</v>
      </c>
      <c r="D8" s="10" t="n">
        <v>0.9</v>
      </c>
      <c r="J8" s="10" t="n">
        <v>0.8</v>
      </c>
      <c r="K8" s="10" t="n">
        <v>0.95</v>
      </c>
      <c r="L8" s="1" t="s">
        <v>242</v>
      </c>
      <c r="M8" s="7" t="s">
        <v>404</v>
      </c>
    </row>
    <row r="9" customFormat="false" ht="16.5" hidden="false" customHeight="true" outlineLevel="0" collapsed="false">
      <c r="A9" s="1" t="s">
        <v>405</v>
      </c>
      <c r="B9" s="1" t="s">
        <v>406</v>
      </c>
      <c r="C9" s="7" t="s">
        <v>79</v>
      </c>
      <c r="D9" s="10" t="n">
        <v>0.6</v>
      </c>
      <c r="J9" s="10" t="n">
        <v>0.3</v>
      </c>
      <c r="K9" s="10" t="n">
        <v>0.9</v>
      </c>
      <c r="L9" s="1" t="s">
        <v>400</v>
      </c>
      <c r="M9" s="1" t="s">
        <v>407</v>
      </c>
    </row>
    <row r="10" customFormat="false" ht="16.5" hidden="false" customHeight="true" outlineLevel="0" collapsed="false">
      <c r="A10" s="1" t="s">
        <v>408</v>
      </c>
      <c r="B10" s="7" t="s">
        <v>409</v>
      </c>
      <c r="C10" s="7" t="s">
        <v>79</v>
      </c>
      <c r="D10" s="10" t="n">
        <v>1</v>
      </c>
      <c r="E10" s="10" t="n">
        <v>0.85</v>
      </c>
      <c r="F10" s="10" t="n">
        <v>0.65</v>
      </c>
      <c r="G10" s="10" t="n">
        <v>0.45</v>
      </c>
      <c r="H10" s="10" t="n">
        <v>0.3</v>
      </c>
      <c r="I10" s="10" t="n">
        <v>0.2</v>
      </c>
      <c r="J10" s="12" t="s">
        <v>410</v>
      </c>
      <c r="K10" s="12" t="s">
        <v>411</v>
      </c>
      <c r="L10" s="1" t="s">
        <v>242</v>
      </c>
      <c r="M10" s="7" t="s">
        <v>412</v>
      </c>
    </row>
    <row r="11" customFormat="false" ht="16.5" hidden="false" customHeight="true" outlineLevel="0" collapsed="false">
      <c r="A11" s="1" t="s">
        <v>413</v>
      </c>
      <c r="B11" s="7" t="s">
        <v>414</v>
      </c>
      <c r="C11" s="7" t="s">
        <v>170</v>
      </c>
      <c r="D11" s="10" t="n">
        <v>1</v>
      </c>
      <c r="E11" s="10" t="n">
        <v>2</v>
      </c>
      <c r="F11" s="10" t="n">
        <v>2.6</v>
      </c>
      <c r="G11" s="10" t="n">
        <v>3.38</v>
      </c>
      <c r="H11" s="10" t="n">
        <v>4.39</v>
      </c>
      <c r="I11" s="10" t="n">
        <v>5.71</v>
      </c>
      <c r="J11" s="10" t="s">
        <v>415</v>
      </c>
      <c r="K11" s="10" t="s">
        <v>416</v>
      </c>
      <c r="L11" s="1" t="s">
        <v>80</v>
      </c>
      <c r="M11" s="7" t="s">
        <v>417</v>
      </c>
    </row>
    <row r="12" customFormat="false" ht="16.5" hidden="false" customHeight="true" outlineLevel="0" collapsed="false">
      <c r="A12" s="1" t="s">
        <v>418</v>
      </c>
      <c r="B12" s="1" t="s">
        <v>419</v>
      </c>
      <c r="C12" s="1" t="s">
        <v>175</v>
      </c>
      <c r="D12" s="10" t="n">
        <v>0.4</v>
      </c>
      <c r="E12" s="10" t="n">
        <v>0.22</v>
      </c>
      <c r="J12" s="10" t="s">
        <v>420</v>
      </c>
      <c r="K12" s="10" t="s">
        <v>421</v>
      </c>
      <c r="L12" s="1" t="s">
        <v>400</v>
      </c>
      <c r="M12" s="1" t="s">
        <v>422</v>
      </c>
    </row>
    <row r="13" customFormat="false" ht="16.5" hidden="false" customHeight="true" outlineLevel="0" collapsed="false">
      <c r="A13" s="1" t="s">
        <v>423</v>
      </c>
      <c r="B13" s="1" t="s">
        <v>424</v>
      </c>
      <c r="C13" s="7" t="s">
        <v>79</v>
      </c>
      <c r="F13" s="10" t="n">
        <v>-0.35</v>
      </c>
      <c r="G13" s="10" t="n">
        <v>-0.25</v>
      </c>
      <c r="H13" s="10" t="n">
        <v>-0.2</v>
      </c>
      <c r="I13" s="10" t="n">
        <v>-0.15</v>
      </c>
      <c r="J13" s="12" t="s">
        <v>425</v>
      </c>
      <c r="K13" s="12" t="s">
        <v>426</v>
      </c>
      <c r="L13" s="1" t="s">
        <v>242</v>
      </c>
      <c r="M13" s="1" t="s">
        <v>427</v>
      </c>
    </row>
    <row r="14" customFormat="false" ht="16.5" hidden="false" customHeight="true" outlineLevel="0" collapsed="false">
      <c r="A14" s="1" t="s">
        <v>428</v>
      </c>
      <c r="B14" s="1" t="s">
        <v>429</v>
      </c>
      <c r="C14" s="7" t="s">
        <v>79</v>
      </c>
      <c r="F14" s="10" t="n">
        <v>2</v>
      </c>
      <c r="G14" s="10" t="n">
        <v>1</v>
      </c>
      <c r="H14" s="10" t="n">
        <v>0.6</v>
      </c>
      <c r="I14" s="10" t="n">
        <v>0.4</v>
      </c>
      <c r="J14" s="10" t="s">
        <v>430</v>
      </c>
      <c r="K14" s="10" t="s">
        <v>431</v>
      </c>
      <c r="L14" s="1" t="s">
        <v>242</v>
      </c>
      <c r="M14" s="1" t="s">
        <v>432</v>
      </c>
    </row>
    <row r="15" customFormat="false" ht="16.5" hidden="false" customHeight="true" outlineLevel="0" collapsed="false">
      <c r="A15" s="1" t="s">
        <v>433</v>
      </c>
      <c r="B15" s="1" t="s">
        <v>434</v>
      </c>
      <c r="C15" s="1" t="s">
        <v>435</v>
      </c>
      <c r="D15" s="10" t="n">
        <v>600</v>
      </c>
      <c r="J15" s="10" t="n">
        <v>350</v>
      </c>
      <c r="K15" s="10" t="n">
        <v>750</v>
      </c>
      <c r="L15" s="1" t="s">
        <v>80</v>
      </c>
      <c r="M15" s="7" t="s">
        <v>436</v>
      </c>
    </row>
    <row r="16" customFormat="false" ht="16.5" hidden="false" customHeight="true" outlineLevel="0" collapsed="false">
      <c r="A16" s="1" t="s">
        <v>437</v>
      </c>
      <c r="B16" s="1" t="s">
        <v>438</v>
      </c>
      <c r="C16" s="7" t="s">
        <v>170</v>
      </c>
      <c r="D16" s="10" t="n">
        <v>1.15</v>
      </c>
      <c r="J16" s="10" t="n">
        <v>0.95</v>
      </c>
      <c r="K16" s="10" t="n">
        <v>1.4</v>
      </c>
      <c r="L16" s="1" t="s">
        <v>242</v>
      </c>
      <c r="M16" s="1" t="s">
        <v>439</v>
      </c>
    </row>
    <row r="17" customFormat="false" ht="16.5" hidden="false" customHeight="true" outlineLevel="0" collapsed="false">
      <c r="A17" s="1" t="s">
        <v>440</v>
      </c>
      <c r="B17" s="7" t="s">
        <v>441</v>
      </c>
      <c r="C17" s="7" t="s">
        <v>79</v>
      </c>
      <c r="F17" s="10" t="n">
        <v>0.5</v>
      </c>
      <c r="G17" s="10" t="n">
        <v>0.35</v>
      </c>
      <c r="H17" s="10" t="n">
        <v>0.25</v>
      </c>
      <c r="I17" s="10" t="n">
        <v>0.2</v>
      </c>
      <c r="J17" s="12" t="s">
        <v>442</v>
      </c>
      <c r="K17" s="12" t="s">
        <v>443</v>
      </c>
      <c r="L17" s="1" t="s">
        <v>242</v>
      </c>
      <c r="M17" s="1" t="s">
        <v>444</v>
      </c>
    </row>
    <row r="18" customFormat="false" ht="16.5" hidden="false" customHeight="true" outlineLevel="0" collapsed="false">
      <c r="A18" s="1" t="s">
        <v>445</v>
      </c>
      <c r="B18" s="7" t="s">
        <v>446</v>
      </c>
      <c r="C18" s="7" t="s">
        <v>79</v>
      </c>
      <c r="E18" s="10" t="n">
        <v>0.85</v>
      </c>
      <c r="F18" s="10" t="n">
        <v>0.75</v>
      </c>
      <c r="G18" s="10" t="n">
        <v>0.68</v>
      </c>
      <c r="H18" s="10" t="n">
        <v>0.62</v>
      </c>
      <c r="I18" s="10" t="n">
        <v>0.55</v>
      </c>
      <c r="J18" s="12" t="s">
        <v>410</v>
      </c>
      <c r="K18" s="12" t="s">
        <v>411</v>
      </c>
      <c r="L18" s="1" t="s">
        <v>242</v>
      </c>
      <c r="M18" s="1" t="s">
        <v>447</v>
      </c>
    </row>
    <row r="19" customFormat="false" ht="16.5" hidden="false" customHeight="true" outlineLevel="0" collapsed="false">
      <c r="A19" s="1" t="s">
        <v>448</v>
      </c>
      <c r="B19" s="7" t="s">
        <v>449</v>
      </c>
      <c r="C19" s="7" t="s">
        <v>79</v>
      </c>
      <c r="D19" s="10" t="n">
        <v>0.05</v>
      </c>
      <c r="J19" s="10" t="n">
        <v>0.03</v>
      </c>
      <c r="K19" s="10" t="n">
        <v>0.08</v>
      </c>
      <c r="L19" s="1" t="s">
        <v>242</v>
      </c>
      <c r="M19" s="1" t="s">
        <v>450</v>
      </c>
    </row>
    <row r="20" customFormat="false" ht="16.5" hidden="false" customHeight="true" outlineLevel="0" collapsed="false">
      <c r="A20" s="1" t="s">
        <v>451</v>
      </c>
      <c r="B20" s="7" t="s">
        <v>452</v>
      </c>
      <c r="C20" s="7" t="s">
        <v>79</v>
      </c>
      <c r="D20" s="10" t="n">
        <v>0.75</v>
      </c>
      <c r="J20" s="10" t="n">
        <v>0.6</v>
      </c>
      <c r="K20" s="10" t="n">
        <v>0.85</v>
      </c>
      <c r="L20" s="1" t="s">
        <v>242</v>
      </c>
      <c r="M20" s="1" t="s">
        <v>453</v>
      </c>
    </row>
    <row r="21" customFormat="false" ht="16.5" hidden="false" customHeight="true" outlineLevel="0" collapsed="false">
      <c r="A21" s="1" t="s">
        <v>454</v>
      </c>
      <c r="B21" s="1" t="s">
        <v>455</v>
      </c>
      <c r="C21" s="7" t="s">
        <v>170</v>
      </c>
      <c r="D21" s="10" t="n">
        <v>1.2</v>
      </c>
      <c r="J21" s="10" t="n">
        <v>1</v>
      </c>
      <c r="K21" s="10" t="n">
        <v>1.5</v>
      </c>
      <c r="L21" s="1" t="s">
        <v>242</v>
      </c>
      <c r="M21" s="1" t="s">
        <v>456</v>
      </c>
    </row>
    <row r="22" customFormat="false" ht="16.5" hidden="false" customHeight="true" outlineLevel="0" collapsed="false">
      <c r="A22" s="1" t="s">
        <v>457</v>
      </c>
      <c r="B22" s="7" t="s">
        <v>458</v>
      </c>
      <c r="C22" s="7" t="s">
        <v>79</v>
      </c>
      <c r="F22" s="10" t="n">
        <v>0.8</v>
      </c>
      <c r="G22" s="10" t="n">
        <v>0.5</v>
      </c>
      <c r="H22" s="10" t="n">
        <v>0.35</v>
      </c>
      <c r="I22" s="10" t="n">
        <v>0.25</v>
      </c>
      <c r="J22" s="12" t="s">
        <v>442</v>
      </c>
      <c r="K22" s="12" t="s">
        <v>443</v>
      </c>
      <c r="L22" s="1" t="s">
        <v>242</v>
      </c>
      <c r="M22" s="7" t="s">
        <v>459</v>
      </c>
    </row>
    <row r="23" customFormat="false" ht="16.5" hidden="false" customHeight="true" outlineLevel="0" collapsed="false">
      <c r="A23" s="1" t="s">
        <v>460</v>
      </c>
      <c r="B23" s="7" t="s">
        <v>461</v>
      </c>
      <c r="C23" s="7" t="s">
        <v>119</v>
      </c>
      <c r="E23" s="10" t="n">
        <v>560</v>
      </c>
      <c r="F23" s="10" t="n">
        <v>750</v>
      </c>
      <c r="G23" s="10" t="n">
        <v>950</v>
      </c>
      <c r="H23" s="10" t="n">
        <v>1100</v>
      </c>
      <c r="I23" s="10" t="n">
        <v>1250</v>
      </c>
      <c r="J23" s="12" t="s">
        <v>462</v>
      </c>
      <c r="K23" s="12" t="s">
        <v>463</v>
      </c>
      <c r="L23" s="1" t="s">
        <v>242</v>
      </c>
      <c r="M23" s="1" t="s">
        <v>464</v>
      </c>
    </row>
    <row r="24" customFormat="false" ht="16.5" hidden="false" customHeight="true" outlineLevel="0" collapsed="false">
      <c r="A24" s="1" t="s">
        <v>465</v>
      </c>
      <c r="B24" s="7" t="s">
        <v>466</v>
      </c>
      <c r="C24" s="7" t="s">
        <v>79</v>
      </c>
      <c r="D24" s="10" t="n">
        <v>0.08</v>
      </c>
      <c r="J24" s="10" t="n">
        <v>0.03</v>
      </c>
      <c r="K24" s="10" t="n">
        <v>0.15</v>
      </c>
      <c r="L24" s="1" t="s">
        <v>242</v>
      </c>
      <c r="M24" s="1" t="s">
        <v>467</v>
      </c>
    </row>
    <row r="25" customFormat="false" ht="16.5" hidden="false" customHeight="true" outlineLevel="0" collapsed="false">
      <c r="A25" s="1" t="s">
        <v>468</v>
      </c>
      <c r="B25" s="7" t="s">
        <v>469</v>
      </c>
      <c r="C25" s="7" t="s">
        <v>79</v>
      </c>
      <c r="E25" s="10" t="n">
        <v>0.35</v>
      </c>
      <c r="F25" s="10" t="n">
        <v>0.25</v>
      </c>
      <c r="G25" s="10" t="n">
        <v>0.2</v>
      </c>
      <c r="H25" s="10" t="n">
        <v>0.17</v>
      </c>
      <c r="I25" s="10" t="n">
        <v>0.15</v>
      </c>
      <c r="J25" s="12" t="s">
        <v>470</v>
      </c>
      <c r="K25" s="12" t="s">
        <v>463</v>
      </c>
      <c r="L25" s="1" t="s">
        <v>242</v>
      </c>
      <c r="M25" s="1" t="s">
        <v>471</v>
      </c>
    </row>
    <row r="26" customFormat="false" ht="16.5" hidden="false" customHeight="true" outlineLevel="0" collapsed="false">
      <c r="A26" s="1" t="s">
        <v>472</v>
      </c>
      <c r="B26" s="7" t="s">
        <v>473</v>
      </c>
      <c r="C26" s="7" t="s">
        <v>79</v>
      </c>
      <c r="D26" s="10" t="n">
        <v>0.03</v>
      </c>
      <c r="J26" s="10" t="n">
        <v>0.02</v>
      </c>
      <c r="K26" s="10" t="n">
        <v>0.04</v>
      </c>
      <c r="L26" s="1" t="s">
        <v>242</v>
      </c>
      <c r="M26" s="1" t="s">
        <v>474</v>
      </c>
    </row>
    <row r="27" customFormat="false" ht="16.5" hidden="false" customHeight="true" outlineLevel="0" collapsed="false">
      <c r="A27" s="1" t="s">
        <v>475</v>
      </c>
      <c r="B27" s="7" t="s">
        <v>476</v>
      </c>
      <c r="C27" s="1" t="s">
        <v>41</v>
      </c>
      <c r="E27" s="10" t="n">
        <v>322</v>
      </c>
      <c r="F27" s="10" t="n">
        <v>0</v>
      </c>
      <c r="G27" s="10" t="n">
        <v>0</v>
      </c>
      <c r="H27" s="10" t="n">
        <v>0</v>
      </c>
      <c r="I27" s="10" t="n">
        <v>0</v>
      </c>
      <c r="J27" s="10" t="s">
        <v>477</v>
      </c>
      <c r="K27" s="10" t="s">
        <v>478</v>
      </c>
      <c r="L27" s="1" t="s">
        <v>242</v>
      </c>
      <c r="M27" s="1" t="s">
        <v>479</v>
      </c>
    </row>
    <row r="28" customFormat="false" ht="16.5" hidden="false" customHeight="true" outlineLevel="0" collapsed="false">
      <c r="A28" s="1" t="s">
        <v>480</v>
      </c>
      <c r="B28" s="7" t="s">
        <v>481</v>
      </c>
      <c r="C28" s="7" t="s">
        <v>79</v>
      </c>
      <c r="D28" s="10" t="n">
        <v>0</v>
      </c>
      <c r="J28" s="10" t="n">
        <v>0</v>
      </c>
      <c r="K28" s="10" t="n">
        <v>1</v>
      </c>
      <c r="L28" s="1" t="s">
        <v>242</v>
      </c>
      <c r="M28" s="7" t="s">
        <v>482</v>
      </c>
    </row>
    <row r="29" customFormat="false" ht="15" hidden="false" customHeight="true" outlineLevel="0" collapsed="false">
      <c r="A29" s="1" t="s">
        <v>483</v>
      </c>
      <c r="B29" s="7" t="s">
        <v>484</v>
      </c>
      <c r="C29" s="1" t="s">
        <v>41</v>
      </c>
      <c r="D29" s="10" t="n">
        <v>300</v>
      </c>
      <c r="J29" s="10" t="n">
        <v>200</v>
      </c>
      <c r="K29" s="10" t="n">
        <v>500</v>
      </c>
      <c r="L29" s="1" t="s">
        <v>242</v>
      </c>
      <c r="M29" s="7" t="s">
        <v>485</v>
      </c>
    </row>
    <row r="30" customFormat="false" ht="16.5" hidden="false" customHeight="true" outlineLevel="0" collapsed="false">
      <c r="A30" s="1" t="s">
        <v>486</v>
      </c>
      <c r="B30" s="7" t="s">
        <v>487</v>
      </c>
      <c r="C30" s="7" t="s">
        <v>79</v>
      </c>
      <c r="D30" s="10" t="n">
        <v>0.1</v>
      </c>
      <c r="J30" s="10" t="n">
        <v>0.05</v>
      </c>
      <c r="K30" s="10" t="n">
        <v>0.2</v>
      </c>
      <c r="L30" s="1" t="s">
        <v>400</v>
      </c>
      <c r="M30" s="1" t="s">
        <v>488</v>
      </c>
    </row>
    <row r="31" customFormat="false" ht="16.5" hidden="false" customHeight="true" outlineLevel="0" collapsed="false">
      <c r="A31" s="1" t="s">
        <v>489</v>
      </c>
      <c r="B31" s="1" t="s">
        <v>490</v>
      </c>
      <c r="C31" s="1" t="s">
        <v>491</v>
      </c>
      <c r="D31" s="10" t="n">
        <v>1.4</v>
      </c>
      <c r="J31" s="10" t="n">
        <v>1.2</v>
      </c>
      <c r="K31" s="10" t="n">
        <v>1.7</v>
      </c>
      <c r="L31" s="1" t="s">
        <v>400</v>
      </c>
      <c r="M31" s="7" t="s">
        <v>492</v>
      </c>
    </row>
    <row r="32" customFormat="false" ht="16.5" hidden="false" customHeight="true" outlineLevel="0" collapsed="false">
      <c r="A32" s="1" t="s">
        <v>493</v>
      </c>
      <c r="B32" s="1" t="s">
        <v>494</v>
      </c>
      <c r="C32" s="7" t="s">
        <v>170</v>
      </c>
      <c r="D32" s="10" t="n">
        <v>1.3</v>
      </c>
      <c r="J32" s="10" t="n">
        <v>1</v>
      </c>
      <c r="K32" s="10" t="n">
        <v>2</v>
      </c>
      <c r="L32" s="1" t="s">
        <v>80</v>
      </c>
      <c r="M32" s="7" t="s">
        <v>495</v>
      </c>
    </row>
    <row r="33" customFormat="false" ht="16.5" hidden="false" customHeight="true" outlineLevel="0" collapsed="false">
      <c r="A33" s="1" t="s">
        <v>496</v>
      </c>
      <c r="B33" s="1" t="s">
        <v>497</v>
      </c>
      <c r="C33" s="7" t="s">
        <v>79</v>
      </c>
      <c r="D33" s="10" t="n">
        <v>0.5</v>
      </c>
      <c r="J33" s="10" t="n">
        <v>0.5</v>
      </c>
      <c r="K33" s="10" t="n">
        <v>0.5</v>
      </c>
      <c r="L33" s="1" t="s">
        <v>42</v>
      </c>
      <c r="M33" s="7" t="s">
        <v>498</v>
      </c>
    </row>
    <row r="34" customFormat="false" ht="16.5" hidden="false" customHeight="true" outlineLevel="0" collapsed="false">
      <c r="A34" s="1" t="s">
        <v>499</v>
      </c>
      <c r="B34" s="1" t="s">
        <v>500</v>
      </c>
      <c r="C34" s="7" t="s">
        <v>79</v>
      </c>
      <c r="D34" s="10" t="n">
        <v>0.2</v>
      </c>
      <c r="J34" s="10" t="n">
        <v>0</v>
      </c>
      <c r="K34" s="10" t="n">
        <v>1</v>
      </c>
      <c r="L34" s="1" t="s">
        <v>242</v>
      </c>
      <c r="M34" s="1" t="s">
        <v>501</v>
      </c>
    </row>
    <row r="35" customFormat="false" ht="16.5" hidden="false" customHeight="true" outlineLevel="0" collapsed="false">
      <c r="A35" s="1" t="s">
        <v>502</v>
      </c>
      <c r="B35" s="1" t="s">
        <v>503</v>
      </c>
      <c r="C35" s="7" t="s">
        <v>79</v>
      </c>
      <c r="D35" s="10" t="n">
        <v>0.5</v>
      </c>
      <c r="J35" s="10" t="n">
        <v>0.5</v>
      </c>
      <c r="K35" s="10" t="n">
        <v>0.75</v>
      </c>
      <c r="L35" s="1" t="s">
        <v>504</v>
      </c>
      <c r="M35" s="7" t="s">
        <v>505</v>
      </c>
    </row>
    <row r="36" customFormat="false" ht="16.5" hidden="false" customHeight="true" outlineLevel="0" collapsed="false">
      <c r="A36" s="1" t="s">
        <v>506</v>
      </c>
      <c r="B36" s="1" t="s">
        <v>507</v>
      </c>
      <c r="C36" s="7" t="s">
        <v>508</v>
      </c>
      <c r="D36" s="10" t="n">
        <v>8</v>
      </c>
      <c r="J36" s="10" t="n">
        <v>1</v>
      </c>
      <c r="K36" s="10" t="n">
        <v>8</v>
      </c>
      <c r="L36" s="1" t="s">
        <v>242</v>
      </c>
      <c r="M36" s="1" t="s">
        <v>509</v>
      </c>
    </row>
    <row r="37" customFormat="false" ht="16.5" hidden="false" customHeight="true" outlineLevel="0" collapsed="false">
      <c r="A37" s="1" t="s">
        <v>510</v>
      </c>
      <c r="B37" s="7" t="s">
        <v>511</v>
      </c>
      <c r="C37" s="7" t="s">
        <v>170</v>
      </c>
      <c r="D37" s="10" t="n">
        <v>8</v>
      </c>
      <c r="J37" s="10" t="n">
        <v>5</v>
      </c>
      <c r="K37" s="10" t="n">
        <v>12</v>
      </c>
      <c r="L37" s="1" t="s">
        <v>242</v>
      </c>
      <c r="M37" s="7" t="s">
        <v>512</v>
      </c>
    </row>
    <row r="38" customFormat="false" ht="15" hidden="false" customHeight="true" outlineLevel="0" collapsed="false">
      <c r="A38" s="1" t="s">
        <v>513</v>
      </c>
      <c r="B38" s="7" t="s">
        <v>514</v>
      </c>
      <c r="C38" s="7" t="s">
        <v>79</v>
      </c>
      <c r="D38" s="10" t="n">
        <v>0.12</v>
      </c>
      <c r="J38" s="10" t="n">
        <v>0.1</v>
      </c>
      <c r="K38" s="10" t="n">
        <v>0.15</v>
      </c>
      <c r="L38" s="1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515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523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524</v>
      </c>
      <c r="B7" s="1" t="s">
        <v>525</v>
      </c>
      <c r="C7" s="1" t="s">
        <v>175</v>
      </c>
      <c r="D7" s="16" t="n">
        <f aca="false">Inputs!$D$12</f>
        <v>0.4</v>
      </c>
      <c r="E7" s="16" t="n">
        <f aca="false">Inputs!$E$12*(1-Inputs!$D$35*Inputs!$D$33*Inputs!$D$34)</f>
        <v>0.209</v>
      </c>
      <c r="F7" s="16" t="n">
        <f aca="false">E7*(1+Inputs!$F$13)</f>
        <v>0.13585</v>
      </c>
      <c r="G7" s="16" t="n">
        <f aca="false">F7*(1+Inputs!$G$13)</f>
        <v>0.1018875</v>
      </c>
      <c r="H7" s="16" t="n">
        <f aca="false">G7*(1+Inputs!$H$13)</f>
        <v>0.08151</v>
      </c>
      <c r="I7" s="16" t="n">
        <f aca="false">H7*(1+Inputs!$I$13)</f>
        <v>0.0692835</v>
      </c>
      <c r="J7" s="1" t="s">
        <v>526</v>
      </c>
    </row>
    <row r="8" customFormat="false" ht="16.5" hidden="false" customHeight="true" outlineLevel="0" collapsed="false">
      <c r="A8" s="1" t="s">
        <v>527</v>
      </c>
      <c r="B8" s="1" t="s">
        <v>528</v>
      </c>
      <c r="C8" s="7" t="s">
        <v>79</v>
      </c>
      <c r="E8" s="17" t="n">
        <f aca="false">E7/D7-1</f>
        <v>-0.4775</v>
      </c>
      <c r="F8" s="17" t="n">
        <f aca="false">F7/E7-1</f>
        <v>-0.35</v>
      </c>
      <c r="G8" s="17" t="n">
        <f aca="false">G7/F7-1</f>
        <v>-0.25</v>
      </c>
      <c r="H8" s="17" t="n">
        <f aca="false">H7/G7-1</f>
        <v>-0.2</v>
      </c>
      <c r="I8" s="17" t="n">
        <f aca="false">I7/H7-1</f>
        <v>-0.15</v>
      </c>
    </row>
    <row r="9" customFormat="false" ht="16.5" hidden="false" customHeight="true" outlineLevel="0" collapsed="false">
      <c r="A9" s="14" t="s">
        <v>529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16.5" hidden="false" customHeight="true" outlineLevel="0" collapsed="false">
      <c r="A10" s="1" t="s">
        <v>530</v>
      </c>
      <c r="B10" s="1" t="s">
        <v>531</v>
      </c>
      <c r="C10" s="1" t="s">
        <v>532</v>
      </c>
      <c r="D10" s="18" t="n">
        <f aca="false">Revenue!$D$7/D7</f>
        <v>65</v>
      </c>
      <c r="E10" s="18" t="n">
        <f aca="false">Revenue!$E$7/E7</f>
        <v>1788.995215311</v>
      </c>
      <c r="F10" s="18" t="n">
        <f aca="false">E10*(1+Inputs!$F$14)</f>
        <v>5366.98564593302</v>
      </c>
      <c r="G10" s="18" t="n">
        <f aca="false">F10*(1+Inputs!$G$14)</f>
        <v>10733.971291866</v>
      </c>
      <c r="H10" s="18" t="n">
        <f aca="false">G10*(1+Inputs!$H$14)</f>
        <v>17174.3540669857</v>
      </c>
      <c r="I10" s="18" t="n">
        <f aca="false">H10*(1+Inputs!$I$14)</f>
        <v>24044.0956937799</v>
      </c>
      <c r="J10" s="1" t="s">
        <v>533</v>
      </c>
    </row>
    <row r="11" customFormat="false" ht="16.5" hidden="false" customHeight="true" outlineLevel="0" collapsed="false">
      <c r="A11" s="1" t="s">
        <v>534</v>
      </c>
      <c r="B11" s="1" t="s">
        <v>535</v>
      </c>
      <c r="C11" s="1" t="s">
        <v>536</v>
      </c>
      <c r="D11" s="19" t="n">
        <f aca="false">D10/365</f>
        <v>0.178082191780822</v>
      </c>
      <c r="E11" s="19" t="n">
        <f aca="false">E10/365</f>
        <v>4.90135675427673</v>
      </c>
      <c r="F11" s="19" t="n">
        <f aca="false">F10/365</f>
        <v>14.7040702628302</v>
      </c>
      <c r="G11" s="19" t="n">
        <f aca="false">G10/365</f>
        <v>29.4081405256604</v>
      </c>
      <c r="H11" s="19" t="n">
        <f aca="false">H10/365</f>
        <v>47.0530248410566</v>
      </c>
      <c r="I11" s="19" t="n">
        <f aca="false">I10/365</f>
        <v>65.8742347774792</v>
      </c>
    </row>
    <row r="12" customFormat="false" ht="16.5" hidden="false" customHeight="true" outlineLevel="0" collapsed="false">
      <c r="A12" s="1" t="s">
        <v>537</v>
      </c>
      <c r="B12" s="1" t="s">
        <v>538</v>
      </c>
      <c r="C12" s="7" t="s">
        <v>79</v>
      </c>
      <c r="E12" s="17" t="n">
        <f aca="false">E10/D10-1</f>
        <v>26.523003312477</v>
      </c>
      <c r="F12" s="17" t="n">
        <f aca="false">F10/E10-1</f>
        <v>2</v>
      </c>
      <c r="G12" s="17" t="n">
        <f aca="false">G10/F10-1</f>
        <v>1</v>
      </c>
      <c r="H12" s="17" t="n">
        <f aca="false">H10/G10-1</f>
        <v>0.6</v>
      </c>
      <c r="I12" s="17" t="n">
        <f aca="false">I10/H10-1</f>
        <v>0.4</v>
      </c>
    </row>
    <row r="13" customFormat="false" ht="16.5" hidden="false" customHeight="true" outlineLevel="0" collapsed="false">
      <c r="A13" s="1" t="s">
        <v>539</v>
      </c>
      <c r="B13" s="1" t="s">
        <v>540</v>
      </c>
      <c r="C13" s="1" t="s">
        <v>175</v>
      </c>
      <c r="E13" s="16" t="n">
        <f aca="false">Inputs!$E$12*(1-Inputs!$D$33*Inputs!$D$34)</f>
        <v>0.198</v>
      </c>
      <c r="J13" s="1" t="s">
        <v>541</v>
      </c>
    </row>
    <row r="14" customFormat="false" ht="15" hidden="false" customHeight="true" outlineLevel="0" collapsed="false">
      <c r="A14" s="14" t="s">
        <v>542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6.5" hidden="false" customHeight="true" outlineLevel="0" collapsed="false">
      <c r="A15" s="1" t="s">
        <v>543</v>
      </c>
      <c r="B15" s="1" t="s">
        <v>544</v>
      </c>
      <c r="C15" s="7" t="s">
        <v>170</v>
      </c>
      <c r="E15" s="20" t="n">
        <f aca="false">E10/D10</f>
        <v>27.523003312477</v>
      </c>
    </row>
    <row r="16" customFormat="false" ht="16.5" hidden="false" customHeight="true" outlineLevel="0" collapsed="false">
      <c r="A16" s="1" t="s">
        <v>545</v>
      </c>
      <c r="B16" s="7" t="s">
        <v>546</v>
      </c>
      <c r="C16" s="7" t="s">
        <v>170</v>
      </c>
      <c r="E16" s="21" t="n">
        <f aca="false">SRC_MM!$E$59</f>
        <v>20</v>
      </c>
      <c r="J16" s="7" t="s">
        <v>547</v>
      </c>
    </row>
    <row r="17" customFormat="false" ht="16.5" hidden="false" customHeight="true" outlineLevel="0" collapsed="false">
      <c r="A17" s="1" t="s">
        <v>548</v>
      </c>
      <c r="B17" s="7" t="s">
        <v>549</v>
      </c>
      <c r="C17" s="1" t="s">
        <v>435</v>
      </c>
      <c r="E17" s="18" t="n">
        <f aca="false">SRC_MM!$E$57*SRC_MM!$E$58</f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550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551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552</v>
      </c>
      <c r="B7" s="7" t="s">
        <v>553</v>
      </c>
      <c r="C7" s="1" t="s">
        <v>41</v>
      </c>
      <c r="D7" s="18" t="n">
        <f aca="false">SRC_MM!$E$10</f>
        <v>26</v>
      </c>
      <c r="E7" s="18" t="n">
        <f aca="false">SRC_MM!$E$12+Inputs!$D$15/2</f>
        <v>373.9</v>
      </c>
      <c r="F7" s="18" t="n">
        <f aca="false">Demand!$F$10*Demand!$F$7</f>
        <v>729.105</v>
      </c>
      <c r="G7" s="18" t="n">
        <f aca="false">Demand!$G$10*Demand!$G$7</f>
        <v>1093.6575</v>
      </c>
      <c r="H7" s="18" t="n">
        <f aca="false">Demand!$H$10*Demand!$H$7</f>
        <v>1399.8816</v>
      </c>
      <c r="I7" s="18" t="n">
        <f aca="false">Demand!$I$10*Demand!$I$7</f>
        <v>1665.859104</v>
      </c>
      <c r="J7" s="1" t="s">
        <v>554</v>
      </c>
    </row>
    <row r="8" customFormat="false" ht="16.5" hidden="false" customHeight="true" outlineLevel="0" collapsed="false">
      <c r="A8" s="14" t="s">
        <v>555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true" outlineLevel="0" collapsed="false">
      <c r="A9" s="1" t="s">
        <v>556</v>
      </c>
      <c r="B9" s="7" t="s">
        <v>557</v>
      </c>
      <c r="C9" s="1" t="s">
        <v>41</v>
      </c>
      <c r="D9" s="18" t="n">
        <f aca="false">SRC_MM!$E$9</f>
        <v>53.1</v>
      </c>
      <c r="E9" s="18" t="n">
        <f aca="false">SRC_MM!$E$11*(1+Inputs!$D$16)</f>
        <v>91.59</v>
      </c>
      <c r="F9" s="18" t="n">
        <f aca="false">E9*(1+Inputs!$F$17)</f>
        <v>137.385</v>
      </c>
      <c r="G9" s="18" t="n">
        <f aca="false">F9*(1+Inputs!$G$17)</f>
        <v>185.46975</v>
      </c>
      <c r="H9" s="18" t="n">
        <f aca="false">G9*(1+Inputs!$H$17)</f>
        <v>231.8371875</v>
      </c>
      <c r="I9" s="18" t="n">
        <f aca="false">H9*(1+Inputs!$I$17)</f>
        <v>278.204625</v>
      </c>
    </row>
    <row r="10" customFormat="false" ht="16.5" hidden="false" customHeight="true" outlineLevel="0" collapsed="false">
      <c r="A10" s="1" t="s">
        <v>558</v>
      </c>
      <c r="B10" s="7" t="s">
        <v>559</v>
      </c>
      <c r="C10" s="1" t="s">
        <v>41</v>
      </c>
      <c r="D10" s="18" t="n">
        <f aca="false">D9*SRC_MM!$E$15/SRC_MM!$E$13</f>
        <v>26.1868753287743</v>
      </c>
      <c r="E10" s="18" t="n">
        <f aca="false">E9*SRC_MM!$E$15/SRC_MM!$E$13</f>
        <v>45.1686612309311</v>
      </c>
      <c r="F10" s="18" t="n">
        <f aca="false">F9*SRC_MM!$E$15/SRC_MM!$E$13</f>
        <v>67.7529918463966</v>
      </c>
      <c r="G10" s="18" t="n">
        <f aca="false">G9*SRC_MM!$E$15/SRC_MM!$E$13</f>
        <v>91.4665389926355</v>
      </c>
      <c r="H10" s="18" t="n">
        <f aca="false">H9*SRC_MM!$E$15/SRC_MM!$E$13</f>
        <v>114.333173740794</v>
      </c>
      <c r="I10" s="18" t="n">
        <f aca="false">I9*SRC_MM!$E$15/SRC_MM!$E$13</f>
        <v>137.199808488953</v>
      </c>
      <c r="J10" s="7" t="s">
        <v>560</v>
      </c>
    </row>
    <row r="11" customFormat="false" ht="16.5" hidden="false" customHeight="true" outlineLevel="0" collapsed="false">
      <c r="A11" s="1" t="s">
        <v>561</v>
      </c>
      <c r="B11" s="7" t="s">
        <v>562</v>
      </c>
      <c r="C11" s="1" t="s">
        <v>41</v>
      </c>
      <c r="D11" s="18" t="n">
        <f aca="false">D9*SRC_MM!$E$16/SRC_MM!$E$13</f>
        <v>24.3908048395581</v>
      </c>
      <c r="E11" s="18" t="n">
        <f aca="false">E9*SRC_MM!$E$16/SRC_MM!$E$13</f>
        <v>42.0706933193056</v>
      </c>
      <c r="F11" s="18" t="n">
        <f aca="false">F9*SRC_MM!$E$16/SRC_MM!$E$13</f>
        <v>63.1060399789584</v>
      </c>
      <c r="G11" s="18" t="n">
        <f aca="false">G9*SRC_MM!$E$16/SRC_MM!$E$13</f>
        <v>85.1931539715939</v>
      </c>
      <c r="H11" s="18" t="n">
        <f aca="false">H9*SRC_MM!$E$16/SRC_MM!$E$13</f>
        <v>106.491442464492</v>
      </c>
      <c r="I11" s="18" t="n">
        <f aca="false">I9*SRC_MM!$E$16/SRC_MM!$E$13</f>
        <v>127.789730957391</v>
      </c>
    </row>
    <row r="12" customFormat="false" ht="16.5" hidden="false" customHeight="true" outlineLevel="0" collapsed="false">
      <c r="A12" s="1" t="s">
        <v>563</v>
      </c>
      <c r="B12" s="7" t="s">
        <v>564</v>
      </c>
      <c r="C12" s="1" t="s">
        <v>41</v>
      </c>
      <c r="D12" s="18" t="n">
        <f aca="false">D9*SRC_MM!$E$17/SRC_MM!$E$13</f>
        <v>2.52231983166754</v>
      </c>
      <c r="E12" s="18" t="n">
        <f aca="false">E9*SRC_MM!$E$17/SRC_MM!$E$13</f>
        <v>4.35064544976328</v>
      </c>
      <c r="F12" s="18" t="n">
        <f aca="false">F9*SRC_MM!$E$17/SRC_MM!$E$13</f>
        <v>6.52596817464492</v>
      </c>
      <c r="G12" s="18" t="n">
        <f aca="false">G9*SRC_MM!$E$17/SRC_MM!$E$13</f>
        <v>8.81005703577065</v>
      </c>
      <c r="H12" s="18" t="n">
        <f aca="false">H9*SRC_MM!$E$17/SRC_MM!$E$13</f>
        <v>11.0125712947133</v>
      </c>
      <c r="I12" s="18" t="n">
        <f aca="false">I9*SRC_MM!$E$17/SRC_MM!$E$13</f>
        <v>13.215085553656</v>
      </c>
    </row>
    <row r="13" customFormat="false" ht="16.5" hidden="false" customHeight="true" outlineLevel="0" collapsed="false">
      <c r="A13" s="1" t="s">
        <v>565</v>
      </c>
      <c r="B13" s="7" t="s">
        <v>566</v>
      </c>
      <c r="C13" s="1" t="s">
        <v>41</v>
      </c>
      <c r="D13" s="18" t="n">
        <f aca="false">D9*SRC_MM!$E$18/SRC_MM!$E$13</f>
        <v>15.6255339295108</v>
      </c>
      <c r="E13" s="18" t="n">
        <f aca="false">E9*SRC_MM!$E$18/SRC_MM!$E$13</f>
        <v>26.9518390320884</v>
      </c>
      <c r="F13" s="18" t="n">
        <f aca="false">F9*SRC_MM!$E$18/SRC_MM!$E$13</f>
        <v>40.4277585481326</v>
      </c>
      <c r="G13" s="18" t="n">
        <f aca="false">G9*SRC_MM!$E$18/SRC_MM!$E$13</f>
        <v>54.577474039979</v>
      </c>
      <c r="H13" s="18" t="n">
        <f aca="false">H9*SRC_MM!$E$18/SRC_MM!$E$13</f>
        <v>68.2218425499737</v>
      </c>
      <c r="I13" s="18" t="n">
        <f aca="false">I9*SRC_MM!$E$18/SRC_MM!$E$13</f>
        <v>81.8662110599684</v>
      </c>
      <c r="J13" s="7" t="s">
        <v>567</v>
      </c>
    </row>
    <row r="14" customFormat="false" ht="16.5" hidden="false" customHeight="true" outlineLevel="0" collapsed="false">
      <c r="A14" s="1" t="s">
        <v>568</v>
      </c>
      <c r="B14" s="7" t="s">
        <v>569</v>
      </c>
      <c r="C14" s="1" t="s">
        <v>41</v>
      </c>
      <c r="D14" s="18" t="n">
        <f aca="false">D9*SRC_MM!$E$19/SRC_MM!$E$13</f>
        <v>30.9452051551815</v>
      </c>
      <c r="E14" s="18" t="n">
        <f aca="false">E9*SRC_MM!$E$19/SRC_MM!$E$13</f>
        <v>53.3761081009995</v>
      </c>
      <c r="F14" s="18" t="n">
        <f aca="false">F9*SRC_MM!$E$19/SRC_MM!$E$13</f>
        <v>80.0641621514992</v>
      </c>
      <c r="G14" s="18" t="n">
        <f aca="false">G9*SRC_MM!$E$19/SRC_MM!$E$13</f>
        <v>108.086618904524</v>
      </c>
      <c r="H14" s="18" t="n">
        <f aca="false">H9*SRC_MM!$E$19/SRC_MM!$E$13</f>
        <v>135.108273630655</v>
      </c>
      <c r="I14" s="18" t="n">
        <f aca="false">I9*SRC_MM!$E$19/SRC_MM!$E$13</f>
        <v>162.129928356786</v>
      </c>
      <c r="J14" s="7" t="s">
        <v>570</v>
      </c>
    </row>
    <row r="15" customFormat="false" ht="16.5" hidden="false" customHeight="true" outlineLevel="0" collapsed="false">
      <c r="A15" s="1" t="s">
        <v>571</v>
      </c>
      <c r="B15" s="7" t="s">
        <v>572</v>
      </c>
      <c r="C15" s="1" t="s">
        <v>41</v>
      </c>
      <c r="D15" s="18" t="n">
        <f aca="false">D9*SRC_MM!$E$20/SRC_MM!$E$13</f>
        <v>6.52926091530773</v>
      </c>
      <c r="E15" s="18" t="n">
        <f aca="false">E9*SRC_MM!$E$20/SRC_MM!$E$13</f>
        <v>11.2620528669122</v>
      </c>
      <c r="F15" s="18" t="n">
        <f aca="false">F9*SRC_MM!$E$20/SRC_MM!$E$13</f>
        <v>16.8930793003682</v>
      </c>
      <c r="G15" s="18" t="n">
        <f aca="false">G9*SRC_MM!$E$20/SRC_MM!$E$13</f>
        <v>22.8056570554971</v>
      </c>
      <c r="H15" s="18" t="n">
        <f aca="false">H9*SRC_MM!$E$20/SRC_MM!$E$13</f>
        <v>28.5070713193714</v>
      </c>
      <c r="I15" s="18" t="n">
        <f aca="false">I9*SRC_MM!$E$20/SRC_MM!$E$13</f>
        <v>34.2084855832457</v>
      </c>
    </row>
    <row r="16" customFormat="false" ht="15" hidden="false" customHeight="true" outlineLevel="0" collapsed="false">
      <c r="A16" s="14" t="s">
        <v>573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true" outlineLevel="0" collapsed="false">
      <c r="A17" s="22" t="s">
        <v>574</v>
      </c>
      <c r="B17" s="23" t="s">
        <v>575</v>
      </c>
      <c r="C17" s="22" t="s">
        <v>41</v>
      </c>
      <c r="D17" s="24" t="n">
        <f aca="false">D7+D9</f>
        <v>79.1</v>
      </c>
      <c r="E17" s="24" t="n">
        <f aca="false">E7+E9</f>
        <v>465.49</v>
      </c>
      <c r="F17" s="24" t="n">
        <f aca="false">F7+F9</f>
        <v>866.49</v>
      </c>
      <c r="G17" s="24" t="n">
        <f aca="false">G7+G9</f>
        <v>1279.12725</v>
      </c>
      <c r="H17" s="24" t="n">
        <f aca="false">H7+H9</f>
        <v>1631.7187875</v>
      </c>
      <c r="I17" s="24" t="n">
        <f aca="false">I7+I9</f>
        <v>1944.063729</v>
      </c>
    </row>
    <row r="18" customFormat="false" ht="15" hidden="false" customHeight="true" outlineLevel="0" collapsed="false">
      <c r="A18" s="1" t="s">
        <v>576</v>
      </c>
      <c r="B18" s="7" t="s">
        <v>577</v>
      </c>
      <c r="C18" s="7" t="s">
        <v>79</v>
      </c>
      <c r="D18" s="25" t="n">
        <f aca="false">D17/SRC_MM!$E$5-1</f>
        <v>1.59148838580742</v>
      </c>
      <c r="E18" s="17" t="n">
        <f aca="false">E17/D17-1</f>
        <v>4.88482932996207</v>
      </c>
      <c r="F18" s="17" t="n">
        <f aca="false">F17/E17-1</f>
        <v>0.861457818642721</v>
      </c>
      <c r="G18" s="17" t="n">
        <f aca="false">G17/F17-1</f>
        <v>0.476216978845688</v>
      </c>
      <c r="H18" s="17" t="n">
        <f aca="false">H17/G17-1</f>
        <v>0.275650086807235</v>
      </c>
      <c r="I18" s="17" t="n">
        <f aca="false">I17/H17-1</f>
        <v>0.191420815824859</v>
      </c>
    </row>
    <row r="19" customFormat="false" ht="15" hidden="false" customHeight="true" outlineLevel="0" collapsed="false">
      <c r="A19" s="1" t="s">
        <v>578</v>
      </c>
      <c r="B19" s="7" t="s">
        <v>579</v>
      </c>
      <c r="C19" s="7" t="s">
        <v>79</v>
      </c>
      <c r="D19" s="17" t="n">
        <f aca="false">D7/D17</f>
        <v>0.328697850821745</v>
      </c>
      <c r="E19" s="17" t="n">
        <f aca="false">E7/E17</f>
        <v>0.803239596983823</v>
      </c>
      <c r="F19" s="17" t="n">
        <f aca="false">F7/F17</f>
        <v>0.841446525637919</v>
      </c>
      <c r="G19" s="17" t="n">
        <f aca="false">G7/G17</f>
        <v>0.855002893574506</v>
      </c>
      <c r="H19" s="17" t="n">
        <f aca="false">H7/H17</f>
        <v>0.857918417514084</v>
      </c>
      <c r="I19" s="17" t="n">
        <f aca="false">I7/I17</f>
        <v>0.856895316316043</v>
      </c>
    </row>
    <row r="20" customFormat="false" ht="16.5" hidden="false" customHeight="true" outlineLevel="0" collapsed="false">
      <c r="A20" s="1" t="s">
        <v>580</v>
      </c>
      <c r="B20" s="7" t="s">
        <v>581</v>
      </c>
      <c r="C20" s="1" t="s">
        <v>41</v>
      </c>
      <c r="D20" s="26" t="n">
        <f aca="false">D17-SRC_MM!$E$6</f>
        <v>0.0619999999999976</v>
      </c>
    </row>
    <row r="21" customFormat="false" ht="16.5" hidden="false" customHeight="true" outlineLevel="0" collapsed="false">
      <c r="A21" s="14" t="s">
        <v>582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6.5" hidden="false" customHeight="true" outlineLevel="0" collapsed="false">
      <c r="A22" s="1" t="s">
        <v>583</v>
      </c>
      <c r="B22" s="7" t="s">
        <v>584</v>
      </c>
      <c r="C22" s="1" t="s">
        <v>41</v>
      </c>
      <c r="E22" s="18" t="n">
        <f aca="false">SRC_MM!$E$66</f>
        <v>452</v>
      </c>
      <c r="F22" s="18" t="n">
        <f aca="false">SRC_MM!$E$67</f>
        <v>880.1</v>
      </c>
      <c r="G22" s="18" t="n">
        <f aca="false">SRC_MM!$E$68</f>
        <v>2469.6</v>
      </c>
      <c r="I22" s="18" t="n">
        <f aca="false">SRC_MM!$E$69</f>
        <v>5800</v>
      </c>
      <c r="J22" s="1" t="s">
        <v>585</v>
      </c>
    </row>
    <row r="23" customFormat="false" ht="16.5" hidden="false" customHeight="true" outlineLevel="0" collapsed="false">
      <c r="A23" s="1" t="s">
        <v>586</v>
      </c>
      <c r="B23" s="7" t="s">
        <v>587</v>
      </c>
      <c r="C23" s="7" t="s">
        <v>170</v>
      </c>
      <c r="E23" s="20" t="n">
        <f aca="false">E17/E22</f>
        <v>1.02984513274336</v>
      </c>
      <c r="F23" s="20" t="n">
        <f aca="false">F17/F22</f>
        <v>0.984535848199068</v>
      </c>
      <c r="G23" s="20" t="n">
        <f aca="false">G17/G22</f>
        <v>0.51794916180758</v>
      </c>
      <c r="I23" s="20" t="n">
        <f aca="false">I17/I22</f>
        <v>0.335183401551724</v>
      </c>
    </row>
    <row r="24" customFormat="false" ht="16.5" hidden="false" customHeight="true" outlineLevel="0" collapsed="false">
      <c r="A24" s="1" t="s">
        <v>588</v>
      </c>
      <c r="B24" s="7" t="s">
        <v>589</v>
      </c>
      <c r="C24" s="1" t="s">
        <v>41</v>
      </c>
      <c r="E24" s="18" t="n">
        <f aca="false">SRC_MM!$E$85</f>
        <v>363.77</v>
      </c>
      <c r="J24" s="1" t="s">
        <v>590</v>
      </c>
    </row>
    <row r="25" customFormat="false" ht="16.5" hidden="false" customHeight="true" outlineLevel="0" collapsed="false">
      <c r="A25" s="1" t="s">
        <v>591</v>
      </c>
      <c r="B25" s="7" t="s">
        <v>592</v>
      </c>
      <c r="C25" s="7" t="s">
        <v>170</v>
      </c>
      <c r="E25" s="20" t="n">
        <f aca="false">E17/E24</f>
        <v>1.27962723699041</v>
      </c>
    </row>
    <row r="26" customFormat="false" ht="16.5" hidden="false" customHeight="true" outlineLevel="0" collapsed="false">
      <c r="A26" s="1" t="s">
        <v>593</v>
      </c>
      <c r="B26" s="7" t="s">
        <v>594</v>
      </c>
      <c r="C26" s="1" t="s">
        <v>41</v>
      </c>
      <c r="F26" s="18" t="n">
        <f aca="false">SRC_MM!$E$86</f>
        <v>1360</v>
      </c>
    </row>
    <row r="27" customFormat="false" ht="16.5" hidden="false" customHeight="true" outlineLevel="0" collapsed="false">
      <c r="A27" s="1" t="s">
        <v>595</v>
      </c>
      <c r="B27" s="7" t="s">
        <v>596</v>
      </c>
      <c r="C27" s="1" t="s">
        <v>41</v>
      </c>
      <c r="F27" s="18" t="n">
        <f aca="false">SRC_MM!$E$87</f>
        <v>1030</v>
      </c>
    </row>
    <row r="28" customFormat="false" ht="16.5" hidden="false" customHeight="true" outlineLevel="0" collapsed="false">
      <c r="A28" s="1" t="s">
        <v>597</v>
      </c>
      <c r="B28" s="7" t="s">
        <v>598</v>
      </c>
      <c r="C28" s="7" t="s">
        <v>170</v>
      </c>
      <c r="F28" s="20" t="n">
        <f aca="false">F17/AVERAGE(F26,F27)</f>
        <v>0.725096234309623</v>
      </c>
      <c r="J28" s="7" t="s">
        <v>599</v>
      </c>
    </row>
    <row r="29" customFormat="false" ht="16.5" hidden="false" customHeight="true" outlineLevel="0" collapsed="false">
      <c r="A29" s="1" t="s">
        <v>600</v>
      </c>
      <c r="B29" s="7" t="s">
        <v>601</v>
      </c>
      <c r="C29" s="7" t="s">
        <v>79</v>
      </c>
      <c r="E29" s="25" t="n">
        <f aca="false">SRC_MM!$E$8/SRC_MM!$E$85</f>
        <v>0.320457981691728</v>
      </c>
      <c r="J29" s="1" t="s">
        <v>602</v>
      </c>
    </row>
    <row r="30" customFormat="false" ht="16.5" hidden="false" customHeight="true" outlineLevel="0" collapsed="false">
      <c r="A30" s="1" t="s">
        <v>603</v>
      </c>
      <c r="B30" s="7" t="s">
        <v>604</v>
      </c>
      <c r="C30" s="7" t="s">
        <v>170</v>
      </c>
      <c r="E30" s="21" t="n">
        <f aca="false">(SRC_MM!$E$85-SRC_MM!$E$8)/SRC_MM!$E$8</f>
        <v>2.12053391437125</v>
      </c>
    </row>
    <row r="31" customFormat="false" ht="16.5" hidden="false" customHeight="true" outlineLevel="0" collapsed="false">
      <c r="A31" s="14" t="s">
        <v>605</v>
      </c>
      <c r="B31" s="15"/>
      <c r="C31" s="15"/>
      <c r="D31" s="15"/>
      <c r="E31" s="15"/>
      <c r="F31" s="15"/>
      <c r="G31" s="15"/>
      <c r="H31" s="15"/>
      <c r="I31" s="15"/>
      <c r="J31" s="15"/>
    </row>
    <row r="32" customFormat="false" ht="16.5" hidden="false" customHeight="true" outlineLevel="0" collapsed="false">
      <c r="A32" s="1" t="s">
        <v>606</v>
      </c>
      <c r="B32" s="7" t="s">
        <v>607</v>
      </c>
      <c r="C32" s="1" t="s">
        <v>232</v>
      </c>
      <c r="D32" s="26" t="n">
        <f aca="false">SRC_MM!$E$78</f>
        <v>1.7716</v>
      </c>
      <c r="J32" s="7" t="s">
        <v>608</v>
      </c>
    </row>
    <row r="33" customFormat="false" ht="16.5" hidden="false" customHeight="true" outlineLevel="0" collapsed="false">
      <c r="A33" s="1" t="s">
        <v>609</v>
      </c>
      <c r="B33" s="7" t="s">
        <v>610</v>
      </c>
      <c r="C33" s="1" t="s">
        <v>611</v>
      </c>
      <c r="D33" s="18" t="n">
        <f aca="false">(SRC_MM!$E$19+SRC_MM!$E$20)/SRC_MM!$E$78</f>
        <v>15.1456310679612</v>
      </c>
      <c r="J33" s="7" t="s">
        <v>612</v>
      </c>
    </row>
    <row r="34" customFormat="false" ht="16.5" hidden="false" customHeight="true" outlineLevel="0" collapsed="false">
      <c r="A34" s="1" t="s">
        <v>613</v>
      </c>
      <c r="B34" s="7" t="s">
        <v>614</v>
      </c>
      <c r="C34" s="1" t="s">
        <v>611</v>
      </c>
      <c r="D34" s="18" t="n">
        <f aca="false">(SRC_MM!$E$115+SRC_MM!$E$116)/SRC_MM!$E$109</f>
        <v>56.3354838709677</v>
      </c>
      <c r="J34" s="7" t="s">
        <v>615</v>
      </c>
    </row>
    <row r="35" customFormat="false" ht="16.5" hidden="false" customHeight="true" outlineLevel="0" collapsed="false">
      <c r="A35" s="1" t="s">
        <v>616</v>
      </c>
      <c r="B35" s="7" t="s">
        <v>617</v>
      </c>
      <c r="C35" s="1" t="s">
        <v>611</v>
      </c>
      <c r="D35" s="18" t="n">
        <f aca="false">(SRC_MM!$E$113+SRC_MM!$E$114)/SRC_MM!$E$111</f>
        <v>5.44028776978417</v>
      </c>
      <c r="J35" s="7" t="s">
        <v>618</v>
      </c>
    </row>
    <row r="36" customFormat="false" ht="16.5" hidden="false" customHeight="true" outlineLevel="0" collapsed="false">
      <c r="A36" s="1" t="s">
        <v>619</v>
      </c>
      <c r="B36" s="7" t="s">
        <v>620</v>
      </c>
      <c r="C36" s="7" t="s">
        <v>79</v>
      </c>
      <c r="D36" s="25" t="n">
        <f aca="false">SRC_MM!$E$18/SRC_MM!$E$15</f>
        <v>0.596693333333333</v>
      </c>
    </row>
    <row r="37" customFormat="false" ht="16.5" hidden="false" customHeight="true" outlineLevel="0" collapsed="false">
      <c r="A37" s="1" t="s">
        <v>621</v>
      </c>
      <c r="B37" s="7" t="s">
        <v>622</v>
      </c>
      <c r="C37" s="7" t="s">
        <v>170</v>
      </c>
      <c r="E37" s="21" t="n">
        <f aca="false">E9/(SRC_MM!$E$11*2)</f>
        <v>1.075</v>
      </c>
      <c r="J37" s="7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624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625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626</v>
      </c>
      <c r="B7" s="1" t="s">
        <v>627</v>
      </c>
      <c r="C7" s="7" t="s">
        <v>79</v>
      </c>
      <c r="D7" s="25" t="n">
        <f aca="false">Inputs!$D$10</f>
        <v>1</v>
      </c>
      <c r="E7" s="25" t="n">
        <f aca="false">Inputs!$E$10</f>
        <v>0.85</v>
      </c>
      <c r="F7" s="25" t="n">
        <f aca="false">Inputs!$F$10</f>
        <v>0.65</v>
      </c>
      <c r="G7" s="25" t="n">
        <f aca="false">Inputs!$G$10</f>
        <v>0.45</v>
      </c>
      <c r="H7" s="25" t="n">
        <f aca="false">Inputs!$H$10</f>
        <v>0.3</v>
      </c>
      <c r="I7" s="25" t="n">
        <f aca="false">Inputs!$I$10</f>
        <v>0.2</v>
      </c>
    </row>
    <row r="8" customFormat="false" ht="16.5" hidden="false" customHeight="true" outlineLevel="0" collapsed="false">
      <c r="A8" s="1" t="s">
        <v>628</v>
      </c>
      <c r="B8" s="1" t="s">
        <v>629</v>
      </c>
      <c r="C8" s="7" t="s">
        <v>79</v>
      </c>
      <c r="D8" s="17" t="n">
        <f aca="false">1-D7</f>
        <v>0</v>
      </c>
      <c r="E8" s="17" t="n">
        <f aca="false">1-E7</f>
        <v>0.15</v>
      </c>
      <c r="F8" s="17" t="n">
        <f aca="false">1-F7</f>
        <v>0.35</v>
      </c>
      <c r="G8" s="17" t="n">
        <f aca="false">1-G7</f>
        <v>0.55</v>
      </c>
      <c r="H8" s="17" t="n">
        <f aca="false">1-H7</f>
        <v>0.7</v>
      </c>
      <c r="I8" s="17" t="n">
        <f aca="false">1-I7</f>
        <v>0.8</v>
      </c>
    </row>
    <row r="9" customFormat="false" ht="16.5" hidden="false" customHeight="true" outlineLevel="0" collapsed="false">
      <c r="A9" s="1" t="s">
        <v>630</v>
      </c>
      <c r="B9" s="7" t="s">
        <v>631</v>
      </c>
      <c r="C9" s="1" t="s">
        <v>632</v>
      </c>
      <c r="D9" s="18" t="n">
        <f aca="false">(D7*TK_Link!$F$5+D8*TK_Link!$F$6)/10^9*TK_Link!$F$10</f>
        <v>67.3369443062832</v>
      </c>
      <c r="E9" s="18" t="n">
        <f aca="false">(E7*TK_Link!$F$5+E8*TK_Link!$F$6)/10^9*TK_Link!$F$10</f>
        <v>107.441904702448</v>
      </c>
      <c r="F9" s="18" t="n">
        <f aca="false">(F7*TK_Link!$F$5+F8*TK_Link!$F$6)/10^9*TK_Link!$F$10</f>
        <v>160.915185230668</v>
      </c>
      <c r="G9" s="18" t="n">
        <f aca="false">(G7*TK_Link!$F$5+G8*TK_Link!$F$6)/10^9*TK_Link!$F$10</f>
        <v>214.388465758888</v>
      </c>
      <c r="H9" s="18" t="n">
        <f aca="false">(H7*TK_Link!$F$5+H8*TK_Link!$F$6)/10^9*TK_Link!$F$10</f>
        <v>254.493426155053</v>
      </c>
      <c r="I9" s="18" t="n">
        <f aca="false">(I7*TK_Link!$F$5+I8*TK_Link!$F$6)/10^9*TK_Link!$F$10</f>
        <v>281.230066419163</v>
      </c>
    </row>
    <row r="10" customFormat="false" ht="16.5" hidden="false" customHeight="true" outlineLevel="0" collapsed="false">
      <c r="A10" s="1" t="s">
        <v>633</v>
      </c>
      <c r="B10" s="7" t="s">
        <v>634</v>
      </c>
      <c r="C10" s="1" t="s">
        <v>632</v>
      </c>
      <c r="D10" s="18" t="n">
        <f aca="false">(D7*TK_Link!$F$7+D8*TK_Link!$F$8)/10^9*TK_Link!$F$10</f>
        <v>20.1809497950708</v>
      </c>
      <c r="E10" s="18" t="n">
        <f aca="false">(E7*TK_Link!$F$7+E8*TK_Link!$F$8)/10^9*TK_Link!$F$10</f>
        <v>31.888233868646</v>
      </c>
      <c r="F10" s="18" t="n">
        <f aca="false">(F7*TK_Link!$F$7+F8*TK_Link!$F$8)/10^9*TK_Link!$F$10</f>
        <v>47.4979459667464</v>
      </c>
      <c r="G10" s="18" t="n">
        <f aca="false">(G7*TK_Link!$F$7+G8*TK_Link!$F$8)/10^9*TK_Link!$F$10</f>
        <v>63.1076580648467</v>
      </c>
      <c r="H10" s="18" t="n">
        <f aca="false">(H7*TK_Link!$F$7+H8*TK_Link!$F$8)/10^9*TK_Link!$F$10</f>
        <v>74.8149421384219</v>
      </c>
      <c r="I10" s="18" t="n">
        <f aca="false">(I7*TK_Link!$F$7+I8*TK_Link!$F$8)/10^9*TK_Link!$F$10</f>
        <v>82.6197981874721</v>
      </c>
    </row>
    <row r="11" customFormat="false" ht="16.5" hidden="false" customHeight="true" outlineLevel="0" collapsed="false">
      <c r="A11" s="1" t="s">
        <v>635</v>
      </c>
      <c r="B11" s="7" t="s">
        <v>636</v>
      </c>
      <c r="C11" s="1" t="s">
        <v>632</v>
      </c>
      <c r="D11" s="18" t="n">
        <f aca="false">Inputs!$D$9*D9+(1-Inputs!$D$9)*D10</f>
        <v>48.4745465017982</v>
      </c>
      <c r="E11" s="18" t="n">
        <f aca="false">Inputs!$D$9*E9+(1-Inputs!$D$9)*E10</f>
        <v>77.2204363689273</v>
      </c>
      <c r="F11" s="18" t="n">
        <f aca="false">Inputs!$D$9*F9+(1-Inputs!$D$9)*F10</f>
        <v>115.548289525099</v>
      </c>
      <c r="G11" s="18" t="n">
        <f aca="false">Inputs!$D$9*G9+(1-Inputs!$D$9)*G10</f>
        <v>153.876142681271</v>
      </c>
      <c r="H11" s="18" t="n">
        <f aca="false">Inputs!$D$9*H9+(1-Inputs!$D$9)*H10</f>
        <v>182.6220325484</v>
      </c>
      <c r="I11" s="18" t="n">
        <f aca="false">Inputs!$D$9*I9+(1-Inputs!$D$9)*I10</f>
        <v>201.785959126486</v>
      </c>
    </row>
    <row r="12" customFormat="false" ht="15" hidden="false" customHeight="true" outlineLevel="0" collapsed="false">
      <c r="A12" s="1" t="s">
        <v>637</v>
      </c>
      <c r="B12" s="7" t="s">
        <v>638</v>
      </c>
      <c r="C12" s="7" t="s">
        <v>170</v>
      </c>
      <c r="D12" s="21" t="n">
        <f aca="false">Inputs!$D$11</f>
        <v>1</v>
      </c>
      <c r="E12" s="21" t="n">
        <f aca="false">Inputs!$E$11</f>
        <v>2</v>
      </c>
      <c r="F12" s="21" t="n">
        <f aca="false">Inputs!$F$11</f>
        <v>2.6</v>
      </c>
      <c r="G12" s="21" t="n">
        <f aca="false">Inputs!$G$11</f>
        <v>3.38</v>
      </c>
      <c r="H12" s="21" t="n">
        <f aca="false">Inputs!$H$11</f>
        <v>4.39</v>
      </c>
      <c r="I12" s="21" t="n">
        <f aca="false">Inputs!$I$11</f>
        <v>5.71</v>
      </c>
    </row>
    <row r="13" customFormat="false" ht="16.5" hidden="false" customHeight="true" outlineLevel="0" collapsed="false">
      <c r="A13" s="1" t="s">
        <v>639</v>
      </c>
      <c r="B13" s="1" t="s">
        <v>640</v>
      </c>
      <c r="C13" s="1" t="s">
        <v>641</v>
      </c>
      <c r="D13" s="26" t="n">
        <f aca="false">Demand!$D$10/(D11*D12)</f>
        <v>1.34090991439371</v>
      </c>
      <c r="E13" s="26" t="n">
        <f aca="false">Demand!$E$10/(E11*E12)</f>
        <v>11.5836901436553</v>
      </c>
      <c r="F13" s="26" t="n">
        <f aca="false">Demand!$F$10/(F11*F12)</f>
        <v>17.8646110376856</v>
      </c>
      <c r="G13" s="26" t="n">
        <f aca="false">Demand!$G$10/(G11*G12)</f>
        <v>20.6382295273521</v>
      </c>
      <c r="H13" s="26" t="n">
        <f aca="false">Demand!$H$10/(H11*H12)</f>
        <v>21.4221334163147</v>
      </c>
      <c r="I13" s="26" t="n">
        <f aca="false">Demand!$I$10/(I11*I12)</f>
        <v>20.8680272939551</v>
      </c>
    </row>
    <row r="14" customFormat="false" ht="16.5" hidden="false" customHeight="true" outlineLevel="0" collapsed="false">
      <c r="A14" s="14" t="s">
        <v>642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6.5" hidden="false" customHeight="true" outlineLevel="0" collapsed="false">
      <c r="A15" s="1" t="s">
        <v>643</v>
      </c>
      <c r="B15" s="7" t="s">
        <v>644</v>
      </c>
      <c r="C15" s="1" t="s">
        <v>435</v>
      </c>
      <c r="D15" s="26" t="n">
        <f aca="false">Revenue!$D$7*(1-SRC_MM!$E$22)*Inputs!$D$8</f>
        <v>7.1604</v>
      </c>
      <c r="E15" s="26" t="n">
        <f aca="false">(SRC_MM!$E$24*Inputs!$D$8-SRC_MM!$E$11*Inputs!$E$18)*2</f>
        <v>99.948</v>
      </c>
      <c r="J15" s="1" t="s">
        <v>645</v>
      </c>
    </row>
    <row r="16" customFormat="false" ht="16.5" hidden="false" customHeight="true" outlineLevel="0" collapsed="false">
      <c r="A16" s="1" t="s">
        <v>646</v>
      </c>
      <c r="B16" s="7" t="s">
        <v>647</v>
      </c>
      <c r="C16" s="1" t="s">
        <v>641</v>
      </c>
      <c r="D16" s="26" t="n">
        <f aca="false">D15/Inputs!$D$7</f>
        <v>0.5967</v>
      </c>
      <c r="E16" s="26" t="n">
        <f aca="false">E15/Inputs!$D$7</f>
        <v>8.329</v>
      </c>
    </row>
    <row r="17" customFormat="false" ht="16.5" hidden="false" customHeight="true" outlineLevel="0" collapsed="false">
      <c r="A17" s="1" t="s">
        <v>648</v>
      </c>
      <c r="B17" s="7" t="s">
        <v>649</v>
      </c>
      <c r="C17" s="1" t="s">
        <v>641</v>
      </c>
      <c r="D17" s="19" t="n">
        <f aca="false">D13</f>
        <v>1.34090991439371</v>
      </c>
      <c r="E17" s="26" t="n">
        <f aca="false">(2*SRC_MM!$E$12/Inputs!$E$12)/(E11*E12)</f>
        <v>4.35000249550853</v>
      </c>
      <c r="J17" s="1" t="s">
        <v>650</v>
      </c>
    </row>
    <row r="18" customFormat="false" ht="16.5" hidden="false" customHeight="true" outlineLevel="0" collapsed="false">
      <c r="A18" s="1" t="s">
        <v>651</v>
      </c>
      <c r="B18" s="1" t="s">
        <v>652</v>
      </c>
      <c r="C18" s="7" t="s">
        <v>170</v>
      </c>
      <c r="D18" s="20" t="n">
        <f aca="false">D17/D16</f>
        <v>2.24720950962579</v>
      </c>
      <c r="E18" s="20" t="n">
        <f aca="false">E17/E16</f>
        <v>0.522271880839059</v>
      </c>
      <c r="J18" s="1" t="s">
        <v>653</v>
      </c>
    </row>
    <row r="19" customFormat="false" ht="16.5" hidden="false" customHeight="true" outlineLevel="0" collapsed="false">
      <c r="A19" s="1" t="s">
        <v>654</v>
      </c>
      <c r="B19" s="7" t="s">
        <v>655</v>
      </c>
      <c r="C19" s="7" t="s">
        <v>170</v>
      </c>
      <c r="D19" s="20" t="n">
        <f aca="false">D18</f>
        <v>2.24720950962579</v>
      </c>
      <c r="E19" s="20" t="n">
        <f aca="false">E18</f>
        <v>0.522271880839059</v>
      </c>
      <c r="F19" s="21" t="n">
        <f aca="false">E18*Inputs!$D$32</f>
        <v>0.678953445090777</v>
      </c>
      <c r="G19" s="21" t="n">
        <f aca="false">E18*Inputs!$D$32</f>
        <v>0.678953445090777</v>
      </c>
      <c r="H19" s="21" t="n">
        <f aca="false">E18*Inputs!$D$32</f>
        <v>0.678953445090777</v>
      </c>
      <c r="I19" s="21" t="n">
        <f aca="false">E18*Inputs!$D$32</f>
        <v>0.678953445090777</v>
      </c>
    </row>
    <row r="20" customFormat="false" ht="16.5" hidden="false" customHeight="true" outlineLevel="0" collapsed="false">
      <c r="A20" s="1" t="s">
        <v>656</v>
      </c>
      <c r="B20" s="1" t="s">
        <v>657</v>
      </c>
      <c r="C20" s="1" t="s">
        <v>641</v>
      </c>
      <c r="D20" s="19" t="n">
        <f aca="false">D13/D19</f>
        <v>0.5967</v>
      </c>
      <c r="E20" s="26" t="n">
        <f aca="false">0.5*E16+0.5*(Inputs!$D$15/Demand!$E$13)/(E11*E12*E18*Inputs!$D$32)</f>
        <v>18.614033326394</v>
      </c>
      <c r="F20" s="19" t="n">
        <f aca="false">F13/F19</f>
        <v>26.3119823116842</v>
      </c>
      <c r="G20" s="19" t="n">
        <f aca="false">G13/G19</f>
        <v>30.3971202688171</v>
      </c>
      <c r="H20" s="19" t="n">
        <f aca="false">H13/H19</f>
        <v>31.5516970584788</v>
      </c>
      <c r="I20" s="19" t="n">
        <f aca="false">I13/I19</f>
        <v>30.7355790663453</v>
      </c>
      <c r="J20" s="1" t="s">
        <v>658</v>
      </c>
    </row>
    <row r="21" customFormat="false" ht="16.5" hidden="false" customHeight="true" outlineLevel="0" collapsed="false">
      <c r="A21" s="14" t="s">
        <v>659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6.5" hidden="false" customHeight="true" outlineLevel="0" collapsed="false">
      <c r="A22" s="1" t="s">
        <v>660</v>
      </c>
      <c r="B22" s="7" t="s">
        <v>661</v>
      </c>
      <c r="C22" s="7" t="s">
        <v>79</v>
      </c>
      <c r="D22" s="25" t="n">
        <f aca="false">(SRC_MM!$E$23*Inputs!$D$8-D15)/Revenue!$D$9</f>
        <v>0.864457627118644</v>
      </c>
      <c r="E22" s="25" t="n">
        <f aca="false">Inputs!$E$18</f>
        <v>0.85</v>
      </c>
      <c r="F22" s="25" t="n">
        <f aca="false">Inputs!$F$18</f>
        <v>0.75</v>
      </c>
      <c r="G22" s="25" t="n">
        <f aca="false">Inputs!$G$18</f>
        <v>0.68</v>
      </c>
      <c r="H22" s="25" t="n">
        <f aca="false">Inputs!$H$18</f>
        <v>0.62</v>
      </c>
      <c r="I22" s="25" t="n">
        <f aca="false">Inputs!$I$18</f>
        <v>0.55</v>
      </c>
      <c r="J22" s="1" t="s">
        <v>450</v>
      </c>
    </row>
    <row r="23" customFormat="false" ht="15" hidden="false" customHeight="true" outlineLevel="0" collapsed="false">
      <c r="A23" s="1" t="s">
        <v>662</v>
      </c>
      <c r="B23" s="7" t="s">
        <v>663</v>
      </c>
      <c r="C23" s="1" t="s">
        <v>41</v>
      </c>
      <c r="D23" s="18" t="n">
        <f aca="false">D22*Revenue!$D$9</f>
        <v>45.9027</v>
      </c>
      <c r="E23" s="18" t="n">
        <f aca="false">E22*Revenue!$E$9</f>
        <v>77.8515</v>
      </c>
      <c r="F23" s="18" t="n">
        <f aca="false">F22*Revenue!$F$9</f>
        <v>103.03875</v>
      </c>
      <c r="G23" s="18" t="n">
        <f aca="false">G22*Revenue!$G$9</f>
        <v>126.11943</v>
      </c>
      <c r="H23" s="18" t="n">
        <f aca="false">H22*Revenue!$H$9</f>
        <v>143.73905625</v>
      </c>
      <c r="I23" s="18" t="n">
        <f aca="false">I22*Revenue!$I$9</f>
        <v>153.01254375</v>
      </c>
    </row>
    <row r="24" customFormat="false" ht="16.5" hidden="false" customHeight="true" outlineLevel="0" collapsed="false">
      <c r="A24" s="1" t="s">
        <v>664</v>
      </c>
      <c r="B24" s="7" t="s">
        <v>665</v>
      </c>
      <c r="C24" s="1" t="s">
        <v>641</v>
      </c>
      <c r="D24" s="26" t="n">
        <f aca="false">D23/Inputs!$D$7</f>
        <v>3.825225</v>
      </c>
      <c r="E24" s="26" t="n">
        <f aca="false">E23/Inputs!$D$7</f>
        <v>6.487625</v>
      </c>
      <c r="F24" s="26" t="n">
        <f aca="false">F23/Inputs!$D$7</f>
        <v>8.5865625</v>
      </c>
      <c r="G24" s="26" t="n">
        <f aca="false">G23/Inputs!$D$7</f>
        <v>10.5099525</v>
      </c>
      <c r="H24" s="26" t="n">
        <f aca="false">H23/Inputs!$D$7</f>
        <v>11.9782546875</v>
      </c>
      <c r="I24" s="26" t="n">
        <f aca="false">I23/Inputs!$D$7</f>
        <v>12.7510453125</v>
      </c>
    </row>
    <row r="25" customFormat="false" ht="16.5" hidden="false" customHeight="true" outlineLevel="0" collapsed="false">
      <c r="A25" s="14" t="s">
        <v>666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16.5" hidden="false" customHeight="true" outlineLevel="0" collapsed="false">
      <c r="A26" s="1" t="s">
        <v>667</v>
      </c>
      <c r="B26" s="1" t="s">
        <v>668</v>
      </c>
      <c r="C26" s="1" t="s">
        <v>41</v>
      </c>
      <c r="E26" s="18" t="n">
        <f aca="false">SRC_MM!$E$30-SRC_MM!$E$33*Inputs!$D$20</f>
        <v>245.195</v>
      </c>
    </row>
    <row r="27" customFormat="false" ht="16.5" hidden="false" customHeight="true" outlineLevel="0" collapsed="false">
      <c r="A27" s="1" t="s">
        <v>669</v>
      </c>
      <c r="B27" s="7" t="s">
        <v>670</v>
      </c>
      <c r="C27" s="1" t="s">
        <v>41</v>
      </c>
      <c r="D27" s="18" t="n">
        <f aca="false">SRC_MM!$E$31</f>
        <v>194.2</v>
      </c>
      <c r="E27" s="18" t="n">
        <f aca="false">E26*(1+Inputs!$D$21)</f>
        <v>539.429</v>
      </c>
      <c r="F27" s="18" t="n">
        <f aca="false">F28*Inputs!$D$7</f>
        <v>970.9722</v>
      </c>
      <c r="G27" s="18" t="n">
        <f aca="false">G28*Inputs!$D$7</f>
        <v>1456.4583</v>
      </c>
      <c r="H27" s="18" t="n">
        <f aca="false">H28*Inputs!$D$7</f>
        <v>1966.218705</v>
      </c>
      <c r="I27" s="18" t="n">
        <f aca="false">I28*Inputs!$D$7</f>
        <v>2457.77338125</v>
      </c>
      <c r="J27" s="1" t="s">
        <v>671</v>
      </c>
    </row>
    <row r="28" customFormat="false" ht="16.5" hidden="false" customHeight="true" outlineLevel="0" collapsed="false">
      <c r="A28" s="1" t="s">
        <v>672</v>
      </c>
      <c r="B28" s="7" t="s">
        <v>673</v>
      </c>
      <c r="C28" s="1" t="s">
        <v>641</v>
      </c>
      <c r="D28" s="26" t="n">
        <f aca="false">D27/Inputs!$D$7</f>
        <v>16.1833333333333</v>
      </c>
      <c r="E28" s="26" t="n">
        <f aca="false">E27/Inputs!$D$7</f>
        <v>44.9524166666667</v>
      </c>
      <c r="F28" s="26" t="n">
        <f aca="false">E28*(1+Inputs!$F$22)</f>
        <v>80.91435</v>
      </c>
      <c r="G28" s="26" t="n">
        <f aca="false">F28*(1+Inputs!$G$22)</f>
        <v>121.371525</v>
      </c>
      <c r="H28" s="26" t="n">
        <f aca="false">G28*(1+Inputs!$H$22)</f>
        <v>163.85155875</v>
      </c>
      <c r="I28" s="26" t="n">
        <f aca="false">H28*(1+Inputs!$I$22)</f>
        <v>204.8144484375</v>
      </c>
    </row>
    <row r="29" customFormat="false" ht="16.5" hidden="false" customHeight="true" outlineLevel="0" collapsed="false">
      <c r="A29" s="14" t="s">
        <v>674</v>
      </c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16.5" hidden="false" customHeight="true" outlineLevel="0" collapsed="false">
      <c r="A30" s="1" t="s">
        <v>675</v>
      </c>
      <c r="B30" s="7" t="s">
        <v>676</v>
      </c>
      <c r="C30" s="1" t="s">
        <v>641</v>
      </c>
      <c r="D30" s="19" t="n">
        <f aca="false">D20+D24</f>
        <v>4.421925</v>
      </c>
      <c r="E30" s="19" t="n">
        <f aca="false">E20+E24</f>
        <v>25.101658326394</v>
      </c>
      <c r="F30" s="19" t="n">
        <f aca="false">F20+F24</f>
        <v>34.8985448116842</v>
      </c>
      <c r="G30" s="19" t="n">
        <f aca="false">G20+G24</f>
        <v>40.9070727688171</v>
      </c>
      <c r="H30" s="19" t="n">
        <f aca="false">H20+H24</f>
        <v>43.5299517459788</v>
      </c>
      <c r="I30" s="19" t="n">
        <f aca="false">I20+I24</f>
        <v>43.4866243788453</v>
      </c>
    </row>
    <row r="31" customFormat="false" ht="16.5" hidden="false" customHeight="true" outlineLevel="0" collapsed="false">
      <c r="A31" s="22" t="s">
        <v>677</v>
      </c>
      <c r="B31" s="23" t="s">
        <v>678</v>
      </c>
      <c r="C31" s="22" t="s">
        <v>641</v>
      </c>
      <c r="D31" s="27" t="n">
        <f aca="false">D30+D28</f>
        <v>20.6052583333333</v>
      </c>
      <c r="E31" s="27" t="n">
        <f aca="false">E30+E28</f>
        <v>70.0540749930606</v>
      </c>
      <c r="F31" s="27" t="n">
        <f aca="false">F30+F28</f>
        <v>115.812894811684</v>
      </c>
      <c r="G31" s="27" t="n">
        <f aca="false">G30+G28</f>
        <v>162.278597768817</v>
      </c>
      <c r="H31" s="27" t="n">
        <f aca="false">H30+H28</f>
        <v>207.381510495979</v>
      </c>
      <c r="I31" s="27" t="n">
        <f aca="false">I30+I28</f>
        <v>248.301072816345</v>
      </c>
    </row>
    <row r="32" customFormat="false" ht="16.5" hidden="false" customHeight="true" outlineLevel="0" collapsed="false">
      <c r="A32" s="1" t="s">
        <v>679</v>
      </c>
      <c r="B32" s="7" t="s">
        <v>680</v>
      </c>
      <c r="C32" s="7" t="s">
        <v>79</v>
      </c>
      <c r="D32" s="17" t="n">
        <f aca="false">D28/D31</f>
        <v>0.78539822561474</v>
      </c>
      <c r="E32" s="17" t="n">
        <f aca="false">E28/E31</f>
        <v>0.641681681916713</v>
      </c>
      <c r="F32" s="17" t="n">
        <f aca="false">F28/F31</f>
        <v>0.698664428788949</v>
      </c>
      <c r="G32" s="17" t="n">
        <f aca="false">G28/G31</f>
        <v>0.747920715785987</v>
      </c>
      <c r="H32" s="17" t="n">
        <f aca="false">H28/H31</f>
        <v>0.790097238457414</v>
      </c>
      <c r="I32" s="17" t="n">
        <f aca="false">I28/I31</f>
        <v>0.824863324650192</v>
      </c>
    </row>
    <row r="33" customFormat="false" ht="16.5" hidden="false" customHeight="true" outlineLevel="0" collapsed="false">
      <c r="A33" s="1" t="s">
        <v>681</v>
      </c>
      <c r="B33" s="7" t="s">
        <v>682</v>
      </c>
      <c r="C33" s="7" t="s">
        <v>170</v>
      </c>
      <c r="D33" s="16" t="n">
        <f aca="false">(D7*TK_Link!$F$7+D8*TK_Link!$F$8)/TK_Link!$F$9</f>
        <v>0.10544360110803</v>
      </c>
      <c r="E33" s="16" t="n">
        <f aca="false">(E7*TK_Link!$F$7+E8*TK_Link!$F$8)/TK_Link!$F$9</f>
        <v>0.166613080465933</v>
      </c>
      <c r="F33" s="16" t="n">
        <f aca="false">(F7*TK_Link!$F$7+F8*TK_Link!$F$8)/TK_Link!$F$9</f>
        <v>0.24817238627647</v>
      </c>
      <c r="G33" s="16" t="n">
        <f aca="false">(G7*TK_Link!$F$7+G8*TK_Link!$F$8)/TK_Link!$F$9</f>
        <v>0.329731692087007</v>
      </c>
      <c r="H33" s="16" t="n">
        <f aca="false">(H7*TK_Link!$F$7+H8*TK_Link!$F$8)/TK_Link!$F$9</f>
        <v>0.39090117144491</v>
      </c>
      <c r="I33" s="16" t="n">
        <f aca="false">(I7*TK_Link!$F$7+I8*TK_Link!$F$8)/TK_Link!$F$9</f>
        <v>0.431680824350179</v>
      </c>
    </row>
    <row r="34" customFormat="false" ht="16.5" hidden="false" customHeight="true" outlineLevel="0" collapsed="false">
      <c r="A34" s="1" t="s">
        <v>683</v>
      </c>
      <c r="B34" s="7" t="s">
        <v>684</v>
      </c>
      <c r="C34" s="1" t="s">
        <v>641</v>
      </c>
      <c r="D34" s="19" t="n">
        <f aca="false">D31*D33</f>
        <v>2.17269264042791</v>
      </c>
      <c r="E34" s="19" t="n">
        <f aca="false">E31*E33</f>
        <v>11.6719252337853</v>
      </c>
      <c r="F34" s="19" t="n">
        <f aca="false">F31*F33</f>
        <v>28.7415624670015</v>
      </c>
      <c r="G34" s="19" t="n">
        <f aca="false">G31*G33</f>
        <v>53.5083966318189</v>
      </c>
      <c r="H34" s="19" t="n">
        <f aca="false">H31*H33</f>
        <v>81.065675388893</v>
      </c>
      <c r="I34" s="19" t="n">
        <f aca="false">I31*I33</f>
        <v>107.186811800394</v>
      </c>
    </row>
    <row r="35" customFormat="false" ht="16.5" hidden="false" customHeight="true" outlineLevel="0" collapsed="false">
      <c r="A35" s="1" t="s">
        <v>685</v>
      </c>
      <c r="B35" s="1" t="s">
        <v>686</v>
      </c>
      <c r="C35" s="7" t="s">
        <v>508</v>
      </c>
      <c r="D35" s="28" t="n">
        <f aca="false">D31*1000/Inputs!$D$31</f>
        <v>14718.0416666667</v>
      </c>
      <c r="E35" s="28" t="n">
        <f aca="false">E31*1000/Inputs!$D$31</f>
        <v>50038.6249950433</v>
      </c>
      <c r="F35" s="28" t="n">
        <f aca="false">F31*1000/Inputs!$D$31</f>
        <v>82723.4962940601</v>
      </c>
      <c r="G35" s="28" t="n">
        <f aca="false">G31*1000/Inputs!$D$31</f>
        <v>115913.284120584</v>
      </c>
      <c r="H35" s="28" t="n">
        <f aca="false">H31*1000/Inputs!$D$31</f>
        <v>148129.650354271</v>
      </c>
      <c r="I35" s="28" t="n">
        <f aca="false">I31*1000/Inputs!$D$31</f>
        <v>177357.909154532</v>
      </c>
      <c r="J35" s="1" t="s">
        <v>687</v>
      </c>
    </row>
    <row r="36" customFormat="false" ht="15" hidden="false" customHeight="true" outlineLevel="0" collapsed="false">
      <c r="A36" s="14" t="s">
        <v>688</v>
      </c>
      <c r="B36" s="15"/>
      <c r="C36" s="15"/>
      <c r="D36" s="15"/>
      <c r="E36" s="15"/>
      <c r="F36" s="15"/>
      <c r="G36" s="15"/>
      <c r="H36" s="15"/>
      <c r="I36" s="15"/>
      <c r="J36" s="15"/>
    </row>
    <row r="37" customFormat="false" ht="15" hidden="false" customHeight="true" outlineLevel="0" collapsed="false">
      <c r="A37" s="1" t="s">
        <v>689</v>
      </c>
      <c r="B37" s="7" t="s">
        <v>690</v>
      </c>
      <c r="C37" s="1" t="s">
        <v>41</v>
      </c>
      <c r="D37" s="18" t="n">
        <f aca="false">(D20+D24+D28)*Inputs!$D$7</f>
        <v>247.2631</v>
      </c>
      <c r="E37" s="18" t="n">
        <f aca="false">(E20+E24+E28)*Inputs!$D$7</f>
        <v>840.648899916728</v>
      </c>
      <c r="F37" s="18" t="n">
        <f aca="false">(F20+F24+F28)*Inputs!$D$7</f>
        <v>1389.75473774021</v>
      </c>
      <c r="G37" s="18" t="n">
        <f aca="false">(G20+G24+G28)*Inputs!$D$7</f>
        <v>1947.34317322581</v>
      </c>
      <c r="H37" s="18" t="n">
        <f aca="false">(H20+H24+H28)*Inputs!$D$7</f>
        <v>2488.57812595175</v>
      </c>
      <c r="I37" s="18" t="n">
        <f aca="false">(I20+I24+I28)*Inputs!$D$7</f>
        <v>2979.61287379614</v>
      </c>
    </row>
    <row r="38" customFormat="false" ht="16.5" hidden="false" customHeight="true" outlineLevel="0" collapsed="false">
      <c r="A38" s="1" t="s">
        <v>691</v>
      </c>
      <c r="B38" s="7" t="s">
        <v>692</v>
      </c>
      <c r="C38" s="1" t="s">
        <v>41</v>
      </c>
      <c r="E38" s="18" t="n">
        <f aca="false">SRC_MM!$E$63</f>
        <v>300</v>
      </c>
      <c r="F38" s="18" t="n">
        <f aca="false">SRC_MM!$E$64</f>
        <v>400</v>
      </c>
      <c r="G38" s="18" t="n">
        <f aca="false">SRC_MM!$E$65</f>
        <v>500</v>
      </c>
      <c r="J38" s="7" t="s">
        <v>693</v>
      </c>
    </row>
    <row r="39" customFormat="false" ht="15" hidden="false" customHeight="true" outlineLevel="0" collapsed="false">
      <c r="A39" s="1" t="s">
        <v>694</v>
      </c>
      <c r="B39" s="7" t="s">
        <v>695</v>
      </c>
      <c r="C39" s="7" t="s">
        <v>79</v>
      </c>
      <c r="E39" s="17" t="n">
        <f aca="false">E38/E37</f>
        <v>0.356867177283783</v>
      </c>
      <c r="F39" s="17" t="n">
        <f aca="false">F38/F37</f>
        <v>0.287820569441205</v>
      </c>
      <c r="G39" s="17" t="n">
        <f aca="false">G38/G37</f>
        <v>0.256760085677011</v>
      </c>
    </row>
    <row r="40" customFormat="false" ht="16.5" hidden="false" customHeight="true" outlineLevel="0" collapsed="false">
      <c r="A40" s="1" t="s">
        <v>696</v>
      </c>
      <c r="B40" s="7" t="s">
        <v>697</v>
      </c>
      <c r="C40" s="1" t="s">
        <v>399</v>
      </c>
      <c r="D40" s="26" t="n">
        <f aca="false">TK_Link!$F$11</f>
        <v>9.70308728611469</v>
      </c>
      <c r="E40" s="26" t="n">
        <f aca="false">TK_Link!$F$11</f>
        <v>9.70308728611469</v>
      </c>
      <c r="F40" s="26" t="n">
        <f aca="false">TK_Link!$F$11</f>
        <v>9.70308728611469</v>
      </c>
      <c r="G40" s="26" t="n">
        <f aca="false">TK_Link!$F$11</f>
        <v>9.70308728611469</v>
      </c>
      <c r="H40" s="26" t="n">
        <f aca="false">TK_Link!$F$11</f>
        <v>9.70308728611469</v>
      </c>
      <c r="I40" s="26" t="n">
        <f aca="false">TK_Link!$F$11</f>
        <v>9.70308728611469</v>
      </c>
      <c r="J40" s="7" t="s">
        <v>698</v>
      </c>
    </row>
    <row r="41" customFormat="false" ht="16.5" hidden="false" customHeight="true" outlineLevel="0" collapsed="false">
      <c r="A41" s="1" t="s">
        <v>699</v>
      </c>
      <c r="B41" s="7" t="s">
        <v>700</v>
      </c>
      <c r="C41" s="1" t="s">
        <v>175</v>
      </c>
      <c r="D41" s="16" t="n">
        <f aca="false">D20*Inputs!$D$7/Demand!$D$10</f>
        <v>0.11016</v>
      </c>
      <c r="E41" s="16" t="n">
        <f aca="false">E20*Inputs!$D$7/Demand!$E$10</f>
        <v>0.124856901798866</v>
      </c>
      <c r="F41" s="16" t="n">
        <f aca="false">F20*Inputs!$D$7/Demand!$F$10</f>
        <v>0.058830749431848</v>
      </c>
      <c r="G41" s="16" t="n">
        <f aca="false">G20*Inputs!$D$7/Demand!$G$10</f>
        <v>0.0339823382518469</v>
      </c>
      <c r="H41" s="16" t="n">
        <f aca="false">H20*Inputs!$D$7/Demand!$H$10</f>
        <v>0.0220456829540722</v>
      </c>
      <c r="I41" s="16" t="n">
        <f aca="false">I20*Inputs!$D$7/Demand!$I$10</f>
        <v>0.0153396057599104</v>
      </c>
      <c r="J41" s="7" t="s">
        <v>701</v>
      </c>
    </row>
    <row r="42" customFormat="false" ht="16.5" hidden="false" customHeight="true" outlineLevel="0" collapsed="false">
      <c r="A42" s="14" t="s">
        <v>702</v>
      </c>
      <c r="B42" s="15"/>
      <c r="C42" s="15"/>
      <c r="D42" s="15"/>
      <c r="E42" s="15"/>
      <c r="F42" s="15"/>
      <c r="G42" s="15"/>
      <c r="H42" s="15"/>
      <c r="I42" s="15"/>
      <c r="J42" s="15"/>
    </row>
    <row r="43" customFormat="false" ht="16.5" hidden="false" customHeight="true" outlineLevel="0" collapsed="false">
      <c r="A43" s="1" t="s">
        <v>703</v>
      </c>
      <c r="B43" s="7" t="s">
        <v>704</v>
      </c>
      <c r="C43" s="7" t="s">
        <v>705</v>
      </c>
      <c r="E43" s="28" t="n">
        <f aca="false">1000/Inputs!$D$31</f>
        <v>714.285714285714</v>
      </c>
      <c r="J43" s="1" t="s">
        <v>706</v>
      </c>
    </row>
    <row r="44" customFormat="false" ht="16.5" hidden="false" customHeight="true" outlineLevel="0" collapsed="false">
      <c r="A44" s="1" t="s">
        <v>707</v>
      </c>
      <c r="B44" s="7" t="s">
        <v>708</v>
      </c>
      <c r="C44" s="1" t="s">
        <v>709</v>
      </c>
      <c r="E44" s="29" t="n">
        <f aca="false">SRC_MM!$E$106/SRC_MM!$E$100</f>
        <v>1.46529827188771</v>
      </c>
      <c r="J44" s="7" t="s">
        <v>710</v>
      </c>
    </row>
    <row r="45" customFormat="false" ht="16.5" hidden="false" customHeight="true" outlineLevel="0" collapsed="false">
      <c r="A45" s="1" t="s">
        <v>711</v>
      </c>
      <c r="B45" s="7" t="s">
        <v>712</v>
      </c>
      <c r="C45" s="1" t="s">
        <v>709</v>
      </c>
      <c r="E45" s="29" t="n">
        <f aca="false">SRC_MM!$E$107/Inputs!$D$36/(8760/12)/SRC_MM!$E$100</f>
        <v>0.879935204588455</v>
      </c>
      <c r="J45" s="7" t="s">
        <v>713</v>
      </c>
    </row>
    <row r="46" customFormat="false" ht="16.5" hidden="false" customHeight="true" outlineLevel="0" collapsed="false">
      <c r="A46" s="1" t="s">
        <v>714</v>
      </c>
      <c r="B46" s="7" t="s">
        <v>715</v>
      </c>
      <c r="C46" s="1" t="s">
        <v>709</v>
      </c>
      <c r="E46" s="29" t="n">
        <f aca="false">SRC_MM!$E$108/Inputs!$D$36/(8760/12)/SRC_MM!$E$100</f>
        <v>2.13698549685768</v>
      </c>
      <c r="J46" s="7" t="s">
        <v>716</v>
      </c>
    </row>
    <row r="47" customFormat="false" ht="16.5" hidden="false" customHeight="true" outlineLevel="0" collapsed="false">
      <c r="A47" s="1" t="s">
        <v>717</v>
      </c>
      <c r="B47" s="7" t="s">
        <v>718</v>
      </c>
      <c r="C47" s="1" t="s">
        <v>399</v>
      </c>
      <c r="E47" s="19" t="n">
        <f aca="false">E44*8760*E43/10^6</f>
        <v>9.16858061552595</v>
      </c>
      <c r="J47" s="7" t="s">
        <v>719</v>
      </c>
    </row>
    <row r="48" customFormat="false" ht="16.5" hidden="false" customHeight="true" outlineLevel="0" collapsed="false">
      <c r="A48" s="1" t="s">
        <v>720</v>
      </c>
      <c r="B48" s="7" t="s">
        <v>721</v>
      </c>
      <c r="C48" s="1" t="s">
        <v>399</v>
      </c>
      <c r="E48" s="19" t="n">
        <f aca="false">E45*8760*E43/10^6</f>
        <v>5.50588028013919</v>
      </c>
    </row>
    <row r="49" customFormat="false" ht="16.5" hidden="false" customHeight="true" outlineLevel="0" collapsed="false">
      <c r="A49" s="1" t="s">
        <v>722</v>
      </c>
      <c r="B49" s="7" t="s">
        <v>723</v>
      </c>
      <c r="C49" s="1" t="s">
        <v>399</v>
      </c>
      <c r="E49" s="19" t="n">
        <f aca="false">E46*8760*E43/10^6</f>
        <v>13.3714235374809</v>
      </c>
    </row>
    <row r="50" customFormat="false" ht="16.5" hidden="false" customHeight="true" outlineLevel="0" collapsed="false">
      <c r="A50" s="1" t="s">
        <v>724</v>
      </c>
      <c r="B50" s="7" t="s">
        <v>725</v>
      </c>
      <c r="C50" s="7" t="s">
        <v>170</v>
      </c>
      <c r="E50" s="21" t="n">
        <f aca="false">E47/TK_Link!$F$11</f>
        <v>0.944913752208163</v>
      </c>
      <c r="J50" s="7" t="s">
        <v>726</v>
      </c>
    </row>
    <row r="51" customFormat="false" ht="16.5" hidden="false" customHeight="true" outlineLevel="0" collapsed="false">
      <c r="A51" s="1" t="s">
        <v>727</v>
      </c>
      <c r="B51" s="7" t="s">
        <v>728</v>
      </c>
      <c r="C51" s="7" t="s">
        <v>170</v>
      </c>
      <c r="E51" s="21" t="n">
        <f aca="false">E48/TK_Link!$F$11</f>
        <v>0.567435921968693</v>
      </c>
    </row>
    <row r="52" customFormat="false" ht="16.5" hidden="false" customHeight="true" outlineLevel="0" collapsed="false">
      <c r="A52" s="1" t="s">
        <v>729</v>
      </c>
      <c r="B52" s="7" t="s">
        <v>730</v>
      </c>
      <c r="C52" s="7" t="s">
        <v>170</v>
      </c>
      <c r="E52" s="21" t="n">
        <f aca="false">E49/TK_Link!$F$11</f>
        <v>1.37805866763825</v>
      </c>
    </row>
    <row r="53" customFormat="false" ht="16.5" hidden="false" customHeight="true" outlineLevel="0" collapsed="false">
      <c r="A53" s="1" t="s">
        <v>731</v>
      </c>
      <c r="B53" s="7" t="s">
        <v>732</v>
      </c>
      <c r="C53" s="7" t="s">
        <v>170</v>
      </c>
      <c r="E53" s="21" t="n">
        <f aca="false">Inputs!$D$7/TK_Link!$F$11</f>
        <v>1.2367197826997</v>
      </c>
      <c r="J53" s="1" t="s">
        <v>733</v>
      </c>
    </row>
    <row r="54" customFormat="false" ht="16.5" hidden="false" customHeight="true" outlineLevel="0" collapsed="false">
      <c r="A54" s="1" t="s">
        <v>734</v>
      </c>
      <c r="B54" s="7" t="s">
        <v>735</v>
      </c>
      <c r="C54" s="7" t="s">
        <v>736</v>
      </c>
      <c r="E54" s="30" t="n">
        <f aca="false">(E47&lt;Inputs!$J$7)+(E47&gt;Inputs!$K$7)+(E48&lt;Inputs!$J$7)+(E48&gt;Inputs!$K$7)+(E49&lt;Inputs!$J$7)+(E49&gt;Inputs!$K$7)</f>
        <v>1</v>
      </c>
      <c r="J54" s="1" t="s">
        <v>737</v>
      </c>
    </row>
    <row r="55" customFormat="false" ht="16.5" hidden="false" customHeight="true" outlineLevel="0" collapsed="false">
      <c r="A55" s="14" t="s">
        <v>738</v>
      </c>
      <c r="B55" s="15"/>
      <c r="C55" s="15"/>
      <c r="D55" s="15"/>
      <c r="E55" s="15"/>
      <c r="F55" s="15"/>
      <c r="G55" s="15"/>
      <c r="H55" s="15"/>
      <c r="I55" s="15"/>
      <c r="J55" s="15"/>
    </row>
    <row r="56" customFormat="false" ht="16.5" hidden="false" customHeight="true" outlineLevel="0" collapsed="false">
      <c r="A56" s="1" t="s">
        <v>739</v>
      </c>
      <c r="B56" s="1" t="s">
        <v>740</v>
      </c>
      <c r="C56" s="7" t="s">
        <v>170</v>
      </c>
      <c r="D56" s="20" t="n">
        <f aca="false">D18</f>
        <v>2.24720950962579</v>
      </c>
      <c r="E56" s="20" t="n">
        <f aca="false">E18</f>
        <v>0.522271880839059</v>
      </c>
      <c r="J56" s="1" t="s">
        <v>741</v>
      </c>
    </row>
    <row r="57" customFormat="false" ht="16.5" hidden="false" customHeight="true" outlineLevel="0" collapsed="false">
      <c r="A57" s="1" t="s">
        <v>742</v>
      </c>
      <c r="B57" s="1" t="s">
        <v>743</v>
      </c>
      <c r="C57" s="7" t="s">
        <v>79</v>
      </c>
      <c r="D57" s="17" t="n">
        <f aca="false">D18-1</f>
        <v>1.24720950962579</v>
      </c>
      <c r="E57" s="17" t="n">
        <f aca="false">E18-1</f>
        <v>-0.477728119160941</v>
      </c>
      <c r="J57" s="1" t="s">
        <v>744</v>
      </c>
    </row>
    <row r="58" customFormat="false" ht="16.5" hidden="false" customHeight="true" outlineLevel="0" collapsed="false">
      <c r="A58" s="14" t="s">
        <v>745</v>
      </c>
      <c r="B58" s="15"/>
      <c r="C58" s="15"/>
      <c r="D58" s="15"/>
      <c r="E58" s="15"/>
      <c r="F58" s="15"/>
      <c r="G58" s="15"/>
      <c r="H58" s="15"/>
      <c r="I58" s="15"/>
      <c r="J58" s="15"/>
    </row>
    <row r="59" customFormat="false" ht="16.5" hidden="false" customHeight="true" outlineLevel="0" collapsed="false">
      <c r="A59" s="1" t="s">
        <v>746</v>
      </c>
      <c r="B59" s="7" t="s">
        <v>747</v>
      </c>
      <c r="C59" s="1" t="s">
        <v>41</v>
      </c>
      <c r="E59" s="18" t="n">
        <f aca="false">SRC_MM!$E$91-SRC_MM!$E$92</f>
        <v>73.342</v>
      </c>
      <c r="J59" s="1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749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5" hidden="false" customHeight="true" outlineLevel="0" collapsed="false">
      <c r="A6" s="14" t="s">
        <v>750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true" outlineLevel="0" collapsed="false">
      <c r="A7" s="1" t="s">
        <v>751</v>
      </c>
      <c r="B7" s="7" t="s">
        <v>575</v>
      </c>
      <c r="C7" s="1" t="s">
        <v>41</v>
      </c>
      <c r="D7" s="18" t="n">
        <f aca="false">Revenue!$D$17</f>
        <v>79.1</v>
      </c>
      <c r="E7" s="18" t="n">
        <f aca="false">Revenue!$E$17</f>
        <v>465.49</v>
      </c>
      <c r="F7" s="18" t="n">
        <f aca="false">Revenue!$F$17</f>
        <v>866.49</v>
      </c>
      <c r="G7" s="18" t="n">
        <f aca="false">Revenue!$G$17</f>
        <v>1279.12725</v>
      </c>
      <c r="H7" s="18" t="n">
        <f aca="false">Revenue!$H$17</f>
        <v>1631.7187875</v>
      </c>
      <c r="I7" s="18" t="n">
        <f aca="false">Revenue!$I$17</f>
        <v>1944.063729</v>
      </c>
    </row>
    <row r="8" customFormat="false" ht="16.5" hidden="false" customHeight="true" outlineLevel="0" collapsed="false">
      <c r="A8" s="1" t="s">
        <v>752</v>
      </c>
      <c r="B8" s="1" t="s">
        <v>753</v>
      </c>
      <c r="C8" s="1" t="s">
        <v>41</v>
      </c>
      <c r="D8" s="18" t="n">
        <f aca="false">Compute!$D$20*Inputs!$D$7</f>
        <v>7.1604</v>
      </c>
      <c r="E8" s="18" t="n">
        <f aca="false">Compute!$E$20*Inputs!$D$7</f>
        <v>223.368399916727</v>
      </c>
      <c r="F8" s="18" t="n">
        <f aca="false">Compute!$F$20*Inputs!$D$7</f>
        <v>315.74378774021</v>
      </c>
      <c r="G8" s="18" t="n">
        <f aca="false">Compute!$G$20*Inputs!$D$7</f>
        <v>364.765443225805</v>
      </c>
      <c r="H8" s="18" t="n">
        <f aca="false">Compute!$H$20*Inputs!$D$7</f>
        <v>378.620364701745</v>
      </c>
      <c r="I8" s="18" t="n">
        <f aca="false">Compute!$I$20*Inputs!$D$7</f>
        <v>368.826948796143</v>
      </c>
    </row>
    <row r="9" customFormat="false" ht="15" hidden="false" customHeight="true" outlineLevel="0" collapsed="false">
      <c r="A9" s="1" t="s">
        <v>754</v>
      </c>
      <c r="B9" s="7" t="s">
        <v>755</v>
      </c>
      <c r="C9" s="1" t="s">
        <v>41</v>
      </c>
      <c r="D9" s="18" t="n">
        <f aca="false">Compute!$D$23</f>
        <v>45.9027</v>
      </c>
      <c r="E9" s="18" t="n">
        <f aca="false">Compute!$E$23</f>
        <v>77.8515</v>
      </c>
      <c r="F9" s="18" t="n">
        <f aca="false">Compute!$F$23</f>
        <v>103.03875</v>
      </c>
      <c r="G9" s="18" t="n">
        <f aca="false">Compute!$G$23</f>
        <v>126.11943</v>
      </c>
      <c r="H9" s="18" t="n">
        <f aca="false">Compute!$H$23</f>
        <v>143.73905625</v>
      </c>
      <c r="I9" s="18" t="n">
        <f aca="false">Compute!$I$23</f>
        <v>153.01254375</v>
      </c>
    </row>
    <row r="10" customFormat="false" ht="15" hidden="false" customHeight="true" outlineLevel="0" collapsed="false">
      <c r="A10" s="1" t="s">
        <v>756</v>
      </c>
      <c r="B10" s="7" t="s">
        <v>757</v>
      </c>
      <c r="C10" s="1" t="s">
        <v>41</v>
      </c>
      <c r="D10" s="18" t="n">
        <f aca="false">SRC_MM!$E$23*(1-Inputs!$D$8)</f>
        <v>5.8959</v>
      </c>
      <c r="E10" s="18" t="n">
        <f aca="false">E7*Inputs!$D$19</f>
        <v>23.2745</v>
      </c>
      <c r="F10" s="18" t="n">
        <f aca="false">F7*Inputs!$D$19</f>
        <v>43.3245</v>
      </c>
      <c r="G10" s="18" t="n">
        <f aca="false">G7*Inputs!$D$19</f>
        <v>63.9563625</v>
      </c>
      <c r="H10" s="18" t="n">
        <f aca="false">H7*Inputs!$D$19</f>
        <v>81.585939375</v>
      </c>
      <c r="I10" s="18" t="n">
        <f aca="false">I7*Inputs!$D$19</f>
        <v>97.20318645</v>
      </c>
    </row>
    <row r="11" customFormat="false" ht="15" hidden="false" customHeight="true" outlineLevel="0" collapsed="false">
      <c r="A11" s="1" t="s">
        <v>758</v>
      </c>
      <c r="B11" s="7" t="s">
        <v>759</v>
      </c>
      <c r="C11" s="1" t="s">
        <v>41</v>
      </c>
      <c r="D11" s="31" t="n">
        <f aca="false">D8+D9+D10</f>
        <v>58.959</v>
      </c>
      <c r="E11" s="31" t="n">
        <f aca="false">E8+E9+E10</f>
        <v>324.494399916727</v>
      </c>
      <c r="F11" s="31" t="n">
        <f aca="false">F8+F9+F10</f>
        <v>462.10703774021</v>
      </c>
      <c r="G11" s="31" t="n">
        <f aca="false">G8+G9+G10</f>
        <v>554.841235725805</v>
      </c>
      <c r="H11" s="31" t="n">
        <f aca="false">H8+H9+H10</f>
        <v>603.945360326745</v>
      </c>
      <c r="I11" s="31" t="n">
        <f aca="false">I8+I9+I10</f>
        <v>619.042678996143</v>
      </c>
    </row>
    <row r="12" customFormat="false" ht="15" hidden="false" customHeight="true" outlineLevel="0" collapsed="false">
      <c r="A12" s="1" t="s">
        <v>760</v>
      </c>
      <c r="B12" s="7" t="s">
        <v>761</v>
      </c>
      <c r="C12" s="1" t="s">
        <v>41</v>
      </c>
      <c r="D12" s="31" t="n">
        <f aca="false">D7-D11</f>
        <v>20.141</v>
      </c>
      <c r="E12" s="31" t="n">
        <f aca="false">E7-E11</f>
        <v>140.995600083273</v>
      </c>
      <c r="F12" s="31" t="n">
        <f aca="false">F7-F11</f>
        <v>404.38296225979</v>
      </c>
      <c r="G12" s="31" t="n">
        <f aca="false">G7-G11</f>
        <v>724.286014274195</v>
      </c>
      <c r="H12" s="31" t="n">
        <f aca="false">H7-H11</f>
        <v>1027.77342717326</v>
      </c>
      <c r="I12" s="31" t="n">
        <f aca="false">I7-I11</f>
        <v>1325.02105000386</v>
      </c>
    </row>
    <row r="13" customFormat="false" ht="15" hidden="false" customHeight="true" outlineLevel="0" collapsed="false">
      <c r="A13" s="22" t="s">
        <v>762</v>
      </c>
      <c r="B13" s="23" t="s">
        <v>763</v>
      </c>
      <c r="C13" s="23" t="s">
        <v>79</v>
      </c>
      <c r="D13" s="32" t="n">
        <f aca="false">D12/D7</f>
        <v>0.254627054361568</v>
      </c>
      <c r="E13" s="32" t="n">
        <f aca="false">E12/E7</f>
        <v>0.302897162309121</v>
      </c>
      <c r="F13" s="32" t="n">
        <f aca="false">F12/F7</f>
        <v>0.466690858820979</v>
      </c>
      <c r="G13" s="32" t="n">
        <f aca="false">G12/G7</f>
        <v>0.566234527701755</v>
      </c>
      <c r="H13" s="32" t="n">
        <f aca="false">H12/H7</f>
        <v>0.629871663577481</v>
      </c>
      <c r="I13" s="32" t="n">
        <f aca="false">I12/I7</f>
        <v>0.681572846732463</v>
      </c>
    </row>
    <row r="14" customFormat="false" ht="16.5" hidden="false" customHeight="true" outlineLevel="0" collapsed="false">
      <c r="A14" s="1" t="s">
        <v>764</v>
      </c>
      <c r="B14" s="7" t="s">
        <v>765</v>
      </c>
      <c r="C14" s="7" t="s">
        <v>79</v>
      </c>
      <c r="D14" s="25" t="n">
        <f aca="false">1-(D8+D10*Revenue!$D$7/D7)/Revenue!$D$7</f>
        <v>0.650062705436157</v>
      </c>
      <c r="E14" s="25" t="n">
        <f aca="false">1-(E8+E10*Revenue!$E$7/E7)/Revenue!$E$7</f>
        <v>0.352598555986287</v>
      </c>
      <c r="F14" s="25" t="n">
        <f aca="false">1-(F8+F10*Revenue!$F$7/F7)/Revenue!$F$7</f>
        <v>0.516943324020258</v>
      </c>
      <c r="G14" s="25" t="n">
        <f aca="false">1-(G8+G10*Revenue!$G$7/G7)/Revenue!$G$7</f>
        <v>0.616471959250675</v>
      </c>
      <c r="H14" s="25" t="n">
        <f aca="false">1-(H8+H10*Revenue!$H$7/H7)/Revenue!$H$7</f>
        <v>0.679534008660629</v>
      </c>
      <c r="I14" s="25" t="n">
        <f aca="false">1-(I8+I10*Revenue!$I$7/I7)/Revenue!$I$7</f>
        <v>0.728596552427195</v>
      </c>
      <c r="J14" s="7" t="s">
        <v>766</v>
      </c>
    </row>
    <row r="15" customFormat="false" ht="15" hidden="false" customHeight="true" outlineLevel="0" collapsed="false">
      <c r="A15" s="1" t="s">
        <v>767</v>
      </c>
      <c r="B15" s="7" t="s">
        <v>768</v>
      </c>
      <c r="C15" s="7" t="s">
        <v>79</v>
      </c>
      <c r="D15" s="25" t="n">
        <f aca="false">1-(D9+D10*Revenue!$D$9/D7)/Revenue!$D$9</f>
        <v>0.0610050783175127</v>
      </c>
      <c r="E15" s="25" t="n">
        <f aca="false">1-(E9+E10*Revenue!$E$9/E7)/Revenue!$E$9</f>
        <v>0.1</v>
      </c>
      <c r="F15" s="25" t="n">
        <f aca="false">1-(F9+F10*Revenue!$F$9/F7)/Revenue!$F$9</f>
        <v>0.2</v>
      </c>
      <c r="G15" s="25" t="n">
        <f aca="false">1-(G9+G10*Revenue!$G$9/G7)/Revenue!$G$9</f>
        <v>0.27</v>
      </c>
      <c r="H15" s="25" t="n">
        <f aca="false">1-(H9+H10*Revenue!$H$9/H7)/Revenue!$H$9</f>
        <v>0.33</v>
      </c>
      <c r="I15" s="25" t="n">
        <f aca="false">1-(I9+I10*Revenue!$I$9/I7)/Revenue!$I$9</f>
        <v>0.4</v>
      </c>
    </row>
    <row r="16" customFormat="false" ht="15" hidden="false" customHeight="true" outlineLevel="0" collapsed="false">
      <c r="A16" s="14" t="s">
        <v>769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true" outlineLevel="0" collapsed="false">
      <c r="A17" s="1" t="s">
        <v>770</v>
      </c>
      <c r="B17" s="7" t="s">
        <v>771</v>
      </c>
      <c r="C17" s="1" t="s">
        <v>41</v>
      </c>
      <c r="D17" s="18" t="n">
        <f aca="false">Compute!$D$27</f>
        <v>194.2</v>
      </c>
      <c r="E17" s="18" t="n">
        <f aca="false">Compute!$E$27</f>
        <v>539.429</v>
      </c>
      <c r="F17" s="18" t="n">
        <f aca="false">Compute!$F$27</f>
        <v>970.9722</v>
      </c>
      <c r="G17" s="18" t="n">
        <f aca="false">Compute!$G$27</f>
        <v>1456.4583</v>
      </c>
      <c r="H17" s="18" t="n">
        <f aca="false">Compute!$H$27</f>
        <v>1966.218705</v>
      </c>
      <c r="I17" s="18" t="n">
        <f aca="false">Compute!$I$27</f>
        <v>2457.77338125</v>
      </c>
    </row>
    <row r="18" customFormat="false" ht="16.5" hidden="false" customHeight="true" outlineLevel="0" collapsed="false">
      <c r="A18" s="1" t="s">
        <v>772</v>
      </c>
      <c r="B18" s="7" t="s">
        <v>773</v>
      </c>
      <c r="C18" s="1" t="s">
        <v>774</v>
      </c>
      <c r="E18" s="28" t="n">
        <f aca="false">SRC_MM!$E$33*2/AVERAGE(SRC_MM!$E$42,SRC_MM!$E$43)*1000</f>
        <v>276.706827309237</v>
      </c>
      <c r="F18" s="28" t="n">
        <f aca="false">E18*(1+Inputs!$D$24)</f>
        <v>298.843373493976</v>
      </c>
      <c r="G18" s="28" t="n">
        <f aca="false">F18*(1+Inputs!$D$24)</f>
        <v>322.750843373494</v>
      </c>
      <c r="H18" s="28" t="n">
        <f aca="false">G18*(1+Inputs!$D$24)</f>
        <v>348.570910843374</v>
      </c>
      <c r="I18" s="28" t="n">
        <f aca="false">H18*(1+Inputs!$D$24)</f>
        <v>376.456583710843</v>
      </c>
      <c r="J18" s="1" t="s">
        <v>775</v>
      </c>
    </row>
    <row r="19" customFormat="false" ht="16.5" hidden="false" customHeight="true" outlineLevel="0" collapsed="false">
      <c r="A19" s="1" t="s">
        <v>776</v>
      </c>
      <c r="B19" s="7" t="s">
        <v>777</v>
      </c>
      <c r="C19" s="1" t="s">
        <v>41</v>
      </c>
      <c r="D19" s="18" t="n">
        <f aca="false">SRC_MM!$E$32</f>
        <v>84.3</v>
      </c>
      <c r="E19" s="18" t="n">
        <f aca="false">Inputs!$E$23*E18/1000</f>
        <v>154.955823293173</v>
      </c>
      <c r="F19" s="18" t="n">
        <f aca="false">Inputs!$F$23*F18/1000</f>
        <v>224.132530120482</v>
      </c>
      <c r="G19" s="18" t="n">
        <f aca="false">Inputs!$G$23*G18/1000</f>
        <v>306.613301204819</v>
      </c>
      <c r="H19" s="18" t="n">
        <f aca="false">Inputs!$H$23*H18/1000</f>
        <v>383.428001927711</v>
      </c>
      <c r="I19" s="18" t="n">
        <f aca="false">Inputs!$I$23*I18/1000</f>
        <v>470.570729638554</v>
      </c>
    </row>
    <row r="20" customFormat="false" ht="16.5" hidden="false" customHeight="true" outlineLevel="0" collapsed="false">
      <c r="A20" s="1" t="s">
        <v>778</v>
      </c>
      <c r="B20" s="7" t="s">
        <v>779</v>
      </c>
      <c r="C20" s="1" t="s">
        <v>41</v>
      </c>
      <c r="D20" s="18" t="n">
        <f aca="false">SRC_MM!$E$34</f>
        <v>24.031</v>
      </c>
      <c r="E20" s="18" t="n">
        <f aca="false">E19*SRC_MM!$E$35/SRC_MM!$E$33</f>
        <v>63.4396787148594</v>
      </c>
      <c r="F20" s="18" t="n">
        <f aca="false">F19*SRC_MM!$E$35/SRC_MM!$E$33</f>
        <v>91.7609638554217</v>
      </c>
      <c r="G20" s="18" t="n">
        <f aca="false">G19*SRC_MM!$E$35/SRC_MM!$E$33</f>
        <v>125.528998554217</v>
      </c>
      <c r="H20" s="18" t="n">
        <f aca="false">H19*SRC_MM!$E$35/SRC_MM!$E$33</f>
        <v>156.977316086747</v>
      </c>
      <c r="I20" s="18" t="n">
        <f aca="false">I19*SRC_MM!$E$35/SRC_MM!$E$33</f>
        <v>192.653978833735</v>
      </c>
      <c r="J20" s="1" t="s">
        <v>780</v>
      </c>
    </row>
    <row r="21" customFormat="false" ht="16.5" hidden="false" customHeight="true" outlineLevel="0" collapsed="false">
      <c r="A21" s="1" t="s">
        <v>781</v>
      </c>
      <c r="B21" s="7" t="s">
        <v>782</v>
      </c>
      <c r="C21" s="1" t="s">
        <v>41</v>
      </c>
      <c r="D21" s="18" t="n">
        <f aca="false">SRC_MM!$E$25+SRC_MM!$E$26+SRC_MM!$E$27-SRC_MM!$E$32-SRC_MM!$E$31</f>
        <v>62.98</v>
      </c>
      <c r="E21" s="18" t="n">
        <f aca="false">(SRC_MM!$E$28+SRC_MM!$E$29+SRC_MM!$E$30-SRC_MM!$E$33-Compute!$E$26)+(E7-SRC_MM!$E$8)*Inputs!$E$25</f>
        <v>162.09895</v>
      </c>
      <c r="F21" s="18" t="n">
        <f aca="false">F7*Inputs!$F$25</f>
        <v>216.6225</v>
      </c>
      <c r="G21" s="18" t="n">
        <f aca="false">G7*Inputs!$G$25</f>
        <v>255.82545</v>
      </c>
      <c r="H21" s="18" t="n">
        <f aca="false">H7*Inputs!$H$25</f>
        <v>277.392193875</v>
      </c>
      <c r="I21" s="18" t="n">
        <f aca="false">I7*Inputs!$I$25</f>
        <v>291.60955935</v>
      </c>
      <c r="J21" s="1" t="s">
        <v>783</v>
      </c>
    </row>
    <row r="22" customFormat="false" ht="15" hidden="false" customHeight="true" outlineLevel="0" collapsed="false">
      <c r="A22" s="1" t="s">
        <v>784</v>
      </c>
      <c r="B22" s="7" t="s">
        <v>785</v>
      </c>
      <c r="C22" s="1" t="s">
        <v>41</v>
      </c>
      <c r="D22" s="31" t="n">
        <f aca="false">D17+D19+D21</f>
        <v>341.48</v>
      </c>
      <c r="E22" s="31" t="n">
        <f aca="false">E17+E19+E21</f>
        <v>856.483773293173</v>
      </c>
      <c r="F22" s="31" t="n">
        <f aca="false">F17+F19+F21</f>
        <v>1411.72723012048</v>
      </c>
      <c r="G22" s="31" t="n">
        <f aca="false">G17+G19+G21</f>
        <v>2018.89705120482</v>
      </c>
      <c r="H22" s="31" t="n">
        <f aca="false">H17+H19+H21</f>
        <v>2627.03890080271</v>
      </c>
      <c r="I22" s="31" t="n">
        <f aca="false">I17+I19+I21</f>
        <v>3219.95367023855</v>
      </c>
    </row>
    <row r="23" customFormat="false" ht="15" hidden="false" customHeight="true" outlineLevel="0" collapsed="false">
      <c r="A23" s="1" t="s">
        <v>786</v>
      </c>
      <c r="B23" s="7" t="s">
        <v>787</v>
      </c>
      <c r="C23" s="1" t="s">
        <v>41</v>
      </c>
      <c r="D23" s="31" t="n">
        <f aca="false">D12-D22</f>
        <v>-321.339</v>
      </c>
      <c r="E23" s="31" t="n">
        <f aca="false">E12-E22</f>
        <v>-715.4881732099</v>
      </c>
      <c r="F23" s="31" t="n">
        <f aca="false">F12-F22</f>
        <v>-1007.34426786069</v>
      </c>
      <c r="G23" s="31" t="n">
        <f aca="false">G12-G22</f>
        <v>-1294.61103693062</v>
      </c>
      <c r="H23" s="31" t="n">
        <f aca="false">H12-H22</f>
        <v>-1599.26547362946</v>
      </c>
      <c r="I23" s="31" t="n">
        <f aca="false">I12-I22</f>
        <v>-1894.9326202347</v>
      </c>
    </row>
    <row r="24" customFormat="false" ht="16.5" hidden="false" customHeight="true" outlineLevel="0" collapsed="false">
      <c r="A24" s="1" t="s">
        <v>788</v>
      </c>
      <c r="B24" s="7" t="s">
        <v>789</v>
      </c>
      <c r="C24" s="1" t="s">
        <v>41</v>
      </c>
      <c r="D24" s="18" t="n">
        <f aca="false">SRC_MM!$E$36</f>
        <v>40.369</v>
      </c>
      <c r="E24" s="18" t="n">
        <f aca="false">(Funding!$E$7+0.5*(Funding!$E$8+Funding!$E$9+Funding!$E$10+Funding!$E$11))*Inputs!$D$26</f>
        <v>73.7975115809769</v>
      </c>
      <c r="F24" s="18" t="n">
        <f aca="false">(Funding!$F$7+0.5*(Funding!$F$8+Funding!$F$9+Funding!$F$10+Funding!$F$11))*Inputs!$D$26</f>
        <v>89.0784936745318</v>
      </c>
      <c r="G24" s="18" t="n">
        <f aca="false">(Funding!$G$7+0.5*(Funding!$G$8+Funding!$G$9+Funding!$G$10+Funding!$G$11))*Inputs!$D$26</f>
        <v>39.2190820124246</v>
      </c>
      <c r="H24" s="18" t="n">
        <f aca="false">(Funding!$H$7+0.5*(Funding!$H$8+Funding!$H$9+Funding!$H$10+Funding!$H$11))*Inputs!$D$26</f>
        <v>9</v>
      </c>
      <c r="I24" s="18" t="n">
        <f aca="false">(Funding!$I$7+0.5*(Funding!$I$8+Funding!$I$9+Funding!$I$10+Funding!$I$11))*Inputs!$D$26</f>
        <v>9</v>
      </c>
      <c r="J24" s="1" t="s">
        <v>790</v>
      </c>
    </row>
    <row r="25" customFormat="false" ht="16.5" hidden="false" customHeight="true" outlineLevel="0" collapsed="false">
      <c r="A25" s="1" t="s">
        <v>791</v>
      </c>
      <c r="B25" s="7" t="s">
        <v>792</v>
      </c>
      <c r="C25" s="1" t="s">
        <v>41</v>
      </c>
      <c r="D25" s="31" t="n">
        <f aca="false">D23+D24+D20</f>
        <v>-256.939</v>
      </c>
      <c r="E25" s="31" t="n">
        <f aca="false">E23+E24+E20</f>
        <v>-578.250982914064</v>
      </c>
      <c r="F25" s="31" t="n">
        <f aca="false">F23+F24+F20</f>
        <v>-826.504810330738</v>
      </c>
      <c r="G25" s="31" t="n">
        <f aca="false">G23+G24+G20</f>
        <v>-1129.86295636398</v>
      </c>
      <c r="H25" s="31" t="n">
        <f aca="false">H23+H24+H20</f>
        <v>-1433.28815754271</v>
      </c>
      <c r="I25" s="31" t="n">
        <f aca="false">I23+I24+I20</f>
        <v>-1693.27864140096</v>
      </c>
    </row>
    <row r="26" customFormat="false" ht="16.5" hidden="false" customHeight="true" outlineLevel="0" collapsed="false">
      <c r="A26" s="1" t="s">
        <v>793</v>
      </c>
      <c r="B26" s="7" t="s">
        <v>794</v>
      </c>
      <c r="C26" s="1" t="s">
        <v>41</v>
      </c>
      <c r="D26" s="26" t="n">
        <f aca="false">D25+SRC_MM!$E$38</f>
        <v>-6.08300000000003</v>
      </c>
    </row>
    <row r="27" customFormat="false" ht="16.5" hidden="false" customHeight="true" outlineLevel="0" collapsed="false">
      <c r="A27" s="14" t="s">
        <v>795</v>
      </c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6.5" hidden="false" customHeight="true" outlineLevel="0" collapsed="false">
      <c r="A28" s="1" t="s">
        <v>796</v>
      </c>
      <c r="B28" s="7" t="s">
        <v>797</v>
      </c>
      <c r="C28" s="1" t="s">
        <v>641</v>
      </c>
      <c r="D28" s="26" t="n">
        <f aca="false">Compute!$D$31</f>
        <v>20.6052583333333</v>
      </c>
      <c r="E28" s="26" t="n">
        <f aca="false">Compute!$E$31</f>
        <v>70.0540749930606</v>
      </c>
      <c r="F28" s="26" t="n">
        <f aca="false">Compute!$F$31</f>
        <v>115.812894811684</v>
      </c>
      <c r="G28" s="26" t="n">
        <f aca="false">Compute!$G$31</f>
        <v>162.278597768817</v>
      </c>
      <c r="H28" s="26" t="n">
        <f aca="false">Compute!$H$31</f>
        <v>207.381510495979</v>
      </c>
      <c r="I28" s="26" t="n">
        <f aca="false">Compute!$I$31</f>
        <v>248.301072816345</v>
      </c>
    </row>
    <row r="29" customFormat="false" ht="16.5" hidden="false" customHeight="true" outlineLevel="0" collapsed="false">
      <c r="A29" s="22" t="s">
        <v>798</v>
      </c>
      <c r="B29" s="23" t="s">
        <v>799</v>
      </c>
      <c r="C29" s="22" t="s">
        <v>399</v>
      </c>
      <c r="D29" s="27" t="n">
        <f aca="false">D7/D28</f>
        <v>3.83882593075958</v>
      </c>
      <c r="E29" s="27" t="n">
        <f aca="false">E7/E28</f>
        <v>6.64472409415313</v>
      </c>
      <c r="F29" s="27" t="n">
        <f aca="false">F7/F28</f>
        <v>7.4818093564533</v>
      </c>
      <c r="G29" s="27" t="n">
        <f aca="false">G7/G28</f>
        <v>7.88229173524318</v>
      </c>
      <c r="H29" s="27" t="n">
        <f aca="false">H7/H28</f>
        <v>7.86819800664746</v>
      </c>
      <c r="I29" s="27" t="n">
        <f aca="false">I7/I28</f>
        <v>7.82946165696963</v>
      </c>
    </row>
    <row r="30" customFormat="false" ht="16.5" hidden="false" customHeight="true" outlineLevel="0" collapsed="false">
      <c r="A30" s="22" t="s">
        <v>800</v>
      </c>
      <c r="B30" s="23" t="s">
        <v>801</v>
      </c>
      <c r="C30" s="22" t="s">
        <v>399</v>
      </c>
      <c r="D30" s="27" t="n">
        <f aca="false">(D11+D22)/D28</f>
        <v>19.4338257507893</v>
      </c>
      <c r="E30" s="27" t="n">
        <f aca="false">(E11+E22)/E28</f>
        <v>16.858093884287</v>
      </c>
      <c r="F30" s="27" t="n">
        <f aca="false">(F11+F22)/F28</f>
        <v>16.1798413804232</v>
      </c>
      <c r="G30" s="27" t="n">
        <f aca="false">(G11+G22)/G28</f>
        <v>15.8599983135002</v>
      </c>
      <c r="H30" s="27" t="n">
        <f aca="false">(H11+H22)/H28</f>
        <v>15.5799051390944</v>
      </c>
      <c r="I30" s="27" t="n">
        <f aca="false">(I11+I22)/I28</f>
        <v>15.4610542181354</v>
      </c>
    </row>
    <row r="31" customFormat="false" ht="16.5" hidden="false" customHeight="true" outlineLevel="0" collapsed="false">
      <c r="A31" s="22" t="s">
        <v>802</v>
      </c>
      <c r="B31" s="23" t="s">
        <v>803</v>
      </c>
      <c r="C31" s="23" t="s">
        <v>170</v>
      </c>
      <c r="D31" s="33" t="n">
        <f aca="false">D29/D30</f>
        <v>0.197533207304983</v>
      </c>
      <c r="E31" s="33" t="n">
        <f aca="false">E29/E30</f>
        <v>0.394156310895059</v>
      </c>
      <c r="F31" s="33" t="n">
        <f aca="false">F29/F30</f>
        <v>0.462415494722086</v>
      </c>
      <c r="G31" s="33" t="n">
        <f aca="false">G29/G30</f>
        <v>0.496991965537201</v>
      </c>
      <c r="H31" s="33" t="n">
        <f aca="false">H29/H30</f>
        <v>0.505022202407634</v>
      </c>
      <c r="I31" s="33" t="n">
        <f aca="false">I29/I30</f>
        <v>0.50639895226458</v>
      </c>
      <c r="J31" s="1" t="s">
        <v>804</v>
      </c>
    </row>
    <row r="32" customFormat="false" ht="16.5" hidden="false" customHeight="true" outlineLevel="0" collapsed="false">
      <c r="A32" s="1" t="s">
        <v>805</v>
      </c>
      <c r="B32" s="7" t="s">
        <v>806</v>
      </c>
      <c r="C32" s="1" t="s">
        <v>399</v>
      </c>
      <c r="D32" s="26" t="n">
        <f aca="false">Inputs!$D$7</f>
        <v>12</v>
      </c>
      <c r="E32" s="26" t="n">
        <f aca="false">Inputs!$D$7</f>
        <v>12</v>
      </c>
      <c r="F32" s="26" t="n">
        <f aca="false">Inputs!$D$7</f>
        <v>12</v>
      </c>
      <c r="G32" s="26" t="n">
        <f aca="false">Inputs!$D$7</f>
        <v>12</v>
      </c>
      <c r="H32" s="26" t="n">
        <f aca="false">Inputs!$D$7</f>
        <v>12</v>
      </c>
      <c r="I32" s="26" t="n">
        <f aca="false">Inputs!$D$7</f>
        <v>12</v>
      </c>
    </row>
    <row r="33" customFormat="false" ht="16.5" hidden="false" customHeight="true" outlineLevel="0" collapsed="false">
      <c r="A33" s="1" t="s">
        <v>807</v>
      </c>
      <c r="B33" s="7" t="s">
        <v>808</v>
      </c>
      <c r="C33" s="1" t="s">
        <v>399</v>
      </c>
      <c r="D33" s="19" t="n">
        <f aca="false">D30-D32</f>
        <v>7.43382575078934</v>
      </c>
      <c r="E33" s="19" t="n">
        <f aca="false">E30-E32</f>
        <v>4.85809388428703</v>
      </c>
      <c r="F33" s="19" t="n">
        <f aca="false">F30-F32</f>
        <v>4.17984138042325</v>
      </c>
      <c r="G33" s="19" t="n">
        <f aca="false">G30-G32</f>
        <v>3.85999831350025</v>
      </c>
      <c r="H33" s="19" t="n">
        <f aca="false">H30-H32</f>
        <v>3.57990513909439</v>
      </c>
      <c r="I33" s="19" t="n">
        <f aca="false">I30-I32</f>
        <v>3.46105421813539</v>
      </c>
    </row>
    <row r="34" customFormat="false" ht="16.5" hidden="false" customHeight="true" outlineLevel="0" collapsed="false">
      <c r="A34" s="1" t="s">
        <v>809</v>
      </c>
      <c r="B34" s="7" t="s">
        <v>810</v>
      </c>
      <c r="C34" s="1" t="s">
        <v>399</v>
      </c>
      <c r="D34" s="26" t="n">
        <f aca="false">D7/Compute!$D$34</f>
        <v>36.4064380428984</v>
      </c>
      <c r="E34" s="26" t="n">
        <f aca="false">E7/Compute!$E$34</f>
        <v>39.8811670462558</v>
      </c>
      <c r="F34" s="26" t="n">
        <f aca="false">F7/Compute!$F$34</f>
        <v>30.1476303174132</v>
      </c>
      <c r="G34" s="26" t="n">
        <f aca="false">G7/Compute!$G$34</f>
        <v>23.9051687308336</v>
      </c>
      <c r="H34" s="26" t="n">
        <f aca="false">H7/Compute!$H$34</f>
        <v>20.1283561713663</v>
      </c>
      <c r="I34" s="26" t="n">
        <f aca="false">I7/Compute!$I$34</f>
        <v>18.1371541549374</v>
      </c>
    </row>
    <row r="35" customFormat="false" ht="16.5" hidden="false" customHeight="true" outlineLevel="0" collapsed="false">
      <c r="A35" s="1" t="s">
        <v>811</v>
      </c>
      <c r="B35" s="7" t="s">
        <v>812</v>
      </c>
      <c r="C35" s="1" t="s">
        <v>399</v>
      </c>
      <c r="D35" s="26" t="n">
        <f aca="false">(D11+D22)/Compute!$D$34</f>
        <v>184.305406364857</v>
      </c>
      <c r="E35" s="26" t="n">
        <f aca="false">(E11+E22)/Compute!$E$34</f>
        <v>101.181094768451</v>
      </c>
      <c r="F35" s="26" t="n">
        <f aca="false">(F11+F22)/Compute!$F$34</f>
        <v>65.1959777765062</v>
      </c>
      <c r="G35" s="26" t="n">
        <f aca="false">(G11+G22)/Compute!$G$34</f>
        <v>48.0997086240507</v>
      </c>
      <c r="H35" s="26" t="n">
        <f aca="false">(H11+H22)/Compute!$H$34</f>
        <v>39.8563787401954</v>
      </c>
      <c r="I35" s="26" t="n">
        <f aca="false">(I11+I22)/Compute!$I$34</f>
        <v>35.8159393376098</v>
      </c>
    </row>
    <row r="36" customFormat="false" ht="16.5" hidden="false" customHeight="true" outlineLevel="0" collapsed="false">
      <c r="A36" s="1" t="s">
        <v>813</v>
      </c>
      <c r="B36" s="1" t="s">
        <v>814</v>
      </c>
      <c r="C36" s="7" t="s">
        <v>170</v>
      </c>
      <c r="D36" s="21" t="n">
        <f aca="false">Revenue!$D$7/Compute!$D$20/Inputs!$D$7</f>
        <v>3.63108206245461</v>
      </c>
      <c r="E36" s="21" t="n">
        <f aca="false">Revenue!$E$7/Compute!$E$20/Inputs!$D$7</f>
        <v>1.67391627526271</v>
      </c>
      <c r="F36" s="21" t="n">
        <f aca="false">Revenue!$F$7/Compute!$F$20/Inputs!$D$7</f>
        <v>2.30916657210655</v>
      </c>
      <c r="G36" s="21" t="n">
        <f aca="false">Revenue!$G$7/Compute!$G$20/Inputs!$D$7</f>
        <v>2.99824865625492</v>
      </c>
      <c r="H36" s="21" t="n">
        <f aca="false">Revenue!$H$7/Compute!$H$20/Inputs!$D$7</f>
        <v>3.69732251751103</v>
      </c>
      <c r="I36" s="21" t="n">
        <f aca="false">Revenue!$I$7/Compute!$I$20/Inputs!$D$7</f>
        <v>4.51664150203067</v>
      </c>
      <c r="J36" s="1" t="s">
        <v>815</v>
      </c>
    </row>
    <row r="37" customFormat="false" ht="15" hidden="false" customHeight="true" outlineLevel="0" collapsed="false">
      <c r="A37" s="1" t="s">
        <v>816</v>
      </c>
      <c r="B37" s="7" t="s">
        <v>817</v>
      </c>
      <c r="C37" s="7" t="s">
        <v>79</v>
      </c>
      <c r="D37" s="17" t="n">
        <f aca="false">(D17+D19+D21)/D7</f>
        <v>4.31706700379267</v>
      </c>
      <c r="E37" s="17" t="n">
        <f aca="false">(E17+E19+E21)/E7</f>
        <v>1.83996170335168</v>
      </c>
      <c r="F37" s="17" t="n">
        <f aca="false">(F17+F19+F21)/F7</f>
        <v>1.62924815072359</v>
      </c>
      <c r="G37" s="17" t="n">
        <f aca="false">(G17+G19+G21)/G7</f>
        <v>1.57833948983951</v>
      </c>
      <c r="H37" s="17" t="n">
        <f aca="false">(H17+H19+H21)/H7</f>
        <v>1.60998262747692</v>
      </c>
      <c r="I37" s="17" t="n">
        <f aca="false">(I17+I19+I21)/I7</f>
        <v>1.6563004711244</v>
      </c>
    </row>
    <row r="38" customFormat="false" ht="16.5" hidden="false" customHeight="true" outlineLevel="0" collapsed="false">
      <c r="A38" s="1" t="s">
        <v>818</v>
      </c>
      <c r="B38" s="7" t="s">
        <v>819</v>
      </c>
      <c r="C38" s="7" t="s">
        <v>820</v>
      </c>
      <c r="D38" s="34" t="n">
        <f aca="false">IF(D31&gt;=1,1,0)</f>
        <v>0</v>
      </c>
      <c r="E38" s="34" t="n">
        <f aca="false">IF(E31&gt;=1,1,0)</f>
        <v>0</v>
      </c>
      <c r="F38" s="34" t="n">
        <f aca="false">IF(F31&gt;=1,1,0)</f>
        <v>0</v>
      </c>
      <c r="G38" s="34" t="n">
        <f aca="false">IF(G31&gt;=1,1,0)</f>
        <v>0</v>
      </c>
      <c r="H38" s="34" t="n">
        <f aca="false">IF(H31&gt;=1,1,0)</f>
        <v>0</v>
      </c>
      <c r="I38" s="34" t="n">
        <f aca="false">IF(I31&gt;=1,1,0)</f>
        <v>0</v>
      </c>
    </row>
    <row r="39" customFormat="false" ht="15" hidden="false" customHeight="true" outlineLevel="0" collapsed="false">
      <c r="A39" s="14" t="s">
        <v>821</v>
      </c>
      <c r="B39" s="15"/>
      <c r="C39" s="15"/>
      <c r="D39" s="15"/>
      <c r="E39" s="15"/>
      <c r="F39" s="15"/>
      <c r="G39" s="15"/>
      <c r="H39" s="15"/>
      <c r="I39" s="15"/>
      <c r="J39" s="15"/>
    </row>
    <row r="40" customFormat="false" ht="16.5" hidden="false" customHeight="true" outlineLevel="0" collapsed="false">
      <c r="A40" s="1" t="s">
        <v>822</v>
      </c>
      <c r="B40" s="7" t="s">
        <v>823</v>
      </c>
      <c r="C40" s="7" t="s">
        <v>79</v>
      </c>
      <c r="E40" s="25" t="n">
        <f aca="false">1-SRC_MM!$E$24/SRC_MM!$E$8</f>
        <v>0.178540485361104</v>
      </c>
      <c r="J40" s="7" t="s">
        <v>824</v>
      </c>
    </row>
    <row r="41" customFormat="false" ht="16.5" hidden="false" customHeight="true" outlineLevel="0" collapsed="false">
      <c r="A41" s="1" t="s">
        <v>825</v>
      </c>
      <c r="B41" s="7" t="s">
        <v>826</v>
      </c>
      <c r="C41" s="1" t="s">
        <v>41</v>
      </c>
      <c r="E41" s="18" t="n">
        <f aca="false">-SRC_MM!$E$39*2</f>
        <v>-586.062</v>
      </c>
    </row>
    <row r="42" customFormat="false" ht="16.5" hidden="false" customHeight="true" outlineLevel="0" collapsed="false">
      <c r="A42" s="1" t="s">
        <v>827</v>
      </c>
      <c r="B42" s="7" t="s">
        <v>828</v>
      </c>
      <c r="C42" s="1" t="s">
        <v>41</v>
      </c>
      <c r="E42" s="18" t="n">
        <f aca="false">-SRC_MM!$E$70</f>
        <v>-710</v>
      </c>
      <c r="F42" s="18" t="n">
        <f aca="false">-SRC_MM!$E$71</f>
        <v>-917</v>
      </c>
      <c r="G42" s="18" t="n">
        <f aca="false">-SRC_MM!$E$72</f>
        <v>-539</v>
      </c>
      <c r="J42" s="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829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830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831</v>
      </c>
      <c r="B7" s="7" t="s">
        <v>832</v>
      </c>
      <c r="C7" s="1" t="s">
        <v>641</v>
      </c>
      <c r="D7" s="26" t="n">
        <f aca="false">Compute!$D$31</f>
        <v>20.6052583333333</v>
      </c>
      <c r="E7" s="26" t="n">
        <f aca="false">Compute!$E$31</f>
        <v>70.0540749930606</v>
      </c>
      <c r="F7" s="26" t="n">
        <f aca="false">Compute!$F$31</f>
        <v>115.812894811684</v>
      </c>
      <c r="G7" s="26" t="n">
        <f aca="false">Compute!$G$31</f>
        <v>162.278597768817</v>
      </c>
      <c r="H7" s="26" t="n">
        <f aca="false">Compute!$H$31</f>
        <v>207.381510495979</v>
      </c>
      <c r="I7" s="26" t="n">
        <f aca="false">Compute!$I$31</f>
        <v>248.301072816345</v>
      </c>
      <c r="J7" s="7" t="s">
        <v>833</v>
      </c>
    </row>
    <row r="8" customFormat="false" ht="16.5" hidden="false" customHeight="true" outlineLevel="0" collapsed="false">
      <c r="A8" s="1" t="s">
        <v>834</v>
      </c>
      <c r="B8" s="7" t="s">
        <v>835</v>
      </c>
      <c r="C8" s="1" t="s">
        <v>399</v>
      </c>
      <c r="D8" s="26" t="n">
        <f aca="false">Compute!$D$7*TK_Link!$F$11+Compute!$D$8*TK_Link!$F$12</f>
        <v>9.70308728611469</v>
      </c>
      <c r="E8" s="26" t="n">
        <f aca="false">Compute!$E$7*TK_Link!$F$11+Compute!$E$8*TK_Link!$F$12</f>
        <v>9.57184902809263</v>
      </c>
      <c r="F8" s="26" t="n">
        <f aca="false">Compute!$F$7*TK_Link!$F$11+Compute!$F$8*TK_Link!$F$12</f>
        <v>9.39686468406321</v>
      </c>
      <c r="G8" s="26" t="n">
        <f aca="false">Compute!$G$7*TK_Link!$F$11+Compute!$G$8*TK_Link!$F$12</f>
        <v>9.2218803400338</v>
      </c>
      <c r="H8" s="26" t="n">
        <f aca="false">Compute!$H$7*TK_Link!$F$11+Compute!$H$8*TK_Link!$F$12</f>
        <v>9.09064208201173</v>
      </c>
      <c r="I8" s="26" t="n">
        <f aca="false">Compute!$I$7*TK_Link!$F$11+Compute!$I$8*TK_Link!$F$12</f>
        <v>9.00314990999703</v>
      </c>
      <c r="J8" s="1" t="s">
        <v>836</v>
      </c>
    </row>
    <row r="9" customFormat="false" ht="16.5" hidden="false" customHeight="true" outlineLevel="0" collapsed="false">
      <c r="A9" s="1" t="s">
        <v>837</v>
      </c>
      <c r="B9" s="7" t="s">
        <v>838</v>
      </c>
      <c r="C9" s="1" t="s">
        <v>41</v>
      </c>
      <c r="D9" s="31" t="n">
        <f aca="false">D7*D8</f>
        <v>199.934620161275</v>
      </c>
      <c r="E9" s="31" t="n">
        <f aca="false">E7*E8</f>
        <v>670.547029636256</v>
      </c>
      <c r="F9" s="31" t="n">
        <f aca="false">F7*F8</f>
        <v>1088.27810121504</v>
      </c>
      <c r="G9" s="31" t="n">
        <f aca="false">G7*G8</f>
        <v>1496.51381037251</v>
      </c>
      <c r="H9" s="31" t="n">
        <f aca="false">H7*H8</f>
        <v>1885.2310863459</v>
      </c>
      <c r="I9" s="31" t="n">
        <f aca="false">I7*I8</f>
        <v>2235.49178137864</v>
      </c>
      <c r="J9" s="7" t="s">
        <v>839</v>
      </c>
    </row>
    <row r="10" customFormat="false" ht="15" hidden="false" customHeight="true" outlineLevel="0" collapsed="false">
      <c r="A10" s="1" t="s">
        <v>840</v>
      </c>
      <c r="B10" s="7" t="s">
        <v>575</v>
      </c>
      <c r="C10" s="1" t="s">
        <v>41</v>
      </c>
      <c r="D10" s="18" t="n">
        <f aca="false">Revenue!$D$17</f>
        <v>79.1</v>
      </c>
      <c r="E10" s="18" t="n">
        <f aca="false">Revenue!$E$17</f>
        <v>465.49</v>
      </c>
      <c r="F10" s="18" t="n">
        <f aca="false">Revenue!$F$17</f>
        <v>866.49</v>
      </c>
      <c r="G10" s="18" t="n">
        <f aca="false">Revenue!$G$17</f>
        <v>1279.12725</v>
      </c>
      <c r="H10" s="18" t="n">
        <f aca="false">Revenue!$H$17</f>
        <v>1631.7187875</v>
      </c>
      <c r="I10" s="18" t="n">
        <f aca="false">Revenue!$I$17</f>
        <v>1944.063729</v>
      </c>
    </row>
    <row r="11" customFormat="false" ht="16.5" hidden="false" customHeight="true" outlineLevel="0" collapsed="false">
      <c r="A11" s="22" t="s">
        <v>841</v>
      </c>
      <c r="B11" s="23" t="s">
        <v>842</v>
      </c>
      <c r="C11" s="23" t="s">
        <v>170</v>
      </c>
      <c r="D11" s="33" t="n">
        <f aca="false">D10/D9</f>
        <v>0.395629330909248</v>
      </c>
      <c r="E11" s="33" t="n">
        <f aca="false">E10/E9</f>
        <v>0.694194410573274</v>
      </c>
      <c r="F11" s="33" t="n">
        <f aca="false">F10/F9</f>
        <v>0.79620273442292</v>
      </c>
      <c r="G11" s="33" t="n">
        <f aca="false">G10/G9</f>
        <v>0.854738019211199</v>
      </c>
      <c r="H11" s="33" t="n">
        <f aca="false">H10/H9</f>
        <v>0.865527202112247</v>
      </c>
      <c r="I11" s="33" t="n">
        <f aca="false">I10/I9</f>
        <v>0.869635820267289</v>
      </c>
      <c r="J11" s="7" t="s">
        <v>843</v>
      </c>
    </row>
    <row r="12" customFormat="false" ht="16.5" hidden="false" customHeight="true" outlineLevel="0" collapsed="false">
      <c r="A12" s="1" t="s">
        <v>844</v>
      </c>
      <c r="B12" s="7" t="s">
        <v>845</v>
      </c>
      <c r="C12" s="7" t="s">
        <v>170</v>
      </c>
      <c r="D12" s="20" t="n">
        <f aca="false">D11/D11</f>
        <v>1</v>
      </c>
      <c r="E12" s="20" t="n">
        <f aca="false">E11/D11</f>
        <v>1.75465860677684</v>
      </c>
      <c r="F12" s="20" t="n">
        <f aca="false">F11/D11</f>
        <v>2.01249672918098</v>
      </c>
      <c r="G12" s="20" t="n">
        <f aca="false">G11/D11</f>
        <v>2.16045159555489</v>
      </c>
      <c r="H12" s="20" t="n">
        <f aca="false">H11/D11</f>
        <v>2.18772253342052</v>
      </c>
      <c r="I12" s="20" t="n">
        <f aca="false">I11/D11</f>
        <v>2.19810755251302</v>
      </c>
      <c r="J12" s="7" t="s">
        <v>846</v>
      </c>
    </row>
    <row r="13" customFormat="false" ht="16.5" hidden="false" customHeight="true" outlineLevel="0" collapsed="false">
      <c r="A13" s="1" t="s">
        <v>847</v>
      </c>
      <c r="B13" s="7" t="s">
        <v>848</v>
      </c>
      <c r="D13" s="1" t="str">
        <f aca="false">"FY2025 比值 "&amp;TEXT(D11,"0.00")&amp;"、FY2026 "&amp;TEXT(E11,"0.00")&amp;"、FY2030 "&amp;TEXT(I11,"0.00")&amp;"：FY2030 相對 FY2025 "&amp;IF(I11&gt;D11,"上升","下降")&amp;"，最低點 "&amp;TEXT(MIN(D11,E11,F11,G11,H11,I11),"0.00")&amp;"；比值低於 1 表示營收不足以覆蓋持有成本。"</f>
        <v>FY2025 比值 0.40、FY2026 0.69、FY2030 0.87：FY2030 相對 FY2025 上升，最低點 0.40；比值低於 1 表示營收不足以覆蓋持有成本。</v>
      </c>
      <c r="J13" s="7" t="s">
        <v>849</v>
      </c>
    </row>
    <row r="14" customFormat="false" ht="16.5" hidden="false" customHeight="true" outlineLevel="0" collapsed="false">
      <c r="A14" s="14" t="s">
        <v>850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6.5" hidden="false" customHeight="true" outlineLevel="0" collapsed="false">
      <c r="A15" s="1" t="s">
        <v>851</v>
      </c>
      <c r="B15" s="1" t="s">
        <v>852</v>
      </c>
      <c r="C15" s="1" t="s">
        <v>853</v>
      </c>
      <c r="D15" s="28" t="n">
        <f aca="false">Demand!$D$10*10^6</f>
        <v>65000000</v>
      </c>
      <c r="E15" s="28" t="n">
        <f aca="false">Demand!$E$10*10^6</f>
        <v>1788995215.311</v>
      </c>
      <c r="F15" s="28" t="n">
        <f aca="false">Demand!$F$10*10^6</f>
        <v>5366985645.93302</v>
      </c>
      <c r="G15" s="28" t="n">
        <f aca="false">Demand!$G$10*10^6</f>
        <v>10733971291.866</v>
      </c>
      <c r="H15" s="28" t="n">
        <f aca="false">Demand!$H$10*10^6</f>
        <v>17174354066.9857</v>
      </c>
      <c r="I15" s="28" t="n">
        <f aca="false">Demand!$I$10*10^6</f>
        <v>24044095693.7799</v>
      </c>
      <c r="J15" s="1" t="s">
        <v>854</v>
      </c>
    </row>
    <row r="16" customFormat="false" ht="16.5" hidden="false" customHeight="true" outlineLevel="0" collapsed="false">
      <c r="A16" s="1" t="s">
        <v>855</v>
      </c>
      <c r="B16" s="1" t="s">
        <v>856</v>
      </c>
      <c r="C16" s="1" t="s">
        <v>857</v>
      </c>
      <c r="D16" s="16" t="n">
        <f aca="false">Demand!$D$7</f>
        <v>0.4</v>
      </c>
      <c r="E16" s="16" t="n">
        <f aca="false">Demand!$E$7</f>
        <v>0.209</v>
      </c>
      <c r="F16" s="16" t="n">
        <f aca="false">Demand!$F$7</f>
        <v>0.13585</v>
      </c>
      <c r="G16" s="16" t="n">
        <f aca="false">Demand!$G$7</f>
        <v>0.1018875</v>
      </c>
      <c r="H16" s="16" t="n">
        <f aca="false">Demand!$H$7</f>
        <v>0.08151</v>
      </c>
      <c r="I16" s="16" t="n">
        <f aca="false">Demand!$I$7</f>
        <v>0.0692835</v>
      </c>
      <c r="J16" s="7" t="s">
        <v>858</v>
      </c>
    </row>
    <row r="17" customFormat="false" ht="16.5" hidden="false" customHeight="true" outlineLevel="0" collapsed="false">
      <c r="A17" s="1" t="s">
        <v>859</v>
      </c>
      <c r="B17" s="1" t="s">
        <v>860</v>
      </c>
      <c r="C17" s="1" t="s">
        <v>41</v>
      </c>
      <c r="D17" s="31" t="n">
        <f aca="false">D15*D16/10^6</f>
        <v>26</v>
      </c>
      <c r="E17" s="31" t="n">
        <f aca="false">E15*E16/10^6</f>
        <v>373.9</v>
      </c>
      <c r="F17" s="31" t="n">
        <f aca="false">F15*F16/10^6</f>
        <v>729.105</v>
      </c>
      <c r="G17" s="31" t="n">
        <f aca="false">G15*G16/10^6</f>
        <v>1093.6575</v>
      </c>
      <c r="H17" s="31" t="n">
        <f aca="false">H15*H16/10^6</f>
        <v>1399.8816</v>
      </c>
      <c r="I17" s="31" t="n">
        <f aca="false">I15*I16/10^6</f>
        <v>1665.859104</v>
      </c>
      <c r="J17" s="7" t="s">
        <v>861</v>
      </c>
    </row>
    <row r="18" customFormat="false" ht="16.5" hidden="false" customHeight="true" outlineLevel="0" collapsed="false">
      <c r="A18" s="1" t="s">
        <v>862</v>
      </c>
      <c r="B18" s="7" t="s">
        <v>863</v>
      </c>
      <c r="C18" s="7" t="s">
        <v>170</v>
      </c>
      <c r="D18" s="20" t="n">
        <f aca="false">D10/D17</f>
        <v>3.04230769230769</v>
      </c>
      <c r="E18" s="20" t="n">
        <f aca="false">E10/E17</f>
        <v>1.24495854506553</v>
      </c>
      <c r="F18" s="20" t="n">
        <f aca="false">F10/F17</f>
        <v>1.1884296500504</v>
      </c>
      <c r="G18" s="20" t="n">
        <f aca="false">G10/G17</f>
        <v>1.16958668504536</v>
      </c>
      <c r="H18" s="20" t="n">
        <f aca="false">H10/H17</f>
        <v>1.16561199711461</v>
      </c>
      <c r="I18" s="20" t="n">
        <f aca="false">I10/I17</f>
        <v>1.16700369456936</v>
      </c>
      <c r="J18" s="7" t="s">
        <v>864</v>
      </c>
    </row>
    <row r="19" customFormat="false" ht="16.5" hidden="false" customHeight="true" outlineLevel="0" collapsed="false">
      <c r="A19" s="1" t="s">
        <v>865</v>
      </c>
      <c r="B19" s="7" t="s">
        <v>866</v>
      </c>
      <c r="C19" s="7" t="s">
        <v>170</v>
      </c>
      <c r="D19" s="20" t="n">
        <f aca="false">D9/D17</f>
        <v>7.68979308312598</v>
      </c>
      <c r="E19" s="20" t="n">
        <f aca="false">E9/E17</f>
        <v>1.79338601132992</v>
      </c>
      <c r="F19" s="20" t="n">
        <f aca="false">F9/F17</f>
        <v>1.492621914834</v>
      </c>
      <c r="G19" s="20" t="n">
        <f aca="false">G9/G17</f>
        <v>1.36835692195455</v>
      </c>
      <c r="H19" s="20" t="n">
        <f aca="false">H9/H17</f>
        <v>1.34670752608356</v>
      </c>
      <c r="I19" s="20" t="n">
        <f aca="false">I9/I17</f>
        <v>1.3419452917782</v>
      </c>
    </row>
    <row r="20" customFormat="false" ht="16.5" hidden="false" customHeight="true" outlineLevel="0" collapsed="false">
      <c r="A20" s="1" t="s">
        <v>867</v>
      </c>
      <c r="B20" s="7" t="s">
        <v>868</v>
      </c>
      <c r="C20" s="7" t="s">
        <v>170</v>
      </c>
      <c r="D20" s="20" t="n">
        <f aca="false">D18/D19</f>
        <v>0.395629330909248</v>
      </c>
      <c r="E20" s="20" t="n">
        <f aca="false">E18/E19</f>
        <v>0.694194410573274</v>
      </c>
      <c r="F20" s="20" t="n">
        <f aca="false">F18/F19</f>
        <v>0.79620273442292</v>
      </c>
      <c r="G20" s="20" t="n">
        <f aca="false">G18/G19</f>
        <v>0.854738019211199</v>
      </c>
      <c r="H20" s="20" t="n">
        <f aca="false">H18/H19</f>
        <v>0.865527202112246</v>
      </c>
      <c r="I20" s="20" t="n">
        <f aca="false">I18/I19</f>
        <v>0.869635820267289</v>
      </c>
      <c r="J20" s="1" t="s">
        <v>869</v>
      </c>
    </row>
    <row r="21" customFormat="false" ht="15" hidden="false" customHeight="true" outlineLevel="0" collapsed="false">
      <c r="A21" s="14" t="s">
        <v>870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6.5" hidden="false" customHeight="true" outlineLevel="0" collapsed="false">
      <c r="A22" s="1" t="s">
        <v>871</v>
      </c>
      <c r="B22" s="7" t="s">
        <v>872</v>
      </c>
      <c r="C22" s="7" t="s">
        <v>170</v>
      </c>
      <c r="D22" s="21" t="n">
        <f aca="false">Revenue!$D$7/(Compute!$D$20*D8)</f>
        <v>4.49063101924365</v>
      </c>
      <c r="E22" s="21" t="n">
        <f aca="false">Revenue!$E$7/(Compute!$E$20*E8)</f>
        <v>2.09854911461712</v>
      </c>
      <c r="F22" s="21" t="n">
        <f aca="false">Revenue!$F$7/(Compute!$F$20*F8)</f>
        <v>2.94885579360038</v>
      </c>
      <c r="G22" s="21" t="n">
        <f aca="false">Revenue!$G$7/(Compute!$G$20*G8)</f>
        <v>3.90148023487877</v>
      </c>
      <c r="H22" s="21" t="n">
        <f aca="false">Revenue!$H$7/(Compute!$H$20*H8)</f>
        <v>4.88060907137968</v>
      </c>
      <c r="I22" s="21" t="n">
        <f aca="false">Revenue!$I$7/(Compute!$I$20*I8)</f>
        <v>6.02008170098168</v>
      </c>
      <c r="J22" s="7" t="s">
        <v>873</v>
      </c>
    </row>
    <row r="23" customFormat="false" ht="16.5" hidden="false" customHeight="true" outlineLevel="0" collapsed="false">
      <c r="A23" s="1" t="s">
        <v>874</v>
      </c>
      <c r="B23" s="7" t="s">
        <v>875</v>
      </c>
      <c r="C23" s="7" t="s">
        <v>170</v>
      </c>
      <c r="D23" s="21" t="n">
        <f aca="false">Revenue!$D$9/(Compute!$D$24*D8)</f>
        <v>1.43063088797291</v>
      </c>
      <c r="E23" s="21" t="n">
        <f aca="false">Revenue!$E$9/(Compute!$E$24*E8)</f>
        <v>1.47491326047761</v>
      </c>
      <c r="F23" s="21" t="n">
        <f aca="false">Revenue!$F$9/(Compute!$F$24*F8)</f>
        <v>1.70269558389358</v>
      </c>
      <c r="G23" s="21" t="n">
        <f aca="false">Revenue!$G$9/(Compute!$G$24*G8)</f>
        <v>1.91360743935491</v>
      </c>
      <c r="H23" s="21" t="n">
        <f aca="false">Revenue!$H$9/(Compute!$H$24*H8)</f>
        <v>2.12909479166231</v>
      </c>
      <c r="I23" s="21" t="n">
        <f aca="false">Revenue!$I$9/(Compute!$I$24*I8)</f>
        <v>2.423394260486</v>
      </c>
    </row>
    <row r="24" customFormat="false" ht="16.5" hidden="false" customHeight="true" outlineLevel="0" collapsed="false">
      <c r="A24" s="1" t="s">
        <v>876</v>
      </c>
      <c r="B24" s="7" t="s">
        <v>877</v>
      </c>
      <c r="C24" s="7" t="s">
        <v>79</v>
      </c>
      <c r="D24" s="25" t="n">
        <f aca="false">Compute!$D$28/Compute!$D$31</f>
        <v>0.78539822561474</v>
      </c>
      <c r="E24" s="25" t="n">
        <f aca="false">Compute!$E$28/Compute!$E$31</f>
        <v>0.641681681916713</v>
      </c>
      <c r="F24" s="25" t="n">
        <f aca="false">Compute!$F$28/Compute!$F$31</f>
        <v>0.698664428788949</v>
      </c>
      <c r="G24" s="25" t="n">
        <f aca="false">Compute!$G$28/Compute!$G$31</f>
        <v>0.747920715785987</v>
      </c>
      <c r="H24" s="25" t="n">
        <f aca="false">Compute!$H$28/Compute!$H$31</f>
        <v>0.790097238457414</v>
      </c>
      <c r="I24" s="25" t="n">
        <f aca="false">Compute!$I$28/Compute!$I$31</f>
        <v>0.824863324650192</v>
      </c>
      <c r="J24" s="7" t="s">
        <v>878</v>
      </c>
    </row>
    <row r="25" customFormat="false" ht="16.5" hidden="false" customHeight="true" outlineLevel="0" collapsed="false">
      <c r="A25" s="14" t="s">
        <v>879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16.5" hidden="false" customHeight="true" outlineLevel="0" collapsed="false">
      <c r="A26" s="1" t="s">
        <v>880</v>
      </c>
      <c r="B26" s="7" t="s">
        <v>881</v>
      </c>
      <c r="C26" s="1" t="s">
        <v>641</v>
      </c>
      <c r="E26" s="19" t="n">
        <f aca="false">E10/(E8*D11)</f>
        <v>122.920985626364</v>
      </c>
      <c r="F26" s="19" t="n">
        <f aca="false">F10/(F8*D11)</f>
        <v>233.073072005495</v>
      </c>
      <c r="G26" s="19" t="n">
        <f aca="false">G10/(G8*D11)</f>
        <v>350.595055474052</v>
      </c>
      <c r="H26" s="19" t="n">
        <f aca="false">H10/(H8*D11)</f>
        <v>453.693203526838</v>
      </c>
      <c r="I26" s="19" t="n">
        <f aca="false">I10/(I8*D11)</f>
        <v>545.792463454693</v>
      </c>
      <c r="J26" s="1" t="s">
        <v>882</v>
      </c>
    </row>
    <row r="27" customFormat="false" ht="16.5" hidden="false" customHeight="true" outlineLevel="0" collapsed="false">
      <c r="A27" s="1" t="s">
        <v>883</v>
      </c>
      <c r="B27" s="7" t="s">
        <v>884</v>
      </c>
      <c r="C27" s="7" t="s">
        <v>170</v>
      </c>
      <c r="E27" s="20" t="n">
        <f aca="false">E7/E26</f>
        <v>0.569911432422126</v>
      </c>
      <c r="F27" s="20" t="n">
        <f aca="false">F7/F26</f>
        <v>0.496895217517679</v>
      </c>
      <c r="G27" s="20" t="n">
        <f aca="false">G7/G26</f>
        <v>0.462866190595286</v>
      </c>
      <c r="H27" s="20" t="n">
        <f aca="false">H7/H26</f>
        <v>0.457096356929912</v>
      </c>
      <c r="I27" s="20" t="n">
        <f aca="false">I7/I26</f>
        <v>0.454936792722784</v>
      </c>
      <c r="J27" s="7" t="s">
        <v>885</v>
      </c>
    </row>
    <row r="28" customFormat="false" ht="16.5" hidden="false" customHeight="true" outlineLevel="0" collapsed="false">
      <c r="A28" s="14" t="s">
        <v>886</v>
      </c>
      <c r="B28" s="15"/>
      <c r="C28" s="15"/>
      <c r="D28" s="15"/>
      <c r="E28" s="15"/>
      <c r="F28" s="15"/>
      <c r="G28" s="15"/>
      <c r="H28" s="15"/>
      <c r="I28" s="15"/>
      <c r="J28" s="15"/>
    </row>
    <row r="29" customFormat="false" ht="16.5" hidden="false" customHeight="true" outlineLevel="0" collapsed="false">
      <c r="A29" s="1" t="s">
        <v>887</v>
      </c>
      <c r="B29" s="1" t="s">
        <v>888</v>
      </c>
      <c r="C29" s="7" t="s">
        <v>79</v>
      </c>
      <c r="E29" s="25" t="n">
        <f aca="false">Inputs!$D$33</f>
        <v>0.5</v>
      </c>
      <c r="J29" s="1" t="s">
        <v>889</v>
      </c>
    </row>
    <row r="30" customFormat="false" ht="16.5" hidden="false" customHeight="true" outlineLevel="0" collapsed="false">
      <c r="A30" s="1" t="s">
        <v>890</v>
      </c>
      <c r="B30" s="7" t="s">
        <v>891</v>
      </c>
      <c r="C30" s="7" t="s">
        <v>170</v>
      </c>
      <c r="E30" s="21" t="n">
        <f aca="false">1/(1-Inputs!$D$33)</f>
        <v>2</v>
      </c>
      <c r="J30" s="7" t="s">
        <v>892</v>
      </c>
    </row>
    <row r="31" customFormat="false" ht="16.5" hidden="false" customHeight="true" outlineLevel="0" collapsed="false">
      <c r="A31" s="1" t="s">
        <v>893</v>
      </c>
      <c r="B31" s="1" t="s">
        <v>894</v>
      </c>
      <c r="C31" s="7" t="s">
        <v>79</v>
      </c>
      <c r="E31" s="25" t="n">
        <f aca="false">Inputs!$D$33*Inputs!$D$34</f>
        <v>0.1</v>
      </c>
      <c r="J31" s="1" t="s">
        <v>895</v>
      </c>
    </row>
    <row r="32" customFormat="false" ht="16.5" hidden="false" customHeight="true" outlineLevel="0" collapsed="false">
      <c r="A32" s="1" t="s">
        <v>896</v>
      </c>
      <c r="B32" s="1" t="s">
        <v>897</v>
      </c>
      <c r="C32" s="7" t="s">
        <v>170</v>
      </c>
      <c r="E32" s="20" t="n">
        <f aca="false">1/(1-E31)</f>
        <v>1.11111111111111</v>
      </c>
    </row>
    <row r="33" customFormat="false" ht="16.5" hidden="false" customHeight="true" outlineLevel="0" collapsed="false">
      <c r="A33" s="1" t="s">
        <v>898</v>
      </c>
      <c r="B33" s="1" t="s">
        <v>899</v>
      </c>
      <c r="C33" s="7" t="s">
        <v>79</v>
      </c>
      <c r="E33" s="25" t="n">
        <f aca="false">1-Demand!$E$7/Inputs!$E$12</f>
        <v>0.05</v>
      </c>
      <c r="J33" s="7" t="s">
        <v>900</v>
      </c>
    </row>
    <row r="34" customFormat="false" ht="15" hidden="false" customHeight="true" outlineLevel="0" collapsed="false">
      <c r="A34" s="14" t="s">
        <v>901</v>
      </c>
      <c r="B34" s="15"/>
      <c r="C34" s="15"/>
      <c r="D34" s="15"/>
      <c r="E34" s="15"/>
      <c r="F34" s="15"/>
      <c r="G34" s="15"/>
      <c r="H34" s="15"/>
      <c r="I34" s="15"/>
      <c r="J34" s="15"/>
    </row>
    <row r="35" customFormat="false" ht="16.5" hidden="false" customHeight="true" outlineLevel="0" collapsed="false">
      <c r="A35" s="1" t="s">
        <v>902</v>
      </c>
      <c r="B35" s="7" t="s">
        <v>903</v>
      </c>
      <c r="C35" s="7" t="s">
        <v>170</v>
      </c>
      <c r="D35" s="21" t="n">
        <f aca="false">Inputs!$D$7/D8</f>
        <v>1.2367197826997</v>
      </c>
      <c r="E35" s="21" t="n">
        <f aca="false">Inputs!$D$7/E8</f>
        <v>1.25367627140597</v>
      </c>
      <c r="F35" s="21" t="n">
        <f aca="false">Inputs!$D$7/F8</f>
        <v>1.27702168792019</v>
      </c>
      <c r="G35" s="21" t="n">
        <f aca="false">Inputs!$D$7/G8</f>
        <v>1.30125305876134</v>
      </c>
      <c r="H35" s="21" t="n">
        <f aca="false">Inputs!$D$7/H8</f>
        <v>1.32003877083063</v>
      </c>
      <c r="I35" s="21" t="n">
        <f aca="false">Inputs!$D$7/I8</f>
        <v>1.3328668432673</v>
      </c>
      <c r="J35" s="7" t="s">
        <v>904</v>
      </c>
    </row>
    <row r="36" customFormat="false" ht="16.5" hidden="false" customHeight="true" outlineLevel="0" collapsed="false">
      <c r="A36" s="1" t="s">
        <v>905</v>
      </c>
      <c r="B36" s="7" t="s">
        <v>906</v>
      </c>
      <c r="C36" s="7" t="s">
        <v>170</v>
      </c>
      <c r="D36" s="21" t="n">
        <f aca="false">PnL!$D$29/D8</f>
        <v>0.395629330909248</v>
      </c>
      <c r="E36" s="21" t="n">
        <f aca="false">PnL!$E$29/E8</f>
        <v>0.694194410573274</v>
      </c>
      <c r="F36" s="21" t="n">
        <f aca="false">PnL!$F$29/F8</f>
        <v>0.79620273442292</v>
      </c>
      <c r="G36" s="21" t="n">
        <f aca="false">PnL!$G$29/G8</f>
        <v>0.854738019211199</v>
      </c>
      <c r="H36" s="21" t="n">
        <f aca="false">PnL!$H$29/H8</f>
        <v>0.865527202112247</v>
      </c>
      <c r="I36" s="21" t="n">
        <f aca="false">PnL!$I$29/I8</f>
        <v>0.869635820267289</v>
      </c>
    </row>
    <row r="37" customFormat="false" ht="16.5" hidden="false" customHeight="true" outlineLevel="0" collapsed="false">
      <c r="A37" s="14" t="s">
        <v>907</v>
      </c>
      <c r="B37" s="15"/>
      <c r="C37" s="15"/>
      <c r="D37" s="15"/>
      <c r="E37" s="15"/>
      <c r="F37" s="15"/>
      <c r="G37" s="15"/>
      <c r="H37" s="15"/>
      <c r="I37" s="15"/>
      <c r="J37" s="15"/>
    </row>
    <row r="38" customFormat="false" ht="16.5" hidden="false" customHeight="true" outlineLevel="0" collapsed="false">
      <c r="A38" s="1" t="s">
        <v>908</v>
      </c>
      <c r="B38" s="7" t="s">
        <v>909</v>
      </c>
      <c r="C38" s="7" t="s">
        <v>170</v>
      </c>
      <c r="D38" s="21" t="n">
        <f aca="false">Revenue!$D$17/Compute!$D$37</f>
        <v>0.319902160896632</v>
      </c>
      <c r="E38" s="21" t="n">
        <f aca="false">Revenue!$E$17/Compute!$E$37</f>
        <v>0.553727007846094</v>
      </c>
      <c r="F38" s="21" t="n">
        <f aca="false">Revenue!$F$17/Compute!$F$37</f>
        <v>0.623484113037775</v>
      </c>
      <c r="G38" s="21" t="n">
        <f aca="false">Revenue!$G$17/Compute!$G$37</f>
        <v>0.656857644603599</v>
      </c>
      <c r="H38" s="21" t="n">
        <f aca="false">Revenue!$H$17/Compute!$H$37</f>
        <v>0.655683167220622</v>
      </c>
      <c r="I38" s="21" t="n">
        <f aca="false">Revenue!$I$17/Compute!$I$37</f>
        <v>0.652455138080803</v>
      </c>
      <c r="J38" s="7" t="s">
        <v>910</v>
      </c>
    </row>
    <row r="39" customFormat="false" ht="16.5" hidden="false" customHeight="true" outlineLevel="0" collapsed="false">
      <c r="A39" s="1" t="s">
        <v>911</v>
      </c>
      <c r="B39" s="7" t="s">
        <v>912</v>
      </c>
      <c r="C39" s="7" t="s">
        <v>170</v>
      </c>
      <c r="D39" s="35" t="n">
        <f aca="false">D38*D35-D11</f>
        <v>0</v>
      </c>
      <c r="E39" s="35" t="n">
        <f aca="false">E38*E35-E11</f>
        <v>0</v>
      </c>
      <c r="F39" s="35" t="n">
        <f aca="false">F38*F35-F11</f>
        <v>0</v>
      </c>
      <c r="G39" s="35" t="n">
        <f aca="false">G38*G35-G11</f>
        <v>0</v>
      </c>
      <c r="H39" s="35" t="n">
        <f aca="false">H38*H35-H11</f>
        <v>0</v>
      </c>
      <c r="I39" s="35" t="n">
        <f aca="false">I38*I35-I11</f>
        <v>0</v>
      </c>
      <c r="J39" s="1" t="s">
        <v>913</v>
      </c>
    </row>
    <row r="40" customFormat="false" ht="16.5" hidden="false" customHeight="true" outlineLevel="0" collapsed="false">
      <c r="A40" s="1" t="s">
        <v>914</v>
      </c>
      <c r="B40" s="7" t="s">
        <v>915</v>
      </c>
      <c r="C40" s="1" t="s">
        <v>399</v>
      </c>
      <c r="D40" s="26" t="n">
        <f aca="false">Inputs!$D$7/D11</f>
        <v>30.3314215162491</v>
      </c>
      <c r="E40" s="26" t="n">
        <f aca="false">Inputs!$D$7/E11</f>
        <v>17.2862238837248</v>
      </c>
      <c r="F40" s="26" t="n">
        <f aca="false">Inputs!$D$7/F11</f>
        <v>15.071538291937</v>
      </c>
      <c r="G40" s="26" t="n">
        <f aca="false">Inputs!$D$7/G11</f>
        <v>14.0393895325661</v>
      </c>
      <c r="H40" s="26" t="n">
        <f aca="false">Inputs!$D$7/H11</f>
        <v>13.864382275583</v>
      </c>
      <c r="I40" s="26" t="n">
        <f aca="false">Inputs!$D$7/I11</f>
        <v>13.7988796233252</v>
      </c>
      <c r="J40" s="7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917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918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true" outlineLevel="0" collapsed="false">
      <c r="A7" s="1" t="s">
        <v>919</v>
      </c>
      <c r="B7" s="7" t="s">
        <v>920</v>
      </c>
      <c r="C7" s="1" t="s">
        <v>41</v>
      </c>
      <c r="E7" s="18" t="n">
        <f aca="false">SRC_MM!$E$44</f>
        <v>1050.3</v>
      </c>
      <c r="F7" s="31" t="n">
        <f aca="false">E19</f>
        <v>2969.28312248439</v>
      </c>
      <c r="G7" s="31" t="n">
        <f aca="false">F19</f>
        <v>1307.30273374749</v>
      </c>
      <c r="H7" s="31" t="n">
        <f aca="false">G19</f>
        <v>300</v>
      </c>
      <c r="I7" s="31" t="n">
        <f aca="false">H19</f>
        <v>300</v>
      </c>
    </row>
    <row r="8" customFormat="false" ht="16.5" hidden="false" customHeight="true" outlineLevel="0" collapsed="false">
      <c r="A8" s="1" t="s">
        <v>921</v>
      </c>
      <c r="B8" s="1" t="s">
        <v>922</v>
      </c>
      <c r="C8" s="1" t="s">
        <v>41</v>
      </c>
      <c r="D8" s="31" t="n">
        <v>0</v>
      </c>
      <c r="E8" s="18" t="n">
        <f aca="false">SRC_MM!$E$46/Inputs!$D$6</f>
        <v>680.385604113111</v>
      </c>
      <c r="F8" s="31" t="n">
        <v>0</v>
      </c>
      <c r="G8" s="31" t="n">
        <v>0</v>
      </c>
      <c r="H8" s="31" t="n">
        <v>0</v>
      </c>
      <c r="I8" s="31" t="n">
        <v>0</v>
      </c>
      <c r="J8" s="1" t="s">
        <v>923</v>
      </c>
    </row>
    <row r="9" customFormat="false" ht="16.5" hidden="false" customHeight="true" outlineLevel="0" collapsed="false">
      <c r="A9" s="1" t="s">
        <v>924</v>
      </c>
      <c r="B9" s="7" t="s">
        <v>925</v>
      </c>
      <c r="C9" s="1" t="s">
        <v>41</v>
      </c>
      <c r="D9" s="31" t="n">
        <v>0</v>
      </c>
      <c r="E9" s="18" t="n">
        <f aca="false">SRC_MM!$E$47/Inputs!$D$6</f>
        <v>1213.84318766067</v>
      </c>
      <c r="F9" s="31" t="n">
        <v>0</v>
      </c>
      <c r="G9" s="31" t="n">
        <v>0</v>
      </c>
      <c r="H9" s="31" t="n">
        <v>0</v>
      </c>
      <c r="I9" s="31" t="n">
        <v>0</v>
      </c>
      <c r="J9" s="1" t="s">
        <v>926</v>
      </c>
    </row>
    <row r="10" customFormat="false" ht="16.5" hidden="false" customHeight="true" outlineLevel="0" collapsed="false">
      <c r="A10" s="1" t="s">
        <v>927</v>
      </c>
      <c r="B10" s="7" t="s">
        <v>928</v>
      </c>
      <c r="C10" s="1" t="s">
        <v>41</v>
      </c>
      <c r="D10" s="31" t="n">
        <v>0</v>
      </c>
      <c r="E10" s="18" t="n">
        <f aca="false">SRC_MM!$E$49/Inputs!$D$6</f>
        <v>826.902313624679</v>
      </c>
      <c r="F10" s="31" t="n">
        <v>0</v>
      </c>
      <c r="G10" s="31" t="n">
        <v>0</v>
      </c>
      <c r="H10" s="31" t="n">
        <v>0</v>
      </c>
      <c r="I10" s="31" t="n">
        <v>0</v>
      </c>
      <c r="J10" s="1" t="s">
        <v>929</v>
      </c>
    </row>
    <row r="11" customFormat="false" ht="16.5" hidden="false" customHeight="true" outlineLevel="0" collapsed="false">
      <c r="A11" s="1" t="s">
        <v>930</v>
      </c>
      <c r="B11" s="7" t="s">
        <v>931</v>
      </c>
      <c r="C11" s="1" t="s">
        <v>41</v>
      </c>
      <c r="D11" s="31" t="n">
        <v>0</v>
      </c>
      <c r="E11" s="18" t="n">
        <f aca="false">SRC_MM!$E$52-SRC_MM!$E$51</f>
        <v>98.103</v>
      </c>
      <c r="F11" s="31" t="n">
        <v>0</v>
      </c>
      <c r="G11" s="31" t="n">
        <v>0</v>
      </c>
      <c r="H11" s="31" t="n">
        <v>0</v>
      </c>
      <c r="I11" s="31" t="n">
        <v>0</v>
      </c>
      <c r="J11" s="1" t="s">
        <v>932</v>
      </c>
    </row>
    <row r="12" customFormat="false" ht="15" hidden="false" customHeight="true" outlineLevel="0" collapsed="false">
      <c r="A12" s="14" t="s">
        <v>933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6.5" hidden="false" customHeight="true" outlineLevel="0" collapsed="false">
      <c r="A13" s="1" t="s">
        <v>934</v>
      </c>
      <c r="B13" s="7" t="s">
        <v>935</v>
      </c>
      <c r="C13" s="1" t="s">
        <v>41</v>
      </c>
      <c r="E13" s="18" t="n">
        <f aca="false">PnL!$E$25</f>
        <v>-578.250982914064</v>
      </c>
      <c r="F13" s="18" t="n">
        <f aca="false">PnL!$F$25</f>
        <v>-826.504810330738</v>
      </c>
      <c r="G13" s="18" t="n">
        <f aca="false">PnL!$G$25</f>
        <v>-1129.86295636398</v>
      </c>
      <c r="H13" s="18" t="n">
        <f aca="false">PnL!$H$25</f>
        <v>-1433.28815754271</v>
      </c>
      <c r="I13" s="18" t="n">
        <f aca="false">PnL!$I$25</f>
        <v>-1693.27864140096</v>
      </c>
      <c r="J13" s="7" t="s">
        <v>936</v>
      </c>
    </row>
    <row r="14" customFormat="false" ht="15" hidden="false" customHeight="true" outlineLevel="0" collapsed="false">
      <c r="A14" s="1" t="s">
        <v>937</v>
      </c>
      <c r="B14" s="7" t="s">
        <v>938</v>
      </c>
      <c r="C14" s="1" t="s">
        <v>41</v>
      </c>
      <c r="E14" s="18" t="n">
        <f aca="false">-Inputs!$E$27</f>
        <v>-322</v>
      </c>
      <c r="F14" s="18" t="n">
        <f aca="false">-Inputs!$F$27</f>
        <v>-0</v>
      </c>
      <c r="G14" s="18" t="n">
        <f aca="false">-Inputs!$G$27</f>
        <v>-0</v>
      </c>
      <c r="H14" s="18" t="n">
        <f aca="false">-Inputs!$H$27</f>
        <v>-0</v>
      </c>
      <c r="I14" s="18" t="n">
        <f aca="false">-Inputs!$I$27</f>
        <v>-0</v>
      </c>
    </row>
    <row r="15" customFormat="false" ht="15" hidden="false" customHeight="true" outlineLevel="0" collapsed="false">
      <c r="A15" s="1" t="s">
        <v>939</v>
      </c>
      <c r="B15" s="7" t="s">
        <v>940</v>
      </c>
      <c r="C15" s="1" t="s">
        <v>41</v>
      </c>
      <c r="E15" s="31" t="n">
        <v>0</v>
      </c>
      <c r="F15" s="18" t="n">
        <f aca="false">-SRC_MM!$E$48/Inputs!$D$6*(1-Inputs!$D$28)</f>
        <v>-835.47557840617</v>
      </c>
      <c r="G15" s="31" t="n">
        <v>0</v>
      </c>
      <c r="H15" s="31" t="n">
        <v>0</v>
      </c>
      <c r="I15" s="31" t="n">
        <v>0</v>
      </c>
    </row>
    <row r="16" customFormat="false" ht="15" hidden="false" customHeight="true" outlineLevel="0" collapsed="false">
      <c r="A16" s="1" t="s">
        <v>941</v>
      </c>
      <c r="B16" s="7" t="s">
        <v>942</v>
      </c>
      <c r="C16" s="1" t="s">
        <v>41</v>
      </c>
      <c r="D16" s="18" t="n">
        <f aca="false">SRC_MM!$E$44</f>
        <v>1050.3</v>
      </c>
      <c r="E16" s="31" t="n">
        <f aca="false">E7+E8+E9+E10+E11+E13+E14+E15</f>
        <v>2969.28312248439</v>
      </c>
      <c r="F16" s="31" t="n">
        <f aca="false">F7+F8+F9+F10+F11+F13+F14+F15</f>
        <v>1307.30273374749</v>
      </c>
      <c r="G16" s="31" t="n">
        <f aca="false">G7+G8+G9+G10+G11+G13+G14+G15</f>
        <v>177.439777383503</v>
      </c>
      <c r="H16" s="31" t="n">
        <f aca="false">H7+H8+H9+H10+H11+H13+H14+H15</f>
        <v>-1133.28815754271</v>
      </c>
      <c r="I16" s="31" t="n">
        <f aca="false">I7+I8+I9+I10+I11+I13+I14+I15</f>
        <v>-1393.27864140096</v>
      </c>
    </row>
    <row r="17" customFormat="false" ht="15" hidden="false" customHeight="true" outlineLevel="0" collapsed="false">
      <c r="A17" s="22" t="s">
        <v>943</v>
      </c>
      <c r="B17" s="23" t="s">
        <v>944</v>
      </c>
      <c r="C17" s="22" t="s">
        <v>41</v>
      </c>
      <c r="D17" s="22"/>
      <c r="E17" s="36" t="n">
        <f aca="false">MAX(0,Inputs!$D$29-E16)</f>
        <v>0</v>
      </c>
      <c r="F17" s="36" t="n">
        <f aca="false">MAX(0,Inputs!$D$29-F16)</f>
        <v>0</v>
      </c>
      <c r="G17" s="36" t="n">
        <f aca="false">MAX(0,Inputs!$D$29-G16)</f>
        <v>122.560222616497</v>
      </c>
      <c r="H17" s="36" t="n">
        <f aca="false">MAX(0,Inputs!$D$29-H16)</f>
        <v>1433.28815754271</v>
      </c>
      <c r="I17" s="36" t="n">
        <f aca="false">MAX(0,Inputs!$D$29-I16)</f>
        <v>1693.27864140096</v>
      </c>
    </row>
    <row r="18" customFormat="false" ht="16.5" hidden="false" customHeight="true" outlineLevel="0" collapsed="false">
      <c r="A18" s="22" t="s">
        <v>945</v>
      </c>
      <c r="B18" s="23" t="s">
        <v>946</v>
      </c>
      <c r="C18" s="22" t="s">
        <v>41</v>
      </c>
      <c r="D18" s="22"/>
      <c r="E18" s="24" t="n">
        <f aca="false">E17</f>
        <v>0</v>
      </c>
      <c r="F18" s="24" t="n">
        <f aca="false">E18+F17</f>
        <v>0</v>
      </c>
      <c r="G18" s="24" t="n">
        <f aca="false">F18+G17</f>
        <v>122.560222616497</v>
      </c>
      <c r="H18" s="24" t="n">
        <f aca="false">G18+H17</f>
        <v>1555.84838015921</v>
      </c>
      <c r="I18" s="24" t="n">
        <f aca="false">H18+I17</f>
        <v>3249.12702156017</v>
      </c>
    </row>
    <row r="19" customFormat="false" ht="15" hidden="false" customHeight="true" outlineLevel="0" collapsed="false">
      <c r="A19" s="1" t="s">
        <v>947</v>
      </c>
      <c r="B19" s="7" t="s">
        <v>948</v>
      </c>
      <c r="C19" s="1" t="s">
        <v>41</v>
      </c>
      <c r="D19" s="31" t="n">
        <f aca="false">D16</f>
        <v>1050.3</v>
      </c>
      <c r="E19" s="31" t="n">
        <f aca="false">E16+E17</f>
        <v>2969.28312248439</v>
      </c>
      <c r="F19" s="31" t="n">
        <f aca="false">F16+F17</f>
        <v>1307.30273374749</v>
      </c>
      <c r="G19" s="31" t="n">
        <f aca="false">G16+G17</f>
        <v>300</v>
      </c>
      <c r="H19" s="31" t="n">
        <f aca="false">H16+H17</f>
        <v>300</v>
      </c>
      <c r="I19" s="31" t="n">
        <f aca="false">I16+I17</f>
        <v>300</v>
      </c>
    </row>
    <row r="20" customFormat="false" ht="15" hidden="false" customHeight="true" outlineLevel="0" collapsed="false">
      <c r="A20" s="1" t="s">
        <v>949</v>
      </c>
      <c r="B20" s="7" t="s">
        <v>950</v>
      </c>
      <c r="C20" s="7" t="s">
        <v>951</v>
      </c>
      <c r="E20" s="34" t="n">
        <f aca="false">IF(E17&gt;0,E$5,9999)</f>
        <v>9999</v>
      </c>
      <c r="F20" s="34" t="n">
        <f aca="false">IF(F17&gt;0,F$5,9999)</f>
        <v>9999</v>
      </c>
      <c r="G20" s="34" t="n">
        <f aca="false">IF(G17&gt;0,G$5,9999)</f>
        <v>2028</v>
      </c>
      <c r="H20" s="34" t="n">
        <f aca="false">IF(H17&gt;0,H$5,9999)</f>
        <v>2029</v>
      </c>
      <c r="I20" s="34" t="n">
        <f aca="false">IF(I17&gt;0,I$5,9999)</f>
        <v>2030</v>
      </c>
    </row>
    <row r="21" customFormat="false" ht="16.5" hidden="false" customHeight="true" outlineLevel="0" collapsed="false">
      <c r="A21" s="1" t="s">
        <v>952</v>
      </c>
      <c r="B21" s="7" t="s">
        <v>953</v>
      </c>
      <c r="C21" s="7" t="s">
        <v>951</v>
      </c>
      <c r="E21" s="34" t="n">
        <f aca="false">MIN(E20,F20,G20,H20,I20)</f>
        <v>2028</v>
      </c>
    </row>
    <row r="22" customFormat="false" ht="16.5" hidden="false" customHeight="true" outlineLevel="0" collapsed="false">
      <c r="A22" s="1" t="s">
        <v>954</v>
      </c>
      <c r="B22" s="7" t="s">
        <v>955</v>
      </c>
      <c r="C22" s="1" t="s">
        <v>41</v>
      </c>
      <c r="D22" s="18" t="n">
        <f aca="false">SRC_MM!$E$93</f>
        <v>-279.641</v>
      </c>
      <c r="J22" s="1" t="s">
        <v>956</v>
      </c>
    </row>
    <row r="23" customFormat="false" ht="16.5" hidden="false" customHeight="true" outlineLevel="0" collapsed="false">
      <c r="A23" s="1" t="s">
        <v>957</v>
      </c>
      <c r="B23" s="7" t="s">
        <v>958</v>
      </c>
      <c r="C23" s="1" t="s">
        <v>41</v>
      </c>
      <c r="D23" s="18" t="n">
        <f aca="false">SRC_MM!$E$93-PnL!$D$25</f>
        <v>-22.702</v>
      </c>
      <c r="J23" s="1" t="s">
        <v>959</v>
      </c>
    </row>
    <row r="24" customFormat="false" ht="16.5" hidden="false" customHeight="true" outlineLevel="0" collapsed="false">
      <c r="A24" s="1" t="s">
        <v>960</v>
      </c>
      <c r="B24" s="7" t="s">
        <v>961</v>
      </c>
      <c r="C24" s="1" t="s">
        <v>41</v>
      </c>
      <c r="E24" s="18" t="n">
        <f aca="false">SRC_MM!$E$91-SRC_MM!$E$92</f>
        <v>73.342</v>
      </c>
      <c r="J24" s="7" t="s">
        <v>962</v>
      </c>
    </row>
    <row r="25" customFormat="false" ht="16.5" hidden="false" customHeight="true" outlineLevel="0" collapsed="false">
      <c r="A25" s="1" t="s">
        <v>963</v>
      </c>
      <c r="B25" s="7" t="s">
        <v>964</v>
      </c>
      <c r="C25" s="1" t="s">
        <v>41</v>
      </c>
      <c r="E25" s="18" t="n">
        <f aca="false">SRC_MM!$E$89-SRC_MM!$E$90</f>
        <v>10.746</v>
      </c>
      <c r="J25" s="7" t="s">
        <v>965</v>
      </c>
    </row>
    <row r="26" customFormat="false" ht="16.5" hidden="false" customHeight="true" outlineLevel="0" collapsed="false">
      <c r="A26" s="1" t="s">
        <v>966</v>
      </c>
      <c r="B26" s="7" t="s">
        <v>967</v>
      </c>
      <c r="C26" s="7" t="s">
        <v>79</v>
      </c>
      <c r="E26" s="25" t="n">
        <f aca="false">E18/(Valuation!$E$8*(1-Inputs!$D$30))</f>
        <v>0</v>
      </c>
      <c r="F26" s="25" t="n">
        <f aca="false">F18/(Valuation!$F$8*(1-Inputs!$D$30))</f>
        <v>0</v>
      </c>
      <c r="G26" s="25" t="n">
        <f aca="false">G18/(Valuation!$G$8*(1-Inputs!$D$30))</f>
        <v>0.0176478826472547</v>
      </c>
      <c r="H26" s="25" t="n">
        <f aca="false">H18/(Valuation!$H$8*(1-Inputs!$D$30))</f>
        <v>0.224032145534591</v>
      </c>
      <c r="I26" s="25" t="n">
        <f aca="false">I18/(Valuation!$I$8*(1-Inputs!$D$30))</f>
        <v>0.467853363500662</v>
      </c>
      <c r="J26" s="7" t="s">
        <v>968</v>
      </c>
    </row>
    <row r="27" customFormat="false" ht="16.5" hidden="false" customHeight="true" outlineLevel="0" collapsed="false">
      <c r="A27" s="14" t="s">
        <v>969</v>
      </c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6.5" hidden="false" customHeight="true" outlineLevel="0" collapsed="false">
      <c r="A28" s="1" t="s">
        <v>970</v>
      </c>
      <c r="B28" s="7" t="s">
        <v>971</v>
      </c>
      <c r="C28" s="1" t="s">
        <v>41</v>
      </c>
      <c r="D28" s="18" t="n">
        <f aca="false">SRC_MM!$E$73</f>
        <v>1555</v>
      </c>
      <c r="J28" s="1" t="s">
        <v>972</v>
      </c>
    </row>
    <row r="29" customFormat="false" ht="16.5" hidden="false" customHeight="true" outlineLevel="0" collapsed="false">
      <c r="A29" s="1" t="s">
        <v>973</v>
      </c>
      <c r="B29" s="1" t="s">
        <v>974</v>
      </c>
      <c r="C29" s="1" t="s">
        <v>41</v>
      </c>
      <c r="E29" s="31" t="n">
        <f aca="false">E8</f>
        <v>680.385604113111</v>
      </c>
    </row>
    <row r="30" customFormat="false" ht="16.5" hidden="false" customHeight="true" outlineLevel="0" collapsed="false">
      <c r="A30" s="1" t="s">
        <v>975</v>
      </c>
      <c r="B30" s="1" t="s">
        <v>976</v>
      </c>
      <c r="C30" s="1" t="s">
        <v>41</v>
      </c>
      <c r="E30" s="31" t="n">
        <f aca="false">E9+E10</f>
        <v>2040.74550128535</v>
      </c>
    </row>
    <row r="31" customFormat="false" ht="15" hidden="false" customHeight="true" outlineLevel="0" collapsed="false">
      <c r="A31" s="1" t="s">
        <v>977</v>
      </c>
      <c r="B31" s="7" t="s">
        <v>978</v>
      </c>
      <c r="C31" s="1" t="s">
        <v>41</v>
      </c>
      <c r="E31" s="31" t="n">
        <f aca="false">D28+E29+E30</f>
        <v>4276.13110539846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979</v>
      </c>
    </row>
    <row r="2" customFormat="false" ht="16.5" hidden="false" customHeight="true" outlineLevel="0" collapsed="false">
      <c r="A2" s="7" t="s">
        <v>516</v>
      </c>
    </row>
    <row r="4" customFormat="false" ht="15" hidden="false" customHeight="true" outlineLevel="0" collapsed="false">
      <c r="A4" s="8" t="s">
        <v>30</v>
      </c>
      <c r="B4" s="9" t="s">
        <v>31</v>
      </c>
      <c r="C4" s="9" t="s">
        <v>33</v>
      </c>
      <c r="D4" s="8" t="s">
        <v>46</v>
      </c>
      <c r="E4" s="8" t="s">
        <v>517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346</v>
      </c>
    </row>
    <row r="5" customFormat="false" ht="15" hidden="false" customHeight="true" outlineLevel="0" collapsed="false">
      <c r="B5" s="7" t="s">
        <v>522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980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981</v>
      </c>
      <c r="B7" s="7" t="s">
        <v>982</v>
      </c>
      <c r="C7" s="1" t="s">
        <v>143</v>
      </c>
      <c r="D7" s="26" t="n">
        <f aca="false">SRC_MM!$E$82</f>
        <v>171.9</v>
      </c>
      <c r="E7" s="26" t="n">
        <f aca="false">SRC_MM!$E$82</f>
        <v>171.9</v>
      </c>
      <c r="F7" s="26" t="n">
        <f aca="false">SRC_MM!$E$82</f>
        <v>171.9</v>
      </c>
      <c r="G7" s="26" t="n">
        <f aca="false">SRC_MM!$E$82</f>
        <v>171.9</v>
      </c>
      <c r="H7" s="26" t="n">
        <f aca="false">SRC_MM!$E$82</f>
        <v>171.9</v>
      </c>
      <c r="I7" s="26" t="n">
        <f aca="false">SRC_MM!$E$82</f>
        <v>171.9</v>
      </c>
      <c r="J7" s="1" t="s">
        <v>983</v>
      </c>
    </row>
    <row r="8" customFormat="false" ht="16.5" hidden="false" customHeight="true" outlineLevel="0" collapsed="false">
      <c r="A8" s="1" t="s">
        <v>984</v>
      </c>
      <c r="B8" s="7" t="s">
        <v>985</v>
      </c>
      <c r="C8" s="1" t="s">
        <v>41</v>
      </c>
      <c r="D8" s="18" t="n">
        <f aca="false">SRC_MM!$E$82*SRC_MM!$E$55/Inputs!$D$6</f>
        <v>7716.39453023136</v>
      </c>
      <c r="E8" s="18" t="n">
        <f aca="false">SRC_MM!$E$82*SRC_MM!$E$55/Inputs!$D$6</f>
        <v>7716.39453023136</v>
      </c>
      <c r="F8" s="18" t="n">
        <f aca="false">SRC_MM!$E$82*SRC_MM!$E$55/Inputs!$D$6</f>
        <v>7716.39453023136</v>
      </c>
      <c r="G8" s="18" t="n">
        <f aca="false">SRC_MM!$E$82*SRC_MM!$E$55/Inputs!$D$6</f>
        <v>7716.39453023136</v>
      </c>
      <c r="H8" s="18" t="n">
        <f aca="false">SRC_MM!$E$82*SRC_MM!$E$55/Inputs!$D$6</f>
        <v>7716.39453023136</v>
      </c>
      <c r="I8" s="18" t="n">
        <f aca="false">SRC_MM!$E$82*SRC_MM!$E$55/Inputs!$D$6</f>
        <v>7716.39453023136</v>
      </c>
      <c r="J8" s="7" t="s">
        <v>986</v>
      </c>
    </row>
    <row r="9" customFormat="false" ht="15" hidden="false" customHeight="true" outlineLevel="0" collapsed="false">
      <c r="A9" s="1" t="s">
        <v>987</v>
      </c>
      <c r="B9" s="7" t="s">
        <v>988</v>
      </c>
      <c r="C9" s="1" t="s">
        <v>41</v>
      </c>
      <c r="E9" s="18" t="n">
        <f aca="false">Funding!$E$19-SRC_MM!$E$52-SRC_MM!$E$48/Inputs!$D$6*(1-Inputs!$D$28)</f>
        <v>2000.25254407822</v>
      </c>
      <c r="F9" s="18" t="n">
        <f aca="false">Funding!$F$19-SRC_MM!$E$52</f>
        <v>1173.74773374749</v>
      </c>
      <c r="G9" s="18" t="n">
        <f aca="false">Funding!$G$19-SRC_MM!$E$52</f>
        <v>166.445</v>
      </c>
      <c r="H9" s="18" t="n">
        <f aca="false">Funding!$H$19-SRC_MM!$E$52</f>
        <v>166.445</v>
      </c>
      <c r="I9" s="18" t="n">
        <f aca="false">Funding!$I$19-SRC_MM!$E$52</f>
        <v>166.445</v>
      </c>
    </row>
    <row r="10" customFormat="false" ht="16.5" hidden="false" customHeight="true" outlineLevel="0" collapsed="false">
      <c r="A10" s="1" t="s">
        <v>989</v>
      </c>
      <c r="B10" s="7" t="s">
        <v>990</v>
      </c>
      <c r="C10" s="1" t="s">
        <v>41</v>
      </c>
      <c r="E10" s="31" t="n">
        <f aca="false">E8-E9</f>
        <v>5716.14198615314</v>
      </c>
      <c r="F10" s="31" t="n">
        <f aca="false">E8-F9</f>
        <v>6542.64679648388</v>
      </c>
      <c r="G10" s="31" t="n">
        <f aca="false">E8-G9</f>
        <v>7549.94953023136</v>
      </c>
      <c r="H10" s="31" t="n">
        <f aca="false">E8-H9</f>
        <v>7549.94953023136</v>
      </c>
      <c r="I10" s="31" t="n">
        <f aca="false">E8-I9</f>
        <v>7549.94953023136</v>
      </c>
      <c r="J10" s="7" t="s">
        <v>991</v>
      </c>
    </row>
    <row r="11" customFormat="false" ht="16.5" hidden="false" customHeight="true" outlineLevel="0" collapsed="false">
      <c r="A11" s="1" t="s">
        <v>992</v>
      </c>
      <c r="B11" s="1" t="s">
        <v>993</v>
      </c>
      <c r="C11" s="7" t="s">
        <v>170</v>
      </c>
      <c r="E11" s="37" t="n">
        <f aca="false">E10/Revenue!$E$17</f>
        <v>12.2798384200587</v>
      </c>
      <c r="F11" s="37" t="n">
        <f aca="false">E10/Revenue!$F$17</f>
        <v>6.59689319686683</v>
      </c>
      <c r="G11" s="37" t="n">
        <f aca="false">E10/Revenue!$G$17</f>
        <v>4.46878290346261</v>
      </c>
      <c r="H11" s="37" t="n">
        <f aca="false">E10/Revenue!$H$17</f>
        <v>3.50314161358097</v>
      </c>
      <c r="I11" s="37" t="n">
        <f aca="false">E10/Revenue!$I$17</f>
        <v>2.94030586594681</v>
      </c>
      <c r="J11" s="7" t="s">
        <v>994</v>
      </c>
    </row>
    <row r="12" customFormat="false" ht="16.5" hidden="false" customHeight="true" outlineLevel="0" collapsed="false">
      <c r="A12" s="14" t="s">
        <v>995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6.5" hidden="false" customHeight="true" outlineLevel="0" collapsed="false">
      <c r="A13" s="1" t="s">
        <v>996</v>
      </c>
      <c r="B13" s="7" t="s">
        <v>997</v>
      </c>
      <c r="C13" s="1" t="s">
        <v>41</v>
      </c>
      <c r="E13" s="18" t="n">
        <f aca="false">SRC_MM!$E$74/Inputs!$D$6</f>
        <v>37493.5732647815</v>
      </c>
    </row>
    <row r="14" customFormat="false" ht="16.5" hidden="false" customHeight="true" outlineLevel="0" collapsed="false">
      <c r="A14" s="1" t="s">
        <v>998</v>
      </c>
      <c r="B14" s="7" t="s">
        <v>999</v>
      </c>
      <c r="C14" s="7" t="s">
        <v>170</v>
      </c>
      <c r="E14" s="37" t="n">
        <f aca="false">E13/(SRC_MM!$E$75/SRC_MM!$E$101*2)</f>
        <v>135.589966209115</v>
      </c>
    </row>
    <row r="15" customFormat="false" ht="16.5" hidden="false" customHeight="true" outlineLevel="0" collapsed="false">
      <c r="A15" s="1" t="s">
        <v>1000</v>
      </c>
      <c r="B15" s="1" t="s">
        <v>1001</v>
      </c>
      <c r="C15" s="7" t="s">
        <v>170</v>
      </c>
      <c r="E15" s="37" t="n">
        <f aca="false">E8/(SRC_MM!$E$8*2)</f>
        <v>33.0968343022457</v>
      </c>
    </row>
    <row r="16" customFormat="false" ht="16.5" hidden="false" customHeight="true" outlineLevel="0" collapsed="false">
      <c r="A16" s="14" t="s">
        <v>1002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6.5" hidden="false" customHeight="true" outlineLevel="0" collapsed="false">
      <c r="A17" s="1" t="s">
        <v>1003</v>
      </c>
      <c r="B17" s="1" t="s">
        <v>1004</v>
      </c>
      <c r="C17" s="1" t="s">
        <v>41</v>
      </c>
      <c r="I17" s="18" t="n">
        <f aca="false">Revenue!$I$17*Inputs!$D$37</f>
        <v>15552.509832</v>
      </c>
    </row>
    <row r="18" customFormat="false" ht="16.5" hidden="false" customHeight="true" outlineLevel="0" collapsed="false">
      <c r="A18" s="1" t="s">
        <v>1005</v>
      </c>
      <c r="B18" s="1" t="s">
        <v>1006</v>
      </c>
      <c r="C18" s="1" t="s">
        <v>41</v>
      </c>
      <c r="I18" s="31" t="n">
        <f aca="false">I17+I9</f>
        <v>15718.954832</v>
      </c>
    </row>
    <row r="19" customFormat="false" ht="16.5" hidden="false" customHeight="true" outlineLevel="0" collapsed="false">
      <c r="A19" s="22" t="s">
        <v>1007</v>
      </c>
      <c r="B19" s="23" t="s">
        <v>1008</v>
      </c>
      <c r="C19" s="23" t="s">
        <v>79</v>
      </c>
      <c r="D19" s="22"/>
      <c r="E19" s="22"/>
      <c r="F19" s="22"/>
      <c r="G19" s="22"/>
      <c r="H19" s="22"/>
      <c r="I19" s="38" t="n">
        <f aca="false">1/(1+Funding!$I$26)</f>
        <v>0.681266960900723</v>
      </c>
    </row>
    <row r="20" customFormat="false" ht="16.5" hidden="false" customHeight="true" outlineLevel="0" collapsed="false">
      <c r="A20" s="1" t="s">
        <v>1009</v>
      </c>
      <c r="B20" s="7" t="s">
        <v>1010</v>
      </c>
      <c r="C20" s="1" t="s">
        <v>41</v>
      </c>
      <c r="I20" s="18" t="n">
        <f aca="false">I18*I19/(1+Inputs!$D$38)^4</f>
        <v>6805.6389131001</v>
      </c>
      <c r="J20" s="7" t="s">
        <v>1011</v>
      </c>
    </row>
    <row r="21" customFormat="false" ht="16.5" hidden="false" customHeight="true" outlineLevel="0" collapsed="false">
      <c r="A21" s="1" t="s">
        <v>1012</v>
      </c>
      <c r="B21" s="7" t="s">
        <v>1013</v>
      </c>
      <c r="C21" s="7" t="s">
        <v>170</v>
      </c>
      <c r="I21" s="20" t="n">
        <f aca="false">I20/I8</f>
        <v>0.881971351573187</v>
      </c>
      <c r="J21" s="1" t="s">
        <v>1014</v>
      </c>
    </row>
    <row r="22" customFormat="false" ht="16.5" hidden="false" customHeight="true" outlineLevel="0" collapsed="false">
      <c r="A22" s="1" t="s">
        <v>1015</v>
      </c>
      <c r="B22" s="7" t="s">
        <v>1016</v>
      </c>
      <c r="C22" s="1" t="s">
        <v>41</v>
      </c>
      <c r="I22" s="18" t="n">
        <f aca="false">(I8*(1+Inputs!$D$38)^4/I19-I9)/Inputs!$D$37</f>
        <v>2207.00976888465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0"/>
    <col collapsed="false" customWidth="true" hidden="false" outlineLevel="0" max="3" min="3" style="1" width="16"/>
  </cols>
  <sheetData>
    <row r="1" customFormat="false" ht="16.5" hidden="false" customHeight="true" outlineLevel="0" collapsed="false">
      <c r="A1" s="6" t="s">
        <v>1017</v>
      </c>
    </row>
    <row r="3" customFormat="false" ht="16.5" hidden="false" customHeight="true" outlineLevel="0" collapsed="false">
      <c r="A3" s="8" t="s">
        <v>30</v>
      </c>
      <c r="B3" s="9" t="s">
        <v>1018</v>
      </c>
      <c r="C3" s="9" t="s">
        <v>1019</v>
      </c>
    </row>
    <row r="4" customFormat="false" ht="16.5" hidden="false" customHeight="true" outlineLevel="0" collapsed="false">
      <c r="A4" s="1" t="s">
        <v>1020</v>
      </c>
      <c r="B4" s="1" t="s">
        <v>1021</v>
      </c>
      <c r="C4" s="39" t="n">
        <f aca="false">MAX(0,ABS(Revenue!$D$20)-0.1)</f>
        <v>0</v>
      </c>
    </row>
    <row r="5" customFormat="false" ht="16.5" hidden="false" customHeight="true" outlineLevel="0" collapsed="false">
      <c r="A5" s="1" t="s">
        <v>1022</v>
      </c>
      <c r="B5" s="1" t="s">
        <v>1023</v>
      </c>
      <c r="C5" s="39" t="n">
        <f aca="false">ABS(PnL!$D$11-SRC_MM!$E$23)</f>
        <v>0</v>
      </c>
    </row>
    <row r="6" customFormat="false" ht="16.5" hidden="false" customHeight="true" outlineLevel="0" collapsed="false">
      <c r="A6" s="1" t="s">
        <v>1024</v>
      </c>
      <c r="B6" s="1" t="s">
        <v>1025</v>
      </c>
      <c r="C6" s="39" t="n">
        <f aca="false">ABS(PnL!$D$22-(SRC_MM!$E$25+SRC_MM!$E$26+SRC_MM!$E$27))</f>
        <v>0</v>
      </c>
    </row>
    <row r="7" customFormat="false" ht="16.5" hidden="false" customHeight="true" outlineLevel="0" collapsed="false">
      <c r="A7" s="1" t="s">
        <v>1026</v>
      </c>
      <c r="B7" s="1" t="s">
        <v>1027</v>
      </c>
      <c r="C7" s="39" t="n">
        <f aca="false">MAX(0,ABS(SRC_MM!$E$11+SRC_MM!$E$12-SRC_MM!$E$8)-0.1)</f>
        <v>0</v>
      </c>
    </row>
    <row r="8" customFormat="false" ht="16.5" hidden="false" customHeight="true" outlineLevel="0" collapsed="false">
      <c r="A8" s="1" t="s">
        <v>1028</v>
      </c>
      <c r="B8" s="7" t="s">
        <v>1029</v>
      </c>
      <c r="C8" s="39" t="n">
        <f aca="false">SUMPRODUCT((Compute!$D$7:$I$7&lt;0)+(Compute!$D$7:$I$7&gt;1))</f>
        <v>0</v>
      </c>
    </row>
    <row r="9" customFormat="false" ht="16.5" hidden="false" customHeight="true" outlineLevel="0" collapsed="false">
      <c r="A9" s="1" t="s">
        <v>1030</v>
      </c>
      <c r="B9" s="7" t="s">
        <v>1031</v>
      </c>
      <c r="C9" s="39" t="n">
        <f aca="false">ABS(SUM(Compute!$D$31:$I$31)-SUM(Compute!$D$30:$I$30)-SUM(Compute!$D$28:$I$28))</f>
        <v>0</v>
      </c>
    </row>
    <row r="10" customFormat="false" ht="16.5" hidden="false" customHeight="true" outlineLevel="0" collapsed="false">
      <c r="A10" s="1" t="s">
        <v>1032</v>
      </c>
      <c r="B10" s="1" t="s">
        <v>1033</v>
      </c>
      <c r="C10" s="39" t="n">
        <f aca="false">MAX(0,ABS(PnL!$D$13-(1-SRC_MM!$E$23/SRC_MM!$E$6))-0.001)</f>
        <v>0</v>
      </c>
    </row>
    <row r="11" customFormat="false" ht="16.5" hidden="false" customHeight="true" outlineLevel="0" collapsed="false">
      <c r="A11" s="1" t="s">
        <v>1034</v>
      </c>
      <c r="B11" s="1" t="s">
        <v>1035</v>
      </c>
      <c r="C11" s="39" t="n">
        <f aca="false">MAX(0,SUMPRODUCT(ABS(PxQ!$D$20:$I$20-PxQ!$D$11:$I$11))-0.000001)</f>
        <v>0</v>
      </c>
    </row>
    <row r="12" customFormat="false" ht="16.5" hidden="false" customHeight="true" outlineLevel="0" collapsed="false">
      <c r="A12" s="1" t="s">
        <v>1036</v>
      </c>
      <c r="B12" s="1" t="s">
        <v>1037</v>
      </c>
      <c r="C12" s="39" t="n">
        <f aca="false">MAX(0,SUMPRODUCT(ABS(PxQ!$D$17:$I$17-Revenue!$D$7:$I$7))-0.001)</f>
        <v>0</v>
      </c>
    </row>
    <row r="13" customFormat="false" ht="16.5" hidden="false" customHeight="true" outlineLevel="0" collapsed="false">
      <c r="A13" s="1" t="s">
        <v>1038</v>
      </c>
      <c r="B13" s="1" t="s">
        <v>1039</v>
      </c>
      <c r="C13" s="39" t="n">
        <f aca="false">MAX(0,ABS(Inputs!$D$33-(1-SRC_MM!$E$102/SRC_MM!$E$105))-0.001)</f>
        <v>0</v>
      </c>
    </row>
    <row r="14" customFormat="false" ht="16.5" hidden="false" customHeight="true" outlineLevel="0" collapsed="false">
      <c r="A14" s="1" t="s">
        <v>1040</v>
      </c>
      <c r="B14" s="1" t="s">
        <v>1041</v>
      </c>
      <c r="C14" s="39" t="n">
        <f aca="false">MAX(0,ABS(SRC_MM!$E$93+SRC_MM!$E$94+SRC_MM!$E$95+SRC_MM!$E$97-(SRC_MM!$E$98-SRC_MM!$E$96))-0.01)</f>
        <v>0</v>
      </c>
    </row>
    <row r="15" customFormat="false" ht="16.5" hidden="false" customHeight="true" outlineLevel="0" collapsed="false">
      <c r="A15" s="1" t="s">
        <v>1042</v>
      </c>
      <c r="B15" s="1" t="s">
        <v>1043</v>
      </c>
      <c r="C15" s="39" t="n">
        <f aca="false">MAX(0,SUMPRODUCT(ABS(PxQ!$D$39:$I$39))-0.000001)</f>
        <v>0</v>
      </c>
    </row>
    <row r="16" customFormat="false" ht="15" hidden="false" customHeight="true" outlineLevel="0" collapsed="false">
      <c r="A16" s="1" t="s">
        <v>1044</v>
      </c>
      <c r="B16" s="7" t="s">
        <v>1045</v>
      </c>
      <c r="C16" s="39" t="n">
        <f aca="false">SUMPRODUCT((Funding!$E$19:$I$19&lt;Inputs!$D$29-0.001)*1)</f>
        <v>0</v>
      </c>
    </row>
    <row r="18" customFormat="false" ht="16.5" hidden="false" customHeight="true" outlineLevel="0" collapsed="false">
      <c r="A18" s="1" t="s">
        <v>1046</v>
      </c>
      <c r="B18" s="7" t="s">
        <v>1047</v>
      </c>
      <c r="C18" s="1" t="n">
        <f aca="false">SUM(C4:C16)</f>
        <v>0</v>
      </c>
    </row>
    <row r="19" customFormat="false" ht="16.5" hidden="false" customHeight="true" outlineLevel="0" collapsed="false">
      <c r="A19" s="1" t="s">
        <v>1048</v>
      </c>
      <c r="B19" s="7" t="s">
        <v>1049</v>
      </c>
      <c r="C19" s="1" t="n">
        <f aca="false">SUMPRODUCT(--ISERROR(Demand!$D$6:$I$120))+SUMPRODUCT(--ISERROR(Revenue!$D$6:$I$120))+SUMPRODUCT(--ISERROR(Compute!$D$6:$I$120))+SUMPRODUCT(--ISERROR(PnL!$D$6:$I$120))+SUMPRODUCT(--ISERROR(PxQ!$D$6:$I$120))+SUMPRODUCT(--ISERROR(Funding!$D$6:$I$120))+SUMPRODUCT(--ISERROR(Valuation!$D$6:$I$120)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12" min="3" style="0" width="16"/>
  </cols>
  <sheetData>
    <row r="1" customFormat="false" ht="17.15" hidden="false" customHeight="false" outlineLevel="0" collapsed="false">
      <c r="A1" s="40" t="s">
        <v>1050</v>
      </c>
    </row>
    <row r="3" customFormat="false" ht="17.15" hidden="false" customHeight="false" outlineLevel="0" collapsed="false">
      <c r="A3" s="41" t="s">
        <v>1051</v>
      </c>
      <c r="B3" s="41" t="s">
        <v>1052</v>
      </c>
      <c r="C3" s="42" t="s">
        <v>1053</v>
      </c>
      <c r="D3" s="42" t="s">
        <v>1054</v>
      </c>
      <c r="E3" s="42" t="s">
        <v>1055</v>
      </c>
      <c r="F3" s="42" t="s">
        <v>1056</v>
      </c>
      <c r="G3" s="42" t="s">
        <v>1057</v>
      </c>
      <c r="H3" s="41" t="s">
        <v>1058</v>
      </c>
      <c r="I3" s="41" t="s">
        <v>1059</v>
      </c>
      <c r="J3" s="41" t="s">
        <v>1060</v>
      </c>
      <c r="K3" s="42" t="s">
        <v>1061</v>
      </c>
      <c r="L3" s="42" t="s">
        <v>1062</v>
      </c>
    </row>
    <row r="4" customFormat="false" ht="15" hidden="false" customHeight="false" outlineLevel="0" collapsed="false">
      <c r="A4" s="43" t="s">
        <v>382</v>
      </c>
      <c r="B4" s="0" t="s">
        <v>243</v>
      </c>
      <c r="C4" s="44" t="n">
        <v>465.49</v>
      </c>
      <c r="D4" s="44" t="n">
        <v>1944.063729</v>
      </c>
      <c r="E4" s="45" t="n">
        <v>0.681572846732463</v>
      </c>
      <c r="F4" s="46" t="n">
        <v>0.50639895226458</v>
      </c>
      <c r="G4" s="44" t="n">
        <v>-1693.27864140096</v>
      </c>
      <c r="H4" s="44" t="n">
        <v>3249.12702156017</v>
      </c>
      <c r="I4" s="47" t="n">
        <v>2028</v>
      </c>
      <c r="J4" s="46" t="n">
        <v>0.881971351573187</v>
      </c>
      <c r="K4" s="46" t="n">
        <v>0.694194410573274</v>
      </c>
      <c r="L4" s="46" t="n">
        <v>0.869635820267289</v>
      </c>
    </row>
    <row r="5" customFormat="false" ht="17.15" hidden="false" customHeight="false" outlineLevel="0" collapsed="false">
      <c r="A5" s="43" t="s">
        <v>1063</v>
      </c>
      <c r="B5" s="0" t="s">
        <v>1064</v>
      </c>
      <c r="C5" s="44" t="n">
        <v>465.49</v>
      </c>
      <c r="D5" s="44" t="n">
        <v>1944.063729</v>
      </c>
      <c r="E5" s="45" t="n">
        <v>0.681572846732463</v>
      </c>
      <c r="F5" s="46" t="n">
        <v>0.50639895226458</v>
      </c>
      <c r="G5" s="44" t="n">
        <v>-1693.27864140096</v>
      </c>
      <c r="H5" s="44" t="n">
        <v>3249.12702156017</v>
      </c>
      <c r="I5" s="47" t="n">
        <v>2028</v>
      </c>
      <c r="J5" s="46" t="n">
        <v>0.881971351573187</v>
      </c>
      <c r="K5" s="46" t="n">
        <v>0.462796273715516</v>
      </c>
      <c r="L5" s="46" t="n">
        <v>0.579757213511526</v>
      </c>
    </row>
    <row r="6" customFormat="false" ht="17.15" hidden="false" customHeight="false" outlineLevel="0" collapsed="false">
      <c r="A6" s="43" t="s">
        <v>1065</v>
      </c>
      <c r="B6" s="0" t="s">
        <v>1066</v>
      </c>
      <c r="C6" s="44" t="n">
        <v>465.49</v>
      </c>
      <c r="D6" s="44" t="n">
        <v>1944.063729</v>
      </c>
      <c r="E6" s="45" t="n">
        <v>0.681572846732463</v>
      </c>
      <c r="F6" s="46" t="n">
        <v>0.50639895226458</v>
      </c>
      <c r="G6" s="44" t="n">
        <v>-1693.27864140096</v>
      </c>
      <c r="H6" s="44" t="n">
        <v>3249.12702156017</v>
      </c>
      <c r="I6" s="47" t="n">
        <v>2028</v>
      </c>
      <c r="J6" s="46" t="n">
        <v>0.881971351573187</v>
      </c>
      <c r="K6" s="46" t="n">
        <v>1.15699068428879</v>
      </c>
      <c r="L6" s="46" t="n">
        <v>1.44939303377881</v>
      </c>
    </row>
    <row r="7" customFormat="false" ht="17.15" hidden="false" customHeight="false" outlineLevel="0" collapsed="false">
      <c r="A7" s="0" t="s">
        <v>1067</v>
      </c>
      <c r="B7" s="0" t="s">
        <v>1068</v>
      </c>
      <c r="C7" s="44" t="n">
        <v>465.49</v>
      </c>
      <c r="D7" s="44" t="n">
        <v>800.2729692</v>
      </c>
      <c r="E7" s="45" t="n">
        <v>0.614364179021298</v>
      </c>
      <c r="F7" s="46" t="n">
        <v>0.238389398991974</v>
      </c>
      <c r="G7" s="44" t="n">
        <v>-2355.07203171933</v>
      </c>
      <c r="H7" s="44" t="n">
        <v>4694.1121986477</v>
      </c>
      <c r="I7" s="47" t="n">
        <v>2028</v>
      </c>
      <c r="J7" s="46" t="n">
        <v>0.322800664521027</v>
      </c>
      <c r="K7" s="46" t="n">
        <v>0.694194410573274</v>
      </c>
      <c r="L7" s="46" t="n">
        <v>0.39123665377082</v>
      </c>
    </row>
    <row r="8" customFormat="false" ht="17.15" hidden="false" customHeight="false" outlineLevel="0" collapsed="false">
      <c r="A8" s="0" t="s">
        <v>1069</v>
      </c>
      <c r="B8" s="0" t="s">
        <v>1070</v>
      </c>
      <c r="C8" s="44" t="n">
        <v>465.49</v>
      </c>
      <c r="D8" s="44" t="n">
        <v>4988.222925</v>
      </c>
      <c r="E8" s="45" t="n">
        <v>0.710269969590222</v>
      </c>
      <c r="F8" s="46" t="n">
        <v>0.973916943391853</v>
      </c>
      <c r="G8" s="44" t="n">
        <v>72.1930595295133</v>
      </c>
      <c r="H8" s="44" t="n">
        <v>0</v>
      </c>
      <c r="I8" s="47" t="n">
        <v>9999</v>
      </c>
      <c r="J8" s="46" t="n">
        <v>3.31761560875847</v>
      </c>
      <c r="K8" s="46" t="n">
        <v>0.694194410573274</v>
      </c>
      <c r="L8" s="46" t="n">
        <v>1.81974943966644</v>
      </c>
    </row>
    <row r="9" customFormat="false" ht="17.15" hidden="false" customHeight="false" outlineLevel="0" collapsed="false">
      <c r="A9" s="0" t="s">
        <v>1071</v>
      </c>
      <c r="B9" s="0" t="s">
        <v>1072</v>
      </c>
      <c r="C9" s="44" t="n">
        <v>465.49</v>
      </c>
      <c r="D9" s="44" t="n">
        <v>592.280625</v>
      </c>
      <c r="E9" s="45" t="n">
        <v>0.0689320222214879</v>
      </c>
      <c r="F9" s="46" t="n">
        <v>0.165968175571422</v>
      </c>
      <c r="G9" s="44" t="n">
        <v>-2774.70512460096</v>
      </c>
      <c r="H9" s="44" t="n">
        <v>5593.40823276017</v>
      </c>
      <c r="I9" s="47" t="n">
        <v>2028</v>
      </c>
      <c r="J9" s="46" t="n">
        <v>0.223742280126779</v>
      </c>
      <c r="K9" s="46" t="n">
        <v>0.694194410573274</v>
      </c>
      <c r="L9" s="46" t="n">
        <v>0.264944219403364</v>
      </c>
    </row>
    <row r="10" customFormat="false" ht="17.15" hidden="false" customHeight="false" outlineLevel="0" collapsed="false">
      <c r="A10" s="0" t="s">
        <v>1073</v>
      </c>
      <c r="B10" s="0" t="s">
        <v>1074</v>
      </c>
      <c r="C10" s="44" t="n">
        <v>465.49</v>
      </c>
      <c r="D10" s="44" t="n">
        <v>5303.420625</v>
      </c>
      <c r="E10" s="45" t="n">
        <v>0.851603223759733</v>
      </c>
      <c r="F10" s="46" t="n">
        <v>1.1756985449982</v>
      </c>
      <c r="G10" s="44" t="n">
        <v>1034.04865353691</v>
      </c>
      <c r="H10" s="44" t="n">
        <v>0</v>
      </c>
      <c r="I10" s="47" t="n">
        <v>9999</v>
      </c>
      <c r="J10" s="46" t="n">
        <v>3.70254507601455</v>
      </c>
      <c r="K10" s="46" t="n">
        <v>0.694194410573274</v>
      </c>
      <c r="L10" s="46" t="n">
        <v>2.37237312575998</v>
      </c>
    </row>
    <row r="11" customFormat="false" ht="17.15" hidden="false" customHeight="false" outlineLevel="0" collapsed="false">
      <c r="A11" s="0" t="s">
        <v>1075</v>
      </c>
      <c r="B11" s="0" t="s">
        <v>1076</v>
      </c>
      <c r="C11" s="44" t="n">
        <v>340.49</v>
      </c>
      <c r="D11" s="44" t="n">
        <v>1387.143729</v>
      </c>
      <c r="E11" s="45" t="n">
        <v>0.662693446113761</v>
      </c>
      <c r="F11" s="46" t="n">
        <v>0.384857120335432</v>
      </c>
      <c r="G11" s="44" t="n">
        <v>-2015.51063337872</v>
      </c>
      <c r="H11" s="44" t="n">
        <v>4032.0328984491</v>
      </c>
      <c r="I11" s="47" t="n">
        <v>2028</v>
      </c>
      <c r="J11" s="46" t="n">
        <v>0.586910883538416</v>
      </c>
      <c r="K11" s="46" t="n">
        <v>0.555522577477213</v>
      </c>
      <c r="L11" s="46" t="n">
        <v>0.647296202936834</v>
      </c>
    </row>
    <row r="12" customFormat="false" ht="17.15" hidden="false" customHeight="false" outlineLevel="0" collapsed="false">
      <c r="A12" s="0" t="s">
        <v>1077</v>
      </c>
      <c r="B12" s="0" t="s">
        <v>1078</v>
      </c>
      <c r="C12" s="44" t="n">
        <v>540.49</v>
      </c>
      <c r="D12" s="44" t="n">
        <v>2278.215729</v>
      </c>
      <c r="E12" s="45" t="n">
        <v>0.688469939534207</v>
      </c>
      <c r="F12" s="46" t="n">
        <v>0.572443461687786</v>
      </c>
      <c r="G12" s="44" t="n">
        <v>-1499.93944621431</v>
      </c>
      <c r="H12" s="44" t="n">
        <v>2779.06048666586</v>
      </c>
      <c r="I12" s="47" t="n">
        <v>2029</v>
      </c>
      <c r="J12" s="46" t="n">
        <v>1.08184912488923</v>
      </c>
      <c r="K12" s="46" t="n">
        <v>0.766517425685026</v>
      </c>
      <c r="L12" s="46" t="n">
        <v>0.994420651703682</v>
      </c>
    </row>
    <row r="13" customFormat="false" ht="17.15" hidden="false" customHeight="false" outlineLevel="0" collapsed="false">
      <c r="A13" s="43" t="s">
        <v>1079</v>
      </c>
      <c r="B13" s="0" t="s">
        <v>1080</v>
      </c>
      <c r="C13" s="44" t="n">
        <v>465.49</v>
      </c>
      <c r="D13" s="44" t="n">
        <v>1944.063729</v>
      </c>
      <c r="E13" s="45" t="n">
        <v>0.681572846732463</v>
      </c>
      <c r="F13" s="46" t="n">
        <v>1.01218948638564</v>
      </c>
      <c r="G13" s="44" t="n">
        <v>263.154606190307</v>
      </c>
      <c r="H13" s="44" t="n">
        <v>0</v>
      </c>
      <c r="I13" s="47" t="n">
        <v>9999</v>
      </c>
      <c r="J13" s="46" t="n">
        <v>1.42084383333707</v>
      </c>
      <c r="K13" s="46" t="n">
        <v>0.694194410573274</v>
      </c>
      <c r="L13" s="46" t="n">
        <v>2.44158580395245</v>
      </c>
    </row>
    <row r="14" customFormat="false" ht="17.15" hidden="false" customHeight="false" outlineLevel="0" collapsed="false">
      <c r="A14" s="43" t="s">
        <v>1081</v>
      </c>
      <c r="B14" s="0" t="s">
        <v>1082</v>
      </c>
      <c r="C14" s="44" t="n">
        <v>465.49</v>
      </c>
      <c r="D14" s="44" t="n">
        <v>1944.063729</v>
      </c>
      <c r="E14" s="45" t="n">
        <v>0.681572846732463</v>
      </c>
      <c r="F14" s="46" t="n">
        <v>0.739448094282735</v>
      </c>
      <c r="G14" s="44" t="n">
        <v>-481.729171441643</v>
      </c>
      <c r="H14" s="44" t="n">
        <v>427.493167589344</v>
      </c>
      <c r="I14" s="47" t="n">
        <v>2030</v>
      </c>
      <c r="J14" s="46" t="n">
        <v>1.21953462144645</v>
      </c>
      <c r="K14" s="46" t="n">
        <v>0.694194410573274</v>
      </c>
      <c r="L14" s="46" t="n">
        <v>1.46419846243146</v>
      </c>
    </row>
    <row r="15" customFormat="false" ht="17.15" hidden="false" customHeight="false" outlineLevel="0" collapsed="false">
      <c r="A15" s="43" t="s">
        <v>1083</v>
      </c>
      <c r="B15" s="0" t="s">
        <v>1084</v>
      </c>
      <c r="C15" s="44" t="n">
        <v>465.49</v>
      </c>
      <c r="D15" s="44" t="n">
        <v>1944.063729</v>
      </c>
      <c r="E15" s="45" t="n">
        <v>0.681572846732463</v>
      </c>
      <c r="F15" s="46" t="n">
        <v>0.338922273577935</v>
      </c>
      <c r="G15" s="44" t="n">
        <v>-3590.29871999471</v>
      </c>
      <c r="H15" s="44" t="n">
        <v>7189.63900940392</v>
      </c>
      <c r="I15" s="47" t="n">
        <v>2028</v>
      </c>
      <c r="J15" s="46" t="n">
        <v>0.636087540600295</v>
      </c>
      <c r="K15" s="46" t="n">
        <v>0.694194410573274</v>
      </c>
      <c r="L15" s="46" t="n">
        <v>0.531345727857747</v>
      </c>
    </row>
    <row r="16" customFormat="false" ht="17.15" hidden="false" customHeight="false" outlineLevel="0" collapsed="false">
      <c r="A16" s="43" t="s">
        <v>1085</v>
      </c>
      <c r="B16" s="0" t="s">
        <v>1086</v>
      </c>
      <c r="C16" s="44" t="n">
        <v>465.49</v>
      </c>
      <c r="D16" s="44" t="n">
        <v>1944.063729</v>
      </c>
      <c r="E16" s="45" t="n">
        <v>0.561601518871431</v>
      </c>
      <c r="F16" s="46" t="n">
        <v>0.477395569861933</v>
      </c>
      <c r="G16" s="44" t="n">
        <v>-1926.51054841556</v>
      </c>
      <c r="H16" s="44" t="n">
        <v>3793.91832242993</v>
      </c>
      <c r="I16" s="47" t="n">
        <v>2028</v>
      </c>
      <c r="J16" s="46" t="n">
        <v>0.837227433765834</v>
      </c>
      <c r="K16" s="46" t="n">
        <v>0.694194410573274</v>
      </c>
      <c r="L16" s="46" t="n">
        <v>0.806505842130604</v>
      </c>
    </row>
    <row r="17" customFormat="false" ht="17.15" hidden="false" customHeight="false" outlineLevel="0" collapsed="false">
      <c r="A17" s="43" t="s">
        <v>1087</v>
      </c>
      <c r="B17" s="0" t="s">
        <v>1088</v>
      </c>
      <c r="C17" s="44" t="n">
        <v>465.49</v>
      </c>
      <c r="D17" s="44" t="n">
        <v>1944.063729</v>
      </c>
      <c r="E17" s="45" t="n">
        <v>0.764299951277708</v>
      </c>
      <c r="F17" s="46" t="n">
        <v>0.528541080993482</v>
      </c>
      <c r="G17" s="44" t="n">
        <v>-1532.45187804936</v>
      </c>
      <c r="H17" s="44" t="n">
        <v>2821.42750790539</v>
      </c>
      <c r="I17" s="47" t="n">
        <v>2029</v>
      </c>
      <c r="J17" s="46" t="n">
        <v>0.920596342949069</v>
      </c>
      <c r="K17" s="46" t="n">
        <v>0.694194410573274</v>
      </c>
      <c r="L17" s="46" t="n">
        <v>0.919253176387348</v>
      </c>
    </row>
    <row r="18" customFormat="false" ht="17.15" hidden="false" customHeight="false" outlineLevel="0" collapsed="false">
      <c r="A18" s="0" t="s">
        <v>1089</v>
      </c>
      <c r="B18" s="0" t="s">
        <v>1090</v>
      </c>
      <c r="C18" s="44" t="n">
        <v>465.49</v>
      </c>
      <c r="D18" s="44" t="n">
        <v>1944.063729</v>
      </c>
      <c r="E18" s="45" t="n">
        <v>0.624656973560055</v>
      </c>
      <c r="F18" s="46" t="n">
        <v>0.492212340008894</v>
      </c>
      <c r="G18" s="44" t="n">
        <v>-1803.92672603981</v>
      </c>
      <c r="H18" s="44" t="n">
        <v>3735.5419146505</v>
      </c>
      <c r="I18" s="47" t="n">
        <v>2028</v>
      </c>
      <c r="J18" s="46" t="n">
        <v>0.841803554646639</v>
      </c>
      <c r="K18" s="46" t="n">
        <v>0.653741679511357</v>
      </c>
      <c r="L18" s="46" t="n">
        <v>0.838498146413804</v>
      </c>
    </row>
    <row r="19" customFormat="false" ht="17.15" hidden="false" customHeight="false" outlineLevel="0" collapsed="false">
      <c r="A19" s="0" t="s">
        <v>1091</v>
      </c>
      <c r="B19" s="0" t="s">
        <v>1092</v>
      </c>
      <c r="C19" s="44" t="n">
        <v>465.49</v>
      </c>
      <c r="D19" s="44" t="n">
        <v>1944.063729</v>
      </c>
      <c r="E19" s="45" t="n">
        <v>0.747974698766939</v>
      </c>
      <c r="F19" s="46" t="n">
        <v>0.524019543458057</v>
      </c>
      <c r="G19" s="44" t="n">
        <v>-1564.18920932231</v>
      </c>
      <c r="H19" s="44" t="n">
        <v>2676.14346183351</v>
      </c>
      <c r="I19" s="47" t="n">
        <v>2029</v>
      </c>
      <c r="J19" s="46" t="n">
        <v>0.934498158975905</v>
      </c>
      <c r="K19" s="46" t="n">
        <v>0.748209041691223</v>
      </c>
      <c r="L19" s="46" t="n">
        <v>0.909018339460296</v>
      </c>
    </row>
    <row r="20" customFormat="false" ht="17.15" hidden="false" customHeight="false" outlineLevel="0" collapsed="false">
      <c r="A20" s="43" t="s">
        <v>1093</v>
      </c>
      <c r="B20" s="0" t="s">
        <v>1094</v>
      </c>
      <c r="C20" s="44" t="n">
        <v>465.49</v>
      </c>
      <c r="D20" s="44" t="n">
        <v>1944.063729</v>
      </c>
      <c r="E20" s="45" t="n">
        <v>0.678779772749812</v>
      </c>
      <c r="F20" s="46" t="n">
        <v>0.505683708303</v>
      </c>
      <c r="G20" s="44" t="n">
        <v>-1698.70855522305</v>
      </c>
      <c r="H20" s="44" t="n">
        <v>3323.09883217824</v>
      </c>
      <c r="I20" s="47" t="n">
        <v>2028</v>
      </c>
      <c r="J20" s="46" t="n">
        <v>0.875617441752801</v>
      </c>
      <c r="K20" s="46" t="n">
        <v>0.682166043420681</v>
      </c>
      <c r="L20" s="46" t="n">
        <v>0.868053917461662</v>
      </c>
    </row>
    <row r="21" customFormat="false" ht="17.15" hidden="false" customHeight="false" outlineLevel="0" collapsed="false">
      <c r="A21" s="43" t="s">
        <v>1095</v>
      </c>
      <c r="B21" s="0" t="s">
        <v>1096</v>
      </c>
      <c r="C21" s="44" t="n">
        <v>465.49</v>
      </c>
      <c r="D21" s="44" t="n">
        <v>1944.063729</v>
      </c>
      <c r="E21" s="45" t="n">
        <v>0.684365920715113</v>
      </c>
      <c r="F21" s="46" t="n">
        <v>0.507116222388033</v>
      </c>
      <c r="G21" s="44" t="n">
        <v>-1687.84872757888</v>
      </c>
      <c r="H21" s="44" t="n">
        <v>3175.15521094209</v>
      </c>
      <c r="I21" s="47" t="n">
        <v>2028</v>
      </c>
      <c r="J21" s="46" t="n">
        <v>0.888418149611064</v>
      </c>
      <c r="K21" s="46" t="n">
        <v>0.706654574419238</v>
      </c>
      <c r="L21" s="46" t="n">
        <v>0.871223499177496</v>
      </c>
    </row>
    <row r="22" customFormat="false" ht="17.15" hidden="false" customHeight="false" outlineLevel="0" collapsed="false">
      <c r="A22" s="43" t="s">
        <v>1097</v>
      </c>
      <c r="B22" s="0" t="s">
        <v>1098</v>
      </c>
      <c r="C22" s="44" t="n">
        <v>465.49</v>
      </c>
      <c r="D22" s="44" t="n">
        <v>1944.063729</v>
      </c>
      <c r="E22" s="45" t="n">
        <v>0.681572846732463</v>
      </c>
      <c r="F22" s="46" t="n">
        <v>0.518207848278642</v>
      </c>
      <c r="G22" s="44" t="n">
        <v>-1605.79577359596</v>
      </c>
      <c r="H22" s="44" t="n">
        <v>2894.07533734697</v>
      </c>
      <c r="I22" s="47" t="n">
        <v>2029</v>
      </c>
      <c r="J22" s="46" t="n">
        <v>0.91379885551518</v>
      </c>
      <c r="K22" s="46" t="n">
        <v>0.694194410573274</v>
      </c>
      <c r="L22" s="46" t="n">
        <v>0.869635820267289</v>
      </c>
    </row>
    <row r="23" customFormat="false" ht="17.15" hidden="false" customHeight="false" outlineLevel="0" collapsed="false">
      <c r="A23" s="43" t="s">
        <v>1099</v>
      </c>
      <c r="B23" s="0" t="s">
        <v>1100</v>
      </c>
      <c r="C23" s="44" t="n">
        <v>465.49</v>
      </c>
      <c r="D23" s="44" t="n">
        <v>1944.063729</v>
      </c>
      <c r="E23" s="45" t="n">
        <v>0.681572846732463</v>
      </c>
      <c r="F23" s="46" t="n">
        <v>0.495116266135669</v>
      </c>
      <c r="G23" s="44" t="n">
        <v>-1780.76150920596</v>
      </c>
      <c r="H23" s="44" t="n">
        <v>3602.37896978417</v>
      </c>
      <c r="I23" s="47" t="n">
        <v>2028</v>
      </c>
      <c r="J23" s="46" t="n">
        <v>0.852431753722923</v>
      </c>
      <c r="K23" s="46" t="n">
        <v>0.694194410573274</v>
      </c>
      <c r="L23" s="46" t="n">
        <v>0.869635820267289</v>
      </c>
    </row>
    <row r="24" customFormat="false" ht="17.15" hidden="false" customHeight="false" outlineLevel="0" collapsed="false">
      <c r="A24" s="43" t="s">
        <v>1101</v>
      </c>
      <c r="B24" s="0" t="s">
        <v>1102</v>
      </c>
      <c r="C24" s="44" t="n">
        <v>465.49</v>
      </c>
      <c r="D24" s="44" t="n">
        <v>1944.063729</v>
      </c>
      <c r="E24" s="45" t="n">
        <v>0.681572846732463</v>
      </c>
      <c r="F24" s="46" t="n">
        <v>0.519125468695186</v>
      </c>
      <c r="G24" s="44" t="n">
        <v>-1637.69529124</v>
      </c>
      <c r="H24" s="44" t="n">
        <v>3065.35023549366</v>
      </c>
      <c r="I24" s="47" t="n">
        <v>2028</v>
      </c>
      <c r="J24" s="46" t="n">
        <v>0.898163574864702</v>
      </c>
      <c r="K24" s="46" t="n">
        <v>0.694194410573274</v>
      </c>
      <c r="L24" s="46" t="n">
        <v>0.869635820267289</v>
      </c>
    </row>
    <row r="25" customFormat="false" ht="17.15" hidden="false" customHeight="false" outlineLevel="0" collapsed="false">
      <c r="A25" s="43" t="s">
        <v>1103</v>
      </c>
      <c r="B25" s="0" t="s">
        <v>1104</v>
      </c>
      <c r="C25" s="44" t="n">
        <v>465.49</v>
      </c>
      <c r="D25" s="44" t="n">
        <v>1944.063729</v>
      </c>
      <c r="E25" s="45" t="n">
        <v>0.681572846732463</v>
      </c>
      <c r="F25" s="46" t="n">
        <v>0.488437658898669</v>
      </c>
      <c r="G25" s="44" t="n">
        <v>-1776.65366664241</v>
      </c>
      <c r="H25" s="44" t="n">
        <v>3524.79220065993</v>
      </c>
      <c r="I25" s="47" t="n">
        <v>2028</v>
      </c>
      <c r="J25" s="46" t="n">
        <v>0.858748877464279</v>
      </c>
      <c r="K25" s="46" t="n">
        <v>0.694194410573274</v>
      </c>
      <c r="L25" s="46" t="n">
        <v>0.869635820267289</v>
      </c>
    </row>
    <row r="26" customFormat="false" ht="17.15" hidden="false" customHeight="false" outlineLevel="0" collapsed="false">
      <c r="A26" s="43" t="s">
        <v>1105</v>
      </c>
      <c r="B26" s="0" t="s">
        <v>1106</v>
      </c>
      <c r="C26" s="44" t="n">
        <v>465.49</v>
      </c>
      <c r="D26" s="44" t="n">
        <v>1944.063729</v>
      </c>
      <c r="E26" s="45" t="n">
        <v>0.681100654341246</v>
      </c>
      <c r="F26" s="46" t="n">
        <v>0.506277892243135</v>
      </c>
      <c r="G26" s="44" t="n">
        <v>-1694.19661350184</v>
      </c>
      <c r="H26" s="44" t="n">
        <v>3252.09261076659</v>
      </c>
      <c r="I26" s="47" t="n">
        <v>2028</v>
      </c>
      <c r="J26" s="46" t="n">
        <v>0.881714844385806</v>
      </c>
      <c r="K26" s="46" t="n">
        <v>0.694194410573274</v>
      </c>
      <c r="L26" s="46" t="n">
        <v>0.869367981596193</v>
      </c>
    </row>
    <row r="27" customFormat="false" ht="17.15" hidden="false" customHeight="false" outlineLevel="0" collapsed="false">
      <c r="A27" s="43" t="s">
        <v>1107</v>
      </c>
      <c r="B27" s="0" t="s">
        <v>1108</v>
      </c>
      <c r="C27" s="44" t="n">
        <v>465.49</v>
      </c>
      <c r="D27" s="44" t="n">
        <v>1944.063729</v>
      </c>
      <c r="E27" s="45" t="n">
        <v>0.681829752131108</v>
      </c>
      <c r="F27" s="46" t="n">
        <v>0.506464841631008</v>
      </c>
      <c r="G27" s="44" t="n">
        <v>-1692.77920093367</v>
      </c>
      <c r="H27" s="44" t="n">
        <v>3247.51269946852</v>
      </c>
      <c r="I27" s="47" t="n">
        <v>2028</v>
      </c>
      <c r="J27" s="46" t="n">
        <v>0.882111044315592</v>
      </c>
      <c r="K27" s="46" t="n">
        <v>0.694194410573274</v>
      </c>
      <c r="L27" s="46" t="n">
        <v>0.869781612406517</v>
      </c>
    </row>
    <row r="28" customFormat="false" ht="15" hidden="false" customHeight="false" outlineLevel="0" collapsed="false">
      <c r="A28" s="43" t="s">
        <v>1109</v>
      </c>
      <c r="B28" s="0" t="s">
        <v>1110</v>
      </c>
      <c r="C28" s="44" t="n">
        <v>465.49</v>
      </c>
      <c r="D28" s="44" t="n">
        <v>1944.063729</v>
      </c>
      <c r="E28" s="45" t="n">
        <v>0.681572846732463</v>
      </c>
      <c r="F28" s="46" t="n">
        <v>0.50639895226458</v>
      </c>
      <c r="G28" s="44" t="n">
        <v>-1693.27864140096</v>
      </c>
      <c r="H28" s="44" t="n">
        <v>2366.44778710756</v>
      </c>
      <c r="I28" s="47" t="n">
        <v>2029</v>
      </c>
      <c r="J28" s="46" t="n">
        <v>0.965580076327672</v>
      </c>
      <c r="K28" s="46" t="n">
        <v>0.694194410573274</v>
      </c>
      <c r="L28" s="46" t="n">
        <v>0.869635820267289</v>
      </c>
    </row>
    <row r="29" customFormat="false" ht="17.15" hidden="false" customHeight="false" outlineLevel="0" collapsed="false">
      <c r="A29" s="0" t="s">
        <v>1111</v>
      </c>
      <c r="B29" s="0" t="s">
        <v>1112</v>
      </c>
      <c r="C29" s="44" t="n">
        <v>465.49</v>
      </c>
      <c r="D29" s="44" t="n">
        <v>1944.063729</v>
      </c>
      <c r="E29" s="45" t="n">
        <v>0.691058825594531</v>
      </c>
      <c r="F29" s="46" t="n">
        <v>0.508843277504625</v>
      </c>
      <c r="G29" s="44" t="n">
        <v>-1674.83729396116</v>
      </c>
      <c r="H29" s="44" t="n">
        <v>3158.8601667682</v>
      </c>
      <c r="I29" s="47" t="n">
        <v>2028</v>
      </c>
      <c r="J29" s="46" t="n">
        <v>0.889850984556104</v>
      </c>
      <c r="K29" s="46" t="n">
        <v>0.708814602506676</v>
      </c>
      <c r="L29" s="46" t="n">
        <v>0.875051668746483</v>
      </c>
    </row>
    <row r="30" customFormat="false" ht="17.15" hidden="false" customHeight="false" outlineLevel="0" collapsed="false">
      <c r="A30" s="0" t="s">
        <v>1113</v>
      </c>
      <c r="B30" s="0" t="s">
        <v>1114</v>
      </c>
      <c r="C30" s="44" t="n">
        <v>465.49</v>
      </c>
      <c r="D30" s="44" t="n">
        <v>1944.063729</v>
      </c>
      <c r="E30" s="45" t="n">
        <v>0.665311168683203</v>
      </c>
      <c r="F30" s="46" t="n">
        <v>0.502262869405616</v>
      </c>
      <c r="G30" s="44" t="n">
        <v>-1724.8923798692</v>
      </c>
      <c r="H30" s="44" t="n">
        <v>3409.12603317131</v>
      </c>
      <c r="I30" s="47" t="n">
        <v>2028</v>
      </c>
      <c r="J30" s="46" t="n">
        <v>0.868342206809337</v>
      </c>
      <c r="K30" s="46" t="n">
        <v>0.66669170221398</v>
      </c>
      <c r="L30" s="46" t="n">
        <v>0.860505840055049</v>
      </c>
    </row>
    <row r="31" customFormat="false" ht="17.15" hidden="false" customHeight="false" outlineLevel="0" collapsed="false">
      <c r="A31" s="0" t="s">
        <v>1115</v>
      </c>
      <c r="B31" s="0" t="s">
        <v>1116</v>
      </c>
      <c r="C31" s="44" t="n">
        <v>465.49</v>
      </c>
      <c r="D31" s="44" t="n">
        <v>1944.063729</v>
      </c>
      <c r="E31" s="45" t="n">
        <v>0.6309809594681</v>
      </c>
      <c r="F31" s="46" t="n">
        <v>0.493749254991477</v>
      </c>
      <c r="G31" s="44" t="n">
        <v>-1791.63249441327</v>
      </c>
      <c r="H31" s="44" t="n">
        <v>3779.60467881646</v>
      </c>
      <c r="I31" s="47" t="n">
        <v>2028</v>
      </c>
      <c r="J31" s="46" t="n">
        <v>0.838344868781348</v>
      </c>
      <c r="K31" s="46" t="n">
        <v>0.595869888418122</v>
      </c>
      <c r="L31" s="46" t="n">
        <v>0.841847334805169</v>
      </c>
    </row>
    <row r="32" customFormat="false" ht="17.15" hidden="false" customHeight="false" outlineLevel="0" collapsed="false">
      <c r="A32" s="43" t="s">
        <v>1117</v>
      </c>
      <c r="B32" s="0" t="s">
        <v>1118</v>
      </c>
      <c r="C32" s="44" t="n">
        <v>465.49</v>
      </c>
      <c r="D32" s="44" t="n">
        <v>1944.063729</v>
      </c>
      <c r="E32" s="45" t="n">
        <v>0.681572846732463</v>
      </c>
      <c r="F32" s="46" t="n">
        <v>0.50639895226458</v>
      </c>
      <c r="G32" s="44" t="n">
        <v>-1693.27864140096</v>
      </c>
      <c r="H32" s="44" t="n">
        <v>3249.12702156017</v>
      </c>
      <c r="I32" s="47" t="n">
        <v>2028</v>
      </c>
      <c r="J32" s="46" t="n">
        <v>0.881971351573187</v>
      </c>
      <c r="K32" s="46" t="n">
        <v>0.318172438179417</v>
      </c>
      <c r="L32" s="46" t="n">
        <v>0.398583084289174</v>
      </c>
    </row>
    <row r="33" customFormat="false" ht="17.15" hidden="false" customHeight="false" outlineLevel="0" collapsed="false">
      <c r="A33" s="43" t="s">
        <v>1119</v>
      </c>
      <c r="B33" s="0" t="s">
        <v>1120</v>
      </c>
      <c r="C33" s="44" t="n">
        <v>465.49</v>
      </c>
      <c r="D33" s="44" t="n">
        <v>1944.063729</v>
      </c>
      <c r="E33" s="45" t="n">
        <v>0.681572846732463</v>
      </c>
      <c r="F33" s="46" t="n">
        <v>0.50639895226458</v>
      </c>
      <c r="G33" s="44" t="n">
        <v>-1693.27864140096</v>
      </c>
      <c r="H33" s="44" t="n">
        <v>3249.12702156017</v>
      </c>
      <c r="I33" s="47" t="n">
        <v>2028</v>
      </c>
      <c r="J33" s="46" t="n">
        <v>0.881971351573187</v>
      </c>
      <c r="K33" s="46" t="n">
        <v>0.532215714772843</v>
      </c>
      <c r="L33" s="46" t="n">
        <v>0.666720795538255</v>
      </c>
    </row>
    <row r="34" customFormat="false" ht="17.15" hidden="false" customHeight="false" outlineLevel="0" collapsed="false">
      <c r="A34" s="43" t="s">
        <v>1121</v>
      </c>
      <c r="B34" s="0" t="s">
        <v>1122</v>
      </c>
      <c r="C34" s="44" t="n">
        <v>465.49</v>
      </c>
      <c r="D34" s="44" t="n">
        <v>1944.063729</v>
      </c>
      <c r="E34" s="45" t="n">
        <v>0.681572846732463</v>
      </c>
      <c r="F34" s="46" t="n">
        <v>0.50639895226458</v>
      </c>
      <c r="G34" s="44" t="n">
        <v>-1693.27864140096</v>
      </c>
      <c r="H34" s="44" t="n">
        <v>3249.12702156017</v>
      </c>
      <c r="I34" s="47" t="n">
        <v>2028</v>
      </c>
      <c r="J34" s="46" t="n">
        <v>0.881971351573187</v>
      </c>
      <c r="K34" s="46" t="n">
        <v>0.775183758473489</v>
      </c>
      <c r="L34" s="46" t="n">
        <v>0.971093332631806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2026-10-22T08:10:13Z</dcterms:created>
  <dc:creator>openpyxl</dc:creator>
  <dc:description/>
  <dc:language>en-US</dc:language>
  <cp:lastModifiedBy/>
  <dcterms:modified xsi:type="dcterms:W3CDTF">2026-10-22T08:11:50Z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