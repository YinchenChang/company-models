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SRC_MM" sheetId="2" state="visible" r:id="rId4"/>
    <sheet name="TK_Link" sheetId="3" state="visible" r:id="rId5"/>
    <sheet name="Inputs" sheetId="4" state="visible" r:id="rId6"/>
    <sheet name="Demand" sheetId="5" state="visible" r:id="rId7"/>
    <sheet name="Revenue" sheetId="6" state="visible" r:id="rId8"/>
    <sheet name="Compute" sheetId="7" state="visible" r:id="rId9"/>
    <sheet name="PnL" sheetId="8" state="visible" r:id="rId10"/>
    <sheet name="Funding" sheetId="9" state="visible" r:id="rId11"/>
    <sheet name="Valuation" sheetId="10" state="visible" r:id="rId12"/>
    <sheet name="Checks" sheetId="11" state="visible" r:id="rId13"/>
    <sheet name="Sensitivity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<sst xmlns="http://schemas.openxmlformats.org/spreadsheetml/2006/main" count="1402" uniqueCount="790">
  <si>
    <r>
      <rPr>
        <b val="true"/>
        <sz val="11"/>
        <rFont val="Cambria"/>
        <family val="0"/>
        <charset val="1"/>
      </rPr>
      <t xml:space="preserve">MiniMax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00100.HK</t>
    </r>
    <r>
      <rPr>
        <b val="true"/>
        <sz val="11"/>
        <rFont val="Noto Sans CJK SC"/>
        <family val="2"/>
      </rPr>
      <t xml:space="preserve">，上海稀宇科技）收支模型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2026-10-08</t>
    </r>
    <r>
      <rPr>
        <b val="true"/>
        <sz val="11"/>
        <rFont val="Noto Sans CJK SC"/>
        <family val="2"/>
      </rPr>
      <t xml:space="preserve">）</t>
    </r>
  </si>
  <si>
    <t xml:space="preserve">命題：MiniMax 每 MW 算力（實體與 VR 等值）的營收，能否覆蓋每 MW 全成本（推論＋訓練算力、人事、其他）；若不能，缺口何時出現、由誰、以什麼條件補。FY2025–FY2030，曆年制（公司財年＝曆年）。</t>
  </si>
  <si>
    <t xml:space="preserve">比照 OpenAI 收支模型 v0.6：同一分層（SRC／TK_Link／Inputs）、同一 MW 主軸（token → MW、η 校準、VR 等值）、同一命題口徑；MiniMax 為上市公司，另加 Funding 與 Valuation。</t>
  </si>
  <si>
    <t xml:space="preserve">驅動 → 推導對照（因果方向由上而下）</t>
  </si>
  <si>
    <r>
      <rPr>
        <sz val="11"/>
        <color theme="1"/>
        <rFont val="Calibri"/>
        <family val="2"/>
        <charset val="1"/>
      </rPr>
      <t xml:space="preserve">Demand</t>
    </r>
    <r>
      <rPr>
        <sz val="11"/>
        <color theme="1"/>
        <rFont val="Noto Sans CJK SC"/>
        <family val="2"/>
      </rPr>
      <t xml:space="preserve">：輸入＝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實收單價（</t>
    </r>
    <r>
      <rPr>
        <sz val="11"/>
        <color theme="1"/>
        <rFont val="Calibri"/>
        <family val="2"/>
        <charset val="1"/>
      </rPr>
      <t xml:space="preserve">I07</t>
    </r>
    <r>
      <rPr>
        <sz val="11"/>
        <color theme="1"/>
        <rFont val="Noto Sans CJK SC"/>
        <family val="2"/>
      </rPr>
      <t xml:space="preserve">）、單價年變動（</t>
    </r>
    <r>
      <rPr>
        <sz val="11"/>
        <color theme="1"/>
        <rFont val="Calibri"/>
        <family val="2"/>
        <charset val="1"/>
      </rPr>
      <t xml:space="preserve">I08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量年增（</t>
    </r>
    <r>
      <rPr>
        <sz val="11"/>
        <color theme="1"/>
        <rFont val="Calibri"/>
        <family val="2"/>
        <charset val="1"/>
      </rPr>
      <t xml:space="preserve">I09</t>
    </r>
    <r>
      <rPr>
        <sz val="11"/>
        <color theme="1"/>
        <rFont val="Noto Sans CJK SC"/>
        <family val="2"/>
      </rPr>
      <t xml:space="preserve">）｜推導＝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計費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2025–26 </t>
    </r>
    <r>
      <rPr>
        <sz val="11"/>
        <color theme="1"/>
        <rFont val="Noto Sans CJK SC"/>
        <family val="2"/>
      </rPr>
      <t xml:space="preserve">由營收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單價校準）</t>
    </r>
  </si>
  <si>
    <r>
      <rPr>
        <sz val="11"/>
        <color theme="1"/>
        <rFont val="Calibri"/>
        <family val="2"/>
        <charset val="1"/>
      </rPr>
      <t xml:space="preserve">Revenue</t>
    </r>
    <r>
      <rPr>
        <sz val="11"/>
        <color theme="1"/>
        <rFont val="Noto Sans CJK SC"/>
        <family val="2"/>
      </rPr>
      <t xml:space="preserve">：輸入＝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下半年企業端年化（</t>
    </r>
    <r>
      <rPr>
        <sz val="11"/>
        <color theme="1"/>
        <rFont val="Calibri"/>
        <family val="2"/>
        <charset val="1"/>
      </rPr>
      <t xml:space="preserve">I10</t>
    </r>
    <r>
      <rPr>
        <sz val="11"/>
        <color theme="1"/>
        <rFont val="Noto Sans CJK SC"/>
        <family val="2"/>
      </rPr>
      <t xml:space="preserve">）、消費端成長（</t>
    </r>
    <r>
      <rPr>
        <sz val="11"/>
        <color theme="1"/>
        <rFont val="Calibri"/>
        <family val="2"/>
        <charset val="1"/>
      </rPr>
      <t xml:space="preserve">I11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I12</t>
    </r>
    <r>
      <rPr>
        <sz val="11"/>
        <color theme="1"/>
        <rFont val="Noto Sans CJK SC"/>
        <family val="2"/>
      </rPr>
      <t xml:space="preserve">）｜推導＝企業端＝</t>
    </r>
    <r>
      <rPr>
        <sz val="11"/>
        <color theme="1"/>
        <rFont val="Calibri"/>
        <family val="2"/>
        <charset val="1"/>
      </rPr>
      <t xml:space="preserve">token × </t>
    </r>
    <r>
      <rPr>
        <sz val="11"/>
        <color theme="1"/>
        <rFont val="Noto Sans CJK SC"/>
        <family val="2"/>
      </rPr>
      <t xml:space="preserve">單價；消費端＝成長路徑；產品與收費方式拆分只依 </t>
    </r>
    <r>
      <rPr>
        <sz val="11"/>
        <color theme="1"/>
        <rFont val="Calibri"/>
        <family val="2"/>
        <charset val="1"/>
      </rPr>
      <t xml:space="preserve">9M25 </t>
    </r>
    <r>
      <rPr>
        <sz val="11"/>
        <color theme="1"/>
        <rFont val="Noto Sans CJK SC"/>
        <family val="2"/>
      </rPr>
      <t xml:space="preserve">結構示意</t>
    </r>
  </si>
  <si>
    <r>
      <rPr>
        <sz val="11"/>
        <color theme="1"/>
        <rFont val="Calibri"/>
        <family val="2"/>
        <charset val="1"/>
      </rPr>
      <t xml:space="preserve">Compute</t>
    </r>
    <r>
      <rPr>
        <sz val="11"/>
        <color theme="1"/>
        <rFont val="Noto Sans CJK SC"/>
        <family val="2"/>
      </rPr>
      <t xml:space="preserve">：輸入＝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產能（</t>
    </r>
    <r>
      <rPr>
        <sz val="11"/>
        <color theme="1"/>
        <rFont val="Calibri"/>
        <family val="2"/>
        <charset val="1"/>
      </rPr>
      <t xml:space="preserve">TK01–05</t>
    </r>
    <r>
      <rPr>
        <sz val="11"/>
        <color theme="1"/>
        <rFont val="Noto Sans CJK SC"/>
        <family val="2"/>
      </rPr>
      <t xml:space="preserve">）、利用率（</t>
    </r>
    <r>
      <rPr>
        <sz val="11"/>
        <color theme="1"/>
        <rFont val="Calibri"/>
        <family val="2"/>
        <charset val="1"/>
      </rPr>
      <t xml:space="preserve">TK06</t>
    </r>
    <r>
      <rPr>
        <sz val="11"/>
        <color theme="1"/>
        <rFont val="Noto Sans CJK SC"/>
        <family val="2"/>
      </rPr>
      <t xml:space="preserve">）、機隊組合（</t>
    </r>
    <r>
      <rPr>
        <sz val="11"/>
        <color theme="1"/>
        <rFont val="Calibri"/>
        <family val="2"/>
        <charset val="1"/>
      </rPr>
      <t xml:space="preserve">I05</t>
    </r>
    <r>
      <rPr>
        <sz val="11"/>
        <color theme="1"/>
        <rFont val="Noto Sans CJK SC"/>
        <family val="2"/>
      </rPr>
      <t xml:space="preserve">）、層級組合（</t>
    </r>
    <r>
      <rPr>
        <sz val="11"/>
        <color theme="1"/>
        <rFont val="Calibri"/>
        <family val="2"/>
        <charset val="1"/>
      </rPr>
      <t xml:space="preserve">I04</t>
    </r>
    <r>
      <rPr>
        <sz val="11"/>
        <color theme="1"/>
        <rFont val="Noto Sans CJK SC"/>
        <family val="2"/>
      </rPr>
      <t xml:space="preserve">）、模型效率（</t>
    </r>
    <r>
      <rPr>
        <sz val="11"/>
        <color theme="1"/>
        <rFont val="Calibri"/>
        <family val="2"/>
        <charset val="1"/>
      </rPr>
      <t xml:space="preserve">I06</t>
    </r>
    <r>
      <rPr>
        <sz val="11"/>
        <color theme="1"/>
        <rFont val="Noto Sans CJK SC"/>
        <family val="2"/>
      </rPr>
      <t xml:space="preserve">）、合約價（</t>
    </r>
    <r>
      <rPr>
        <sz val="11"/>
        <color theme="1"/>
        <rFont val="Calibri"/>
        <family val="2"/>
        <charset val="1"/>
      </rPr>
      <t xml:space="preserve">I02</t>
    </r>
    <r>
      <rPr>
        <sz val="11"/>
        <color theme="1"/>
        <rFont val="Noto Sans CJK SC"/>
        <family val="2"/>
      </rPr>
      <t xml:space="preserve">）、訓練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成長（</t>
    </r>
    <r>
      <rPr>
        <sz val="11"/>
        <color theme="1"/>
        <rFont val="Calibri"/>
        <family val="2"/>
        <charset val="1"/>
      </rPr>
      <t xml:space="preserve">I17</t>
    </r>
    <r>
      <rPr>
        <sz val="11"/>
        <color theme="1"/>
        <rFont val="Noto Sans CJK SC"/>
        <family val="2"/>
      </rPr>
      <t xml:space="preserve">）｜推導＝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推論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token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÷ η</t>
    </r>
    <r>
      <rPr>
        <sz val="11"/>
        <color theme="1"/>
        <rFont val="Noto Sans CJK SC"/>
        <family val="2"/>
      </rPr>
      <t xml:space="preserve">；消費端與訓練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＝支出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合約價；</t>
    </r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等值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</si>
  <si>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PnL</t>
    </r>
    <r>
      <rPr>
        <sz val="11"/>
        <color theme="1"/>
        <rFont val="Noto Sans CJK SC"/>
        <family val="2"/>
      </rPr>
      <t xml:space="preserve">：推導＝算力成本＝</t>
    </r>
    <r>
      <rPr>
        <sz val="11"/>
        <color theme="1"/>
        <rFont val="Calibri"/>
        <family val="2"/>
        <charset val="1"/>
      </rPr>
      <t xml:space="preserve">MW × </t>
    </r>
    <r>
      <rPr>
        <sz val="11"/>
        <color theme="1"/>
        <rFont val="Noto Sans CJK SC"/>
        <family val="2"/>
      </rPr>
      <t xml:space="preserve">合約價；人事＝人數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每人成本；其他費用＝營收比例｜命題輸出＝每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營收、每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全成本、覆蓋率（</t>
    </r>
    <r>
      <rPr>
        <sz val="11"/>
        <color theme="1"/>
        <rFont val="Calibri"/>
        <family val="2"/>
        <charset val="1"/>
      </rPr>
      <t xml:space="preserve">P21–P23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</si>
  <si>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Funding</t>
    </r>
    <r>
      <rPr>
        <sz val="11"/>
        <color theme="1"/>
        <rFont val="Noto Sans CJK SC"/>
        <family val="2"/>
      </rPr>
      <t xml:space="preserve">：輸入＝已完成融資（</t>
    </r>
    <r>
      <rPr>
        <sz val="11"/>
        <color theme="1"/>
        <rFont val="Calibri"/>
        <family val="2"/>
        <charset val="1"/>
      </rPr>
      <t xml:space="preserve">SRC</t>
    </r>
    <r>
      <rPr>
        <sz val="11"/>
        <color theme="1"/>
        <rFont val="Noto Sans CJK SC"/>
        <family val="2"/>
      </rPr>
      <t xml:space="preserve">）、預付與自建（</t>
    </r>
    <r>
      <rPr>
        <sz val="11"/>
        <color theme="1"/>
        <rFont val="Calibri"/>
        <family val="2"/>
        <charset val="1"/>
      </rPr>
      <t xml:space="preserve">I22</t>
    </r>
    <r>
      <rPr>
        <sz val="11"/>
        <color theme="1"/>
        <rFont val="Noto Sans CJK SC"/>
        <family val="2"/>
      </rPr>
      <t xml:space="preserve">）、可轉債轉股機率（</t>
    </r>
    <r>
      <rPr>
        <sz val="11"/>
        <color theme="1"/>
        <rFont val="Calibri"/>
        <family val="2"/>
        <charset val="1"/>
      </rPr>
      <t xml:space="preserve">I23</t>
    </r>
    <r>
      <rPr>
        <sz val="11"/>
        <color theme="1"/>
        <rFont val="Noto Sans CJK SC"/>
        <family val="2"/>
      </rPr>
      <t xml:space="preserve">）、最低現金（</t>
    </r>
    <r>
      <rPr>
        <sz val="11"/>
        <color theme="1"/>
        <rFont val="Calibri"/>
        <family val="2"/>
        <charset val="1"/>
      </rPr>
      <t xml:space="preserve">I24</t>
    </r>
    <r>
      <rPr>
        <sz val="11"/>
        <color theme="1"/>
        <rFont val="Noto Sans CJK SC"/>
        <family val="2"/>
      </rPr>
      <t xml:space="preserve">）｜推導＝各年期末現金、需新融資、稀釋</t>
    </r>
  </si>
  <si>
    <r>
      <rPr>
        <sz val="11"/>
        <color theme="1"/>
        <rFont val="Calibri"/>
        <family val="2"/>
        <charset val="1"/>
      </rPr>
      <t xml:space="preserve">Valuation</t>
    </r>
    <r>
      <rPr>
        <sz val="11"/>
        <color theme="1"/>
        <rFont val="Noto Sans CJK SC"/>
        <family val="2"/>
      </rPr>
      <t xml:space="preserve">：推導＝市值、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EV/</t>
    </r>
    <r>
      <rPr>
        <sz val="11"/>
        <color theme="1"/>
        <rFont val="Noto Sans CJK SC"/>
        <family val="2"/>
      </rPr>
      <t xml:space="preserve">營收、反向檢驗（</t>
    </r>
    <r>
      <rPr>
        <sz val="11"/>
        <color theme="1"/>
        <rFont val="Calibri"/>
        <family val="2"/>
        <charset val="1"/>
      </rPr>
      <t xml:space="preserve">I27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I28</t>
    </r>
    <r>
      <rPr>
        <sz val="11"/>
        <color theme="1"/>
        <rFont val="Noto Sans CJK SC"/>
        <family val="2"/>
      </rPr>
      <t xml:space="preserve">）</t>
    </r>
  </si>
  <si>
    <t xml:space="preserve">沿用 OpenAI／CRWV 核心的部分：MW 主軸、TK 每 GW 產能 × 利用率、η 校準（2025 唯一倒推）、VR 等值換算、合約價口徑。只沿用外殼的部分：消費端（影片為主，不走 token 換算）、Funding、Valuation。</t>
  </si>
  <si>
    <t xml:space="preserve">圖例</t>
  </si>
  <si>
    <t xml:space="preserve">藍字＝輸入（SRC 值、TK 值、Inputs）；黑字＝公式；綠字＝跨頁引用；黃底＝關鍵輸出列。Python 只產生結構，數值全由 Excel 計算。</t>
  </si>
  <si>
    <t xml:space="preserve">標記：Verified／Interested-party／Analogy／Assumed／Derived；Analogy、Assumed 一律附區間（Inputs J、K 欄）。</t>
  </si>
  <si>
    <t xml:space="preserve">分層：公司財務原始數據→SRC_MM；AI 技術與算力→TK_Link（Tokenomics 名稱）；假設→Inputs。</t>
  </si>
  <si>
    <t xml:space="preserve">已套用的預設（判斷類，依 Andy 2026-10-07 起「先用預設、交付時列出」）</t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</si>
  <si>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推論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錨定：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走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換算（同 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）；消費端走支出換算（影片／語音無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產能口徑）。</t>
    </r>
  </si>
  <si>
    <r>
      <rPr>
        <sz val="11"/>
        <color theme="1"/>
        <rFont val="Calibri"/>
        <family val="2"/>
        <charset val="1"/>
      </rPr>
      <t xml:space="preserve">2. η </t>
    </r>
    <r>
      <rPr>
        <sz val="11"/>
        <color theme="1"/>
        <rFont val="Noto Sans CJK SC"/>
        <family val="2"/>
      </rPr>
      <t xml:space="preserve">以實際算力支出校準兩次：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全年、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上半年（年化；最新實際，採用此值）；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下半年起 </t>
    </r>
    <r>
      <rPr>
        <sz val="11"/>
        <color theme="1"/>
        <rFont val="Calibri"/>
        <family val="2"/>
        <charset val="1"/>
      </rPr>
      <t xml:space="preserve">× I29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M3.1 </t>
    </r>
    <r>
      <rPr>
        <sz val="11"/>
        <color theme="1"/>
        <rFont val="Noto Sans CJK SC"/>
        <family val="2"/>
      </rPr>
      <t xml:space="preserve">降本，只採一部分）；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起效率年增以 </t>
    </r>
    <r>
      <rPr>
        <sz val="11"/>
        <color theme="1"/>
        <rFont val="Calibri"/>
        <family val="2"/>
        <charset val="1"/>
      </rPr>
      <t xml:space="preserve">I06 </t>
    </r>
    <r>
      <rPr>
        <sz val="11"/>
        <color theme="1"/>
        <rFont val="Noto Sans CJK SC"/>
        <family val="2"/>
      </rPr>
      <t xml:space="preserve">表達。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2026 η </t>
    </r>
    <r>
      <rPr>
        <sz val="11"/>
        <color theme="1"/>
        <rFont val="Noto Sans CJK SC"/>
        <family val="2"/>
      </rPr>
      <t xml:space="preserve">差距大（</t>
    </r>
    <r>
      <rPr>
        <sz val="11"/>
        <color theme="1"/>
        <rFont val="Calibri"/>
        <family val="2"/>
        <charset val="1"/>
      </rPr>
      <t xml:space="preserve">3.4 vs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），反映 </t>
    </r>
    <r>
      <rPr>
        <sz val="11"/>
        <color theme="1"/>
        <rFont val="Calibri"/>
        <family val="2"/>
        <charset val="1"/>
      </rPr>
      <t xml:space="preserve">Token Plan </t>
    </r>
    <r>
      <rPr>
        <sz val="11"/>
        <color theme="1"/>
        <rFont val="Noto Sans CJK SC"/>
        <family val="2"/>
      </rPr>
      <t xml:space="preserve">低價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M3 </t>
    </r>
    <r>
      <rPr>
        <sz val="11"/>
        <color theme="1"/>
        <rFont val="Noto Sans CJK SC"/>
        <family val="2"/>
      </rPr>
      <t xml:space="preserve">較大模型，見 </t>
    </r>
    <r>
      <rPr>
        <sz val="11"/>
        <color theme="1"/>
        <rFont val="Calibri"/>
        <family val="2"/>
        <charset val="1"/>
      </rPr>
      <t xml:space="preserve">Compute C11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</si>
  <si>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3. </t>
    </r>
    <r>
      <rPr>
        <sz val="11"/>
        <color theme="1"/>
        <rFont val="Noto Sans CJK SC"/>
        <family val="2"/>
      </rPr>
      <t xml:space="preserve">合約價沿用 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$12M/MW/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8–20</t>
    </r>
    <r>
      <rPr>
        <sz val="11"/>
        <color theme="1"/>
        <rFont val="Noto Sans CJK SC"/>
        <family val="2"/>
      </rPr>
      <t xml:space="preserve">）；中國租價可能較低，見敏感度。</t>
    </r>
  </si>
  <si>
    <r>
      <rPr>
        <sz val="11"/>
        <color theme="1"/>
        <rFont val="Calibri"/>
        <family val="2"/>
        <charset val="1"/>
      </rPr>
      <t xml:space="preserve">4. 2026 </t>
    </r>
    <r>
      <rPr>
        <sz val="11"/>
        <color theme="1"/>
        <rFont val="Noto Sans CJK SC"/>
        <family val="2"/>
      </rPr>
      <t xml:space="preserve">下半年企業端以 </t>
    </r>
    <r>
      <rPr>
        <sz val="11"/>
        <color theme="1"/>
        <rFont val="Calibri"/>
        <family val="2"/>
        <charset val="1"/>
      </rPr>
      <t xml:space="preserve">ARR </t>
    </r>
    <r>
      <rPr>
        <sz val="11"/>
        <color theme="1"/>
        <rFont val="Noto Sans CJK SC"/>
        <family val="2"/>
      </rPr>
      <t xml:space="preserve">錨（</t>
    </r>
    <r>
      <rPr>
        <sz val="11"/>
        <color theme="1"/>
        <rFont val="Calibri"/>
        <family val="2"/>
        <charset val="1"/>
      </rPr>
      <t xml:space="preserve">640</t>
    </r>
    <r>
      <rPr>
        <sz val="11"/>
        <color theme="1"/>
        <rFont val="Noto Sans CJK SC"/>
        <family val="2"/>
      </rPr>
      <t xml:space="preserve">）略打折為 </t>
    </r>
    <r>
      <rPr>
        <sz val="11"/>
        <color theme="1"/>
        <rFont val="Calibri"/>
        <family val="2"/>
        <charset val="1"/>
      </rPr>
      <t xml:space="preserve">600</t>
    </r>
    <r>
      <rPr>
        <sz val="11"/>
        <color theme="1"/>
        <rFont val="Noto Sans CJK SC"/>
        <family val="2"/>
      </rPr>
      <t xml:space="preserve">；不採公司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ARR 10 </t>
    </r>
    <r>
      <rPr>
        <sz val="11"/>
        <color theme="1"/>
        <rFont val="Noto Sans CJK SC"/>
        <family val="2"/>
      </rPr>
      <t xml:space="preserve">億目標。</t>
    </r>
  </si>
  <si>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CJK SC"/>
        <family val="2"/>
      </rPr>
      <t xml:space="preserve">自建集群：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不另建折舊；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預付與資本支出只作現金時差（</t>
    </r>
    <r>
      <rPr>
        <sz val="11"/>
        <color theme="1"/>
        <rFont val="Calibri"/>
        <family val="2"/>
        <charset val="1"/>
      </rPr>
      <t xml:space="preserve">I22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P&amp;L </t>
    </r>
    <r>
      <rPr>
        <sz val="11"/>
        <color theme="1"/>
        <rFont val="Noto Sans CJK SC"/>
        <family val="2"/>
      </rPr>
      <t xml:space="preserve">算力一律以合約價計。</t>
    </r>
  </si>
  <si>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CJK SC"/>
        <family val="2"/>
      </rPr>
      <t xml:space="preserve">可轉債基準以現金贖回（轉換價 </t>
    </r>
    <r>
      <rPr>
        <sz val="11"/>
        <color theme="1"/>
        <rFont val="Calibri"/>
        <family val="2"/>
        <charset val="1"/>
      </rPr>
      <t xml:space="preserve">HK$335 &gt; </t>
    </r>
    <r>
      <rPr>
        <sz val="11"/>
        <color theme="1"/>
        <rFont val="Noto Sans CJK SC"/>
        <family val="2"/>
      </rPr>
      <t xml:space="preserve">現價約 </t>
    </r>
    <r>
      <rPr>
        <sz val="11"/>
        <color theme="1"/>
        <rFont val="Calibri"/>
        <family val="2"/>
        <charset val="1"/>
      </rPr>
      <t xml:space="preserve">218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</si>
  <si>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7. </t>
    </r>
    <r>
      <rPr>
        <sz val="11"/>
        <color theme="1"/>
        <rFont val="Noto Sans CJK SC"/>
        <family val="2"/>
      </rPr>
      <t xml:space="preserve">訂閱方案別、產品別營收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後未揭露：只依 </t>
    </r>
    <r>
      <rPr>
        <sz val="11"/>
        <color theme="1"/>
        <rFont val="Calibri"/>
        <family val="2"/>
        <charset val="1"/>
      </rPr>
      <t xml:space="preserve">9M25 </t>
    </r>
    <r>
      <rPr>
        <sz val="11"/>
        <color theme="1"/>
        <rFont val="Noto Sans CJK SC"/>
        <family val="2"/>
      </rPr>
      <t xml:space="preserve">結構示意，不進核心計算。</t>
    </r>
  </si>
  <si>
    <t xml:space="preserve">已知限制（下一版）：季度層、自建集群折舊與持有成本（TK IF_HoldEcon）、消費端付費人數 × ARPPU 拆解、A 股（科創板）上市情境、多情境加權。</t>
  </si>
  <si>
    <t xml:space="preserve">研究底稿與來源：minimax/data/research/financials.md、operations.md（repo YinchenChang/company-models）。</t>
  </si>
  <si>
    <r>
      <rPr>
        <b val="true"/>
        <sz val="11"/>
        <rFont val="Cambria"/>
        <family val="0"/>
        <charset val="1"/>
      </rPr>
      <t xml:space="preserve">SRC_MM — MiniMax </t>
    </r>
    <r>
      <rPr>
        <b val="true"/>
        <sz val="11"/>
        <rFont val="Noto Sans CJK SC"/>
        <family val="2"/>
      </rPr>
      <t xml:space="preserve">公司財務與營運原始數據（單位見各列；</t>
    </r>
    <r>
      <rPr>
        <b val="true"/>
        <sz val="11"/>
        <rFont val="Cambria"/>
        <family val="0"/>
        <charset val="1"/>
      </rPr>
      <t xml:space="preserve">US$ </t>
    </r>
    <r>
      <rPr>
        <b val="true"/>
        <sz val="11"/>
        <rFont val="Noto Sans CJK SC"/>
        <family val="2"/>
      </rPr>
      <t xml:space="preserve">除註明外）</t>
    </r>
  </si>
  <si>
    <t xml:space="preserve">一手＝公司公告／申報文件；二手（含一手公告轉載）＝媒體轉述公司公開說法；二手＝媒體或資料商。藍字可改。研究底稿：data/research/</t>
  </si>
  <si>
    <t xml:space="preserve">ID</t>
  </si>
  <si>
    <t xml:space="preserve">項目</t>
  </si>
  <si>
    <t xml:space="preserve">期間</t>
  </si>
  <si>
    <t xml:space="preserve">單位</t>
  </si>
  <si>
    <t xml:space="preserve">值</t>
  </si>
  <si>
    <t xml:space="preserve">標記</t>
  </si>
  <si>
    <t xml:space="preserve">一手／二手</t>
  </si>
  <si>
    <t xml:space="preserve">來源</t>
  </si>
  <si>
    <t xml:space="preserve">S001</t>
  </si>
  <si>
    <t xml:space="preserve">營收</t>
  </si>
  <si>
    <t xml:space="preserve">FY2024</t>
  </si>
  <si>
    <t xml:space="preserve">$M</t>
  </si>
  <si>
    <t xml:space="preserve">Verified</t>
  </si>
  <si>
    <t xml:space="preserve">一手</t>
  </si>
  <si>
    <r>
      <rPr>
        <sz val="11"/>
        <color theme="1"/>
        <rFont val="Calibri"/>
        <family val="2"/>
        <charset val="1"/>
      </rPr>
      <t xml:space="preserve">HKEX </t>
    </r>
    <r>
      <rPr>
        <sz val="11"/>
        <color theme="1"/>
        <rFont val="Noto Sans CJK SC"/>
        <family val="2"/>
      </rPr>
      <t xml:space="preserve">招股書 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Summary</t>
    </r>
    <r>
      <rPr>
        <sz val="11"/>
        <color theme="1"/>
        <rFont val="Noto Sans CJK SC"/>
        <family val="2"/>
      </rPr>
      <t xml:space="preserve">／附錄一會計師報告）</t>
    </r>
  </si>
  <si>
    <t xml:space="preserve">S002</t>
  </si>
  <si>
    <t xml:space="preserve">FY2025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</si>
  <si>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年度業績公告 </t>
    </r>
    <r>
      <rPr>
        <sz val="11"/>
        <color theme="1"/>
        <rFont val="Calibri"/>
        <family val="2"/>
        <charset val="1"/>
      </rPr>
      <t xml:space="preserve">2026-03-02</t>
    </r>
  </si>
  <si>
    <t xml:space="preserve">S003</t>
  </si>
  <si>
    <t xml:space="preserve">1H2025</t>
  </si>
  <si>
    <r>
      <rPr>
        <sz val="11"/>
        <color theme="1"/>
        <rFont val="Calibri"/>
        <family val="2"/>
        <charset val="1"/>
      </rPr>
      <t xml:space="preserve">1H2026 </t>
    </r>
    <r>
      <rPr>
        <sz val="11"/>
        <color theme="1"/>
        <rFont val="Noto Sans CJK SC"/>
        <family val="2"/>
      </rPr>
      <t xml:space="preserve">中期業績公告 </t>
    </r>
    <r>
      <rPr>
        <sz val="11"/>
        <color theme="1"/>
        <rFont val="Calibri"/>
        <family val="2"/>
        <charset val="1"/>
      </rPr>
      <t xml:space="preserve">2026-08-26</t>
    </r>
  </si>
  <si>
    <t xml:space="preserve">S004</t>
  </si>
  <si>
    <t xml:space="preserve">1H2026</t>
  </si>
  <si>
    <t xml:space="preserve">S005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</si>
  <si>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原生產品營收（消費端）</t>
    </r>
  </si>
  <si>
    <t xml:space="preserve">S006</t>
  </si>
  <si>
    <t xml:space="preserve">開放平台及企業服務營收（API／企業端）</t>
  </si>
  <si>
    <t xml:space="preserve">S007</t>
  </si>
  <si>
    <t xml:space="preserve">S008</t>
  </si>
  <si>
    <t xml:space="preserve">S009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</si>
  <si>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原生產品營收</t>
    </r>
  </si>
  <si>
    <t xml:space="preserve">9M2025</t>
  </si>
  <si>
    <t xml:space="preserve">S010</t>
  </si>
  <si>
    <t xml:space="preserve">開放平台及企業服務營收</t>
  </si>
  <si>
    <t xml:space="preserve">S011</t>
  </si>
  <si>
    <r>
      <rPr>
        <sz val="11"/>
        <color theme="1"/>
        <rFont val="Calibri"/>
        <family val="2"/>
        <charset val="1"/>
      </rPr>
      <t xml:space="preserve">Talkie</t>
    </r>
    <r>
      <rPr>
        <sz val="11"/>
        <color theme="1"/>
        <rFont val="Noto Sans CJK SC"/>
        <family val="2"/>
      </rPr>
      <t xml:space="preserve">／星野 營收</t>
    </r>
  </si>
  <si>
    <t xml:space="preserve">S012</t>
  </si>
  <si>
    <t xml:space="preserve">海螺 Hailuo（影片）營收</t>
  </si>
  <si>
    <t xml:space="preserve">S013</t>
  </si>
  <si>
    <r>
      <rPr>
        <sz val="11"/>
        <color theme="1"/>
        <rFont val="Calibri"/>
        <family val="2"/>
        <charset val="1"/>
      </rPr>
      <t xml:space="preserve">MiniMax Audio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MiniMax App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</si>
  <si>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HKEX </t>
    </r>
    <r>
      <rPr>
        <sz val="11"/>
        <color theme="1"/>
        <rFont val="Noto Sans CJK SC"/>
        <family val="2"/>
      </rPr>
      <t xml:space="preserve">招股書 </t>
    </r>
    <r>
      <rPr>
        <sz val="11"/>
        <color theme="1"/>
        <rFont val="Calibri"/>
        <family val="2"/>
        <charset val="1"/>
      </rPr>
      <t xml:space="preserve">2025-12-31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Summary</t>
    </r>
    <r>
      <rPr>
        <sz val="11"/>
        <color theme="1"/>
        <rFont val="Noto Sans CJK SC"/>
        <family val="2"/>
      </rPr>
      <t xml:space="preserve">／附錄一會計師報告）（</t>
    </r>
    <r>
      <rPr>
        <sz val="11"/>
        <color theme="1"/>
        <rFont val="Calibri"/>
        <family val="2"/>
        <charset val="1"/>
      </rPr>
      <t xml:space="preserve">1.050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0.756</t>
    </r>
    <r>
      <rPr>
        <sz val="11"/>
        <color theme="1"/>
        <rFont val="Noto Sans CJK SC"/>
        <family val="2"/>
      </rPr>
      <t xml:space="preserve">）</t>
    </r>
  </si>
  <si>
    <t xml:space="preserve">S014</t>
  </si>
  <si>
    <r>
      <rPr>
        <sz val="11"/>
        <color theme="1"/>
        <rFont val="Calibri"/>
        <family val="2"/>
        <charset val="1"/>
      </rPr>
      <t xml:space="preserve">Talkie</t>
    </r>
    <r>
      <rPr>
        <sz val="11"/>
        <color theme="1"/>
        <rFont val="Noto Sans CJK SC"/>
        <family val="2"/>
      </rPr>
      <t xml:space="preserve">／星野 廣告（線上行銷）營收</t>
    </r>
  </si>
  <si>
    <t xml:space="preserve">S015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</si>
  <si>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原生 訂閱營收（</t>
    </r>
    <r>
      <rPr>
        <sz val="11"/>
        <color theme="1"/>
        <rFont val="Calibri"/>
        <family val="2"/>
        <charset val="1"/>
      </rPr>
      <t xml:space="preserve">Talkie 6.604</t>
    </r>
    <r>
      <rPr>
        <sz val="11"/>
        <color theme="1"/>
        <rFont val="Noto Sans CJK SC"/>
        <family val="2"/>
      </rPr>
      <t xml:space="preserve">＋海螺 </t>
    </r>
    <r>
      <rPr>
        <sz val="11"/>
        <color theme="1"/>
        <rFont val="Calibri"/>
        <family val="2"/>
        <charset val="1"/>
      </rPr>
      <t xml:space="preserve">14.147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Audio 0.854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App 0.552</t>
    </r>
    <r>
      <rPr>
        <sz val="11"/>
        <color theme="1"/>
        <rFont val="Noto Sans CJK SC"/>
        <family val="2"/>
      </rPr>
      <t xml:space="preserve">）</t>
    </r>
  </si>
  <si>
    <t xml:space="preserve">S016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</si>
  <si>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原生 儲值（</t>
    </r>
    <r>
      <rPr>
        <sz val="11"/>
        <color theme="1"/>
        <rFont val="Calibri"/>
        <family val="2"/>
        <charset val="1"/>
      </rPr>
      <t xml:space="preserve">top-up</t>
    </r>
    <r>
      <rPr>
        <sz val="11"/>
        <color theme="1"/>
        <rFont val="Noto Sans CJK SC"/>
        <family val="2"/>
      </rPr>
      <t xml:space="preserve">）營收（</t>
    </r>
    <r>
      <rPr>
        <sz val="11"/>
        <color theme="1"/>
        <rFont val="Calibri"/>
        <family val="2"/>
        <charset val="1"/>
      </rPr>
      <t xml:space="preserve">Talkie 0.958</t>
    </r>
    <r>
      <rPr>
        <sz val="11"/>
        <color theme="1"/>
        <rFont val="Noto Sans CJK SC"/>
        <family val="2"/>
      </rPr>
      <t xml:space="preserve">＋海螺 </t>
    </r>
    <r>
      <rPr>
        <sz val="11"/>
        <color theme="1"/>
        <rFont val="Calibri"/>
        <family val="2"/>
        <charset val="1"/>
      </rPr>
      <t xml:space="preserve">3.317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Audio 0.196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App 0.204</t>
    </r>
    <r>
      <rPr>
        <sz val="11"/>
        <color theme="1"/>
        <rFont val="Noto Sans CJK SC"/>
        <family val="2"/>
      </rPr>
      <t xml:space="preserve">）</t>
    </r>
  </si>
  <si>
    <t xml:space="preserve">S017</t>
  </si>
  <si>
    <t xml:space="preserve">分部毛利率：AI 原生產品</t>
  </si>
  <si>
    <t xml:space="preserve">比例</t>
  </si>
  <si>
    <t xml:space="preserve">Interested-party</t>
  </si>
  <si>
    <t xml:space="preserve">二手（含一手轉載）</t>
  </si>
  <si>
    <t xml:space="preserve">量子位、東吳 IPO 報告引招股書；未見原頁</t>
  </si>
  <si>
    <t xml:space="preserve">S018</t>
  </si>
  <si>
    <t xml:space="preserve">分部毛利率：開放平台</t>
  </si>
  <si>
    <t xml:space="preserve">S019</t>
  </si>
  <si>
    <t xml:space="preserve">銷售成本</t>
  </si>
  <si>
    <t xml:space="preserve">S020</t>
  </si>
  <si>
    <t xml:space="preserve">S021</t>
  </si>
  <si>
    <t xml:space="preserve">銷售及分銷費用</t>
  </si>
  <si>
    <t xml:space="preserve">S022</t>
  </si>
  <si>
    <t xml:space="preserve">行政費用</t>
  </si>
  <si>
    <t xml:space="preserve">S023</t>
  </si>
  <si>
    <t xml:space="preserve">研發費用</t>
  </si>
  <si>
    <t xml:space="preserve">S024</t>
  </si>
  <si>
    <t xml:space="preserve">S025</t>
  </si>
  <si>
    <t xml:space="preserve">S026</t>
  </si>
  <si>
    <t xml:space="preserve">S027</t>
  </si>
  <si>
    <t xml:space="preserve">研發成本（不含員工福利、折舊攤銷；≈訓練用雲端算力）</t>
  </si>
  <si>
    <t xml:space="preserve">S028</t>
  </si>
  <si>
    <t xml:space="preserve">員工福利開支合計（含 SBC）</t>
  </si>
  <si>
    <t xml:space="preserve">S029</t>
  </si>
  <si>
    <t xml:space="preserve">S030</t>
  </si>
  <si>
    <t xml:space="preserve">股份支付（非 IFRS 調節）</t>
  </si>
  <si>
    <t xml:space="preserve">S031</t>
  </si>
  <si>
    <t xml:space="preserve">S032</t>
  </si>
  <si>
    <t xml:space="preserve">其他收入及收益淨額（主要為理財與利息）</t>
  </si>
  <si>
    <t xml:space="preserve">S033</t>
  </si>
  <si>
    <t xml:space="preserve">其他收入及收益淨額</t>
  </si>
  <si>
    <t xml:space="preserve">S034</t>
  </si>
  <si>
    <t xml:space="preserve">經調整淨虧損（非 IFRS）</t>
  </si>
  <si>
    <t xml:space="preserve">S035</t>
  </si>
  <si>
    <t xml:space="preserve">S036</t>
  </si>
  <si>
    <t xml:space="preserve">淨虧損（IFRS；含優先股公允價值變動 1,589.9）</t>
  </si>
  <si>
    <t xml:space="preserve">S037</t>
  </si>
  <si>
    <t xml:space="preserve">上市開支</t>
  </si>
  <si>
    <t xml:space="preserve">S038</t>
  </si>
  <si>
    <t xml:space="preserve">全職員工數</t>
  </si>
  <si>
    <t xml:space="preserve">2025-12-31</t>
  </si>
  <si>
    <t xml:space="preserve">人</t>
  </si>
  <si>
    <t xml:space="preserve">S039</t>
  </si>
  <si>
    <t xml:space="preserve">2026-06-30</t>
  </si>
  <si>
    <t xml:space="preserve">S040</t>
  </si>
  <si>
    <t xml:space="preserve">現金結餘（公司口徑：現金＋定存＋理財等）</t>
  </si>
  <si>
    <t xml:space="preserve">S041</t>
  </si>
  <si>
    <t xml:space="preserve">現金結餘（公司口徑）</t>
  </si>
  <si>
    <t xml:space="preserve">S042</t>
  </si>
  <si>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淨募資（含超額配售）</t>
    </r>
  </si>
  <si>
    <t xml:space="preserve">2026-01</t>
  </si>
  <si>
    <t xml:space="preserve">HK$M</t>
  </si>
  <si>
    <t xml:space="preserve">配發結果公告 2026-01-08；超額配售權行使公告 2026-01-11</t>
  </si>
  <si>
    <t xml:space="preserve">S043</t>
  </si>
  <si>
    <t xml:space="preserve">配售新股淨額（35.6M 股 @HK$268）</t>
  </si>
  <si>
    <t xml:space="preserve">2026-07-14</t>
  </si>
  <si>
    <r>
      <rPr>
        <sz val="11"/>
        <color theme="1"/>
        <rFont val="Calibri"/>
        <family val="2"/>
        <charset val="1"/>
      </rPr>
      <t xml:space="preserve">1H2026 </t>
    </r>
    <r>
      <rPr>
        <sz val="11"/>
        <color theme="1"/>
        <rFont val="Noto Sans CJK SC"/>
        <family val="2"/>
      </rPr>
      <t xml:space="preserve">中期業績公告 </t>
    </r>
    <r>
      <rPr>
        <sz val="11"/>
        <color theme="1"/>
        <rFont val="Calibri"/>
        <family val="2"/>
        <charset val="1"/>
      </rPr>
      <t xml:space="preserve">2026-08-26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11</t>
    </r>
  </si>
  <si>
    <t xml:space="preserve">S044</t>
  </si>
  <si>
    <t xml:space="preserve">零息可轉債本金（2027 到期）</t>
  </si>
  <si>
    <t xml:space="preserve">2026-07-16</t>
  </si>
  <si>
    <t xml:space="preserve">S045</t>
  </si>
  <si>
    <t xml:space="preserve">零息可轉債淨額</t>
  </si>
  <si>
    <t xml:space="preserve">S046</t>
  </si>
  <si>
    <t xml:space="preserve">可轉債轉換價</t>
  </si>
  <si>
    <t xml:space="preserve">2026-07</t>
  </si>
  <si>
    <r>
      <rPr>
        <sz val="11"/>
        <color theme="1"/>
        <rFont val="Calibri"/>
        <family val="2"/>
        <charset val="1"/>
      </rPr>
      <t xml:space="preserve">HK$/</t>
    </r>
    <r>
      <rPr>
        <sz val="11"/>
        <color theme="1"/>
        <rFont val="Noto Sans CJK SC"/>
        <family val="2"/>
      </rPr>
      <t xml:space="preserve">股</t>
    </r>
  </si>
  <si>
    <t xml:space="preserve">S047</t>
  </si>
  <si>
    <t xml:space="preserve">計息銀行借款</t>
  </si>
  <si>
    <t xml:space="preserve">S048</t>
  </si>
  <si>
    <t xml:space="preserve">S049</t>
  </si>
  <si>
    <t xml:space="preserve">物業廠房設備＋預付款（2025-12-31：1.6＋17.2）</t>
  </si>
  <si>
    <t xml:space="preserve">S050</t>
  </si>
  <si>
    <t xml:space="preserve">物業廠房設備＋預付款（2026-06-30：74.9＋266.2）</t>
  </si>
  <si>
    <r>
      <rPr>
        <sz val="11"/>
        <color theme="1"/>
        <rFont val="Calibri"/>
        <family val="2"/>
        <charset val="1"/>
      </rPr>
      <t xml:space="preserve">1H2026 </t>
    </r>
    <r>
      <rPr>
        <sz val="11"/>
        <color theme="1"/>
        <rFont val="Noto Sans CJK SC"/>
        <family val="2"/>
      </rPr>
      <t xml:space="preserve">中期業績公告 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（未說明用途；推測為算力採購）</t>
    </r>
  </si>
  <si>
    <t xml:space="preserve">S051</t>
  </si>
  <si>
    <t xml:space="preserve">已發行股數（配售後）</t>
  </si>
  <si>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股</t>
    </r>
  </si>
  <si>
    <t xml:space="preserve">S052</t>
  </si>
  <si>
    <t xml:space="preserve">市值</t>
  </si>
  <si>
    <r>
      <rPr>
        <sz val="11"/>
        <color theme="1"/>
        <rFont val="Calibri"/>
        <family val="2"/>
        <charset val="1"/>
      </rPr>
      <t xml:space="preserve">2026-10-02 </t>
    </r>
    <r>
      <rPr>
        <sz val="11"/>
        <color theme="1"/>
        <rFont val="Noto Sans CJK SC"/>
        <family val="2"/>
      </rPr>
      <t xml:space="preserve">收盤</t>
    </r>
  </si>
  <si>
    <t xml:space="preserve">二手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</si>
  <si>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（最新可得日期；</t>
    </r>
    <r>
      <rPr>
        <sz val="11"/>
        <color theme="1"/>
        <rFont val="Calibri"/>
        <family val="2"/>
        <charset val="1"/>
      </rPr>
      <t xml:space="preserve">10-08 </t>
    </r>
    <r>
      <rPr>
        <sz val="11"/>
        <color theme="1"/>
        <rFont val="Noto Sans CJK SC"/>
        <family val="2"/>
      </rPr>
      <t xml:space="preserve">股價未取得）</t>
    </r>
  </si>
  <si>
    <t xml:space="preserve">S053</t>
  </si>
  <si>
    <r>
      <rPr>
        <sz val="11"/>
        <color theme="1"/>
        <rFont val="Calibri"/>
        <family val="2"/>
        <charset val="1"/>
      </rPr>
      <t xml:space="preserve">ARR</t>
    </r>
    <r>
      <rPr>
        <sz val="11"/>
        <color theme="1"/>
        <rFont val="Noto Sans CJK SC"/>
        <family val="2"/>
      </rPr>
      <t xml:space="preserve">（週營收</t>
    </r>
    <r>
      <rPr>
        <sz val="11"/>
        <color theme="1"/>
        <rFont val="Calibri"/>
        <family val="2"/>
        <charset val="1"/>
      </rPr>
      <t xml:space="preserve">×52</t>
    </r>
    <r>
      <rPr>
        <sz val="11"/>
        <color theme="1"/>
        <rFont val="Noto Sans CJK SC"/>
        <family val="2"/>
      </rPr>
      <t xml:space="preserve">）</t>
    </r>
  </si>
  <si>
    <t xml:space="preserve">2026-08</t>
  </si>
  <si>
    <t xml:space="preserve">二手（含一手公告轉載）</t>
  </si>
  <si>
    <t xml:space="preserve">中期業績電話會（副總裁薛子釗），騰訊新聞／InfoQ 轉述；「超過」</t>
  </si>
  <si>
    <t xml:space="preserve">S054</t>
  </si>
  <si>
    <r>
      <rPr>
        <sz val="11"/>
        <color theme="1"/>
        <rFont val="Calibri"/>
        <family val="2"/>
        <charset val="1"/>
      </rPr>
      <t xml:space="preserve">ARR </t>
    </r>
    <r>
      <rPr>
        <sz val="11"/>
        <color theme="1"/>
        <rFont val="Noto Sans CJK SC"/>
        <family val="2"/>
      </rPr>
      <t xml:space="preserve">中企業端（</t>
    </r>
    <r>
      <rPr>
        <sz val="11"/>
        <color theme="1"/>
        <rFont val="Calibri"/>
        <family val="2"/>
        <charset val="1"/>
      </rPr>
      <t xml:space="preserve">B2B</t>
    </r>
    <r>
      <rPr>
        <sz val="11"/>
        <color theme="1"/>
        <rFont val="Noto Sans CJK SC"/>
        <family val="2"/>
      </rPr>
      <t xml:space="preserve">）占比</t>
    </r>
  </si>
  <si>
    <t xml:space="preserve">同上</t>
  </si>
  <si>
    <t xml:space="preserve">S055</t>
  </si>
  <si>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用量倍數（</t>
    </r>
    <r>
      <rPr>
        <sz val="11"/>
        <color theme="1"/>
        <rFont val="Calibri"/>
        <family val="2"/>
        <charset val="1"/>
      </rPr>
      <t xml:space="preserve">2026-07 ÷ 2026-01</t>
    </r>
    <r>
      <rPr>
        <sz val="11"/>
        <color theme="1"/>
        <rFont val="Noto Sans CJK SC"/>
        <family val="2"/>
      </rPr>
      <t xml:space="preserve">）</t>
    </r>
  </si>
  <si>
    <t xml:space="preserve">倍</t>
  </si>
  <si>
    <r>
      <rPr>
        <sz val="11"/>
        <color theme="1"/>
        <rFont val="Calibri"/>
        <family val="2"/>
        <charset val="1"/>
      </rPr>
      <t xml:space="preserve">1H2026 </t>
    </r>
    <r>
      <rPr>
        <sz val="11"/>
        <color theme="1"/>
        <rFont val="Noto Sans CJK SC"/>
        <family val="2"/>
      </rPr>
      <t xml:space="preserve">中期業績公告 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CEO</t>
    </r>
    <r>
      <rPr>
        <sz val="11"/>
        <color theme="1"/>
        <rFont val="Noto Sans CJK SC"/>
        <family val="2"/>
      </rPr>
      <t xml:space="preserve">）；計費方式改變與降價會放大倍數</t>
    </r>
  </si>
  <si>
    <t xml:space="preserve">S056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</si>
  <si>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牌價：</t>
    </r>
    <r>
      <rPr>
        <sz val="11"/>
        <color theme="1"/>
        <rFont val="Calibri"/>
        <family val="2"/>
        <charset val="1"/>
      </rPr>
      <t xml:space="preserve">M2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M3 </t>
    </r>
    <r>
      <rPr>
        <sz val="11"/>
        <color theme="1"/>
        <rFont val="Noto Sans CJK SC"/>
        <family val="2"/>
      </rPr>
      <t xml:space="preserve">輸入（≤</t>
    </r>
    <r>
      <rPr>
        <sz val="11"/>
        <color theme="1"/>
        <rFont val="Calibri"/>
        <family val="2"/>
        <charset val="1"/>
      </rPr>
      <t xml:space="preserve">512K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</si>
  <si>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2026-06-15 </t>
    </r>
    <r>
      <rPr>
        <sz val="11"/>
        <color theme="1"/>
        <rFont val="Noto Sans CJK SC"/>
        <family val="2"/>
      </rPr>
      <t xml:space="preserve">起</t>
    </r>
  </si>
  <si>
    <t xml:space="preserve">$/M</t>
  </si>
  <si>
    <r>
      <rPr>
        <sz val="11"/>
        <color theme="1"/>
        <rFont val="Calibri"/>
        <family val="2"/>
        <charset val="1"/>
      </rPr>
      <t xml:space="preserve">platform.minimax.io </t>
    </r>
    <r>
      <rPr>
        <sz val="11"/>
        <color theme="1"/>
        <rFont val="Noto Sans CJK SC"/>
        <family val="2"/>
      </rPr>
      <t xml:space="preserve">定價頁</t>
    </r>
  </si>
  <si>
    <t xml:space="preserve">S057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</si>
  <si>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牌價：</t>
    </r>
    <r>
      <rPr>
        <sz val="11"/>
        <color theme="1"/>
        <rFont val="Calibri"/>
        <family val="2"/>
        <charset val="1"/>
      </rPr>
      <t xml:space="preserve">M2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M3 </t>
    </r>
    <r>
      <rPr>
        <sz val="11"/>
        <color theme="1"/>
        <rFont val="Noto Sans CJK SC"/>
        <family val="2"/>
      </rPr>
      <t xml:space="preserve">輸出</t>
    </r>
  </si>
  <si>
    <t xml:space="preserve">S058</t>
  </si>
  <si>
    <r>
      <rPr>
        <sz val="11"/>
        <color theme="1"/>
        <rFont val="Calibri"/>
        <family val="2"/>
        <charset val="1"/>
      </rPr>
      <t xml:space="preserve">M3 </t>
    </r>
    <r>
      <rPr>
        <sz val="11"/>
        <color theme="1"/>
        <rFont val="Noto Sans CJK SC"/>
        <family val="2"/>
      </rPr>
      <t xml:space="preserve">綜合實收單價</t>
    </r>
  </si>
  <si>
    <t xml:space="preserve">中期電話會轉述；一手出處未找到</t>
  </si>
  <si>
    <t xml:space="preserve">S059</t>
  </si>
  <si>
    <t xml:space="preserve">阿里雲採購年度上限（2026；人民幣 21 億）</t>
  </si>
  <si>
    <t xml:space="preserve">2026</t>
  </si>
  <si>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關連交易上限修訂（媒體轉述）；原上限 </t>
    </r>
    <r>
      <rPr>
        <sz val="11"/>
        <color theme="1"/>
        <rFont val="Calibri"/>
        <family val="2"/>
        <charset val="1"/>
      </rPr>
      <t xml:space="preserve">115</t>
    </r>
  </si>
  <si>
    <t xml:space="preserve">S060</t>
  </si>
  <si>
    <t xml:space="preserve">阿里雲採購年度上限（2027）</t>
  </si>
  <si>
    <t xml:space="preserve">2027</t>
  </si>
  <si>
    <t xml:space="preserve">S061</t>
  </si>
  <si>
    <t xml:space="preserve">阿里雲採購年度上限（2028）</t>
  </si>
  <si>
    <t xml:space="preserve">2028</t>
  </si>
  <si>
    <t xml:space="preserve">S062</t>
  </si>
  <si>
    <t xml:space="preserve">市場共識營收（23 位分析師平均）</t>
  </si>
  <si>
    <t xml:space="preserve">FY2026E</t>
  </si>
  <si>
    <r>
      <rPr>
        <sz val="11"/>
        <color theme="1"/>
        <rFont val="Calibri"/>
        <family val="2"/>
        <charset val="1"/>
      </rPr>
      <t xml:space="preserve">stockanalysis.com 2026-09-21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228–594</t>
    </r>
    <r>
      <rPr>
        <sz val="11"/>
        <color theme="1"/>
        <rFont val="Noto Sans CJK SC"/>
        <family val="2"/>
      </rPr>
      <t xml:space="preserve">）</t>
    </r>
  </si>
  <si>
    <t xml:space="preserve">S063</t>
  </si>
  <si>
    <r>
      <rPr>
        <sz val="11"/>
        <color theme="1"/>
        <rFont val="Calibri"/>
        <family val="2"/>
        <charset val="1"/>
      </rPr>
      <t xml:space="preserve">Goldman Sachs </t>
    </r>
    <r>
      <rPr>
        <sz val="11"/>
        <color theme="1"/>
        <rFont val="Noto Sans CJK SC"/>
        <family val="2"/>
      </rPr>
      <t xml:space="preserve">營收預估</t>
    </r>
  </si>
  <si>
    <t xml:space="preserve">FY2027E</t>
  </si>
  <si>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研報（</t>
    </r>
    <r>
      <rPr>
        <sz val="11"/>
        <color theme="1"/>
        <rFont val="Calibri"/>
        <family val="2"/>
        <charset val="1"/>
      </rPr>
      <t xml:space="preserve">163.com </t>
    </r>
    <r>
      <rPr>
        <sz val="11"/>
        <color theme="1"/>
        <rFont val="Noto Sans CJK SC"/>
        <family val="2"/>
      </rPr>
      <t xml:space="preserve">轉述）</t>
    </r>
  </si>
  <si>
    <t xml:space="preserve">S064</t>
  </si>
  <si>
    <t xml:space="preserve">FY2028E</t>
  </si>
  <si>
    <t xml:space="preserve">S065</t>
  </si>
  <si>
    <r>
      <rPr>
        <sz val="11"/>
        <color theme="1"/>
        <rFont val="Calibri"/>
        <family val="2"/>
        <charset val="1"/>
      </rPr>
      <t xml:space="preserve">Visible Alpha </t>
    </r>
    <r>
      <rPr>
        <sz val="11"/>
        <color theme="1"/>
        <rFont val="Noto Sans CJK SC"/>
        <family val="2"/>
      </rPr>
      <t xml:space="preserve">共識營收</t>
    </r>
  </si>
  <si>
    <t xml:space="preserve">FY2030E</t>
  </si>
  <si>
    <t xml:space="preserve">S&amp;P Global MI 2026-04-22</t>
  </si>
  <si>
    <t xml:space="preserve">S066</t>
  </si>
  <si>
    <r>
      <rPr>
        <sz val="11"/>
        <color theme="1"/>
        <rFont val="Calibri"/>
        <family val="2"/>
        <charset val="1"/>
      </rPr>
      <t xml:space="preserve">Citi </t>
    </r>
    <r>
      <rPr>
        <sz val="11"/>
        <color theme="1"/>
        <rFont val="Noto Sans CJK SC"/>
        <family val="2"/>
      </rPr>
      <t xml:space="preserve">經調整淨虧損預估</t>
    </r>
  </si>
  <si>
    <r>
      <rPr>
        <sz val="11"/>
        <color theme="1"/>
        <rFont val="Calibri"/>
        <family val="2"/>
        <charset val="1"/>
      </rPr>
      <t xml:space="preserve">Citi 2026-08-27</t>
    </r>
    <r>
      <rPr>
        <sz val="11"/>
        <color theme="1"/>
        <rFont val="Noto Sans CJK SC"/>
        <family val="2"/>
      </rPr>
      <t xml:space="preserve">（媒體轉述）</t>
    </r>
  </si>
  <si>
    <t xml:space="preserve">S067</t>
  </si>
  <si>
    <t xml:space="preserve">S068</t>
  </si>
  <si>
    <t xml:space="preserve">S069</t>
  </si>
  <si>
    <t xml:space="preserve">上市前股權融資累計（天使至 Pre-B++）</t>
  </si>
  <si>
    <t xml:space="preserve">2021–2025</t>
  </si>
  <si>
    <t xml:space="preserve">東吳 IPO 報告轉載招股書歷史沿革表</t>
  </si>
  <si>
    <t xml:space="preserve">S070</t>
  </si>
  <si>
    <t xml:space="preserve">智譜（2513.HK）市值</t>
  </si>
  <si>
    <t xml:space="preserve">2026-10-02</t>
  </si>
  <si>
    <t xml:space="preserve">stockanalysis.com</t>
  </si>
  <si>
    <t xml:space="preserve">S071</t>
  </si>
  <si>
    <t xml:space="preserve">智譜 1H2026 營收</t>
  </si>
  <si>
    <t xml:space="preserve">RMB M</t>
  </si>
  <si>
    <t xml:space="preserve">第一財經轉述 2026-08-31 業績</t>
  </si>
  <si>
    <t xml:space="preserve">S072</t>
  </si>
  <si>
    <t xml:space="preserve">訓練相關雲端服務支出</t>
  </si>
  <si>
    <t xml:space="preserve">量子位、東吳引招股書</t>
  </si>
  <si>
    <t xml:space="preserve">S073</t>
  </si>
  <si>
    <r>
      <rPr>
        <sz val="11"/>
        <color theme="1"/>
        <rFont val="Calibri"/>
        <family val="2"/>
        <charset val="1"/>
      </rPr>
      <t xml:space="preserve">M1 </t>
    </r>
    <r>
      <rPr>
        <sz val="11"/>
        <color theme="1"/>
        <rFont val="Noto Sans CJK SC"/>
        <family val="2"/>
      </rPr>
      <t xml:space="preserve">強化學習訓練：</t>
    </r>
    <r>
      <rPr>
        <sz val="11"/>
        <color theme="1"/>
        <rFont val="Calibri"/>
        <family val="2"/>
        <charset val="1"/>
      </rPr>
      <t xml:space="preserve">512 </t>
    </r>
    <r>
      <rPr>
        <sz val="11"/>
        <color theme="1"/>
        <rFont val="Noto Sans CJK SC"/>
        <family val="2"/>
      </rPr>
      <t xml:space="preserve">張 </t>
    </r>
    <r>
      <rPr>
        <sz val="11"/>
        <color theme="1"/>
        <rFont val="Calibri"/>
        <family val="2"/>
        <charset val="1"/>
      </rPr>
      <t xml:space="preserve">H800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週</t>
    </r>
  </si>
  <si>
    <t xml:space="preserve">2025-06</t>
  </si>
  <si>
    <t xml:space="preserve">arXiv 2506.13585</t>
  </si>
  <si>
    <t xml:space="preserve">S074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</si>
  <si>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原生產品付費用戶（期間）</t>
    </r>
  </si>
  <si>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人</t>
    </r>
  </si>
  <si>
    <t xml:space="preserve">S075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</si>
  <si>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原生產品平均 </t>
    </r>
    <r>
      <rPr>
        <sz val="11"/>
        <color theme="1"/>
        <rFont val="Calibri"/>
        <family val="2"/>
        <charset val="1"/>
      </rPr>
      <t xml:space="preserve">MAU</t>
    </r>
  </si>
  <si>
    <t xml:space="preserve">S076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</si>
  <si>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第二季營收季增</t>
    </r>
  </si>
  <si>
    <t xml:space="preserve">2Q2026</t>
  </si>
  <si>
    <r>
      <rPr>
        <sz val="11"/>
        <color theme="1"/>
        <rFont val="Calibri"/>
        <family val="2"/>
        <charset val="1"/>
      </rPr>
      <t xml:space="preserve">InfoQ </t>
    </r>
    <r>
      <rPr>
        <sz val="11"/>
        <color theme="1"/>
        <rFont val="Noto Sans CJK SC"/>
        <family val="2"/>
      </rPr>
      <t xml:space="preserve">轉述業績會；季度營收未揭露</t>
    </r>
  </si>
  <si>
    <t xml:space="preserve">S077</t>
  </si>
  <si>
    <t xml:space="preserve">人民幣兌美元（換算阿里雲上限用）</t>
  </si>
  <si>
    <t xml:space="preserve">RMB/$</t>
  </si>
  <si>
    <t xml:space="preserve">Assumed</t>
  </si>
  <si>
    <t xml:space="preserve">—</t>
  </si>
  <si>
    <t xml:space="preserve">僅說明用</t>
  </si>
  <si>
    <r>
      <rPr>
        <b val="true"/>
        <sz val="11"/>
        <rFont val="Cambria"/>
        <family val="0"/>
        <charset val="1"/>
      </rPr>
      <t xml:space="preserve">TK_Link — Tokenomics </t>
    </r>
    <r>
      <rPr>
        <b val="true"/>
        <sz val="11"/>
        <rFont val="Noto Sans CJK SC"/>
        <family val="2"/>
      </rPr>
      <t xml:space="preserve">快照（第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層；本模型不重算物理層）</t>
    </r>
  </si>
  <si>
    <r>
      <rPr>
        <sz val="11"/>
        <color theme="1"/>
        <rFont val="Calibri"/>
        <family val="2"/>
        <charset val="1"/>
      </rPr>
      <t xml:space="preserve">Tokenomics v5.24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master bdb0de7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；取自 </t>
    </r>
    <r>
      <rPr>
        <sz val="11"/>
        <color theme="1"/>
        <rFont val="Calibri"/>
        <family val="2"/>
        <charset val="1"/>
      </rPr>
      <t xml:space="preserve">company-models/openai v0.6 TK_Link </t>
    </r>
    <r>
      <rPr>
        <sz val="11"/>
        <color theme="1"/>
        <rFont val="Noto Sans CJK SC"/>
        <family val="2"/>
      </rPr>
      <t xml:space="preserve">快照，基準成本情境）</t>
    </r>
  </si>
  <si>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名稱</t>
    </r>
  </si>
  <si>
    <t xml:space="preserve">世代</t>
  </si>
  <si>
    <t xml:space="preserve">說明</t>
  </si>
  <si>
    <t xml:space="preserve">TK01</t>
  </si>
  <si>
    <t xml:space="preserve">IF_TokGW_Luna</t>
  </si>
  <si>
    <t xml:space="preserve">Hopper H100</t>
  </si>
  <si>
    <t xml:space="preserve">每 GW 總產出（100% 利用率）：低層（Luna）</t>
  </si>
  <si>
    <r>
      <rPr>
        <sz val="11"/>
        <color theme="1"/>
        <rFont val="Calibri"/>
        <family val="2"/>
        <charset val="1"/>
      </rPr>
      <t xml:space="preserve">M tok/GW/</t>
    </r>
    <r>
      <rPr>
        <sz val="11"/>
        <color theme="1"/>
        <rFont val="Noto Sans CJK SC"/>
        <family val="2"/>
      </rPr>
      <t xml:space="preserve">年</t>
    </r>
  </si>
  <si>
    <t xml:space="preserve">TK02</t>
  </si>
  <si>
    <t xml:space="preserve">GB200 NVL72</t>
  </si>
  <si>
    <t xml:space="preserve">TK03</t>
  </si>
  <si>
    <t xml:space="preserve">IF_TokGW_Sol</t>
  </si>
  <si>
    <t xml:space="preserve">每 GW 總產出（100% 利用率）：中層（Sol）</t>
  </si>
  <si>
    <t xml:space="preserve">TK04</t>
  </si>
  <si>
    <t xml:space="preserve">TK05</t>
  </si>
  <si>
    <t xml:space="preserve">VR200 NVL72</t>
  </si>
  <si>
    <t xml:space="preserve">每 GW 總產出（100% 利用率）：中層（Sol；VR 等值換算基準）</t>
  </si>
  <si>
    <t xml:space="preserve">TK06</t>
  </si>
  <si>
    <t xml:space="preserve">IF_Util</t>
  </si>
  <si>
    <t xml:space="preserve">基準利用率（第 0 層；下游可覆寫）</t>
  </si>
  <si>
    <t xml:space="preserve">TK07</t>
  </si>
  <si>
    <t xml:space="preserve">IF_HoldEcon</t>
  </si>
  <si>
    <t xml:space="preserve">每 GW 年持有成本（經濟口徑；供應商參考）</t>
  </si>
  <si>
    <r>
      <rPr>
        <sz val="11"/>
        <color theme="1"/>
        <rFont val="Calibri"/>
        <family val="2"/>
        <charset val="1"/>
      </rPr>
      <t xml:space="preserve">$B/GW/</t>
    </r>
    <r>
      <rPr>
        <sz val="11"/>
        <color theme="1"/>
        <rFont val="Noto Sans CJK SC"/>
        <family val="2"/>
      </rPr>
      <t xml:space="preserve">年</t>
    </r>
  </si>
  <si>
    <t xml:space="preserve">TK08</t>
  </si>
  <si>
    <t xml:space="preserve">TK09</t>
  </si>
  <si>
    <t xml:space="preserve">IF_FullCost_Luna</t>
  </si>
  <si>
    <t xml:space="preserve">全成本 $/M（基準利用率）：低層</t>
  </si>
  <si>
    <t xml:space="preserve">TK10</t>
  </si>
  <si>
    <t xml:space="preserve">IF_FullCost_Sol</t>
  </si>
  <si>
    <t xml:space="preserve">全成本 $/M（基準利用率）：中層</t>
  </si>
  <si>
    <t xml:space="preserve">TK11</t>
  </si>
  <si>
    <t xml:space="preserve">TK12</t>
  </si>
  <si>
    <r>
      <rPr>
        <b val="true"/>
        <sz val="11"/>
        <rFont val="Cambria"/>
        <family val="0"/>
        <charset val="1"/>
      </rPr>
      <t xml:space="preserve">Inputs — </t>
    </r>
    <r>
      <rPr>
        <b val="true"/>
        <sz val="11"/>
        <rFont val="Noto Sans CJK SC"/>
        <family val="2"/>
      </rPr>
      <t xml:space="preserve">假設（藍字＝輸入；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Assumed </t>
    </r>
    <r>
      <rPr>
        <b val="true"/>
        <sz val="11"/>
        <rFont val="Noto Sans CJK SC"/>
        <family val="2"/>
      </rPr>
      <t xml:space="preserve">一律附區間）</t>
    </r>
  </si>
  <si>
    <t xml:space="preserve">純量放 D 欄；逐年路徑放 D–I（2025–2030）。低／高：純量為數值（供敏感度），逐年為文字描述（敏感度頁以整列調整重算）。</t>
  </si>
  <si>
    <t xml:space="preserve">2025</t>
  </si>
  <si>
    <t xml:space="preserve">2029</t>
  </si>
  <si>
    <t xml:space="preserve">2030</t>
  </si>
  <si>
    <t xml:space="preserve">低</t>
  </si>
  <si>
    <t xml:space="preserve">高</t>
  </si>
  <si>
    <t xml:space="preserve">I01</t>
  </si>
  <si>
    <t xml:space="preserve">港幣兌美元</t>
  </si>
  <si>
    <t xml:space="preserve">HK$/$</t>
  </si>
  <si>
    <t xml:space="preserve">聯繫匯率區間</t>
  </si>
  <si>
    <t xml:space="preserve">I02</t>
  </si>
  <si>
    <t xml:space="preserve">每 MW 年合約價（雲端租用、IT 關鍵電力口徑）</t>
  </si>
  <si>
    <r>
      <rPr>
        <sz val="11"/>
        <color theme="1"/>
        <rFont val="Calibri"/>
        <family val="2"/>
        <charset val="1"/>
      </rPr>
      <t xml:space="preserve">$M/MW/</t>
    </r>
    <r>
      <rPr>
        <sz val="11"/>
        <color theme="1"/>
        <rFont val="Noto Sans CJK SC"/>
        <family val="2"/>
      </rPr>
      <t xml:space="preserve">年</t>
    </r>
  </si>
  <si>
    <t xml:space="preserve">Analogy</t>
  </si>
  <si>
    <t xml:space="preserve">同 OpenAI 模型 INP_229（$12B/GW/年）；中國 H800／H20 與國產晶片租價可能較低。Tokenomics Hopper 持有成本 10.1（TK07）為下限參考</t>
  </si>
  <si>
    <t xml:space="preserve">I03</t>
  </si>
  <si>
    <t xml:space="preserve">銷售成本中算力（推論雲端）占比</t>
  </si>
  <si>
    <t xml:space="preserve">公司稱銷售成本主要為推論雲端；未揭露金額</t>
  </si>
  <si>
    <t xml:space="preserve">I04</t>
  </si>
  <si>
    <r>
      <rPr>
        <sz val="11"/>
        <color theme="1"/>
        <rFont val="Calibri"/>
        <family val="2"/>
        <charset val="1"/>
      </rPr>
      <t xml:space="preserve">API token </t>
    </r>
    <r>
      <rPr>
        <sz val="11"/>
        <color theme="1"/>
        <rFont val="Noto Sans CJK SC"/>
        <family val="2"/>
      </rPr>
      <t xml:space="preserve">層級組合：低層（</t>
    </r>
    <r>
      <rPr>
        <sz val="11"/>
        <color theme="1"/>
        <rFont val="Calibri"/>
        <family val="2"/>
        <charset val="1"/>
      </rPr>
      <t xml:space="preserve">Luna</t>
    </r>
    <r>
      <rPr>
        <sz val="11"/>
        <color theme="1"/>
        <rFont val="Noto Sans CJK SC"/>
        <family val="2"/>
      </rPr>
      <t xml:space="preserve">）占比（其餘＝中層 </t>
    </r>
    <r>
      <rPr>
        <sz val="11"/>
        <color theme="1"/>
        <rFont val="Calibri"/>
        <family val="2"/>
        <charset val="1"/>
      </rPr>
      <t xml:space="preserve">Sol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</si>
  <si>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M3 </t>
    </r>
    <r>
      <rPr>
        <sz val="11"/>
        <color theme="1"/>
        <rFont val="Noto Sans CJK SC"/>
        <family val="2"/>
      </rPr>
      <t xml:space="preserve">啟用參數 </t>
    </r>
    <r>
      <rPr>
        <sz val="11"/>
        <color theme="1"/>
        <rFont val="Calibri"/>
        <family val="2"/>
        <charset val="1"/>
      </rPr>
      <t xml:space="preserve">10B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23B</t>
    </r>
    <r>
      <rPr>
        <sz val="11"/>
        <color theme="1"/>
        <rFont val="Noto Sans CJK SC"/>
        <family val="2"/>
      </rPr>
      <t xml:space="preserve">，牌價 </t>
    </r>
    <r>
      <rPr>
        <sz val="11"/>
        <color theme="1"/>
        <rFont val="Calibri"/>
        <family val="2"/>
        <charset val="1"/>
      </rPr>
      <t xml:space="preserve">$0.30/$1.20 </t>
    </r>
    <r>
      <rPr>
        <sz val="11"/>
        <color theme="1"/>
        <rFont val="Noto Sans CJK SC"/>
        <family val="2"/>
      </rPr>
      <t xml:space="preserve">介於 </t>
    </r>
    <r>
      <rPr>
        <sz val="11"/>
        <color theme="1"/>
        <rFont val="Calibri"/>
        <family val="2"/>
        <charset val="1"/>
      </rPr>
      <t xml:space="preserve">Tokenomics Luna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$0.08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Sol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$1.6</t>
    </r>
    <r>
      <rPr>
        <sz val="11"/>
        <color theme="1"/>
        <rFont val="Noto Sans CJK SC"/>
        <family val="2"/>
      </rPr>
      <t xml:space="preserve">）之間</t>
    </r>
  </si>
  <si>
    <t xml:space="preserve">I05</t>
  </si>
  <si>
    <t xml:space="preserve">機隊組合：Hopper 級占比（其餘＝Blackwell 級，含國產 ASIC 等值）</t>
  </si>
  <si>
    <t xml:space="preserve">各年 −0.15</t>
  </si>
  <si>
    <t xml:space="preserve">各年 +0.15</t>
  </si>
  <si>
    <t xml:space="preserve">中國受出口管制，Hopper 級（H800／H20）汰換慢；海外雲可租 Blackwell。V1 比照 OpenAI 時變組合</t>
  </si>
  <si>
    <t xml:space="preserve">I06</t>
  </si>
  <si>
    <t xml:space="preserve">模型效率指數（同硬體每 MW token 產出，2025＝1）</t>
  </si>
  <si>
    <r>
      <rPr>
        <sz val="11"/>
        <color rgb="FF0000CC"/>
        <rFont val="Cambria"/>
        <family val="0"/>
        <charset val="1"/>
      </rPr>
      <t xml:space="preserve">2027 </t>
    </r>
    <r>
      <rPr>
        <sz val="11"/>
        <color rgb="FF0000CC"/>
        <rFont val="Noto Sans CJK SC"/>
        <family val="2"/>
      </rPr>
      <t xml:space="preserve">起年增 </t>
    </r>
    <r>
      <rPr>
        <sz val="11"/>
        <color rgb="FF0000CC"/>
        <rFont val="Cambria"/>
        <family val="0"/>
        <charset val="1"/>
      </rPr>
      <t xml:space="preserve">15%</t>
    </r>
  </si>
  <si>
    <r>
      <rPr>
        <sz val="11"/>
        <color rgb="FF0000CC"/>
        <rFont val="Cambria"/>
        <family val="0"/>
        <charset val="1"/>
      </rPr>
      <t xml:space="preserve">2027 </t>
    </r>
    <r>
      <rPr>
        <sz val="11"/>
        <color rgb="FF0000CC"/>
        <rFont val="Noto Sans CJK SC"/>
        <family val="2"/>
      </rPr>
      <t xml:space="preserve">起年增 </t>
    </r>
    <r>
      <rPr>
        <sz val="11"/>
        <color rgb="FF0000CC"/>
        <rFont val="Cambria"/>
        <family val="0"/>
        <charset val="1"/>
      </rPr>
      <t xml:space="preserve">50%</t>
    </r>
  </si>
  <si>
    <t xml:space="preserve">公司：M3 長上下文每 token 算力為前代 1/20；文字模型單位吞吐兩個月三倍。η 於 2026 以實際支出重新校準，2026 值相互抵銷；有作用的是 2027 起相對 2026 的年增（基準 30%）</t>
  </si>
  <si>
    <t xml:space="preserve">I07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</si>
  <si>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綜合實收單價（含快取、訂閱方案）</t>
    </r>
  </si>
  <si>
    <r>
      <rPr>
        <sz val="11"/>
        <color rgb="FF0000CC"/>
        <rFont val="Cambria"/>
        <family val="0"/>
        <charset val="1"/>
      </rPr>
      <t xml:space="preserve">2025 0.25</t>
    </r>
    <r>
      <rPr>
        <sz val="11"/>
        <color rgb="FF0000CC"/>
        <rFont val="Noto Sans CJK SC"/>
        <family val="2"/>
      </rPr>
      <t xml:space="preserve">／</t>
    </r>
    <r>
      <rPr>
        <sz val="11"/>
        <color rgb="FF0000CC"/>
        <rFont val="Cambria"/>
        <family val="0"/>
        <charset val="1"/>
      </rPr>
      <t xml:space="preserve">2026 0.12</t>
    </r>
  </si>
  <si>
    <r>
      <rPr>
        <sz val="11"/>
        <color rgb="FF0000CC"/>
        <rFont val="Cambria"/>
        <family val="0"/>
        <charset val="1"/>
      </rPr>
      <t xml:space="preserve">2025 0.60</t>
    </r>
    <r>
      <rPr>
        <sz val="11"/>
        <color rgb="FF0000CC"/>
        <rFont val="Noto Sans CJK SC"/>
        <family val="2"/>
      </rPr>
      <t xml:space="preserve">／</t>
    </r>
    <r>
      <rPr>
        <sz val="11"/>
        <color rgb="FF0000CC"/>
        <rFont val="Cambria"/>
        <family val="0"/>
        <charset val="1"/>
      </rPr>
      <t xml:space="preserve">2026 0.35</t>
    </r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</si>
  <si>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Text-01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M1 </t>
    </r>
    <r>
      <rPr>
        <sz val="11"/>
        <color theme="1"/>
        <rFont val="Noto Sans CJK SC"/>
        <family val="2"/>
      </rPr>
      <t xml:space="preserve">牌價 </t>
    </r>
    <r>
      <rPr>
        <sz val="11"/>
        <color theme="1"/>
        <rFont val="Calibri"/>
        <family val="2"/>
        <charset val="1"/>
      </rPr>
      <t xml:space="preserve">$0.2–0.4 </t>
    </r>
    <r>
      <rPr>
        <sz val="11"/>
        <color theme="1"/>
        <rFont val="Noto Sans CJK SC"/>
        <family val="2"/>
      </rPr>
      <t xml:space="preserve">輸入、</t>
    </r>
    <r>
      <rPr>
        <sz val="11"/>
        <color theme="1"/>
        <rFont val="Calibri"/>
        <family val="2"/>
        <charset val="1"/>
      </rPr>
      <t xml:space="preserve">$1.1–2.2 </t>
    </r>
    <r>
      <rPr>
        <sz val="11"/>
        <color theme="1"/>
        <rFont val="Noto Sans CJK SC"/>
        <family val="2"/>
      </rPr>
      <t xml:space="preserve">輸出，混合後約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：公司稱 </t>
    </r>
    <r>
      <rPr>
        <sz val="11"/>
        <color theme="1"/>
        <rFont val="Calibri"/>
        <family val="2"/>
        <charset val="1"/>
      </rPr>
      <t xml:space="preserve">M3 </t>
    </r>
    <r>
      <rPr>
        <sz val="11"/>
        <color theme="1"/>
        <rFont val="Noto Sans CJK SC"/>
        <family val="2"/>
      </rPr>
      <t xml:space="preserve">綜合 </t>
    </r>
    <r>
      <rPr>
        <sz val="11"/>
        <color theme="1"/>
        <rFont val="Calibri"/>
        <family val="2"/>
        <charset val="1"/>
      </rPr>
      <t xml:space="preserve">$0.22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S058</t>
    </r>
    <r>
      <rPr>
        <sz val="11"/>
        <color theme="1"/>
        <rFont val="Noto Sans CJK SC"/>
        <family val="2"/>
      </rPr>
      <t xml:space="preserve">，未見一手）。</t>
    </r>
    <r>
      <rPr>
        <sz val="11"/>
        <color theme="1"/>
        <rFont val="Calibri"/>
        <family val="2"/>
        <charset val="1"/>
      </rPr>
      <t xml:space="preserve">Token Plan </t>
    </r>
    <r>
      <rPr>
        <sz val="11"/>
        <color theme="1"/>
        <rFont val="Noto Sans CJK SC"/>
        <family val="2"/>
      </rPr>
      <t xml:space="preserve">滿用約 </t>
    </r>
    <r>
      <rPr>
        <sz val="11"/>
        <color theme="1"/>
        <rFont val="Calibri"/>
        <family val="2"/>
        <charset val="1"/>
      </rPr>
      <t xml:space="preserve">$0.012/M </t>
    </r>
    <r>
      <rPr>
        <sz val="11"/>
        <color theme="1"/>
        <rFont val="Noto Sans CJK SC"/>
        <family val="2"/>
      </rPr>
      <t xml:space="preserve">會拉低</t>
    </r>
  </si>
  <si>
    <t xml:space="preserve">I08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</si>
  <si>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單價年變動（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</si>
  <si>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t xml:space="preserve">各年 −0.50</t>
  </si>
  <si>
    <t xml:space="preserve">各年 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</si>
  <si>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上半年中國大廠六次降價，下半年持平或回升（</t>
    </r>
    <r>
      <rPr>
        <sz val="11"/>
        <color theme="1"/>
        <rFont val="Calibri"/>
        <family val="2"/>
        <charset val="1"/>
      </rPr>
      <t xml:space="preserve">DeepSeek 8 </t>
    </r>
    <r>
      <rPr>
        <sz val="11"/>
        <color theme="1"/>
        <rFont val="Noto Sans CJK SC"/>
        <family val="2"/>
      </rPr>
      <t xml:space="preserve">月漲價）；基準仍假設逐年下降</t>
    </r>
  </si>
  <si>
    <t xml:space="preserve">I09</t>
  </si>
  <si>
    <r>
      <rPr>
        <sz val="11"/>
        <color theme="1"/>
        <rFont val="Calibri"/>
        <family val="2"/>
        <charset val="1"/>
      </rPr>
      <t xml:space="preserve">API token </t>
    </r>
    <r>
      <rPr>
        <sz val="11"/>
        <color theme="1"/>
        <rFont val="Noto Sans CJK SC"/>
        <family val="2"/>
      </rPr>
      <t xml:space="preserve">量年增（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起；不含價格效果）</t>
    </r>
  </si>
  <si>
    <r>
      <rPr>
        <sz val="11"/>
        <color rgb="FF0000CC"/>
        <rFont val="Cambria"/>
        <family val="0"/>
        <charset val="1"/>
      </rPr>
      <t xml:space="preserve">0.8</t>
    </r>
    <r>
      <rPr>
        <sz val="11"/>
        <color rgb="FF0000CC"/>
        <rFont val="Noto Sans CJK SC"/>
        <family val="2"/>
      </rPr>
      <t xml:space="preserve">／</t>
    </r>
    <r>
      <rPr>
        <sz val="11"/>
        <color rgb="FF0000CC"/>
        <rFont val="Cambria"/>
        <family val="0"/>
        <charset val="1"/>
      </rPr>
      <t xml:space="preserve">0.5</t>
    </r>
    <r>
      <rPr>
        <sz val="11"/>
        <color rgb="FF0000CC"/>
        <rFont val="Noto Sans CJK SC"/>
        <family val="2"/>
      </rPr>
      <t xml:space="preserve">／</t>
    </r>
    <r>
      <rPr>
        <sz val="11"/>
        <color rgb="FF0000CC"/>
        <rFont val="Cambria"/>
        <family val="0"/>
        <charset val="1"/>
      </rPr>
      <t xml:space="preserve">0.3</t>
    </r>
    <r>
      <rPr>
        <sz val="11"/>
        <color rgb="FF0000CC"/>
        <rFont val="Noto Sans CJK SC"/>
        <family val="2"/>
      </rPr>
      <t xml:space="preserve">／</t>
    </r>
    <r>
      <rPr>
        <sz val="11"/>
        <color rgb="FF0000CC"/>
        <rFont val="Cambria"/>
        <family val="0"/>
        <charset val="1"/>
      </rPr>
      <t xml:space="preserve">0.2</t>
    </r>
  </si>
  <si>
    <r>
      <rPr>
        <sz val="11"/>
        <color rgb="FF0000CC"/>
        <rFont val="Cambria"/>
        <family val="0"/>
        <charset val="1"/>
      </rPr>
      <t xml:space="preserve">4.0</t>
    </r>
    <r>
      <rPr>
        <sz val="11"/>
        <color rgb="FF0000CC"/>
        <rFont val="Noto Sans CJK SC"/>
        <family val="2"/>
      </rPr>
      <t xml:space="preserve">／</t>
    </r>
    <r>
      <rPr>
        <sz val="11"/>
        <color rgb="FF0000CC"/>
        <rFont val="Cambria"/>
        <family val="0"/>
        <charset val="1"/>
      </rPr>
      <t xml:space="preserve">1.5</t>
    </r>
    <r>
      <rPr>
        <sz val="11"/>
        <color rgb="FF0000CC"/>
        <rFont val="Noto Sans CJK SC"/>
        <family val="2"/>
      </rPr>
      <t xml:space="preserve">／</t>
    </r>
    <r>
      <rPr>
        <sz val="11"/>
        <color rgb="FF0000CC"/>
        <rFont val="Cambria"/>
        <family val="0"/>
        <charset val="1"/>
      </rPr>
      <t xml:space="preserve">0.9</t>
    </r>
    <r>
      <rPr>
        <sz val="11"/>
        <color rgb="FF0000CC"/>
        <rFont val="Noto Sans CJK SC"/>
        <family val="2"/>
      </rPr>
      <t xml:space="preserve">／</t>
    </r>
    <r>
      <rPr>
        <sz val="11"/>
        <color rgb="FF0000CC"/>
        <rFont val="Cambria"/>
        <family val="0"/>
        <charset val="1"/>
      </rPr>
      <t xml:space="preserve">0.6</t>
    </r>
  </si>
  <si>
    <r>
      <rPr>
        <sz val="11"/>
        <color theme="1"/>
        <rFont val="Calibri"/>
        <family val="2"/>
        <charset val="1"/>
      </rPr>
      <t xml:space="preserve">OpenRouter </t>
    </r>
    <r>
      <rPr>
        <sz val="11"/>
        <color theme="1"/>
        <rFont val="Noto Sans CJK SC"/>
        <family val="2"/>
      </rPr>
      <t xml:space="preserve">份額由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9–10% </t>
    </r>
    <r>
      <rPr>
        <sz val="11"/>
        <color theme="1"/>
        <rFont val="Noto Sans CJK SC"/>
        <family val="2"/>
      </rPr>
      <t xml:space="preserve">降至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月跌出前十（</t>
    </r>
    <r>
      <rPr>
        <sz val="11"/>
        <color theme="1"/>
        <rFont val="Calibri"/>
        <family val="2"/>
        <charset val="1"/>
      </rPr>
      <t xml:space="preserve">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量 </t>
    </r>
    <r>
      <rPr>
        <sz val="11"/>
        <color theme="1"/>
        <rFont val="Calibri"/>
        <family val="2"/>
        <charset val="1"/>
      </rPr>
      <t xml:space="preserve">×20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IP</t>
    </r>
    <r>
      <rPr>
        <sz val="11"/>
        <color theme="1"/>
        <rFont val="Noto Sans CJK SC"/>
        <family val="2"/>
      </rPr>
      <t xml:space="preserve">）</t>
    </r>
  </si>
  <si>
    <t xml:space="preserve">I10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</si>
  <si>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下半年企業端（</t>
    </r>
    <r>
      <rPr>
        <sz val="11"/>
        <color theme="1"/>
        <rFont val="Calibri"/>
        <family val="2"/>
        <charset val="1"/>
      </rPr>
      <t xml:space="preserve">API</t>
    </r>
    <r>
      <rPr>
        <sz val="11"/>
        <color theme="1"/>
        <rFont val="Noto Sans CJK SC"/>
        <family val="2"/>
      </rPr>
      <t xml:space="preserve">）平均年化營收</t>
    </r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</si>
  <si>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年</t>
    </r>
  </si>
  <si>
    <t xml:space="preserve">錨：2026-08 ARR &gt;800 × B2B 80%＝640（S053×S054）；9 月同業降價、OpenRouter 份額下滑，基準略低於 640</t>
  </si>
  <si>
    <t xml:space="preserve">I11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</si>
  <si>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下半年消費端營收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</si>
  <si>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消費端年增 </t>
    </r>
    <r>
      <rPr>
        <sz val="11"/>
        <color theme="1"/>
        <rFont val="Calibri"/>
        <family val="2"/>
        <charset val="1"/>
      </rPr>
      <t xml:space="preserve">101%</t>
    </r>
  </si>
  <si>
    <t xml:space="preserve">I12</t>
  </si>
  <si>
    <t xml:space="preserve">消費端營收年增（2027 起）</t>
  </si>
  <si>
    <t xml:space="preserve">各年 ×0.5</t>
  </si>
  <si>
    <t xml:space="preserve">各年 ×1.5</t>
  </si>
  <si>
    <r>
      <rPr>
        <sz val="11"/>
        <color theme="1"/>
        <rFont val="Calibri"/>
        <family val="2"/>
        <charset val="1"/>
      </rPr>
      <t xml:space="preserve">Talkie 6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MAU 32.9M</t>
    </r>
    <r>
      <rPr>
        <sz val="11"/>
        <color theme="1"/>
        <rFont val="Noto Sans CJK SC"/>
        <family val="2"/>
      </rPr>
      <t xml:space="preserve">（第三方）；影片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開源後消費訂閱競爭加劇</t>
    </r>
  </si>
  <si>
    <t xml:space="preserve">I13</t>
  </si>
  <si>
    <t xml:space="preserve">消費端算力成本 ÷ 消費端營收（2026 起）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</si>
  <si>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由財報推得（</t>
    </r>
    <r>
      <rPr>
        <sz val="11"/>
        <color theme="1"/>
        <rFont val="Calibri"/>
        <family val="2"/>
        <charset val="1"/>
      </rPr>
      <t xml:space="preserve">Compute C12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9M25 </t>
    </r>
    <r>
      <rPr>
        <sz val="11"/>
        <color theme="1"/>
        <rFont val="Noto Sans CJK SC"/>
        <family val="2"/>
      </rPr>
      <t xml:space="preserve">消費端毛利率約 </t>
    </r>
    <r>
      <rPr>
        <sz val="11"/>
        <color theme="1"/>
        <rFont val="Calibri"/>
        <family val="2"/>
        <charset val="1"/>
      </rPr>
      <t xml:space="preserve">5%</t>
    </r>
  </si>
  <si>
    <t xml:space="preserve">I14</t>
  </si>
  <si>
    <t xml:space="preserve">其他銷售成本（非算力）占營收（2026 起）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</si>
  <si>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由財報推得</t>
    </r>
  </si>
  <si>
    <t xml:space="preserve">I15</t>
  </si>
  <si>
    <t xml:space="preserve">員工福利中研發人員占比（推 1H26 研發算力）</t>
  </si>
  <si>
    <r>
      <rPr>
        <sz val="11"/>
        <color theme="1"/>
        <rFont val="Calibri"/>
        <family val="2"/>
        <charset val="1"/>
      </rPr>
      <t xml:space="preserve">2025-09 </t>
    </r>
    <r>
      <rPr>
        <sz val="11"/>
        <color theme="1"/>
        <rFont val="Noto Sans CJK SC"/>
        <family val="2"/>
      </rPr>
      <t xml:space="preserve">研發人員占 </t>
    </r>
    <r>
      <rPr>
        <sz val="11"/>
        <color theme="1"/>
        <rFont val="Calibri"/>
        <family val="2"/>
        <charset val="1"/>
      </rPr>
      <t xml:space="preserve">73.8%</t>
    </r>
    <r>
      <rPr>
        <sz val="11"/>
        <color theme="1"/>
        <rFont val="Noto Sans CJK SC"/>
        <family val="2"/>
      </rPr>
      <t xml:space="preserve">（招股書，二手）</t>
    </r>
  </si>
  <si>
    <t xml:space="preserve">I16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</si>
  <si>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下半年訓練算力支出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</t>
    </r>
  </si>
  <si>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月募資約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用於算力與模型研發；</t>
    </r>
    <r>
      <rPr>
        <sz val="11"/>
        <color theme="1"/>
        <rFont val="Calibri"/>
        <family val="2"/>
        <charset val="1"/>
      </rPr>
      <t xml:space="preserve">M3 Pro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3T </t>
    </r>
    <r>
      <rPr>
        <sz val="11"/>
        <color theme="1"/>
        <rFont val="Noto Sans CJK SC"/>
        <family val="2"/>
      </rPr>
      <t xml:space="preserve">參數）在研</t>
    </r>
  </si>
  <si>
    <t xml:space="preserve">I17</t>
  </si>
  <si>
    <t xml:space="preserve">訓練 MW 年增（2027 起）</t>
  </si>
  <si>
    <t xml:space="preserve">公司路線：3T → 10T 參數；阿里雲上限 2026–28 年增約 33%／25%</t>
  </si>
  <si>
    <t xml:space="preserve">I18</t>
  </si>
  <si>
    <t xml:space="preserve">平均員工數</t>
  </si>
  <si>
    <t xml:space="preserve">各年 ×0.8</t>
  </si>
  <si>
    <t xml:space="preserve">各年 ×1.3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</si>
  <si>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底 </t>
    </r>
    <r>
      <rPr>
        <sz val="11"/>
        <color theme="1"/>
        <rFont val="Calibri"/>
        <family val="2"/>
        <charset val="1"/>
      </rPr>
      <t xml:space="preserve">428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2026-06 568</t>
    </r>
  </si>
  <si>
    <t xml:space="preserve">I19</t>
  </si>
  <si>
    <t xml:space="preserve">每人年人事成本年增（2027 起；含 SBC）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</si>
  <si>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每人成本由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推得</t>
    </r>
  </si>
  <si>
    <t xml:space="preserve">I20</t>
  </si>
  <si>
    <t xml:space="preserve">其他營業費用（非人事、非算力：行銷、行政、上市費）占營收（2026 起）</t>
  </si>
  <si>
    <t xml:space="preserve">各年 ×0.7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</si>
  <si>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（推得）；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34%</t>
    </r>
    <r>
      <rPr>
        <sz val="11"/>
        <color theme="1"/>
        <rFont val="Noto Sans CJK SC"/>
        <family val="2"/>
      </rPr>
      <t xml:space="preserve">（推得）</t>
    </r>
  </si>
  <si>
    <t xml:space="preserve">I21</t>
  </si>
  <si>
    <t xml:space="preserve">現金收益率（利息與理財）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</si>
  <si>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其他收入 </t>
    </r>
    <r>
      <rPr>
        <sz val="11"/>
        <color theme="1"/>
        <rFont val="Calibri"/>
        <family val="2"/>
        <charset val="1"/>
      </rPr>
      <t xml:space="preserve">40.4 ÷ </t>
    </r>
    <r>
      <rPr>
        <sz val="11"/>
        <color theme="1"/>
        <rFont val="Noto Sans CJK SC"/>
        <family val="2"/>
      </rPr>
      <t xml:space="preserve">平均現金約 </t>
    </r>
    <r>
      <rPr>
        <sz val="11"/>
        <color theme="1"/>
        <rFont val="Calibri"/>
        <family val="2"/>
        <charset val="1"/>
      </rPr>
      <t xml:space="preserve">3.9%</t>
    </r>
    <r>
      <rPr>
        <sz val="11"/>
        <color theme="1"/>
        <rFont val="Noto Sans CJK SC"/>
        <family val="2"/>
      </rPr>
      <t xml:space="preserve">（含公允價值收益）</t>
    </r>
  </si>
  <si>
    <t xml:space="preserve">I22</t>
  </si>
  <si>
    <t xml:space="preserve">算力預付與自建資本支出（超出 P&amp;L 算力費用的現金時差）</t>
  </si>
  <si>
    <r>
      <rPr>
        <sz val="11"/>
        <color rgb="FF0000CC"/>
        <rFont val="Cambria"/>
        <family val="0"/>
        <charset val="1"/>
      </rPr>
      <t xml:space="preserve">2026 322</t>
    </r>
    <r>
      <rPr>
        <sz val="11"/>
        <color rgb="FF0000CC"/>
        <rFont val="Noto Sans CJK SC"/>
        <family val="2"/>
      </rPr>
      <t xml:space="preserve">、其後 </t>
    </r>
    <r>
      <rPr>
        <sz val="11"/>
        <color rgb="FF0000CC"/>
        <rFont val="Cambria"/>
        <family val="0"/>
        <charset val="1"/>
      </rPr>
      <t xml:space="preserve">0</t>
    </r>
  </si>
  <si>
    <r>
      <rPr>
        <sz val="11"/>
        <color rgb="FF0000CC"/>
        <rFont val="Cambria"/>
        <family val="0"/>
        <charset val="1"/>
      </rPr>
      <t xml:space="preserve">2026 700</t>
    </r>
    <r>
      <rPr>
        <sz val="11"/>
        <color rgb="FF0000CC"/>
        <rFont val="Noto Sans CJK SC"/>
        <family val="2"/>
      </rPr>
      <t xml:space="preserve">、其後每年 </t>
    </r>
    <r>
      <rPr>
        <sz val="11"/>
        <color rgb="FF0000CC"/>
        <rFont val="Cambria"/>
        <family val="0"/>
        <charset val="1"/>
      </rPr>
      <t xml:space="preserve">300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</si>
  <si>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物業廠房設備＋預付款增加（</t>
    </r>
    <r>
      <rPr>
        <sz val="11"/>
        <color theme="1"/>
        <rFont val="Calibri"/>
        <family val="2"/>
        <charset val="1"/>
      </rPr>
      <t xml:space="preserve">S050−S049</t>
    </r>
    <r>
      <rPr>
        <sz val="11"/>
        <color theme="1"/>
        <rFont val="Noto Sans CJK SC"/>
        <family val="2"/>
      </rPr>
      <t xml:space="preserve">）；公司稱自控核心集群即將上線</t>
    </r>
  </si>
  <si>
    <t xml:space="preserve">I23</t>
  </si>
  <si>
    <t xml:space="preserve">可轉債到期轉股機率（其餘以現金贖回）</t>
  </si>
  <si>
    <t xml:space="preserve">轉換價 HK$335 高於 10-02 隱含股價約 HK$218</t>
  </si>
  <si>
    <t xml:space="preserve">I24</t>
  </si>
  <si>
    <t xml:space="preserve">最低現金水位</t>
  </si>
  <si>
    <t xml:space="preserve">約一季燒錢</t>
  </si>
  <si>
    <t xml:space="preserve">I25</t>
  </si>
  <si>
    <t xml:space="preserve">新股發行折價</t>
  </si>
  <si>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配售折價 </t>
    </r>
    <r>
      <rPr>
        <sz val="11"/>
        <color theme="1"/>
        <rFont val="Calibri"/>
        <family val="2"/>
        <charset val="1"/>
      </rPr>
      <t xml:space="preserve">9.89%</t>
    </r>
  </si>
  <si>
    <t xml:space="preserve">I26</t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</si>
  <si>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級每張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電力（含網路、儲存）</t>
    </r>
  </si>
  <si>
    <t xml:space="preserve">kW</t>
  </si>
  <si>
    <t xml:space="preserve">只用於 GPU 等值換算（顯示用）</t>
  </si>
  <si>
    <t xml:space="preserve">I29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</si>
  <si>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下半年起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推論效率相對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校準值的改善</t>
    </r>
  </si>
  <si>
    <t xml:space="preserve">公司：M3.1 推論成本約 M3 首發的 1/3、下半年文字毛利率改善；基準只採一部分</t>
  </si>
  <si>
    <t xml:space="preserve">I27</t>
  </si>
  <si>
    <t xml:space="preserve">反向檢驗：2030 年 EV/營收 退出倍數</t>
  </si>
  <si>
    <t xml:space="preserve">軟體／AI 平台高成長倍數</t>
  </si>
  <si>
    <t xml:space="preserve">I28</t>
  </si>
  <si>
    <t xml:space="preserve">反向檢驗：股權折現率</t>
  </si>
  <si>
    <r>
      <rPr>
        <b val="true"/>
        <sz val="12"/>
        <rFont val="Cambria"/>
        <family val="0"/>
        <charset val="1"/>
      </rPr>
      <t xml:space="preserve">Demand — </t>
    </r>
    <r>
      <rPr>
        <b val="true"/>
        <sz val="12"/>
        <rFont val="Noto Sans CJK SC"/>
        <family val="2"/>
      </rPr>
      <t xml:space="preserve">需求：</t>
    </r>
    <r>
      <rPr>
        <b val="true"/>
        <sz val="12"/>
        <rFont val="Cambria"/>
        <family val="0"/>
        <charset val="1"/>
      </rPr>
      <t xml:space="preserve">API </t>
    </r>
    <r>
      <rPr>
        <b val="true"/>
        <sz val="12"/>
        <rFont val="Noto Sans CJK SC"/>
        <family val="2"/>
      </rPr>
      <t xml:space="preserve">單價與 </t>
    </r>
    <r>
      <rPr>
        <b val="true"/>
        <sz val="12"/>
        <rFont val="Cambria"/>
        <family val="0"/>
        <charset val="1"/>
      </rPr>
      <t xml:space="preserve">token </t>
    </r>
    <r>
      <rPr>
        <b val="true"/>
        <sz val="12"/>
        <rFont val="Noto Sans CJK SC"/>
        <family val="2"/>
      </rPr>
      <t xml:space="preserve">量</t>
    </r>
  </si>
  <si>
    <t xml:space="preserve">單位：$M＝百萬美元；MW＝IT 關鍵電力；T＝10^12 token。2025＝實際校準年；2026＝上半年實際＋下半年推估。黑字＝公式；綠字＝引用其他頁。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</si>
  <si>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</si>
  <si>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</si>
  <si>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</si>
  <si>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</si>
  <si>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</si>
  <si>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年度</t>
  </si>
  <si>
    <t xml:space="preserve">一、API 綜合實收單價（$/M tokens）</t>
  </si>
  <si>
    <t xml:space="preserve">D01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</si>
  <si>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綜合實收單價</t>
    </r>
  </si>
  <si>
    <r>
      <rPr>
        <sz val="11"/>
        <color theme="1"/>
        <rFont val="Calibri"/>
        <family val="2"/>
        <charset val="1"/>
      </rPr>
      <t xml:space="preserve">2025–26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Inputs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起逐年變動</t>
    </r>
  </si>
  <si>
    <t xml:space="preserve">D02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</si>
  <si>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單價年變動</t>
    </r>
  </si>
  <si>
    <t xml:space="preserve">二、API 計費 token 量（2025、2026 由營收與單價推得＝校準年；2027 起需求成長）</t>
  </si>
  <si>
    <t xml:space="preserve">D03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</si>
  <si>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計費 </t>
    </r>
    <r>
      <rPr>
        <sz val="11"/>
        <color theme="1"/>
        <rFont val="Calibri"/>
        <family val="2"/>
        <charset val="1"/>
      </rPr>
      <t xml:space="preserve">token</t>
    </r>
  </si>
  <si>
    <r>
      <rPr>
        <sz val="11"/>
        <color theme="1"/>
        <rFont val="Calibri"/>
        <family val="2"/>
        <charset val="1"/>
      </rPr>
      <t xml:space="preserve">T/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</si>
  <si>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$M ÷ $/M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百萬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；單位換算：</t>
    </r>
    <r>
      <rPr>
        <sz val="11"/>
        <color theme="1"/>
        <rFont val="Calibri"/>
        <family val="2"/>
        <charset val="1"/>
      </rPr>
      <t xml:space="preserve">$M/($/M)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10^12 token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</t>
    </r>
  </si>
  <si>
    <t xml:space="preserve">D04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</si>
  <si>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計費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（每日）</t>
    </r>
  </si>
  <si>
    <r>
      <rPr>
        <sz val="11"/>
        <color theme="1"/>
        <rFont val="Calibri"/>
        <family val="2"/>
        <charset val="1"/>
      </rPr>
      <t xml:space="preserve">T/</t>
    </r>
    <r>
      <rPr>
        <sz val="11"/>
        <color theme="1"/>
        <rFont val="Noto Sans CJK SC"/>
        <family val="2"/>
      </rPr>
      <t xml:space="preserve">日</t>
    </r>
  </si>
  <si>
    <t xml:space="preserve">D05</t>
  </si>
  <si>
    <r>
      <rPr>
        <sz val="11"/>
        <color theme="1"/>
        <rFont val="Calibri"/>
        <family val="2"/>
        <charset val="1"/>
      </rPr>
      <t xml:space="preserve">API token </t>
    </r>
    <r>
      <rPr>
        <sz val="11"/>
        <color theme="1"/>
        <rFont val="Noto Sans CJK SC"/>
        <family val="2"/>
      </rPr>
      <t xml:space="preserve">年增</t>
    </r>
  </si>
  <si>
    <t xml:space="preserve">三、對照（只列差距，不校準）</t>
  </si>
  <si>
    <t xml:space="preserve">D06</t>
  </si>
  <si>
    <r>
      <rPr>
        <sz val="11"/>
        <color theme="1"/>
        <rFont val="Calibri"/>
        <family val="2"/>
        <charset val="1"/>
      </rPr>
      <t xml:space="preserve">2026 ÷ 2025 token </t>
    </r>
    <r>
      <rPr>
        <sz val="11"/>
        <color theme="1"/>
        <rFont val="Noto Sans CJK SC"/>
        <family val="2"/>
      </rPr>
      <t xml:space="preserve">倍數（模型）</t>
    </r>
  </si>
  <si>
    <t xml:space="preserve">D07</t>
  </si>
  <si>
    <t xml:space="preserve">對照：公司稱 2026-07 ÷ 2026-01 token 倍數（S055）</t>
  </si>
  <si>
    <t xml:space="preserve">月度時點 vs 年度平均，口徑不同</t>
  </si>
  <si>
    <t xml:space="preserve">D08</t>
  </si>
  <si>
    <t xml:space="preserve">對照：2026 下半年企業端 ARR 錨（S053 × S054）</t>
  </si>
  <si>
    <r>
      <rPr>
        <b val="true"/>
        <sz val="12"/>
        <rFont val="Cambria"/>
        <family val="0"/>
        <charset val="1"/>
      </rPr>
      <t xml:space="preserve">Revenue — </t>
    </r>
    <r>
      <rPr>
        <b val="true"/>
        <sz val="12"/>
        <rFont val="Noto Sans CJK SC"/>
        <family val="2"/>
      </rPr>
      <t xml:space="preserve">營收：企業端（</t>
    </r>
    <r>
      <rPr>
        <b val="true"/>
        <sz val="12"/>
        <rFont val="Cambria"/>
        <family val="0"/>
        <charset val="1"/>
      </rPr>
      <t xml:space="preserve">API</t>
    </r>
    <r>
      <rPr>
        <b val="true"/>
        <sz val="12"/>
        <rFont val="Noto Sans CJK SC"/>
        <family val="2"/>
      </rPr>
      <t xml:space="preserve">）與消費端</t>
    </r>
  </si>
  <si>
    <t xml:space="preserve">一、企業端：開放平台及企業服務（API、Coding／Token／M Plan）</t>
  </si>
  <si>
    <t xml:space="preserve">R01</t>
  </si>
  <si>
    <t xml:space="preserve">企業端營收（API）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</si>
  <si>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＝上半年實際＋下半年年化 </t>
    </r>
    <r>
      <rPr>
        <sz val="11"/>
        <color theme="1"/>
        <rFont val="Calibri"/>
        <family val="2"/>
        <charset val="1"/>
      </rPr>
      <t xml:space="preserve">÷ 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token × </t>
    </r>
    <r>
      <rPr>
        <sz val="11"/>
        <color theme="1"/>
        <rFont val="Noto Sans CJK SC"/>
        <family val="2"/>
      </rPr>
      <t xml:space="preserve">單價</t>
    </r>
  </si>
  <si>
    <t xml:space="preserve">二、消費端：AI 原生產品（Talkie／星野、海螺、Agent、Audio）</t>
  </si>
  <si>
    <t xml:space="preserve">R02</t>
  </si>
  <si>
    <t xml:space="preserve">消費端營收</t>
  </si>
  <si>
    <t xml:space="preserve">R03</t>
  </si>
  <si>
    <t xml:space="preserve">  其中 Talkie／星野（依 9M25 結構）</t>
  </si>
  <si>
    <t xml:space="preserve">產品別 2025 後未揭露；僅示意</t>
  </si>
  <si>
    <t xml:space="preserve">R04</t>
  </si>
  <si>
    <t xml:space="preserve">  其中 海螺 Hailuo（依 9M25 結構）</t>
  </si>
  <si>
    <t xml:space="preserve">R05</t>
  </si>
  <si>
    <t xml:space="preserve">  其中 Audio＋App／Agent（依 9M25 結構）</t>
  </si>
  <si>
    <t xml:space="preserve">R06</t>
  </si>
  <si>
    <t xml:space="preserve">  其中 廣告（依 9M25 結構）</t>
  </si>
  <si>
    <t xml:space="preserve">收費方式別 2025 後未揭露</t>
  </si>
  <si>
    <t xml:space="preserve">R07</t>
  </si>
  <si>
    <t xml:space="preserve">  其中 訂閱（依 9M25 結構）</t>
  </si>
  <si>
    <t xml:space="preserve">方案別（Standard／Pro 等）未揭露</t>
  </si>
  <si>
    <t xml:space="preserve">R08</t>
  </si>
  <si>
    <t xml:space="preserve">  其中 儲值（依 9M25 結構）</t>
  </si>
  <si>
    <t xml:space="preserve">三、總額</t>
  </si>
  <si>
    <t xml:space="preserve">R09</t>
  </si>
  <si>
    <t xml:space="preserve">總營收</t>
  </si>
  <si>
    <t xml:space="preserve">R10</t>
  </si>
  <si>
    <t xml:space="preserve">總營收年增</t>
  </si>
  <si>
    <t xml:space="preserve">R11</t>
  </si>
  <si>
    <t xml:space="preserve">企業端占比</t>
  </si>
  <si>
    <t xml:space="preserve">R12</t>
  </si>
  <si>
    <t xml:space="preserve">檢查：2025 模型總額 − 實際營收（應為 0）</t>
  </si>
  <si>
    <t xml:space="preserve">四、對照市場（只對照，不校準；皆 Interested-party）</t>
  </si>
  <si>
    <t xml:space="preserve">R13</t>
  </si>
  <si>
    <t xml:space="preserve">對照：賣方預估營收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</si>
  <si>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共識平均；</t>
    </r>
    <r>
      <rPr>
        <sz val="11"/>
        <color theme="1"/>
        <rFont val="Calibri"/>
        <family val="2"/>
        <charset val="1"/>
      </rPr>
      <t xml:space="preserve">2027–28 Goldman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 Visible Alpha</t>
    </r>
  </si>
  <si>
    <t xml:space="preserve">R14</t>
  </si>
  <si>
    <t xml:space="preserve">模型 ÷ 賣方預估</t>
  </si>
  <si>
    <r>
      <rPr>
        <b val="true"/>
        <sz val="12"/>
        <rFont val="Cambria"/>
        <family val="0"/>
        <charset val="1"/>
      </rPr>
      <t xml:space="preserve">Compute — </t>
    </r>
    <r>
      <rPr>
        <b val="true"/>
        <sz val="12"/>
        <rFont val="Noto Sans CJK SC"/>
        <family val="2"/>
      </rPr>
      <t xml:space="preserve">算力：</t>
    </r>
    <r>
      <rPr>
        <b val="true"/>
        <sz val="12"/>
        <rFont val="Cambria"/>
        <family val="0"/>
        <charset val="1"/>
      </rPr>
      <t xml:space="preserve">token → MW</t>
    </r>
    <r>
      <rPr>
        <b val="true"/>
        <sz val="12"/>
        <rFont val="Noto Sans CJK SC"/>
        <family val="2"/>
      </rPr>
      <t xml:space="preserve">（</t>
    </r>
    <r>
      <rPr>
        <b val="true"/>
        <sz val="12"/>
        <rFont val="Cambria"/>
        <family val="0"/>
        <charset val="1"/>
      </rPr>
      <t xml:space="preserve">API</t>
    </r>
    <r>
      <rPr>
        <b val="true"/>
        <sz val="12"/>
        <rFont val="Noto Sans CJK SC"/>
        <family val="2"/>
      </rPr>
      <t xml:space="preserve">）、支出 → </t>
    </r>
    <r>
      <rPr>
        <b val="true"/>
        <sz val="12"/>
        <rFont val="Cambria"/>
        <family val="0"/>
        <charset val="1"/>
      </rPr>
      <t xml:space="preserve">MW</t>
    </r>
    <r>
      <rPr>
        <b val="true"/>
        <sz val="12"/>
        <rFont val="Noto Sans CJK SC"/>
        <family val="2"/>
      </rPr>
      <t xml:space="preserve">（消費端、訓練）</t>
    </r>
  </si>
  <si>
    <t xml:space="preserve">一、機隊組合與每 MW 產能（Tokenomics；M tok/GW/年 ÷ 10^9 ＝ T/MW/年）</t>
  </si>
  <si>
    <t xml:space="preserve">C01</t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</si>
  <si>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級占比</t>
    </r>
  </si>
  <si>
    <t xml:space="preserve">C02</t>
  </si>
  <si>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級占比</t>
    </r>
  </si>
  <si>
    <t xml:space="preserve">C03</t>
  </si>
  <si>
    <t xml:space="preserve">每 MW 年產能：低層（Luna；基準利用率）</t>
  </si>
  <si>
    <r>
      <rPr>
        <sz val="11"/>
        <color theme="1"/>
        <rFont val="Calibri"/>
        <family val="2"/>
        <charset val="1"/>
      </rPr>
      <t xml:space="preserve">T/MW/</t>
    </r>
    <r>
      <rPr>
        <sz val="11"/>
        <color theme="1"/>
        <rFont val="Noto Sans CJK SC"/>
        <family val="2"/>
      </rPr>
      <t xml:space="preserve">年</t>
    </r>
  </si>
  <si>
    <t xml:space="preserve">C04</t>
  </si>
  <si>
    <t xml:space="preserve">每 MW 年產能：中層（Sol；基準利用率）</t>
  </si>
  <si>
    <t xml:space="preserve">C05</t>
  </si>
  <si>
    <t xml:space="preserve">每 MW 年產能：MiniMax 層級組合</t>
  </si>
  <si>
    <t xml:space="preserve">C06</t>
  </si>
  <si>
    <t xml:space="preserve">模型效率指數</t>
  </si>
  <si>
    <t xml:space="preserve">C07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</si>
  <si>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推論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（年度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換算，未除 </t>
    </r>
    <r>
      <rPr>
        <sz val="11"/>
        <color theme="1"/>
        <rFont val="Calibri"/>
        <family val="2"/>
        <charset val="1"/>
      </rPr>
      <t xml:space="preserve">η</t>
    </r>
    <r>
      <rPr>
        <sz val="11"/>
        <color theme="1"/>
        <rFont val="Noto Sans CJK SC"/>
        <family val="2"/>
      </rPr>
      <t xml:space="preserve">）</t>
    </r>
  </si>
  <si>
    <t xml:space="preserve">MW</t>
  </si>
  <si>
    <t xml:space="preserve">二、V2 有效產出係數 η：以實際算力支出校準（2025 全年；2026 以上半年年化，為最新實際）</t>
  </si>
  <si>
    <t xml:space="preserve">C08</t>
  </si>
  <si>
    <t xml:space="preserve">校準期 API 算力支出（年化）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</si>
  <si>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1−9M25 </t>
    </r>
    <r>
      <rPr>
        <sz val="11"/>
        <color theme="1"/>
        <rFont val="Noto Sans CJK SC"/>
        <family val="2"/>
      </rPr>
      <t xml:space="preserve">分部毛利率）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算力占比；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銷售成本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算力占比 − 消費端算力）</t>
    </r>
    <r>
      <rPr>
        <sz val="11"/>
        <color theme="1"/>
        <rFont val="Calibri"/>
        <family val="2"/>
        <charset val="1"/>
      </rPr>
      <t xml:space="preserve">× 2</t>
    </r>
  </si>
  <si>
    <t xml:space="preserve">C09</t>
  </si>
  <si>
    <t xml:space="preserve">校準期 API 推論 MW（支出換算）</t>
  </si>
  <si>
    <t xml:space="preserve">C10</t>
  </si>
  <si>
    <t xml:space="preserve">校準期 API 推論 MW（token 換算）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</si>
  <si>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× 2</t>
    </r>
  </si>
  <si>
    <t xml:space="preserve">C11</t>
  </si>
  <si>
    <r>
      <rPr>
        <sz val="11"/>
        <color theme="1"/>
        <rFont val="Calibri"/>
        <family val="2"/>
        <charset val="1"/>
      </rPr>
      <t xml:space="preserve">η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換算 </t>
    </r>
    <r>
      <rPr>
        <sz val="11"/>
        <color theme="1"/>
        <rFont val="Calibri"/>
        <family val="2"/>
        <charset val="1"/>
      </rPr>
      <t xml:space="preserve">MW ÷ </t>
    </r>
    <r>
      <rPr>
        <sz val="11"/>
        <color theme="1"/>
        <rFont val="Noto Sans CJK SC"/>
        <family val="2"/>
      </rPr>
      <t xml:space="preserve">支出換算 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</si>
  <si>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&lt;1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實際產出的計費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少於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推算（訂閱方案低價 </t>
    </r>
    <r>
      <rPr>
        <sz val="11"/>
        <color theme="1"/>
        <rFont val="Calibri"/>
        <family val="2"/>
        <charset val="1"/>
      </rPr>
      <t xml:space="preserve">token</t>
    </r>
    <r>
      <rPr>
        <sz val="11"/>
        <color theme="1"/>
        <rFont val="Noto Sans CJK SC"/>
        <family val="2"/>
      </rPr>
      <t xml:space="preserve">、免費額度、長上下文、</t>
    </r>
    <r>
      <rPr>
        <sz val="11"/>
        <color theme="1"/>
        <rFont val="Calibri"/>
        <family val="2"/>
        <charset val="1"/>
      </rPr>
      <t xml:space="preserve">M3 </t>
    </r>
    <r>
      <rPr>
        <sz val="11"/>
        <color theme="1"/>
        <rFont val="Noto Sans CJK SC"/>
        <family val="2"/>
      </rPr>
      <t xml:space="preserve">較大）</t>
    </r>
  </si>
  <si>
    <t xml:space="preserve">C12</t>
  </si>
  <si>
    <t xml:space="preserve">採用的 η（2026 上半年＝校準值；2026 下半年起 × I29）</t>
  </si>
  <si>
    <t xml:space="preserve">C13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</si>
  <si>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推論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（有效；年均）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</si>
  <si>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＝上半年實際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與下半年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的平均</t>
    </r>
  </si>
  <si>
    <t xml:space="preserve">三、消費端推論 MW（支出換算；影片生成為主，token 口徑不適用）</t>
  </si>
  <si>
    <t xml:space="preserve">C14</t>
  </si>
  <si>
    <t xml:space="preserve">消費端算力成本 ÷ 消費端營收</t>
  </si>
  <si>
    <t xml:space="preserve">C15</t>
  </si>
  <si>
    <t xml:space="preserve">消費端算力支出</t>
  </si>
  <si>
    <t xml:space="preserve">C16</t>
  </si>
  <si>
    <t xml:space="preserve">消費端推論 MW</t>
  </si>
  <si>
    <t xml:space="preserve">四、訓練（研發）MW</t>
  </si>
  <si>
    <t xml:space="preserve">C17</t>
  </si>
  <si>
    <r>
      <rPr>
        <sz val="11"/>
        <color theme="1"/>
        <rFont val="Calibri"/>
        <family val="2"/>
        <charset val="1"/>
      </rPr>
      <t xml:space="preserve">1H2026 </t>
    </r>
    <r>
      <rPr>
        <sz val="11"/>
        <color theme="1"/>
        <rFont val="Noto Sans CJK SC"/>
        <family val="2"/>
      </rPr>
      <t xml:space="preserve">研發算力（推得）＝研發費用 − 員工福利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研發占比</t>
    </r>
  </si>
  <si>
    <t xml:space="preserve">C18</t>
  </si>
  <si>
    <t xml:space="preserve">訓練算力支出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</si>
  <si>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實際；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上半年推得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＋下半年倍數</t>
    </r>
    <r>
      <rPr>
        <sz val="11"/>
        <color theme="1"/>
        <rFont val="Calibri"/>
        <family val="2"/>
        <charset val="1"/>
      </rPr>
      <t xml:space="preserve">)</t>
    </r>
  </si>
  <si>
    <t xml:space="preserve">C19</t>
  </si>
  <si>
    <t xml:space="preserve">訓練 MW</t>
  </si>
  <si>
    <t xml:space="preserve">五、總 MW（年均）與 VR 等值</t>
  </si>
  <si>
    <t xml:space="preserve">C20</t>
  </si>
  <si>
    <t xml:space="preserve">推論 MW 合計（API＋消費端）</t>
  </si>
  <si>
    <t xml:space="preserve">C21</t>
  </si>
  <si>
    <t xml:space="preserve">總 MW</t>
  </si>
  <si>
    <t xml:space="preserve">C22</t>
  </si>
  <si>
    <t xml:space="preserve">訓練占總 MW</t>
  </si>
  <si>
    <t xml:space="preserve">C23</t>
  </si>
  <si>
    <t xml:space="preserve">機隊 VR200 等值係數（Sol 層級每 GW 產能比）</t>
  </si>
  <si>
    <t xml:space="preserve">C24</t>
  </si>
  <si>
    <t xml:space="preserve">總 MW（VR 等值）</t>
  </si>
  <si>
    <t xml:space="preserve">C25</t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</si>
  <si>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等值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數（顯示用）</t>
    </r>
  </si>
  <si>
    <t xml:space="preserve">張</t>
  </si>
  <si>
    <r>
      <rPr>
        <sz val="11"/>
        <color theme="1"/>
        <rFont val="Calibri"/>
        <family val="2"/>
        <charset val="1"/>
      </rPr>
      <t xml:space="preserve">MW × 1000 ÷ </t>
    </r>
    <r>
      <rPr>
        <sz val="11"/>
        <color theme="1"/>
        <rFont val="Noto Sans CJK SC"/>
        <family val="2"/>
      </rPr>
      <t xml:space="preserve">每張 </t>
    </r>
    <r>
      <rPr>
        <sz val="11"/>
        <color theme="1"/>
        <rFont val="Calibri"/>
        <family val="2"/>
        <charset val="1"/>
      </rPr>
      <t xml:space="preserve">kW</t>
    </r>
  </si>
  <si>
    <t xml:space="preserve">六、對照（只列差距）</t>
  </si>
  <si>
    <t xml:space="preserve">C26</t>
  </si>
  <si>
    <t xml:space="preserve">總算力支出（推論＋訓練）</t>
  </si>
  <si>
    <t xml:space="preserve">C27</t>
  </si>
  <si>
    <t xml:space="preserve">對照：阿里雲採購上限（S059–S061）</t>
  </si>
  <si>
    <t xml:space="preserve">阿里雲之外尚有其他中國及海外雲、自建集群</t>
  </si>
  <si>
    <t xml:space="preserve">C28</t>
  </si>
  <si>
    <t xml:space="preserve">阿里雲上限占總算力支出</t>
  </si>
  <si>
    <t xml:space="preserve">C29</t>
  </si>
  <si>
    <t xml:space="preserve">對照：Tokenomics Hopper 每 MW 年持有成本（供應商口徑）</t>
  </si>
  <si>
    <t xml:space="preserve">合約價 − 持有成本＝雲端毛利</t>
  </si>
  <si>
    <t xml:space="preserve">C30</t>
  </si>
  <si>
    <t xml:space="preserve">對照：每百萬 token API 推論成本（有效）</t>
  </si>
  <si>
    <t xml:space="preserve">與 TK 全成本 $/M（TK09–TK12）比較</t>
  </si>
  <si>
    <r>
      <rPr>
        <b val="true"/>
        <sz val="12"/>
        <rFont val="Cambria"/>
        <family val="0"/>
        <charset val="1"/>
      </rPr>
      <t xml:space="preserve">PnL — </t>
    </r>
    <r>
      <rPr>
        <b val="true"/>
        <sz val="12"/>
        <rFont val="Noto Sans CJK SC"/>
        <family val="2"/>
      </rPr>
      <t xml:space="preserve">損益與命題：每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營收 </t>
    </r>
    <r>
      <rPr>
        <b val="true"/>
        <sz val="12"/>
        <rFont val="Cambria"/>
        <family val="0"/>
        <charset val="1"/>
      </rPr>
      <t xml:space="preserve">vs </t>
    </r>
    <r>
      <rPr>
        <b val="true"/>
        <sz val="12"/>
        <rFont val="Noto Sans CJK SC"/>
        <family val="2"/>
      </rPr>
      <t xml:space="preserve">每 </t>
    </r>
    <r>
      <rPr>
        <b val="true"/>
        <sz val="12"/>
        <rFont val="Cambria"/>
        <family val="0"/>
        <charset val="1"/>
      </rPr>
      <t xml:space="preserve">MW </t>
    </r>
    <r>
      <rPr>
        <b val="true"/>
        <sz val="12"/>
        <rFont val="Noto Sans CJK SC"/>
        <family val="2"/>
      </rPr>
      <t xml:space="preserve">全成本</t>
    </r>
  </si>
  <si>
    <t xml:space="preserve">一、營收與銷售成本</t>
  </si>
  <si>
    <t xml:space="preserve">P01</t>
  </si>
  <si>
    <t xml:space="preserve">P02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</si>
  <si>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推論算力</t>
    </r>
  </si>
  <si>
    <t xml:space="preserve">P03</t>
  </si>
  <si>
    <t xml:space="preserve">消費端推論算力</t>
  </si>
  <si>
    <t xml:space="preserve">P04</t>
  </si>
  <si>
    <t xml:space="preserve">其他銷售成本（非算力）</t>
  </si>
  <si>
    <t xml:space="preserve">P05</t>
  </si>
  <si>
    <t xml:space="preserve">銷售成本合計</t>
  </si>
  <si>
    <t xml:space="preserve">P06</t>
  </si>
  <si>
    <t xml:space="preserve">毛利</t>
  </si>
  <si>
    <t xml:space="preserve">P07</t>
  </si>
  <si>
    <t xml:space="preserve">毛利率</t>
  </si>
  <si>
    <t xml:space="preserve">P08</t>
  </si>
  <si>
    <t xml:space="preserve">企業端（API）毛利率</t>
  </si>
  <si>
    <t xml:space="preserve">其他銷售成本按營收比例分攤</t>
  </si>
  <si>
    <t xml:space="preserve">P09</t>
  </si>
  <si>
    <t xml:space="preserve">消費端毛利率</t>
  </si>
  <si>
    <t xml:space="preserve">二、營業費用（依成本性質：訓練算力／人事／其他）</t>
  </si>
  <si>
    <t xml:space="preserve">P10</t>
  </si>
  <si>
    <t xml:space="preserve">訓練算力（研發）</t>
  </si>
  <si>
    <t xml:space="preserve">P11</t>
  </si>
  <si>
    <t xml:space="preserve">每人年人事成本（含 SBC）</t>
  </si>
  <si>
    <r>
      <rPr>
        <sz val="11"/>
        <color theme="1"/>
        <rFont val="Calibri"/>
        <family val="2"/>
        <charset val="1"/>
      </rPr>
      <t xml:space="preserve">$K/</t>
    </r>
    <r>
      <rPr>
        <sz val="11"/>
        <color theme="1"/>
        <rFont val="Noto Sans CJK SC"/>
        <family val="2"/>
      </rPr>
      <t xml:space="preserve">人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</si>
  <si>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員工福利 </t>
    </r>
    <r>
      <rPr>
        <sz val="11"/>
        <color theme="1"/>
        <rFont val="Calibri"/>
        <family val="2"/>
        <charset val="1"/>
      </rPr>
      <t xml:space="preserve">× 2 ÷ </t>
    </r>
    <r>
      <rPr>
        <sz val="11"/>
        <color theme="1"/>
        <rFont val="Noto Sans CJK SC"/>
        <family val="2"/>
      </rPr>
      <t xml:space="preserve">平均人數</t>
    </r>
  </si>
  <si>
    <t xml:space="preserve">P12</t>
  </si>
  <si>
    <t xml:space="preserve">人事成本（含 SBC）</t>
  </si>
  <si>
    <t xml:space="preserve">P13</t>
  </si>
  <si>
    <t xml:space="preserve">  其中 SBC</t>
  </si>
  <si>
    <r>
      <rPr>
        <sz val="11"/>
        <color theme="1"/>
        <rFont val="Calibri"/>
        <family val="2"/>
        <charset val="1"/>
      </rPr>
      <t xml:space="preserve">SBC </t>
    </r>
    <r>
      <rPr>
        <sz val="11"/>
        <color theme="1"/>
        <rFont val="Noto Sans CJK SC"/>
        <family val="2"/>
      </rPr>
      <t xml:space="preserve">占人事比例沿用 </t>
    </r>
    <r>
      <rPr>
        <sz val="11"/>
        <color theme="1"/>
        <rFont val="Calibri"/>
        <family val="2"/>
        <charset val="1"/>
      </rPr>
      <t xml:space="preserve">1H26</t>
    </r>
  </si>
  <si>
    <t xml:space="preserve">P14</t>
  </si>
  <si>
    <t xml:space="preserve">其他營業費用（行銷、行政、上市費等）</t>
  </si>
  <si>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＝三項費用 − 人事 − 研發算力；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同法推得＋下半年營收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比例</t>
    </r>
  </si>
  <si>
    <t xml:space="preserve">P15</t>
  </si>
  <si>
    <t xml:space="preserve">營業費用合計</t>
  </si>
  <si>
    <t xml:space="preserve">P16</t>
  </si>
  <si>
    <t xml:space="preserve">營業虧損（負＝虧損）</t>
  </si>
  <si>
    <t xml:space="preserve">P17</t>
  </si>
  <si>
    <t xml:space="preserve">利息與理財收益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</si>
  <si>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期初現金＋當年融資 </t>
    </r>
    <r>
      <rPr>
        <sz val="11"/>
        <color theme="1"/>
        <rFont val="Calibri"/>
        <family val="2"/>
        <charset val="1"/>
      </rPr>
      <t xml:space="preserve">÷ 2) × </t>
    </r>
    <r>
      <rPr>
        <sz val="11"/>
        <color theme="1"/>
        <rFont val="Noto Sans CJK SC"/>
        <family val="2"/>
      </rPr>
      <t xml:space="preserve">收益率（避免循環參照）</t>
    </r>
  </si>
  <si>
    <t xml:space="preserve">P18</t>
  </si>
  <si>
    <t xml:space="preserve">經調整淨利（非 IFRS；不含 SBC、公允價值變動、稅）</t>
  </si>
  <si>
    <t xml:space="preserve">P19</t>
  </si>
  <si>
    <t xml:space="preserve">檢查：2025 經調整淨利 − 實際（−250.9；差額＝財務成本等）</t>
  </si>
  <si>
    <t xml:space="preserve">三、命題：每 MW 營收能否覆蓋每 MW 全成本</t>
  </si>
  <si>
    <t xml:space="preserve">P20</t>
  </si>
  <si>
    <t xml:space="preserve">總 MW（年均）</t>
  </si>
  <si>
    <t xml:space="preserve">P21</t>
  </si>
  <si>
    <t xml:space="preserve">每 MW 營收</t>
  </si>
  <si>
    <t xml:space="preserve">P22</t>
  </si>
  <si>
    <t xml:space="preserve">每 MW 全成本（銷售成本＋營業費用，含 SBC）</t>
  </si>
  <si>
    <t xml:space="preserve">P23</t>
  </si>
  <si>
    <t xml:space="preserve">覆蓋率＝每 MW 營收 ÷ 每 MW 全成本</t>
  </si>
  <si>
    <r>
      <rPr>
        <sz val="11"/>
        <color theme="1"/>
        <rFont val="Calibri"/>
        <family val="2"/>
        <charset val="1"/>
      </rPr>
      <t xml:space="preserve">≥1 </t>
    </r>
    <r>
      <rPr>
        <sz val="11"/>
        <color theme="1"/>
        <rFont val="Noto Sans CJK SC"/>
        <family val="2"/>
      </rPr>
      <t xml:space="preserve">才算打平</t>
    </r>
  </si>
  <si>
    <t xml:space="preserve">P24</t>
  </si>
  <si>
    <t xml:space="preserve">每 MW 全成本：算力部分（＝合約價）</t>
  </si>
  <si>
    <t xml:space="preserve">P25</t>
  </si>
  <si>
    <t xml:space="preserve">每 MW 全成本：非算力部分（人事＋其他）</t>
  </si>
  <si>
    <t xml:space="preserve">P26</t>
  </si>
  <si>
    <t xml:space="preserve">每 VR 等值 MW 營收</t>
  </si>
  <si>
    <t xml:space="preserve">P27</t>
  </si>
  <si>
    <t xml:space="preserve">每 VR 等值 MW 全成本</t>
  </si>
  <si>
    <t xml:space="preserve">P28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</si>
  <si>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單位經濟：每推論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合約價</t>
    </r>
  </si>
  <si>
    <r>
      <rPr>
        <sz val="11"/>
        <color theme="1"/>
        <rFont val="Calibri"/>
        <family val="2"/>
        <charset val="1"/>
      </rPr>
      <t xml:space="preserve">&gt;1</t>
    </r>
    <r>
      <rPr>
        <sz val="11"/>
        <color theme="1"/>
        <rFont val="Noto Sans CJK SC"/>
        <family val="2"/>
      </rPr>
      <t xml:space="preserve">＝推論本身賺錢</t>
    </r>
  </si>
  <si>
    <t xml:space="preserve">P29</t>
  </si>
  <si>
    <t xml:space="preserve">訓練＋人事＋其他 占營收</t>
  </si>
  <si>
    <t xml:space="preserve">P30</t>
  </si>
  <si>
    <t xml:space="preserve">打平旗標（覆蓋率 ≥ 1）</t>
  </si>
  <si>
    <t xml:space="preserve">旗標</t>
  </si>
  <si>
    <t xml:space="preserve">四、對照（只列差距，不校準）</t>
  </si>
  <si>
    <t xml:space="preserve">P31</t>
  </si>
  <si>
    <t xml:space="preserve">對照：1H2026 實際毛利率</t>
  </si>
  <si>
    <t xml:space="preserve">模型 2026 全年含下半年效率改善</t>
  </si>
  <si>
    <t xml:space="preserve">P32</t>
  </si>
  <si>
    <t xml:space="preserve">對照：1H2026 實際經調整淨虧損 × 2</t>
  </si>
  <si>
    <t xml:space="preserve">P33</t>
  </si>
  <si>
    <t xml:space="preserve">對照：Citi 經調整淨虧損預估</t>
  </si>
  <si>
    <r>
      <rPr>
        <b val="true"/>
        <sz val="12"/>
        <rFont val="Cambria"/>
        <family val="0"/>
        <charset val="1"/>
      </rPr>
      <t xml:space="preserve">Funding — </t>
    </r>
    <r>
      <rPr>
        <b val="true"/>
        <sz val="12"/>
        <rFont val="Noto Sans CJK SC"/>
        <family val="2"/>
      </rPr>
      <t xml:space="preserve">現金、缺口與融資來源</t>
    </r>
  </si>
  <si>
    <t xml:space="preserve">一、現金來源（2026 已完成的融資為實際；單位 $M）</t>
  </si>
  <si>
    <t xml:space="preserve">F01</t>
  </si>
  <si>
    <t xml:space="preserve">期初現金（公司口徑）</t>
  </si>
  <si>
    <t xml:space="preserve">F02</t>
  </si>
  <si>
    <r>
      <rPr>
        <sz val="11"/>
        <color theme="1"/>
        <rFont val="Calibri"/>
        <family val="2"/>
        <charset val="1"/>
      </rPr>
      <t xml:space="preserve">IPO </t>
    </r>
    <r>
      <rPr>
        <sz val="11"/>
        <color theme="1"/>
        <rFont val="Noto Sans CJK SC"/>
        <family val="2"/>
      </rPr>
      <t xml:space="preserve">淨募資</t>
    </r>
  </si>
  <si>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；含超額配售</t>
    </r>
  </si>
  <si>
    <t xml:space="preserve">F03</t>
  </si>
  <si>
    <t xml:space="preserve">配售新股淨額</t>
  </si>
  <si>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HK$268</t>
    </r>
  </si>
  <si>
    <t xml:space="preserve">F04</t>
  </si>
  <si>
    <t xml:space="preserve">可轉債淨額</t>
  </si>
  <si>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；零息，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到期</t>
    </r>
  </si>
  <si>
    <t xml:space="preserve">F05</t>
  </si>
  <si>
    <t xml:space="preserve">銀行借款淨增加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</si>
  <si>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實際；其後假設不變</t>
    </r>
  </si>
  <si>
    <t xml:space="preserve">二、現金用途</t>
  </si>
  <si>
    <t xml:space="preserve">F06</t>
  </si>
  <si>
    <t xml:space="preserve">營運燒錢（＝經調整淨利；負＝流出）</t>
  </si>
  <si>
    <t xml:space="preserve">經調整淨利已排除 SBC；未計營運資金</t>
  </si>
  <si>
    <t xml:space="preserve">F07</t>
  </si>
  <si>
    <t xml:space="preserve">算力預付與自建資本支出（現金時差）</t>
  </si>
  <si>
    <t xml:space="preserve">F08</t>
  </si>
  <si>
    <t xml:space="preserve">可轉債到期現金贖回</t>
  </si>
  <si>
    <t xml:space="preserve">F09</t>
  </si>
  <si>
    <t xml:space="preserve">期末現金（新融資前）</t>
  </si>
  <si>
    <t xml:space="preserve">F10</t>
  </si>
  <si>
    <t xml:space="preserve">需新融資（補足至最低現金）</t>
  </si>
  <si>
    <t xml:space="preserve">F11</t>
  </si>
  <si>
    <t xml:space="preserve">累計需新融資（2026 起）</t>
  </si>
  <si>
    <t xml:space="preserve">F12</t>
  </si>
  <si>
    <t xml:space="preserve">期末現金（含新融資）</t>
  </si>
  <si>
    <t xml:space="preserve">F13</t>
  </si>
  <si>
    <t xml:space="preserve">新融資旗標年（第一個需融資的年度）</t>
  </si>
  <si>
    <t xml:space="preserve">年</t>
  </si>
  <si>
    <t xml:space="preserve">F19</t>
  </si>
  <si>
    <t xml:space="preserve">首次需新融資年度（9999＝2030 年內不需要）</t>
  </si>
  <si>
    <t xml:space="preserve">F14</t>
  </si>
  <si>
    <t xml:space="preserve">累計新股稀釋（依現價 ×（1−折價）發行）</t>
  </si>
  <si>
    <t xml:space="preserve">占目前市值</t>
  </si>
  <si>
    <t xml:space="preserve">三、已投入資金（誰在付錢；累計，$M）</t>
  </si>
  <si>
    <t xml:space="preserve">F15</t>
  </si>
  <si>
    <t xml:space="preserve">上市前創投與策略投資人（阿里巴巴、騰訊、米哈遊、紅杉、高瓴、IDG 等）</t>
  </si>
  <si>
    <r>
      <rPr>
        <sz val="11"/>
        <color theme="1"/>
        <rFont val="Calibri"/>
        <family val="2"/>
        <charset val="1"/>
      </rPr>
      <t xml:space="preserve">Pre-B </t>
    </r>
    <r>
      <rPr>
        <sz val="11"/>
        <color theme="1"/>
        <rFont val="Noto Sans CJK SC"/>
        <family val="2"/>
      </rPr>
      <t xml:space="preserve">由阿里巴巴領投 </t>
    </r>
    <r>
      <rPr>
        <sz val="11"/>
        <color theme="1"/>
        <rFont val="Calibri"/>
        <family val="2"/>
        <charset val="1"/>
      </rPr>
      <t xml:space="preserve">654</t>
    </r>
  </si>
  <si>
    <t xml:space="preserve">F16</t>
  </si>
  <si>
    <r>
      <rPr>
        <sz val="11"/>
        <color theme="1"/>
        <rFont val="Calibri"/>
        <family val="2"/>
        <charset val="1"/>
      </rPr>
      <t xml:space="preserve">IPO</t>
    </r>
    <r>
      <rPr>
        <sz val="11"/>
        <color theme="1"/>
        <rFont val="Noto Sans CJK SC"/>
        <family val="2"/>
      </rPr>
      <t xml:space="preserve">（基石：</t>
    </r>
    <r>
      <rPr>
        <sz val="11"/>
        <color theme="1"/>
        <rFont val="Calibri"/>
        <family val="2"/>
        <charset val="1"/>
      </rPr>
      <t xml:space="preserve">ADIA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Aspex</t>
    </r>
    <r>
      <rPr>
        <sz val="11"/>
        <color theme="1"/>
        <rFont val="Noto Sans CJK SC"/>
        <family val="2"/>
      </rPr>
      <t xml:space="preserve">、阿里巴巴等，占 </t>
    </r>
    <r>
      <rPr>
        <sz val="11"/>
        <color theme="1"/>
        <rFont val="Calibri"/>
        <family val="2"/>
        <charset val="1"/>
      </rPr>
      <t xml:space="preserve">56.5%</t>
    </r>
    <r>
      <rPr>
        <sz val="11"/>
        <color theme="1"/>
        <rFont val="Noto Sans CJK SC"/>
        <family val="2"/>
      </rPr>
      <t xml:space="preserve">）</t>
    </r>
  </si>
  <si>
    <t xml:space="preserve">F17</t>
  </si>
  <si>
    <r>
      <rPr>
        <sz val="11"/>
        <color theme="1"/>
        <rFont val="Calibri"/>
        <family val="2"/>
        <charset val="1"/>
      </rPr>
      <t xml:space="preserve">2026-07 </t>
    </r>
    <r>
      <rPr>
        <sz val="11"/>
        <color theme="1"/>
        <rFont val="Noto Sans CJK SC"/>
        <family val="2"/>
      </rPr>
      <t xml:space="preserve">配售＋可轉債（承配人與債權人未具名）</t>
    </r>
  </si>
  <si>
    <t xml:space="preserve">F18</t>
  </si>
  <si>
    <t xml:space="preserve">累計外部資金</t>
  </si>
  <si>
    <r>
      <rPr>
        <b val="true"/>
        <sz val="12"/>
        <rFont val="Cambria"/>
        <family val="0"/>
        <charset val="1"/>
      </rPr>
      <t xml:space="preserve">Valuation — </t>
    </r>
    <r>
      <rPr>
        <b val="true"/>
        <sz val="12"/>
        <rFont val="Noto Sans CJK SC"/>
        <family val="2"/>
      </rPr>
      <t xml:space="preserve">市值、</t>
    </r>
    <r>
      <rPr>
        <b val="true"/>
        <sz val="12"/>
        <rFont val="Cambria"/>
        <family val="0"/>
        <charset val="1"/>
      </rPr>
      <t xml:space="preserve">EV </t>
    </r>
    <r>
      <rPr>
        <b val="true"/>
        <sz val="12"/>
        <rFont val="Noto Sans CJK SC"/>
        <family val="2"/>
      </rPr>
      <t xml:space="preserve">與反向檢驗</t>
    </r>
  </si>
  <si>
    <t xml:space="preserve">一、市值與企業價值（以 2026-10-02 收盤；2026-10-08 股價未取得）</t>
  </si>
  <si>
    <t xml:space="preserve">V01</t>
  </si>
  <si>
    <t xml:space="preserve">隱含股價</t>
  </si>
  <si>
    <t xml:space="preserve">市值 ÷ 配售後股數</t>
  </si>
  <si>
    <t xml:space="preserve">V02</t>
  </si>
  <si>
    <t xml:space="preserve">V03</t>
  </si>
  <si>
    <t xml:space="preserve">淨現金（模型年底：現金 − 銀行借款 − 未轉股可轉債）</t>
  </si>
  <si>
    <t xml:space="preserve">V04</t>
  </si>
  <si>
    <t xml:space="preserve">企業價值 EV（市值 − 淨現金）</t>
  </si>
  <si>
    <t xml:space="preserve">市值固定為現值；只看各年淨現金變化</t>
  </si>
  <si>
    <t xml:space="preserve">V05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</si>
  <si>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EV ÷ </t>
    </r>
    <r>
      <rPr>
        <sz val="11"/>
        <color theme="1"/>
        <rFont val="Noto Sans CJK SC"/>
        <family val="2"/>
      </rPr>
      <t xml:space="preserve">各年模型營收</t>
    </r>
  </si>
  <si>
    <t xml:space="preserve">以 2026 年底 EV 對各年營收</t>
  </si>
  <si>
    <t xml:space="preserve">二、同業對照（智譜 2513.HK）</t>
  </si>
  <si>
    <t xml:space="preserve">V06</t>
  </si>
  <si>
    <t xml:space="preserve">智譜市值</t>
  </si>
  <si>
    <t xml:space="preserve">V07</t>
  </si>
  <si>
    <t xml:space="preserve">智譜 市值 ÷ 1H26 年化營收</t>
  </si>
  <si>
    <t xml:space="preserve">V08</t>
  </si>
  <si>
    <r>
      <rPr>
        <sz val="11"/>
        <color theme="1"/>
        <rFont val="Calibri"/>
        <family val="2"/>
        <charset val="1"/>
      </rPr>
      <t xml:space="preserve">MiniMax </t>
    </r>
    <r>
      <rPr>
        <sz val="11"/>
        <color theme="1"/>
        <rFont val="Noto Sans CJK SC"/>
        <family val="2"/>
      </rPr>
      <t xml:space="preserve">市值 </t>
    </r>
    <r>
      <rPr>
        <sz val="11"/>
        <color theme="1"/>
        <rFont val="Calibri"/>
        <family val="2"/>
        <charset val="1"/>
      </rPr>
      <t xml:space="preserve">÷ 1H26 </t>
    </r>
    <r>
      <rPr>
        <sz val="11"/>
        <color theme="1"/>
        <rFont val="Noto Sans CJK SC"/>
        <family val="2"/>
      </rPr>
      <t xml:space="preserve">年化營收</t>
    </r>
  </si>
  <si>
    <t xml:space="preserve">三、反向檢驗：以模型 2030 年營收與退出倍數，折回今天、扣除稀釋，是否支持現價</t>
  </si>
  <si>
    <t xml:space="preserve">V09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</si>
  <si>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＝模型營收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退出倍數</t>
    </r>
  </si>
  <si>
    <t xml:space="preserve">V10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</si>
  <si>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年股權價值＝</t>
    </r>
    <r>
      <rPr>
        <sz val="11"/>
        <color theme="1"/>
        <rFont val="Calibri"/>
        <family val="2"/>
        <charset val="1"/>
      </rPr>
      <t xml:space="preserve">EV</t>
    </r>
    <r>
      <rPr>
        <sz val="11"/>
        <color theme="1"/>
        <rFont val="Noto Sans CJK SC"/>
        <family val="2"/>
      </rPr>
      <t xml:space="preserve">＋淨現金</t>
    </r>
  </si>
  <si>
    <t xml:space="preserve">V11</t>
  </si>
  <si>
    <t xml:space="preserve">現有股東持有比例＝1 ÷（1＋累計稀釋）</t>
  </si>
  <si>
    <t xml:space="preserve">V12</t>
  </si>
  <si>
    <t xml:space="preserve">現有股東價值折現至今</t>
  </si>
  <si>
    <t xml:space="preserve">折現 4 年</t>
  </si>
  <si>
    <t xml:space="preserve">V13</t>
  </si>
  <si>
    <t xml:space="preserve">折現價值 ÷ 目前市值</t>
  </si>
  <si>
    <r>
      <rPr>
        <sz val="11"/>
        <color theme="1"/>
        <rFont val="Calibri"/>
        <family val="2"/>
        <charset val="1"/>
      </rPr>
      <t xml:space="preserve">≥1</t>
    </r>
    <r>
      <rPr>
        <sz val="11"/>
        <color theme="1"/>
        <rFont val="Noto Sans CJK SC"/>
        <family val="2"/>
      </rPr>
      <t xml:space="preserve">＝模型支持現價</t>
    </r>
  </si>
  <si>
    <t xml:space="preserve">V14</t>
  </si>
  <si>
    <t xml:space="preserve">支持現價所需的 2030 營收</t>
  </si>
  <si>
    <r>
      <rPr>
        <b val="true"/>
        <sz val="11"/>
        <rFont val="Cambria"/>
        <family val="0"/>
        <charset val="1"/>
      </rPr>
      <t xml:space="preserve">Checks — </t>
    </r>
    <r>
      <rPr>
        <b val="true"/>
        <sz val="11"/>
        <rFont val="Noto Sans CJK SC"/>
        <family val="2"/>
      </rPr>
      <t xml:space="preserve">檢查（全部應為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CHK_Errors </t>
    </r>
    <r>
      <rPr>
        <b val="true"/>
        <sz val="11"/>
        <rFont val="Noto Sans CJK SC"/>
        <family val="2"/>
      </rPr>
      <t xml:space="preserve">必須為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</t>
    </r>
  </si>
  <si>
    <t xml:space="preserve">檢查</t>
  </si>
  <si>
    <t xml:space="preserve">值（應為 0）</t>
  </si>
  <si>
    <t xml:space="preserve">K01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</si>
  <si>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模型總營收 − 實際（分部捨入，容許 </t>
    </r>
    <r>
      <rPr>
        <sz val="11"/>
        <color theme="1"/>
        <rFont val="Calibri"/>
        <family val="2"/>
        <charset val="1"/>
      </rPr>
      <t xml:space="preserve">0.1</t>
    </r>
    <r>
      <rPr>
        <sz val="11"/>
        <color theme="1"/>
        <rFont val="Noto Sans CJK SC"/>
        <family val="2"/>
      </rPr>
      <t xml:space="preserve">）</t>
    </r>
  </si>
  <si>
    <t xml:space="preserve">K02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</si>
  <si>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銷售成本（模型）− 實際</t>
    </r>
  </si>
  <si>
    <t xml:space="preserve">K03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</si>
  <si>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營業費用（模型）− 實際三項費用合計</t>
    </r>
  </si>
  <si>
    <t xml:space="preserve">K04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</si>
  <si>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上半年營收：企業端＋消費端 − 總額（揭露捨入，容許 </t>
    </r>
    <r>
      <rPr>
        <sz val="11"/>
        <color theme="1"/>
        <rFont val="Calibri"/>
        <family val="2"/>
        <charset val="1"/>
      </rPr>
      <t xml:space="preserve">0.1</t>
    </r>
    <r>
      <rPr>
        <sz val="11"/>
        <color theme="1"/>
        <rFont val="Noto Sans CJK SC"/>
        <family val="2"/>
      </rPr>
      <t xml:space="preserve">）</t>
    </r>
  </si>
  <si>
    <t xml:space="preserve">K05</t>
  </si>
  <si>
    <t xml:space="preserve">機隊組合各年介於 0–1</t>
  </si>
  <si>
    <t xml:space="preserve">K06</t>
  </si>
  <si>
    <t xml:space="preserve">總 MW ＝ 推論＋訓練（各年合計差）</t>
  </si>
  <si>
    <t xml:space="preserve">K07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</si>
  <si>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毛利率 − 實際（</t>
    </r>
    <r>
      <rPr>
        <sz val="11"/>
        <color theme="1"/>
        <rFont val="Calibri"/>
        <family val="2"/>
        <charset val="1"/>
      </rPr>
      <t xml:space="preserve">25.4%</t>
    </r>
    <r>
      <rPr>
        <sz val="11"/>
        <color theme="1"/>
        <rFont val="Noto Sans CJK SC"/>
        <family val="2"/>
      </rPr>
      <t xml:space="preserve">）</t>
    </r>
  </si>
  <si>
    <t xml:space="preserve">K08</t>
  </si>
  <si>
    <t xml:space="preserve">期末現金不得低於最低水位（含新融資）</t>
  </si>
  <si>
    <t xml:space="preserve">CHK_Sum</t>
  </si>
  <si>
    <t xml:space="preserve">檢查合計（應為 0）</t>
  </si>
  <si>
    <t xml:space="preserve">CHK_Errors</t>
  </si>
  <si>
    <t xml:space="preserve">計算頁錯誤值個數（應為 0）</t>
  </si>
  <si>
    <r>
      <rPr>
        <b val="true"/>
        <sz val="11"/>
        <rFont val="Noto Sans CJK SC"/>
        <family val="2"/>
      </rPr>
      <t xml:space="preserve">敏感度（快照值：每列為改寫該項 </t>
    </r>
    <r>
      <rPr>
        <b val="true"/>
        <sz val="11"/>
        <rFont val="Cambria"/>
        <family val="0"/>
        <charset val="1"/>
      </rPr>
      <t xml:space="preserve">Inputs </t>
    </r>
    <r>
      <rPr>
        <b val="true"/>
        <sz val="11"/>
        <rFont val="Noto Sans CJK SC"/>
        <family val="2"/>
      </rPr>
      <t xml:space="preserve">後由 </t>
    </r>
    <r>
      <rPr>
        <b val="true"/>
        <sz val="11"/>
        <rFont val="Cambria"/>
        <family val="0"/>
        <charset val="1"/>
      </rPr>
      <t xml:space="preserve">LibreOffice </t>
    </r>
    <r>
      <rPr>
        <b val="true"/>
        <sz val="11"/>
        <rFont val="Noto Sans CJK SC"/>
        <family val="2"/>
      </rPr>
      <t xml:space="preserve">重算的結果；改 </t>
    </r>
    <r>
      <rPr>
        <b val="true"/>
        <sz val="11"/>
        <rFont val="Cambria"/>
        <family val="0"/>
        <charset val="1"/>
      </rPr>
      <t xml:space="preserve">Inputs </t>
    </r>
    <r>
      <rPr>
        <b val="true"/>
        <sz val="11"/>
        <rFont val="Noto Sans CJK SC"/>
        <family val="2"/>
      </rPr>
      <t xml:space="preserve">後此頁不會自動更新，需重跑 </t>
    </r>
    <r>
      <rPr>
        <b val="true"/>
        <sz val="11"/>
        <rFont val="Cambria"/>
        <family val="0"/>
        <charset val="1"/>
      </rPr>
      <t xml:space="preserve">scripts/sensitivity.py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</si>
  <si>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</si>
  <si>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t xml:space="preserve">改寫</t>
  </si>
  <si>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$M</t>
    </r>
  </si>
  <si>
    <r>
      <rPr>
        <b val="true"/>
        <sz val="11"/>
        <rFont val="Cambria"/>
        <family val="0"/>
        <charset val="1"/>
      </rPr>
      <t xml:space="preserve">2030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$M</t>
    </r>
  </si>
  <si>
    <r>
      <rPr>
        <b val="true"/>
        <sz val="11"/>
        <rFont val="Cambria"/>
        <family val="0"/>
        <charset val="1"/>
      </rPr>
      <t xml:space="preserve">2030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</si>
  <si>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2030 </t>
    </r>
    <r>
      <rPr>
        <b val="true"/>
        <sz val="11"/>
        <rFont val="Noto Sans CJK SC"/>
        <family val="2"/>
      </rPr>
      <t xml:space="preserve">覆蓋率（每 </t>
    </r>
    <r>
      <rPr>
        <b val="true"/>
        <sz val="11"/>
        <rFont val="Cambria"/>
        <family val="0"/>
        <charset val="1"/>
      </rPr>
      <t xml:space="preserve">MW </t>
    </r>
    <r>
      <rPr>
        <b val="true"/>
        <sz val="11"/>
        <rFont val="Noto Sans CJK SC"/>
        <family val="2"/>
      </rPr>
      <t xml:space="preserve">營收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全成本）</t>
    </r>
  </si>
  <si>
    <r>
      <rPr>
        <b val="true"/>
        <sz val="11"/>
        <rFont val="Cambria"/>
        <family val="0"/>
        <charset val="1"/>
      </rPr>
      <t xml:space="preserve">2030 </t>
    </r>
    <r>
      <rPr>
        <b val="true"/>
        <sz val="11"/>
        <rFont val="Noto Sans CJK SC"/>
        <family val="2"/>
      </rPr>
      <t xml:space="preserve">經調整淨利 </t>
    </r>
    <r>
      <rPr>
        <b val="true"/>
        <sz val="11"/>
        <rFont val="Cambria"/>
        <family val="0"/>
        <charset val="1"/>
      </rPr>
      <t xml:space="preserve">$M</t>
    </r>
  </si>
  <si>
    <r>
      <rPr>
        <b val="true"/>
        <sz val="11"/>
        <rFont val="Noto Sans CJK SC"/>
        <family val="2"/>
      </rPr>
      <t xml:space="preserve">至 </t>
    </r>
    <r>
      <rPr>
        <b val="true"/>
        <sz val="11"/>
        <rFont val="Cambria"/>
        <family val="0"/>
        <charset val="1"/>
      </rPr>
      <t xml:space="preserve">2030 </t>
    </r>
    <r>
      <rPr>
        <b val="true"/>
        <sz val="11"/>
        <rFont val="Noto Sans CJK SC"/>
        <family val="2"/>
      </rPr>
      <t xml:space="preserve">累計需新融資 </t>
    </r>
    <r>
      <rPr>
        <b val="true"/>
        <sz val="11"/>
        <rFont val="Cambria"/>
        <family val="0"/>
        <charset val="1"/>
      </rPr>
      <t xml:space="preserve">$M</t>
    </r>
  </si>
  <si>
    <t xml:space="preserve">首次需新融資年</t>
  </si>
  <si>
    <r>
      <rPr>
        <b val="true"/>
        <sz val="11"/>
        <rFont val="Noto Sans CJK SC"/>
        <family val="2"/>
      </rPr>
      <t xml:space="preserve">折現價值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市值</t>
    </r>
  </si>
  <si>
    <t xml:space="preserve">基準</t>
  </si>
  <si>
    <r>
      <rPr>
        <sz val="11"/>
        <color theme="1"/>
        <rFont val="Noto Sans CJK SC"/>
        <family val="2"/>
      </rPr>
      <t xml:space="preserve">合約價 </t>
    </r>
    <r>
      <rPr>
        <sz val="11"/>
        <color theme="1"/>
        <rFont val="Calibri"/>
        <family val="2"/>
        <charset val="1"/>
      </rPr>
      <t xml:space="preserve">$8M/MW</t>
    </r>
  </si>
  <si>
    <t xml:space="preserve">I02=8</t>
  </si>
  <si>
    <r>
      <rPr>
        <sz val="11"/>
        <color theme="1"/>
        <rFont val="Noto Sans CJK SC"/>
        <family val="2"/>
      </rPr>
      <t xml:space="preserve">合約價 </t>
    </r>
    <r>
      <rPr>
        <sz val="11"/>
        <color theme="1"/>
        <rFont val="Calibri"/>
        <family val="2"/>
        <charset val="1"/>
      </rPr>
      <t xml:space="preserve">$20M/MW</t>
    </r>
  </si>
  <si>
    <t xml:space="preserve">I02=20</t>
  </si>
  <si>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量成長低（</t>
    </r>
    <r>
      <rPr>
        <sz val="11"/>
        <color theme="1"/>
        <rFont val="Calibri"/>
        <family val="2"/>
        <charset val="1"/>
      </rPr>
      <t xml:space="preserve">0.8/0.5/0.3/0.2</t>
    </r>
    <r>
      <rPr>
        <sz val="11"/>
        <color theme="1"/>
        <rFont val="Noto Sans CJK SC"/>
        <family val="2"/>
      </rPr>
      <t xml:space="preserve">）</t>
    </r>
  </si>
  <si>
    <t xml:space="preserve">I09@2027=0.8 I09@2028=0.5 I09@2029=0.3 I09@2030=0.2</t>
  </si>
  <si>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量成長高（</t>
    </r>
    <r>
      <rPr>
        <sz val="11"/>
        <color theme="1"/>
        <rFont val="Calibri"/>
        <family val="2"/>
        <charset val="1"/>
      </rPr>
      <t xml:space="preserve">4.0/1.5/0.9/0.6</t>
    </r>
    <r>
      <rPr>
        <sz val="11"/>
        <color theme="1"/>
        <rFont val="Noto Sans CJK SC"/>
        <family val="2"/>
      </rPr>
      <t xml:space="preserve">）</t>
    </r>
  </si>
  <si>
    <t xml:space="preserve">I09@2027=4.0 I09@2028=1.5 I09@2029=0.9 I09@2030=0.6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</si>
  <si>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單價每年 −</t>
    </r>
    <r>
      <rPr>
        <sz val="11"/>
        <color theme="1"/>
        <rFont val="Calibri"/>
        <family val="2"/>
        <charset val="1"/>
      </rPr>
      <t xml:space="preserve">50%</t>
    </r>
  </si>
  <si>
    <t xml:space="preserve">I08=-0.5</t>
  </si>
  <si>
    <r>
      <rPr>
        <sz val="11"/>
        <color theme="1"/>
        <rFont val="Calibri"/>
        <family val="2"/>
        <charset val="1"/>
      </rPr>
      <t xml:space="preserve">API </t>
    </r>
    <r>
      <rPr>
        <sz val="11"/>
        <color theme="1"/>
        <rFont val="Noto Sans CJK SC"/>
        <family val="2"/>
      </rPr>
      <t xml:space="preserve">單價持平</t>
    </r>
  </si>
  <si>
    <t xml:space="preserve">I08=0</t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</si>
  <si>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企業端年化 </t>
    </r>
    <r>
      <rPr>
        <sz val="11"/>
        <color theme="1"/>
        <rFont val="Calibri"/>
        <family val="2"/>
        <charset val="1"/>
      </rPr>
      <t xml:space="preserve">350</t>
    </r>
  </si>
  <si>
    <t xml:space="preserve">I10=350</t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</si>
  <si>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企業端年化 </t>
    </r>
    <r>
      <rPr>
        <sz val="11"/>
        <color theme="1"/>
        <rFont val="Calibri"/>
        <family val="2"/>
        <charset val="1"/>
      </rPr>
      <t xml:space="preserve">750</t>
    </r>
  </si>
  <si>
    <t xml:space="preserve">I10=750</t>
  </si>
  <si>
    <r>
      <rPr>
        <sz val="11"/>
        <color theme="1"/>
        <rFont val="Noto Sans CJK SC"/>
        <family val="2"/>
      </rPr>
      <t xml:space="preserve">訓練 </t>
    </r>
    <r>
      <rPr>
        <sz val="11"/>
        <color theme="1"/>
        <rFont val="Calibri"/>
        <family val="2"/>
        <charset val="1"/>
      </rPr>
      <t xml:space="preserve">MW 2027 </t>
    </r>
    <r>
      <rPr>
        <sz val="11"/>
        <color theme="1"/>
        <rFont val="Noto Sans CJK SC"/>
        <family val="2"/>
      </rPr>
      <t xml:space="preserve">起不再成長</t>
    </r>
  </si>
  <si>
    <t xml:space="preserve">I17=0</t>
  </si>
  <si>
    <r>
      <rPr>
        <sz val="11"/>
        <color theme="1"/>
        <rFont val="Noto Sans CJK SC"/>
        <family val="2"/>
      </rPr>
      <t xml:space="preserve">訓練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成長 </t>
    </r>
    <r>
      <rPr>
        <sz val="11"/>
        <color theme="1"/>
        <rFont val="Calibri"/>
        <family val="2"/>
        <charset val="1"/>
      </rPr>
      <t xml:space="preserve">×0.5</t>
    </r>
  </si>
  <si>
    <t xml:space="preserve">I17=*0.5</t>
  </si>
  <si>
    <r>
      <rPr>
        <sz val="11"/>
        <color theme="1"/>
        <rFont val="Noto Sans CJK SC"/>
        <family val="2"/>
      </rPr>
      <t xml:space="preserve">訓練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成長 </t>
    </r>
    <r>
      <rPr>
        <sz val="11"/>
        <color theme="1"/>
        <rFont val="Calibri"/>
        <family val="2"/>
        <charset val="1"/>
      </rPr>
      <t xml:space="preserve">×1.5</t>
    </r>
  </si>
  <si>
    <t xml:space="preserve">I17=*1.5</t>
  </si>
  <si>
    <r>
      <rPr>
        <sz val="11"/>
        <color theme="1"/>
        <rFont val="Noto Sans CJK SC"/>
        <family val="2"/>
      </rPr>
      <t xml:space="preserve">模型效率年增 </t>
    </r>
    <r>
      <rPr>
        <sz val="11"/>
        <color theme="1"/>
        <rFont val="Calibri"/>
        <family val="2"/>
        <charset val="1"/>
      </rPr>
      <t xml:space="preserve">15%</t>
    </r>
  </si>
  <si>
    <t xml:space="preserve">I06@2027=2.3 I06@2028=2.645 I06@2029=3.042 I06@2030=3.498</t>
  </si>
  <si>
    <r>
      <rPr>
        <sz val="11"/>
        <color theme="1"/>
        <rFont val="Noto Sans CJK SC"/>
        <family val="2"/>
      </rPr>
      <t xml:space="preserve">模型效率年增 </t>
    </r>
    <r>
      <rPr>
        <sz val="11"/>
        <color theme="1"/>
        <rFont val="Calibri"/>
        <family val="2"/>
        <charset val="1"/>
      </rPr>
      <t xml:space="preserve">50%</t>
    </r>
  </si>
  <si>
    <t xml:space="preserve">I06@2027=3.0 I06@2028=4.5 I06@2029=6.75 I06@2030=10.125</t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</si>
  <si>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推論效率改善 </t>
    </r>
    <r>
      <rPr>
        <sz val="11"/>
        <color theme="1"/>
        <rFont val="Calibri"/>
        <family val="2"/>
        <charset val="1"/>
      </rPr>
      <t xml:space="preserve">1.0</t>
    </r>
  </si>
  <si>
    <t xml:space="preserve">I29=1.0</t>
  </si>
  <si>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推論效率改善 </t>
    </r>
    <r>
      <rPr>
        <sz val="11"/>
        <color theme="1"/>
        <rFont val="Calibri"/>
        <family val="2"/>
        <charset val="1"/>
      </rPr>
      <t xml:space="preserve">2.0</t>
    </r>
  </si>
  <si>
    <t xml:space="preserve">I29=2.0</t>
  </si>
  <si>
    <r>
      <rPr>
        <sz val="11"/>
        <color theme="1"/>
        <rFont val="Noto Sans CJK SC"/>
        <family val="2"/>
      </rPr>
      <t xml:space="preserve">消費端算力比 −</t>
    </r>
    <r>
      <rPr>
        <sz val="11"/>
        <color theme="1"/>
        <rFont val="Calibri"/>
        <family val="2"/>
        <charset val="1"/>
      </rPr>
      <t xml:space="preserve">0.15</t>
    </r>
  </si>
  <si>
    <t xml:space="preserve">I13=+-0.15</t>
  </si>
  <si>
    <r>
      <rPr>
        <sz val="11"/>
        <color theme="1"/>
        <rFont val="Noto Sans CJK SC"/>
        <family val="2"/>
      </rPr>
      <t xml:space="preserve">消費端算力比 </t>
    </r>
    <r>
      <rPr>
        <sz val="11"/>
        <color theme="1"/>
        <rFont val="Calibri"/>
        <family val="2"/>
        <charset val="1"/>
      </rPr>
      <t xml:space="preserve">+0.15</t>
    </r>
  </si>
  <si>
    <t xml:space="preserve">I13=+0.15</t>
  </si>
  <si>
    <r>
      <rPr>
        <sz val="11"/>
        <color theme="1"/>
        <rFont val="Noto Sans CJK SC"/>
        <family val="2"/>
      </rPr>
      <t xml:space="preserve">其他費用率 </t>
    </r>
    <r>
      <rPr>
        <sz val="11"/>
        <color theme="1"/>
        <rFont val="Calibri"/>
        <family val="2"/>
        <charset val="1"/>
      </rPr>
      <t xml:space="preserve">×0.7</t>
    </r>
  </si>
  <si>
    <t xml:space="preserve">I20=*0.7</t>
  </si>
  <si>
    <r>
      <rPr>
        <sz val="11"/>
        <color theme="1"/>
        <rFont val="Noto Sans CJK SC"/>
        <family val="2"/>
      </rPr>
      <t xml:space="preserve">其他費用率 </t>
    </r>
    <r>
      <rPr>
        <sz val="11"/>
        <color theme="1"/>
        <rFont val="Calibri"/>
        <family val="2"/>
        <charset val="1"/>
      </rPr>
      <t xml:space="preserve">×1.3</t>
    </r>
  </si>
  <si>
    <t xml:space="preserve">I20=*1.3</t>
  </si>
  <si>
    <r>
      <rPr>
        <sz val="11"/>
        <color theme="1"/>
        <rFont val="Noto Sans CJK SC"/>
        <family val="2"/>
      </rPr>
      <t xml:space="preserve">員工數 </t>
    </r>
    <r>
      <rPr>
        <sz val="11"/>
        <color theme="1"/>
        <rFont val="Calibri"/>
        <family val="2"/>
        <charset val="1"/>
      </rPr>
      <t xml:space="preserve">×0.8</t>
    </r>
  </si>
  <si>
    <t xml:space="preserve">I18=*0.8</t>
  </si>
  <si>
    <r>
      <rPr>
        <sz val="11"/>
        <color theme="1"/>
        <rFont val="Noto Sans CJK SC"/>
        <family val="2"/>
      </rPr>
      <t xml:space="preserve">員工數 </t>
    </r>
    <r>
      <rPr>
        <sz val="11"/>
        <color theme="1"/>
        <rFont val="Calibri"/>
        <family val="2"/>
        <charset val="1"/>
      </rPr>
      <t xml:space="preserve">×1.3</t>
    </r>
  </si>
  <si>
    <t xml:space="preserve">I18=*1.3</t>
  </si>
  <si>
    <r>
      <rPr>
        <sz val="11"/>
        <color theme="1"/>
        <rFont val="Noto Sans CJK SC"/>
        <family val="2"/>
      </rPr>
      <t xml:space="preserve">層級：低層占 </t>
    </r>
    <r>
      <rPr>
        <sz val="11"/>
        <color theme="1"/>
        <rFont val="Calibri"/>
        <family val="2"/>
        <charset val="1"/>
      </rPr>
      <t xml:space="preserve">30%</t>
    </r>
  </si>
  <si>
    <t xml:space="preserve">I04=0.3</t>
  </si>
  <si>
    <r>
      <rPr>
        <sz val="11"/>
        <color theme="1"/>
        <rFont val="Noto Sans CJK SC"/>
        <family val="2"/>
      </rPr>
      <t xml:space="preserve">層級：低層占 </t>
    </r>
    <r>
      <rPr>
        <sz val="11"/>
        <color theme="1"/>
        <rFont val="Calibri"/>
        <family val="2"/>
        <charset val="1"/>
      </rPr>
      <t xml:space="preserve">90%</t>
    </r>
  </si>
  <si>
    <t xml:space="preserve">I04=0.9</t>
  </si>
  <si>
    <t xml:space="preserve">可轉債全數轉股</t>
  </si>
  <si>
    <t xml:space="preserve">I23=1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</si>
</sst>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00"/>
    <numFmt numFmtId="166" formatCode="0.000"/>
    <numFmt numFmtId="167" formatCode="0.0%;[RED]\-0.0%"/>
    <numFmt numFmtId="168" formatCode="#,##0.0;[RED]\-#,##0.0"/>
    <numFmt numFmtId="169" formatCode="#,##0.00;[RED]\-#,##0.00"/>
    <numFmt numFmtId="170" formatCode="0.00\x"/>
    <numFmt numFmtId="171" formatCode="#,##0"/>
    <numFmt numFmtId="172" formatCode="0"/>
    <numFmt numFmtId="173" formatCode="0.0\x"/>
    <numFmt numFmtId="174" formatCode="0.0000"/>
    <numFmt numFmtId="175" formatCode="0.0%"/>
    <numFmt numFmtId="176" formatCode="0.00\x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color theme="1"/>
      <name val="Noto Sans CJK SC"/>
      <family val="2"/>
      <charset val="1"/>
    </font>
    <font>
      <b val="true"/>
      <sz val="11"/>
      <name val="Noto Sans CJK SC"/>
      <family val="2"/>
      <charset val="1"/>
    </font>
    <font>
      <sz val="11"/>
      <color theme="1"/>
      <name val="Noto Sans CJK SC"/>
      <family val="2"/>
    </font>
    <font>
      <sz val="11"/>
      <color rgb="FF0000CC"/>
      <name val="Cambria"/>
      <family val="0"/>
      <charset val="1"/>
    </font>
    <font>
      <sz val="11"/>
      <color rgb="FF0000CC"/>
      <name val="Noto Sans CJK SC"/>
      <family val="2"/>
      <charset val="1"/>
    </font>
    <font>
      <sz val="11"/>
      <color rgb="FF0000CC"/>
      <name val="Noto Sans CJK SC"/>
      <family val="2"/>
    </font>
    <font>
      <b val="true"/>
      <sz val="12"/>
      <name val="Cambria"/>
      <family val="0"/>
      <charset val="1"/>
    </font>
    <font>
      <b val="true"/>
      <sz val="12"/>
      <name val="Noto Sans CJK SC"/>
      <family val="2"/>
    </font>
    <font>
      <sz val="11"/>
      <color rgb="FF007A33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6F0"/>
        <bgColor rgb="FFF2F2F2"/>
      </patternFill>
    </fill>
    <fill>
      <patternFill patternType="solid">
        <fgColor rgb="FFF2F2F2"/>
        <bgColor rgb="FFFFF2CC"/>
      </patternFill>
    </fill>
    <fill>
      <patternFill patternType="solid">
        <fgColor rgb="FFFFF2CC"/>
        <bgColor rgb="FFF2F2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CC"/>
      <rgbColor rgb="FFFFFF00"/>
      <rgbColor rgb="FFFF00FF"/>
      <rgbColor rgb="FF00FFFF"/>
      <rgbColor rgb="FF800000"/>
      <rgbColor rgb="FF007A3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0"/>
  </cols>
  <sheetData>
    <row r="1" customFormat="false" ht="16.5" hidden="false" customHeight="true" outlineLevel="0" collapsed="false">
      <c r="A1" s="2" t="s">
        <v>0</v>
      </c>
    </row>
    <row r="2" customFormat="false" ht="32.25" hidden="false" customHeight="true" outlineLevel="0" collapsed="false">
      <c r="A2" s="3" t="s">
        <v>1</v>
      </c>
    </row>
    <row r="3" customFormat="false" ht="32.25" hidden="false" customHeight="true" outlineLevel="0" collapsed="false">
      <c r="A3" s="3" t="s">
        <v>2</v>
      </c>
    </row>
    <row r="4" customFormat="false" ht="15" hidden="false" customHeight="true" outlineLevel="0" collapsed="false">
      <c r="A4" s="3"/>
    </row>
    <row r="5" customFormat="false" ht="16.5" hidden="false" customHeight="true" outlineLevel="0" collapsed="false">
      <c r="A5" s="4" t="s">
        <v>3</v>
      </c>
    </row>
    <row r="6" customFormat="false" ht="16.5" hidden="false" customHeight="true" outlineLevel="0" collapsed="false">
      <c r="A6" s="5" t="s">
        <v>4</v>
      </c>
    </row>
    <row r="7" customFormat="false" ht="16.5" hidden="false" customHeight="true" outlineLevel="0" collapsed="false">
      <c r="A7" s="5" t="s">
        <v>5</v>
      </c>
    </row>
    <row r="8" customFormat="false" ht="32.25" hidden="false" customHeight="true" outlineLevel="0" collapsed="false">
      <c r="A8" s="5" t="s">
        <v>6</v>
      </c>
    </row>
    <row r="9" customFormat="false" ht="16.5" hidden="false" customHeight="true" outlineLevel="0" collapsed="false">
      <c r="A9" s="5" t="s">
        <v>7</v>
      </c>
    </row>
    <row r="10" customFormat="false" ht="16.5" hidden="false" customHeight="true" outlineLevel="0" collapsed="false">
      <c r="A10" s="5" t="s">
        <v>8</v>
      </c>
    </row>
    <row r="11" customFormat="false" ht="16.5" hidden="false" customHeight="true" outlineLevel="0" collapsed="false">
      <c r="A11" s="5" t="s">
        <v>9</v>
      </c>
    </row>
    <row r="12" customFormat="false" ht="32.25" hidden="false" customHeight="true" outlineLevel="0" collapsed="false">
      <c r="A12" s="3" t="s">
        <v>10</v>
      </c>
    </row>
    <row r="13" customFormat="false" ht="15" hidden="false" customHeight="true" outlineLevel="0" collapsed="false">
      <c r="A13" s="5"/>
    </row>
    <row r="14" customFormat="false" ht="16.5" hidden="false" customHeight="true" outlineLevel="0" collapsed="false">
      <c r="A14" s="4" t="s">
        <v>11</v>
      </c>
    </row>
    <row r="15" customFormat="false" ht="16.5" hidden="false" customHeight="true" outlineLevel="0" collapsed="false">
      <c r="A15" s="3" t="s">
        <v>12</v>
      </c>
    </row>
    <row r="16" customFormat="false" ht="16.5" hidden="false" customHeight="true" outlineLevel="0" collapsed="false">
      <c r="A16" s="3" t="s">
        <v>13</v>
      </c>
    </row>
    <row r="17" customFormat="false" ht="16.5" hidden="false" customHeight="true" outlineLevel="0" collapsed="false">
      <c r="A17" s="3" t="s">
        <v>14</v>
      </c>
    </row>
    <row r="18" customFormat="false" ht="15" hidden="false" customHeight="true" outlineLevel="0" collapsed="false">
      <c r="A18" s="5"/>
    </row>
    <row r="19" customFormat="false" ht="16.5" hidden="false" customHeight="true" outlineLevel="0" collapsed="false">
      <c r="A19" s="4" t="s">
        <v>15</v>
      </c>
    </row>
    <row r="20" customFormat="false" ht="16.5" hidden="false" customHeight="true" outlineLevel="0" collapsed="false">
      <c r="A20" s="5" t="s">
        <v>16</v>
      </c>
    </row>
    <row r="21" customFormat="false" ht="32.25" hidden="false" customHeight="true" outlineLevel="0" collapsed="false">
      <c r="A21" s="5" t="s">
        <v>17</v>
      </c>
    </row>
    <row r="22" customFormat="false" ht="16.5" hidden="false" customHeight="true" outlineLevel="0" collapsed="false">
      <c r="A22" s="5" t="s">
        <v>18</v>
      </c>
    </row>
    <row r="23" customFormat="false" ht="16.5" hidden="false" customHeight="true" outlineLevel="0" collapsed="false">
      <c r="A23" s="5" t="s">
        <v>19</v>
      </c>
    </row>
    <row r="24" customFormat="false" ht="16.5" hidden="false" customHeight="true" outlineLevel="0" collapsed="false">
      <c r="A24" s="5" t="s">
        <v>20</v>
      </c>
    </row>
    <row r="25" customFormat="false" ht="16.5" hidden="false" customHeight="true" outlineLevel="0" collapsed="false">
      <c r="A25" s="5" t="s">
        <v>21</v>
      </c>
    </row>
    <row r="26" customFormat="false" ht="16.5" hidden="false" customHeight="true" outlineLevel="0" collapsed="false">
      <c r="A26" s="5" t="s">
        <v>22</v>
      </c>
    </row>
    <row r="27" customFormat="false" ht="15" hidden="false" customHeight="true" outlineLevel="0" collapsed="false">
      <c r="A27" s="5"/>
    </row>
    <row r="28" customFormat="false" ht="16.5" hidden="false" customHeight="true" outlineLevel="0" collapsed="false">
      <c r="A28" s="3" t="s">
        <v>23</v>
      </c>
    </row>
    <row r="29" customFormat="false" ht="16.5" hidden="false" customHeight="true" outlineLevel="0" collapsed="false">
      <c r="A29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58"/>
    <col collapsed="false" customWidth="true" hidden="false" outlineLevel="0" max="3" min="3" style="1" width="14"/>
    <col collapsed="false" customWidth="true" hidden="false" outlineLevel="0" max="4" min="4" style="1" width="9"/>
    <col collapsed="false" customWidth="true" hidden="false" outlineLevel="0" max="5" min="5" style="1" width="11"/>
    <col collapsed="false" customWidth="true" hidden="false" outlineLevel="0" max="6" min="6" style="1" width="16"/>
    <col collapsed="false" customWidth="true" hidden="false" outlineLevel="0" max="7" min="7" style="1" width="20"/>
    <col collapsed="false" customWidth="true" hidden="false" outlineLevel="0" max="8" min="8" style="1" width="70"/>
  </cols>
  <sheetData>
    <row r="1" customFormat="false" ht="16.5" hidden="false" customHeight="true" outlineLevel="0" collapsed="false">
      <c r="A1" s="6" t="s">
        <v>25</v>
      </c>
    </row>
    <row r="2" customFormat="false" ht="16.5" hidden="false" customHeight="true" outlineLevel="0" collapsed="false">
      <c r="A2" s="7" t="s">
        <v>26</v>
      </c>
    </row>
    <row r="4" customFormat="false" ht="15" hidden="false" customHeight="true" outlineLevel="0" collapsed="false">
      <c r="A4" s="8" t="s">
        <v>27</v>
      </c>
      <c r="B4" s="9" t="s">
        <v>28</v>
      </c>
      <c r="C4" s="9" t="s">
        <v>29</v>
      </c>
      <c r="D4" s="9" t="s">
        <v>30</v>
      </c>
      <c r="E4" s="9" t="s">
        <v>31</v>
      </c>
      <c r="F4" s="9" t="s">
        <v>32</v>
      </c>
      <c r="G4" s="9" t="s">
        <v>33</v>
      </c>
      <c r="H4" s="9" t="s">
        <v>34</v>
      </c>
    </row>
    <row r="5" customFormat="false" ht="16.5" hidden="false" customHeight="true" outlineLevel="0" collapsed="false">
      <c r="A5" s="1" t="s">
        <v>35</v>
      </c>
      <c r="B5" s="7" t="s">
        <v>36</v>
      </c>
      <c r="C5" s="1" t="s">
        <v>37</v>
      </c>
      <c r="D5" s="1" t="s">
        <v>38</v>
      </c>
      <c r="E5" s="10" t="n">
        <v>30.523</v>
      </c>
      <c r="F5" s="1" t="s">
        <v>39</v>
      </c>
      <c r="G5" s="7" t="s">
        <v>40</v>
      </c>
      <c r="H5" s="1" t="s">
        <v>41</v>
      </c>
    </row>
    <row r="6" customFormat="false" ht="16.5" hidden="false" customHeight="true" outlineLevel="0" collapsed="false">
      <c r="A6" s="1" t="s">
        <v>42</v>
      </c>
      <c r="B6" s="7" t="s">
        <v>36</v>
      </c>
      <c r="C6" s="1" t="s">
        <v>43</v>
      </c>
      <c r="D6" s="1" t="s">
        <v>38</v>
      </c>
      <c r="E6" s="10" t="n">
        <v>79.038</v>
      </c>
      <c r="F6" s="1" t="s">
        <v>39</v>
      </c>
      <c r="G6" s="7" t="s">
        <v>40</v>
      </c>
      <c r="H6" s="1" t="s">
        <v>44</v>
      </c>
    </row>
    <row r="7" customFormat="false" ht="16.5" hidden="false" customHeight="true" outlineLevel="0" collapsed="false">
      <c r="A7" s="1" t="s">
        <v>45</v>
      </c>
      <c r="B7" s="7" t="s">
        <v>36</v>
      </c>
      <c r="C7" s="1" t="s">
        <v>46</v>
      </c>
      <c r="D7" s="1" t="s">
        <v>38</v>
      </c>
      <c r="E7" s="10" t="n">
        <v>30.429</v>
      </c>
      <c r="F7" s="1" t="s">
        <v>39</v>
      </c>
      <c r="G7" s="7" t="s">
        <v>40</v>
      </c>
      <c r="H7" s="1" t="s">
        <v>47</v>
      </c>
    </row>
    <row r="8" customFormat="false" ht="16.5" hidden="false" customHeight="true" outlineLevel="0" collapsed="false">
      <c r="A8" s="1" t="s">
        <v>48</v>
      </c>
      <c r="B8" s="7" t="s">
        <v>36</v>
      </c>
      <c r="C8" s="1" t="s">
        <v>49</v>
      </c>
      <c r="D8" s="1" t="s">
        <v>38</v>
      </c>
      <c r="E8" s="10" t="n">
        <v>116.573</v>
      </c>
      <c r="F8" s="1" t="s">
        <v>39</v>
      </c>
      <c r="G8" s="7" t="s">
        <v>40</v>
      </c>
      <c r="H8" s="1" t="s">
        <v>47</v>
      </c>
    </row>
    <row r="9" customFormat="false" ht="16.5" hidden="false" customHeight="true" outlineLevel="0" collapsed="false">
      <c r="A9" s="1" t="s">
        <v>50</v>
      </c>
      <c r="B9" s="1" t="s">
        <v>51</v>
      </c>
      <c r="C9" s="1" t="s">
        <v>43</v>
      </c>
      <c r="D9" s="1" t="s">
        <v>38</v>
      </c>
      <c r="E9" s="10" t="n">
        <v>53.1</v>
      </c>
      <c r="F9" s="1" t="s">
        <v>39</v>
      </c>
      <c r="G9" s="7" t="s">
        <v>40</v>
      </c>
      <c r="H9" s="1" t="s">
        <v>44</v>
      </c>
    </row>
    <row r="10" customFormat="false" ht="16.5" hidden="false" customHeight="true" outlineLevel="0" collapsed="false">
      <c r="A10" s="1" t="s">
        <v>52</v>
      </c>
      <c r="B10" s="7" t="s">
        <v>53</v>
      </c>
      <c r="C10" s="1" t="s">
        <v>43</v>
      </c>
      <c r="D10" s="1" t="s">
        <v>38</v>
      </c>
      <c r="E10" s="10" t="n">
        <v>26</v>
      </c>
      <c r="F10" s="1" t="s">
        <v>39</v>
      </c>
      <c r="G10" s="7" t="s">
        <v>40</v>
      </c>
      <c r="H10" s="1" t="s">
        <v>44</v>
      </c>
    </row>
    <row r="11" customFormat="false" ht="16.5" hidden="false" customHeight="true" outlineLevel="0" collapsed="false">
      <c r="A11" s="1" t="s">
        <v>54</v>
      </c>
      <c r="B11" s="1" t="s">
        <v>51</v>
      </c>
      <c r="C11" s="1" t="s">
        <v>49</v>
      </c>
      <c r="D11" s="1" t="s">
        <v>38</v>
      </c>
      <c r="E11" s="10" t="n">
        <v>42.6</v>
      </c>
      <c r="F11" s="1" t="s">
        <v>39</v>
      </c>
      <c r="G11" s="7" t="s">
        <v>40</v>
      </c>
      <c r="H11" s="1" t="s">
        <v>47</v>
      </c>
    </row>
    <row r="12" customFormat="false" ht="16.5" hidden="false" customHeight="true" outlineLevel="0" collapsed="false">
      <c r="A12" s="1" t="s">
        <v>55</v>
      </c>
      <c r="B12" s="7" t="s">
        <v>53</v>
      </c>
      <c r="C12" s="1" t="s">
        <v>49</v>
      </c>
      <c r="D12" s="1" t="s">
        <v>38</v>
      </c>
      <c r="E12" s="10" t="n">
        <v>73.9</v>
      </c>
      <c r="F12" s="1" t="s">
        <v>39</v>
      </c>
      <c r="G12" s="7" t="s">
        <v>40</v>
      </c>
      <c r="H12" s="1" t="s">
        <v>47</v>
      </c>
    </row>
    <row r="13" customFormat="false" ht="16.5" hidden="false" customHeight="true" outlineLevel="0" collapsed="false">
      <c r="A13" s="1" t="s">
        <v>56</v>
      </c>
      <c r="B13" s="1" t="s">
        <v>57</v>
      </c>
      <c r="C13" s="1" t="s">
        <v>58</v>
      </c>
      <c r="D13" s="1" t="s">
        <v>38</v>
      </c>
      <c r="E13" s="10" t="n">
        <v>38.02</v>
      </c>
      <c r="F13" s="1" t="s">
        <v>39</v>
      </c>
      <c r="G13" s="7" t="s">
        <v>40</v>
      </c>
      <c r="H13" s="1" t="s">
        <v>41</v>
      </c>
    </row>
    <row r="14" customFormat="false" ht="16.5" hidden="false" customHeight="true" outlineLevel="0" collapsed="false">
      <c r="A14" s="1" t="s">
        <v>59</v>
      </c>
      <c r="B14" s="7" t="s">
        <v>60</v>
      </c>
      <c r="C14" s="1" t="s">
        <v>58</v>
      </c>
      <c r="D14" s="1" t="s">
        <v>38</v>
      </c>
      <c r="E14" s="10" t="n">
        <v>15.417</v>
      </c>
      <c r="F14" s="1" t="s">
        <v>39</v>
      </c>
      <c r="G14" s="7" t="s">
        <v>40</v>
      </c>
      <c r="H14" s="1" t="s">
        <v>41</v>
      </c>
    </row>
    <row r="15" customFormat="false" ht="16.5" hidden="false" customHeight="true" outlineLevel="0" collapsed="false">
      <c r="A15" s="1" t="s">
        <v>61</v>
      </c>
      <c r="B15" s="1" t="s">
        <v>62</v>
      </c>
      <c r="C15" s="1" t="s">
        <v>58</v>
      </c>
      <c r="D15" s="1" t="s">
        <v>38</v>
      </c>
      <c r="E15" s="10" t="n">
        <v>18.75</v>
      </c>
      <c r="F15" s="1" t="s">
        <v>39</v>
      </c>
      <c r="G15" s="7" t="s">
        <v>40</v>
      </c>
      <c r="H15" s="1" t="s">
        <v>41</v>
      </c>
    </row>
    <row r="16" customFormat="false" ht="16.5" hidden="false" customHeight="true" outlineLevel="0" collapsed="false">
      <c r="A16" s="1" t="s">
        <v>63</v>
      </c>
      <c r="B16" s="7" t="s">
        <v>64</v>
      </c>
      <c r="C16" s="1" t="s">
        <v>58</v>
      </c>
      <c r="D16" s="1" t="s">
        <v>38</v>
      </c>
      <c r="E16" s="10" t="n">
        <v>17.464</v>
      </c>
      <c r="F16" s="1" t="s">
        <v>39</v>
      </c>
      <c r="G16" s="7" t="s">
        <v>40</v>
      </c>
      <c r="H16" s="1" t="s">
        <v>41</v>
      </c>
    </row>
    <row r="17" customFormat="false" ht="16.5" hidden="false" customHeight="true" outlineLevel="0" collapsed="false">
      <c r="A17" s="1" t="s">
        <v>65</v>
      </c>
      <c r="B17" s="1" t="s">
        <v>66</v>
      </c>
      <c r="C17" s="1" t="s">
        <v>58</v>
      </c>
      <c r="D17" s="1" t="s">
        <v>38</v>
      </c>
      <c r="E17" s="10" t="n">
        <v>1.806</v>
      </c>
      <c r="F17" s="1" t="s">
        <v>39</v>
      </c>
      <c r="G17" s="7" t="s">
        <v>40</v>
      </c>
      <c r="H17" s="1" t="s">
        <v>67</v>
      </c>
    </row>
    <row r="18" customFormat="false" ht="16.5" hidden="false" customHeight="true" outlineLevel="0" collapsed="false">
      <c r="A18" s="1" t="s">
        <v>68</v>
      </c>
      <c r="B18" s="1" t="s">
        <v>69</v>
      </c>
      <c r="C18" s="1" t="s">
        <v>58</v>
      </c>
      <c r="D18" s="1" t="s">
        <v>38</v>
      </c>
      <c r="E18" s="10" t="n">
        <v>11.188</v>
      </c>
      <c r="F18" s="1" t="s">
        <v>39</v>
      </c>
      <c r="G18" s="7" t="s">
        <v>40</v>
      </c>
      <c r="H18" s="1" t="s">
        <v>41</v>
      </c>
    </row>
    <row r="19" customFormat="false" ht="16.5" hidden="false" customHeight="true" outlineLevel="0" collapsed="false">
      <c r="A19" s="1" t="s">
        <v>70</v>
      </c>
      <c r="B19" s="1" t="s">
        <v>71</v>
      </c>
      <c r="C19" s="1" t="s">
        <v>58</v>
      </c>
      <c r="D19" s="1" t="s">
        <v>38</v>
      </c>
      <c r="E19" s="10" t="n">
        <v>22.157</v>
      </c>
      <c r="F19" s="1" t="s">
        <v>39</v>
      </c>
      <c r="G19" s="7" t="s">
        <v>40</v>
      </c>
      <c r="H19" s="1" t="s">
        <v>41</v>
      </c>
    </row>
    <row r="20" customFormat="false" ht="16.5" hidden="false" customHeight="true" outlineLevel="0" collapsed="false">
      <c r="A20" s="1" t="s">
        <v>72</v>
      </c>
      <c r="B20" s="1" t="s">
        <v>73</v>
      </c>
      <c r="C20" s="1" t="s">
        <v>58</v>
      </c>
      <c r="D20" s="1" t="s">
        <v>38</v>
      </c>
      <c r="E20" s="10" t="n">
        <v>4.675</v>
      </c>
      <c r="F20" s="1" t="s">
        <v>39</v>
      </c>
      <c r="G20" s="7" t="s">
        <v>40</v>
      </c>
      <c r="H20" s="1" t="s">
        <v>41</v>
      </c>
    </row>
    <row r="21" customFormat="false" ht="16.5" hidden="false" customHeight="true" outlineLevel="0" collapsed="false">
      <c r="A21" s="1" t="s">
        <v>74</v>
      </c>
      <c r="B21" s="7" t="s">
        <v>75</v>
      </c>
      <c r="C21" s="1" t="s">
        <v>58</v>
      </c>
      <c r="D21" s="7" t="s">
        <v>76</v>
      </c>
      <c r="E21" s="10" t="n">
        <v>0.047</v>
      </c>
      <c r="F21" s="1" t="s">
        <v>77</v>
      </c>
      <c r="G21" s="7" t="s">
        <v>78</v>
      </c>
      <c r="H21" s="7" t="s">
        <v>79</v>
      </c>
    </row>
    <row r="22" customFormat="false" ht="16.5" hidden="false" customHeight="true" outlineLevel="0" collapsed="false">
      <c r="A22" s="1" t="s">
        <v>80</v>
      </c>
      <c r="B22" s="7" t="s">
        <v>81</v>
      </c>
      <c r="C22" s="1" t="s">
        <v>58</v>
      </c>
      <c r="D22" s="7" t="s">
        <v>76</v>
      </c>
      <c r="E22" s="10" t="n">
        <v>0.694</v>
      </c>
      <c r="F22" s="1" t="s">
        <v>77</v>
      </c>
      <c r="G22" s="7" t="s">
        <v>78</v>
      </c>
      <c r="H22" s="7" t="s">
        <v>79</v>
      </c>
    </row>
    <row r="23" customFormat="false" ht="16.5" hidden="false" customHeight="true" outlineLevel="0" collapsed="false">
      <c r="A23" s="1" t="s">
        <v>82</v>
      </c>
      <c r="B23" s="7" t="s">
        <v>83</v>
      </c>
      <c r="C23" s="1" t="s">
        <v>43</v>
      </c>
      <c r="D23" s="1" t="s">
        <v>38</v>
      </c>
      <c r="E23" s="10" t="n">
        <v>58.959</v>
      </c>
      <c r="F23" s="1" t="s">
        <v>39</v>
      </c>
      <c r="G23" s="7" t="s">
        <v>40</v>
      </c>
      <c r="H23" s="1" t="s">
        <v>44</v>
      </c>
    </row>
    <row r="24" customFormat="false" ht="16.5" hidden="false" customHeight="true" outlineLevel="0" collapsed="false">
      <c r="A24" s="1" t="s">
        <v>84</v>
      </c>
      <c r="B24" s="7" t="s">
        <v>83</v>
      </c>
      <c r="C24" s="1" t="s">
        <v>49</v>
      </c>
      <c r="D24" s="1" t="s">
        <v>38</v>
      </c>
      <c r="E24" s="10" t="n">
        <v>95.76</v>
      </c>
      <c r="F24" s="1" t="s">
        <v>39</v>
      </c>
      <c r="G24" s="7" t="s">
        <v>40</v>
      </c>
      <c r="H24" s="1" t="s">
        <v>47</v>
      </c>
    </row>
    <row r="25" customFormat="false" ht="16.5" hidden="false" customHeight="true" outlineLevel="0" collapsed="false">
      <c r="A25" s="1" t="s">
        <v>85</v>
      </c>
      <c r="B25" s="7" t="s">
        <v>86</v>
      </c>
      <c r="C25" s="1" t="s">
        <v>43</v>
      </c>
      <c r="D25" s="1" t="s">
        <v>38</v>
      </c>
      <c r="E25" s="10" t="n">
        <v>51.896</v>
      </c>
      <c r="F25" s="1" t="s">
        <v>39</v>
      </c>
      <c r="G25" s="7" t="s">
        <v>40</v>
      </c>
      <c r="H25" s="1" t="s">
        <v>44</v>
      </c>
    </row>
    <row r="26" customFormat="false" ht="16.5" hidden="false" customHeight="true" outlineLevel="0" collapsed="false">
      <c r="A26" s="1" t="s">
        <v>87</v>
      </c>
      <c r="B26" s="7" t="s">
        <v>88</v>
      </c>
      <c r="C26" s="1" t="s">
        <v>43</v>
      </c>
      <c r="D26" s="1" t="s">
        <v>38</v>
      </c>
      <c r="E26" s="10" t="n">
        <v>36.813</v>
      </c>
      <c r="F26" s="1" t="s">
        <v>39</v>
      </c>
      <c r="G26" s="7" t="s">
        <v>40</v>
      </c>
      <c r="H26" s="1" t="s">
        <v>44</v>
      </c>
    </row>
    <row r="27" customFormat="false" ht="16.5" hidden="false" customHeight="true" outlineLevel="0" collapsed="false">
      <c r="A27" s="1" t="s">
        <v>89</v>
      </c>
      <c r="B27" s="7" t="s">
        <v>90</v>
      </c>
      <c r="C27" s="1" t="s">
        <v>43</v>
      </c>
      <c r="D27" s="1" t="s">
        <v>38</v>
      </c>
      <c r="E27" s="10" t="n">
        <v>252.771</v>
      </c>
      <c r="F27" s="1" t="s">
        <v>39</v>
      </c>
      <c r="G27" s="7" t="s">
        <v>40</v>
      </c>
      <c r="H27" s="1" t="s">
        <v>44</v>
      </c>
    </row>
    <row r="28" customFormat="false" ht="16.5" hidden="false" customHeight="true" outlineLevel="0" collapsed="false">
      <c r="A28" s="1" t="s">
        <v>91</v>
      </c>
      <c r="B28" s="7" t="s">
        <v>86</v>
      </c>
      <c r="C28" s="1" t="s">
        <v>49</v>
      </c>
      <c r="D28" s="1" t="s">
        <v>38</v>
      </c>
      <c r="E28" s="10" t="n">
        <v>26.973</v>
      </c>
      <c r="F28" s="1" t="s">
        <v>39</v>
      </c>
      <c r="G28" s="7" t="s">
        <v>40</v>
      </c>
      <c r="H28" s="1" t="s">
        <v>47</v>
      </c>
    </row>
    <row r="29" customFormat="false" ht="16.5" hidden="false" customHeight="true" outlineLevel="0" collapsed="false">
      <c r="A29" s="1" t="s">
        <v>92</v>
      </c>
      <c r="B29" s="7" t="s">
        <v>88</v>
      </c>
      <c r="C29" s="1" t="s">
        <v>49</v>
      </c>
      <c r="D29" s="1" t="s">
        <v>38</v>
      </c>
      <c r="E29" s="10" t="n">
        <v>30.23</v>
      </c>
      <c r="F29" s="1" t="s">
        <v>39</v>
      </c>
      <c r="G29" s="7" t="s">
        <v>40</v>
      </c>
      <c r="H29" s="1" t="s">
        <v>47</v>
      </c>
    </row>
    <row r="30" customFormat="false" ht="16.5" hidden="false" customHeight="true" outlineLevel="0" collapsed="false">
      <c r="A30" s="1" t="s">
        <v>93</v>
      </c>
      <c r="B30" s="7" t="s">
        <v>90</v>
      </c>
      <c r="C30" s="1" t="s">
        <v>49</v>
      </c>
      <c r="D30" s="1" t="s">
        <v>38</v>
      </c>
      <c r="E30" s="10" t="n">
        <v>296.87</v>
      </c>
      <c r="F30" s="1" t="s">
        <v>39</v>
      </c>
      <c r="G30" s="7" t="s">
        <v>40</v>
      </c>
      <c r="H30" s="1" t="s">
        <v>47</v>
      </c>
    </row>
    <row r="31" customFormat="false" ht="16.5" hidden="false" customHeight="true" outlineLevel="0" collapsed="false">
      <c r="A31" s="1" t="s">
        <v>94</v>
      </c>
      <c r="B31" s="7" t="s">
        <v>95</v>
      </c>
      <c r="C31" s="1" t="s">
        <v>43</v>
      </c>
      <c r="D31" s="1" t="s">
        <v>38</v>
      </c>
      <c r="E31" s="10" t="n">
        <v>194.2</v>
      </c>
      <c r="F31" s="1" t="s">
        <v>39</v>
      </c>
      <c r="G31" s="7" t="s">
        <v>40</v>
      </c>
      <c r="H31" s="1" t="s">
        <v>44</v>
      </c>
    </row>
    <row r="32" customFormat="false" ht="16.5" hidden="false" customHeight="true" outlineLevel="0" collapsed="false">
      <c r="A32" s="1" t="s">
        <v>96</v>
      </c>
      <c r="B32" s="7" t="s">
        <v>97</v>
      </c>
      <c r="C32" s="1" t="s">
        <v>43</v>
      </c>
      <c r="D32" s="1" t="s">
        <v>38</v>
      </c>
      <c r="E32" s="10" t="n">
        <v>84.3</v>
      </c>
      <c r="F32" s="1" t="s">
        <v>39</v>
      </c>
      <c r="G32" s="7" t="s">
        <v>40</v>
      </c>
      <c r="H32" s="1" t="s">
        <v>44</v>
      </c>
    </row>
    <row r="33" customFormat="false" ht="16.5" hidden="false" customHeight="true" outlineLevel="0" collapsed="false">
      <c r="A33" s="1" t="s">
        <v>98</v>
      </c>
      <c r="B33" s="7" t="s">
        <v>97</v>
      </c>
      <c r="C33" s="1" t="s">
        <v>49</v>
      </c>
      <c r="D33" s="1" t="s">
        <v>38</v>
      </c>
      <c r="E33" s="10" t="n">
        <v>68.9</v>
      </c>
      <c r="F33" s="1" t="s">
        <v>39</v>
      </c>
      <c r="G33" s="7" t="s">
        <v>40</v>
      </c>
      <c r="H33" s="1" t="s">
        <v>47</v>
      </c>
    </row>
    <row r="34" customFormat="false" ht="16.5" hidden="false" customHeight="true" outlineLevel="0" collapsed="false">
      <c r="A34" s="1" t="s">
        <v>99</v>
      </c>
      <c r="B34" s="7" t="s">
        <v>100</v>
      </c>
      <c r="C34" s="1" t="s">
        <v>43</v>
      </c>
      <c r="D34" s="1" t="s">
        <v>38</v>
      </c>
      <c r="E34" s="10" t="n">
        <v>24.031</v>
      </c>
      <c r="F34" s="1" t="s">
        <v>39</v>
      </c>
      <c r="G34" s="7" t="s">
        <v>40</v>
      </c>
      <c r="H34" s="1" t="s">
        <v>44</v>
      </c>
    </row>
    <row r="35" customFormat="false" ht="16.5" hidden="false" customHeight="true" outlineLevel="0" collapsed="false">
      <c r="A35" s="1" t="s">
        <v>101</v>
      </c>
      <c r="B35" s="7" t="s">
        <v>100</v>
      </c>
      <c r="C35" s="1" t="s">
        <v>49</v>
      </c>
      <c r="D35" s="1" t="s">
        <v>38</v>
      </c>
      <c r="E35" s="10" t="n">
        <v>28.208</v>
      </c>
      <c r="F35" s="1" t="s">
        <v>39</v>
      </c>
      <c r="G35" s="7" t="s">
        <v>40</v>
      </c>
      <c r="H35" s="1" t="s">
        <v>47</v>
      </c>
    </row>
    <row r="36" customFormat="false" ht="16.5" hidden="false" customHeight="true" outlineLevel="0" collapsed="false">
      <c r="A36" s="1" t="s">
        <v>102</v>
      </c>
      <c r="B36" s="7" t="s">
        <v>103</v>
      </c>
      <c r="C36" s="1" t="s">
        <v>43</v>
      </c>
      <c r="D36" s="1" t="s">
        <v>38</v>
      </c>
      <c r="E36" s="10" t="n">
        <v>40.369</v>
      </c>
      <c r="F36" s="1" t="s">
        <v>39</v>
      </c>
      <c r="G36" s="7" t="s">
        <v>40</v>
      </c>
      <c r="H36" s="1" t="s">
        <v>44</v>
      </c>
    </row>
    <row r="37" customFormat="false" ht="16.5" hidden="false" customHeight="true" outlineLevel="0" collapsed="false">
      <c r="A37" s="1" t="s">
        <v>104</v>
      </c>
      <c r="B37" s="7" t="s">
        <v>105</v>
      </c>
      <c r="C37" s="1" t="s">
        <v>49</v>
      </c>
      <c r="D37" s="1" t="s">
        <v>38</v>
      </c>
      <c r="E37" s="10" t="n">
        <v>8.039</v>
      </c>
      <c r="F37" s="1" t="s">
        <v>39</v>
      </c>
      <c r="G37" s="7" t="s">
        <v>40</v>
      </c>
      <c r="H37" s="1" t="s">
        <v>47</v>
      </c>
    </row>
    <row r="38" customFormat="false" ht="16.5" hidden="false" customHeight="true" outlineLevel="0" collapsed="false">
      <c r="A38" s="1" t="s">
        <v>106</v>
      </c>
      <c r="B38" s="7" t="s">
        <v>107</v>
      </c>
      <c r="C38" s="1" t="s">
        <v>43</v>
      </c>
      <c r="D38" s="1" t="s">
        <v>38</v>
      </c>
      <c r="E38" s="10" t="n">
        <v>250.856</v>
      </c>
      <c r="F38" s="1" t="s">
        <v>39</v>
      </c>
      <c r="G38" s="7" t="s">
        <v>40</v>
      </c>
      <c r="H38" s="1" t="s">
        <v>44</v>
      </c>
    </row>
    <row r="39" customFormat="false" ht="16.5" hidden="false" customHeight="true" outlineLevel="0" collapsed="false">
      <c r="A39" s="1" t="s">
        <v>108</v>
      </c>
      <c r="B39" s="7" t="s">
        <v>107</v>
      </c>
      <c r="C39" s="1" t="s">
        <v>49</v>
      </c>
      <c r="D39" s="1" t="s">
        <v>38</v>
      </c>
      <c r="E39" s="10" t="n">
        <v>293.031</v>
      </c>
      <c r="F39" s="1" t="s">
        <v>39</v>
      </c>
      <c r="G39" s="7" t="s">
        <v>40</v>
      </c>
      <c r="H39" s="1" t="s">
        <v>47</v>
      </c>
    </row>
    <row r="40" customFormat="false" ht="16.5" hidden="false" customHeight="true" outlineLevel="0" collapsed="false">
      <c r="A40" s="1" t="s">
        <v>109</v>
      </c>
      <c r="B40" s="7" t="s">
        <v>110</v>
      </c>
      <c r="C40" s="1" t="s">
        <v>43</v>
      </c>
      <c r="D40" s="1" t="s">
        <v>38</v>
      </c>
      <c r="E40" s="10" t="n">
        <v>1871.617</v>
      </c>
      <c r="F40" s="1" t="s">
        <v>39</v>
      </c>
      <c r="G40" s="7" t="s">
        <v>40</v>
      </c>
      <c r="H40" s="1" t="s">
        <v>44</v>
      </c>
    </row>
    <row r="41" customFormat="false" ht="16.5" hidden="false" customHeight="true" outlineLevel="0" collapsed="false">
      <c r="A41" s="1" t="s">
        <v>111</v>
      </c>
      <c r="B41" s="7" t="s">
        <v>112</v>
      </c>
      <c r="C41" s="1" t="s">
        <v>43</v>
      </c>
      <c r="D41" s="1" t="s">
        <v>38</v>
      </c>
      <c r="E41" s="10" t="n">
        <v>6.88</v>
      </c>
      <c r="F41" s="1" t="s">
        <v>39</v>
      </c>
      <c r="G41" s="7" t="s">
        <v>40</v>
      </c>
      <c r="H41" s="1" t="s">
        <v>44</v>
      </c>
    </row>
    <row r="42" customFormat="false" ht="16.5" hidden="false" customHeight="true" outlineLevel="0" collapsed="false">
      <c r="A42" s="1" t="s">
        <v>113</v>
      </c>
      <c r="B42" s="7" t="s">
        <v>114</v>
      </c>
      <c r="C42" s="1" t="s">
        <v>115</v>
      </c>
      <c r="D42" s="7" t="s">
        <v>116</v>
      </c>
      <c r="E42" s="10" t="n">
        <v>428</v>
      </c>
      <c r="F42" s="1" t="s">
        <v>39</v>
      </c>
      <c r="G42" s="7" t="s">
        <v>40</v>
      </c>
      <c r="H42" s="1" t="s">
        <v>44</v>
      </c>
    </row>
    <row r="43" customFormat="false" ht="16.5" hidden="false" customHeight="true" outlineLevel="0" collapsed="false">
      <c r="A43" s="1" t="s">
        <v>117</v>
      </c>
      <c r="B43" s="7" t="s">
        <v>114</v>
      </c>
      <c r="C43" s="1" t="s">
        <v>118</v>
      </c>
      <c r="D43" s="7" t="s">
        <v>116</v>
      </c>
      <c r="E43" s="10" t="n">
        <v>568</v>
      </c>
      <c r="F43" s="1" t="s">
        <v>39</v>
      </c>
      <c r="G43" s="7" t="s">
        <v>40</v>
      </c>
      <c r="H43" s="1" t="s">
        <v>47</v>
      </c>
    </row>
    <row r="44" customFormat="false" ht="16.5" hidden="false" customHeight="true" outlineLevel="0" collapsed="false">
      <c r="A44" s="1" t="s">
        <v>119</v>
      </c>
      <c r="B44" s="7" t="s">
        <v>120</v>
      </c>
      <c r="C44" s="1" t="s">
        <v>115</v>
      </c>
      <c r="D44" s="1" t="s">
        <v>38</v>
      </c>
      <c r="E44" s="10" t="n">
        <v>1050.3</v>
      </c>
      <c r="F44" s="1" t="s">
        <v>39</v>
      </c>
      <c r="G44" s="7" t="s">
        <v>40</v>
      </c>
      <c r="H44" s="1" t="s">
        <v>44</v>
      </c>
    </row>
    <row r="45" customFormat="false" ht="16.5" hidden="false" customHeight="true" outlineLevel="0" collapsed="false">
      <c r="A45" s="1" t="s">
        <v>121</v>
      </c>
      <c r="B45" s="7" t="s">
        <v>122</v>
      </c>
      <c r="C45" s="1" t="s">
        <v>118</v>
      </c>
      <c r="D45" s="1" t="s">
        <v>38</v>
      </c>
      <c r="E45" s="10" t="n">
        <v>1322.8</v>
      </c>
      <c r="F45" s="1" t="s">
        <v>39</v>
      </c>
      <c r="G45" s="7" t="s">
        <v>40</v>
      </c>
      <c r="H45" s="1" t="s">
        <v>47</v>
      </c>
    </row>
    <row r="46" customFormat="false" ht="16.5" hidden="false" customHeight="true" outlineLevel="0" collapsed="false">
      <c r="A46" s="1" t="s">
        <v>123</v>
      </c>
      <c r="B46" s="1" t="s">
        <v>124</v>
      </c>
      <c r="C46" s="1" t="s">
        <v>125</v>
      </c>
      <c r="D46" s="1" t="s">
        <v>126</v>
      </c>
      <c r="E46" s="10" t="n">
        <v>5293.4</v>
      </c>
      <c r="F46" s="1" t="s">
        <v>39</v>
      </c>
      <c r="G46" s="7" t="s">
        <v>40</v>
      </c>
      <c r="H46" s="7" t="s">
        <v>127</v>
      </c>
    </row>
    <row r="47" customFormat="false" ht="16.5" hidden="false" customHeight="true" outlineLevel="0" collapsed="false">
      <c r="A47" s="1" t="s">
        <v>128</v>
      </c>
      <c r="B47" s="7" t="s">
        <v>129</v>
      </c>
      <c r="C47" s="1" t="s">
        <v>130</v>
      </c>
      <c r="D47" s="1" t="s">
        <v>126</v>
      </c>
      <c r="E47" s="10" t="n">
        <v>9443.7</v>
      </c>
      <c r="F47" s="1" t="s">
        <v>39</v>
      </c>
      <c r="G47" s="7" t="s">
        <v>40</v>
      </c>
      <c r="H47" s="1" t="s">
        <v>131</v>
      </c>
    </row>
    <row r="48" customFormat="false" ht="16.5" hidden="false" customHeight="true" outlineLevel="0" collapsed="false">
      <c r="A48" s="1" t="s">
        <v>132</v>
      </c>
      <c r="B48" s="7" t="s">
        <v>133</v>
      </c>
      <c r="C48" s="1" t="s">
        <v>134</v>
      </c>
      <c r="D48" s="1" t="s">
        <v>126</v>
      </c>
      <c r="E48" s="10" t="n">
        <v>6500</v>
      </c>
      <c r="F48" s="1" t="s">
        <v>39</v>
      </c>
      <c r="G48" s="7" t="s">
        <v>40</v>
      </c>
      <c r="H48" s="1" t="s">
        <v>131</v>
      </c>
    </row>
    <row r="49" customFormat="false" ht="16.5" hidden="false" customHeight="true" outlineLevel="0" collapsed="false">
      <c r="A49" s="1" t="s">
        <v>135</v>
      </c>
      <c r="B49" s="7" t="s">
        <v>136</v>
      </c>
      <c r="C49" s="1" t="s">
        <v>134</v>
      </c>
      <c r="D49" s="1" t="s">
        <v>126</v>
      </c>
      <c r="E49" s="10" t="n">
        <v>6433.3</v>
      </c>
      <c r="F49" s="1" t="s">
        <v>39</v>
      </c>
      <c r="G49" s="7" t="s">
        <v>40</v>
      </c>
      <c r="H49" s="1" t="s">
        <v>131</v>
      </c>
    </row>
    <row r="50" customFormat="false" ht="16.5" hidden="false" customHeight="true" outlineLevel="0" collapsed="false">
      <c r="A50" s="1" t="s">
        <v>137</v>
      </c>
      <c r="B50" s="7" t="s">
        <v>138</v>
      </c>
      <c r="C50" s="1" t="s">
        <v>139</v>
      </c>
      <c r="D50" s="1" t="s">
        <v>140</v>
      </c>
      <c r="E50" s="10" t="n">
        <v>335</v>
      </c>
      <c r="F50" s="1" t="s">
        <v>39</v>
      </c>
      <c r="G50" s="7" t="s">
        <v>40</v>
      </c>
      <c r="H50" s="1" t="s">
        <v>131</v>
      </c>
    </row>
    <row r="51" customFormat="false" ht="16.5" hidden="false" customHeight="true" outlineLevel="0" collapsed="false">
      <c r="A51" s="1" t="s">
        <v>141</v>
      </c>
      <c r="B51" s="7" t="s">
        <v>142</v>
      </c>
      <c r="C51" s="1" t="s">
        <v>115</v>
      </c>
      <c r="D51" s="1" t="s">
        <v>38</v>
      </c>
      <c r="E51" s="10" t="n">
        <v>35.452</v>
      </c>
      <c r="F51" s="1" t="s">
        <v>39</v>
      </c>
      <c r="G51" s="7" t="s">
        <v>40</v>
      </c>
      <c r="H51" s="1" t="s">
        <v>44</v>
      </c>
    </row>
    <row r="52" customFormat="false" ht="16.5" hidden="false" customHeight="true" outlineLevel="0" collapsed="false">
      <c r="A52" s="1" t="s">
        <v>143</v>
      </c>
      <c r="B52" s="7" t="s">
        <v>142</v>
      </c>
      <c r="C52" s="1" t="s">
        <v>118</v>
      </c>
      <c r="D52" s="1" t="s">
        <v>38</v>
      </c>
      <c r="E52" s="10" t="n">
        <v>133.555</v>
      </c>
      <c r="F52" s="1" t="s">
        <v>39</v>
      </c>
      <c r="G52" s="7" t="s">
        <v>40</v>
      </c>
      <c r="H52" s="1" t="s">
        <v>47</v>
      </c>
    </row>
    <row r="53" customFormat="false" ht="16.5" hidden="false" customHeight="true" outlineLevel="0" collapsed="false">
      <c r="A53" s="1" t="s">
        <v>144</v>
      </c>
      <c r="B53" s="7" t="s">
        <v>145</v>
      </c>
      <c r="C53" s="1" t="s">
        <v>115</v>
      </c>
      <c r="D53" s="1" t="s">
        <v>38</v>
      </c>
      <c r="E53" s="10" t="n">
        <v>18.8</v>
      </c>
      <c r="F53" s="1" t="s">
        <v>39</v>
      </c>
      <c r="G53" s="7" t="s">
        <v>40</v>
      </c>
      <c r="H53" s="1" t="s">
        <v>44</v>
      </c>
    </row>
    <row r="54" customFormat="false" ht="16.5" hidden="false" customHeight="true" outlineLevel="0" collapsed="false">
      <c r="A54" s="1" t="s">
        <v>146</v>
      </c>
      <c r="B54" s="7" t="s">
        <v>147</v>
      </c>
      <c r="C54" s="1" t="s">
        <v>118</v>
      </c>
      <c r="D54" s="1" t="s">
        <v>38</v>
      </c>
      <c r="E54" s="10" t="n">
        <v>341.1</v>
      </c>
      <c r="F54" s="1" t="s">
        <v>39</v>
      </c>
      <c r="G54" s="7" t="s">
        <v>40</v>
      </c>
      <c r="H54" s="1" t="s">
        <v>148</v>
      </c>
    </row>
    <row r="55" customFormat="false" ht="16.5" hidden="false" customHeight="true" outlineLevel="0" collapsed="false">
      <c r="A55" s="1" t="s">
        <v>149</v>
      </c>
      <c r="B55" s="7" t="s">
        <v>150</v>
      </c>
      <c r="C55" s="1" t="s">
        <v>130</v>
      </c>
      <c r="D55" s="1" t="s">
        <v>151</v>
      </c>
      <c r="E55" s="10" t="n">
        <v>349.235308</v>
      </c>
      <c r="F55" s="1" t="s">
        <v>39</v>
      </c>
      <c r="G55" s="7" t="s">
        <v>40</v>
      </c>
      <c r="H55" s="1" t="s">
        <v>47</v>
      </c>
    </row>
    <row r="56" customFormat="false" ht="16.5" hidden="false" customHeight="true" outlineLevel="0" collapsed="false">
      <c r="A56" s="1" t="s">
        <v>152</v>
      </c>
      <c r="B56" s="7" t="s">
        <v>153</v>
      </c>
      <c r="C56" s="1" t="s">
        <v>154</v>
      </c>
      <c r="D56" s="1" t="s">
        <v>126</v>
      </c>
      <c r="E56" s="10" t="n">
        <v>76150</v>
      </c>
      <c r="F56" s="1" t="s">
        <v>39</v>
      </c>
      <c r="G56" s="7" t="s">
        <v>155</v>
      </c>
      <c r="H56" s="1" t="s">
        <v>156</v>
      </c>
    </row>
    <row r="57" customFormat="false" ht="16.5" hidden="false" customHeight="true" outlineLevel="0" collapsed="false">
      <c r="A57" s="1" t="s">
        <v>157</v>
      </c>
      <c r="B57" s="1" t="s">
        <v>158</v>
      </c>
      <c r="C57" s="1" t="s">
        <v>159</v>
      </c>
      <c r="D57" s="1" t="s">
        <v>38</v>
      </c>
      <c r="E57" s="10" t="n">
        <v>800</v>
      </c>
      <c r="F57" s="1" t="s">
        <v>77</v>
      </c>
      <c r="G57" s="7" t="s">
        <v>160</v>
      </c>
      <c r="H57" s="7" t="s">
        <v>161</v>
      </c>
    </row>
    <row r="58" customFormat="false" ht="16.5" hidden="false" customHeight="true" outlineLevel="0" collapsed="false">
      <c r="A58" s="1" t="s">
        <v>162</v>
      </c>
      <c r="B58" s="1" t="s">
        <v>163</v>
      </c>
      <c r="C58" s="1" t="s">
        <v>159</v>
      </c>
      <c r="D58" s="7" t="s">
        <v>76</v>
      </c>
      <c r="E58" s="10" t="n">
        <v>0.8</v>
      </c>
      <c r="F58" s="1" t="s">
        <v>77</v>
      </c>
      <c r="G58" s="7" t="s">
        <v>160</v>
      </c>
      <c r="H58" s="7" t="s">
        <v>164</v>
      </c>
    </row>
    <row r="59" customFormat="false" ht="16.5" hidden="false" customHeight="true" outlineLevel="0" collapsed="false">
      <c r="A59" s="1" t="s">
        <v>165</v>
      </c>
      <c r="B59" s="1" t="s">
        <v>166</v>
      </c>
      <c r="C59" s="1" t="s">
        <v>139</v>
      </c>
      <c r="D59" s="7" t="s">
        <v>167</v>
      </c>
      <c r="E59" s="10" t="n">
        <v>20</v>
      </c>
      <c r="F59" s="1" t="s">
        <v>77</v>
      </c>
      <c r="G59" s="7" t="s">
        <v>40</v>
      </c>
      <c r="H59" s="1" t="s">
        <v>168</v>
      </c>
    </row>
    <row r="60" customFormat="false" ht="16.5" hidden="false" customHeight="true" outlineLevel="0" collapsed="false">
      <c r="A60" s="1" t="s">
        <v>169</v>
      </c>
      <c r="B60" s="1" t="s">
        <v>170</v>
      </c>
      <c r="C60" s="1" t="s">
        <v>171</v>
      </c>
      <c r="D60" s="1" t="s">
        <v>172</v>
      </c>
      <c r="E60" s="10" t="n">
        <v>0.3</v>
      </c>
      <c r="F60" s="1" t="s">
        <v>39</v>
      </c>
      <c r="G60" s="7" t="s">
        <v>40</v>
      </c>
      <c r="H60" s="1" t="s">
        <v>173</v>
      </c>
    </row>
    <row r="61" customFormat="false" ht="16.5" hidden="false" customHeight="true" outlineLevel="0" collapsed="false">
      <c r="A61" s="1" t="s">
        <v>174</v>
      </c>
      <c r="B61" s="1" t="s">
        <v>175</v>
      </c>
      <c r="C61" s="1" t="s">
        <v>171</v>
      </c>
      <c r="D61" s="1" t="s">
        <v>172</v>
      </c>
      <c r="E61" s="10" t="n">
        <v>1.2</v>
      </c>
      <c r="F61" s="1" t="s">
        <v>39</v>
      </c>
      <c r="G61" s="7" t="s">
        <v>40</v>
      </c>
      <c r="H61" s="1" t="s">
        <v>173</v>
      </c>
    </row>
    <row r="62" customFormat="false" ht="16.5" hidden="false" customHeight="true" outlineLevel="0" collapsed="false">
      <c r="A62" s="1" t="s">
        <v>176</v>
      </c>
      <c r="B62" s="1" t="s">
        <v>177</v>
      </c>
      <c r="C62" s="1" t="s">
        <v>159</v>
      </c>
      <c r="D62" s="1" t="s">
        <v>172</v>
      </c>
      <c r="E62" s="10" t="n">
        <v>0.22</v>
      </c>
      <c r="F62" s="1" t="s">
        <v>77</v>
      </c>
      <c r="G62" s="7" t="s">
        <v>160</v>
      </c>
      <c r="H62" s="7" t="s">
        <v>178</v>
      </c>
    </row>
    <row r="63" customFormat="false" ht="16.5" hidden="false" customHeight="true" outlineLevel="0" collapsed="false">
      <c r="A63" s="1" t="s">
        <v>179</v>
      </c>
      <c r="B63" s="7" t="s">
        <v>180</v>
      </c>
      <c r="C63" s="1" t="s">
        <v>181</v>
      </c>
      <c r="D63" s="1" t="s">
        <v>38</v>
      </c>
      <c r="E63" s="10" t="n">
        <v>300</v>
      </c>
      <c r="F63" s="1" t="s">
        <v>77</v>
      </c>
      <c r="G63" s="7" t="s">
        <v>160</v>
      </c>
      <c r="H63" s="1" t="s">
        <v>182</v>
      </c>
    </row>
    <row r="64" customFormat="false" ht="16.5" hidden="false" customHeight="true" outlineLevel="0" collapsed="false">
      <c r="A64" s="1" t="s">
        <v>183</v>
      </c>
      <c r="B64" s="7" t="s">
        <v>184</v>
      </c>
      <c r="C64" s="1" t="s">
        <v>185</v>
      </c>
      <c r="D64" s="1" t="s">
        <v>38</v>
      </c>
      <c r="E64" s="10" t="n">
        <v>400</v>
      </c>
      <c r="F64" s="1" t="s">
        <v>77</v>
      </c>
      <c r="G64" s="7" t="s">
        <v>160</v>
      </c>
      <c r="H64" s="7" t="s">
        <v>164</v>
      </c>
    </row>
    <row r="65" customFormat="false" ht="16.5" hidden="false" customHeight="true" outlineLevel="0" collapsed="false">
      <c r="A65" s="1" t="s">
        <v>186</v>
      </c>
      <c r="B65" s="7" t="s">
        <v>187</v>
      </c>
      <c r="C65" s="1" t="s">
        <v>188</v>
      </c>
      <c r="D65" s="1" t="s">
        <v>38</v>
      </c>
      <c r="E65" s="10" t="n">
        <v>500</v>
      </c>
      <c r="F65" s="1" t="s">
        <v>77</v>
      </c>
      <c r="G65" s="7" t="s">
        <v>160</v>
      </c>
      <c r="H65" s="7" t="s">
        <v>164</v>
      </c>
    </row>
    <row r="66" customFormat="false" ht="16.5" hidden="false" customHeight="true" outlineLevel="0" collapsed="false">
      <c r="A66" s="1" t="s">
        <v>189</v>
      </c>
      <c r="B66" s="7" t="s">
        <v>190</v>
      </c>
      <c r="C66" s="1" t="s">
        <v>191</v>
      </c>
      <c r="D66" s="1" t="s">
        <v>38</v>
      </c>
      <c r="E66" s="10" t="n">
        <v>452</v>
      </c>
      <c r="F66" s="1" t="s">
        <v>77</v>
      </c>
      <c r="G66" s="7" t="s">
        <v>155</v>
      </c>
      <c r="H66" s="1" t="s">
        <v>192</v>
      </c>
    </row>
    <row r="67" customFormat="false" ht="16.5" hidden="false" customHeight="true" outlineLevel="0" collapsed="false">
      <c r="A67" s="1" t="s">
        <v>193</v>
      </c>
      <c r="B67" s="1" t="s">
        <v>194</v>
      </c>
      <c r="C67" s="1" t="s">
        <v>195</v>
      </c>
      <c r="D67" s="1" t="s">
        <v>38</v>
      </c>
      <c r="E67" s="10" t="n">
        <v>880.1</v>
      </c>
      <c r="F67" s="1" t="s">
        <v>77</v>
      </c>
      <c r="G67" s="7" t="s">
        <v>155</v>
      </c>
      <c r="H67" s="1" t="s">
        <v>196</v>
      </c>
    </row>
    <row r="68" customFormat="false" ht="16.5" hidden="false" customHeight="true" outlineLevel="0" collapsed="false">
      <c r="A68" s="1" t="s">
        <v>197</v>
      </c>
      <c r="B68" s="1" t="s">
        <v>194</v>
      </c>
      <c r="C68" s="1" t="s">
        <v>198</v>
      </c>
      <c r="D68" s="1" t="s">
        <v>38</v>
      </c>
      <c r="E68" s="10" t="n">
        <v>2469.6</v>
      </c>
      <c r="F68" s="1" t="s">
        <v>77</v>
      </c>
      <c r="G68" s="7" t="s">
        <v>155</v>
      </c>
      <c r="H68" s="7" t="s">
        <v>164</v>
      </c>
    </row>
    <row r="69" customFormat="false" ht="16.5" hidden="false" customHeight="true" outlineLevel="0" collapsed="false">
      <c r="A69" s="1" t="s">
        <v>199</v>
      </c>
      <c r="B69" s="1" t="s">
        <v>200</v>
      </c>
      <c r="C69" s="1" t="s">
        <v>201</v>
      </c>
      <c r="D69" s="1" t="s">
        <v>38</v>
      </c>
      <c r="E69" s="10" t="n">
        <v>5800</v>
      </c>
      <c r="F69" s="1" t="s">
        <v>77</v>
      </c>
      <c r="G69" s="7" t="s">
        <v>155</v>
      </c>
      <c r="H69" s="1" t="s">
        <v>202</v>
      </c>
    </row>
    <row r="70" customFormat="false" ht="16.5" hidden="false" customHeight="true" outlineLevel="0" collapsed="false">
      <c r="A70" s="1" t="s">
        <v>203</v>
      </c>
      <c r="B70" s="1" t="s">
        <v>204</v>
      </c>
      <c r="C70" s="1" t="s">
        <v>191</v>
      </c>
      <c r="D70" s="1" t="s">
        <v>38</v>
      </c>
      <c r="E70" s="10" t="n">
        <v>710</v>
      </c>
      <c r="F70" s="1" t="s">
        <v>77</v>
      </c>
      <c r="G70" s="7" t="s">
        <v>155</v>
      </c>
      <c r="H70" s="1" t="s">
        <v>205</v>
      </c>
    </row>
    <row r="71" customFormat="false" ht="16.5" hidden="false" customHeight="true" outlineLevel="0" collapsed="false">
      <c r="A71" s="1" t="s">
        <v>206</v>
      </c>
      <c r="B71" s="1" t="s">
        <v>204</v>
      </c>
      <c r="C71" s="1" t="s">
        <v>195</v>
      </c>
      <c r="D71" s="1" t="s">
        <v>38</v>
      </c>
      <c r="E71" s="10" t="n">
        <v>917</v>
      </c>
      <c r="F71" s="1" t="s">
        <v>77</v>
      </c>
      <c r="G71" s="7" t="s">
        <v>155</v>
      </c>
      <c r="H71" s="7" t="s">
        <v>164</v>
      </c>
    </row>
    <row r="72" customFormat="false" ht="16.5" hidden="false" customHeight="true" outlineLevel="0" collapsed="false">
      <c r="A72" s="1" t="s">
        <v>207</v>
      </c>
      <c r="B72" s="1" t="s">
        <v>204</v>
      </c>
      <c r="C72" s="1" t="s">
        <v>198</v>
      </c>
      <c r="D72" s="1" t="s">
        <v>38</v>
      </c>
      <c r="E72" s="10" t="n">
        <v>539</v>
      </c>
      <c r="F72" s="1" t="s">
        <v>77</v>
      </c>
      <c r="G72" s="7" t="s">
        <v>155</v>
      </c>
      <c r="H72" s="7" t="s">
        <v>164</v>
      </c>
    </row>
    <row r="73" customFormat="false" ht="16.5" hidden="false" customHeight="true" outlineLevel="0" collapsed="false">
      <c r="A73" s="1" t="s">
        <v>208</v>
      </c>
      <c r="B73" s="7" t="s">
        <v>209</v>
      </c>
      <c r="C73" s="1" t="s">
        <v>210</v>
      </c>
      <c r="D73" s="1" t="s">
        <v>38</v>
      </c>
      <c r="E73" s="10" t="n">
        <v>1555</v>
      </c>
      <c r="F73" s="1" t="s">
        <v>39</v>
      </c>
      <c r="G73" s="7" t="s">
        <v>78</v>
      </c>
      <c r="H73" s="7" t="s">
        <v>211</v>
      </c>
    </row>
    <row r="74" customFormat="false" ht="16.5" hidden="false" customHeight="true" outlineLevel="0" collapsed="false">
      <c r="A74" s="1" t="s">
        <v>212</v>
      </c>
      <c r="B74" s="7" t="s">
        <v>213</v>
      </c>
      <c r="C74" s="1" t="s">
        <v>214</v>
      </c>
      <c r="D74" s="1" t="s">
        <v>126</v>
      </c>
      <c r="E74" s="10" t="n">
        <v>291700</v>
      </c>
      <c r="F74" s="1" t="s">
        <v>39</v>
      </c>
      <c r="G74" s="7" t="s">
        <v>155</v>
      </c>
      <c r="H74" s="1" t="s">
        <v>215</v>
      </c>
    </row>
    <row r="75" customFormat="false" ht="16.5" hidden="false" customHeight="true" outlineLevel="0" collapsed="false">
      <c r="A75" s="1" t="s">
        <v>216</v>
      </c>
      <c r="B75" s="7" t="s">
        <v>217</v>
      </c>
      <c r="C75" s="1" t="s">
        <v>49</v>
      </c>
      <c r="D75" s="1" t="s">
        <v>218</v>
      </c>
      <c r="E75" s="10" t="n">
        <v>954</v>
      </c>
      <c r="F75" s="1" t="s">
        <v>39</v>
      </c>
      <c r="G75" s="7" t="s">
        <v>160</v>
      </c>
      <c r="H75" s="7" t="s">
        <v>219</v>
      </c>
    </row>
    <row r="76" customFormat="false" ht="15" hidden="false" customHeight="true" outlineLevel="0" collapsed="false">
      <c r="A76" s="1" t="s">
        <v>220</v>
      </c>
      <c r="B76" s="7" t="s">
        <v>221</v>
      </c>
      <c r="C76" s="1" t="s">
        <v>58</v>
      </c>
      <c r="D76" s="1" t="s">
        <v>38</v>
      </c>
      <c r="E76" s="10" t="n">
        <v>142</v>
      </c>
      <c r="F76" s="1" t="s">
        <v>77</v>
      </c>
      <c r="G76" s="7" t="s">
        <v>78</v>
      </c>
      <c r="H76" s="7" t="s">
        <v>222</v>
      </c>
    </row>
    <row r="77" customFormat="false" ht="16.5" hidden="false" customHeight="true" outlineLevel="0" collapsed="false">
      <c r="A77" s="1" t="s">
        <v>223</v>
      </c>
      <c r="B77" s="1" t="s">
        <v>224</v>
      </c>
      <c r="C77" s="1" t="s">
        <v>225</v>
      </c>
      <c r="D77" s="1" t="s">
        <v>38</v>
      </c>
      <c r="E77" s="10" t="n">
        <v>0.5347</v>
      </c>
      <c r="F77" s="1" t="s">
        <v>39</v>
      </c>
      <c r="G77" s="7" t="s">
        <v>40</v>
      </c>
      <c r="H77" s="1" t="s">
        <v>226</v>
      </c>
    </row>
    <row r="78" customFormat="false" ht="16.5" hidden="false" customHeight="true" outlineLevel="0" collapsed="false">
      <c r="A78" s="1" t="s">
        <v>227</v>
      </c>
      <c r="B78" s="1" t="s">
        <v>228</v>
      </c>
      <c r="C78" s="1" t="s">
        <v>58</v>
      </c>
      <c r="D78" s="1" t="s">
        <v>229</v>
      </c>
      <c r="E78" s="10" t="n">
        <v>1.7716</v>
      </c>
      <c r="F78" s="1" t="s">
        <v>39</v>
      </c>
      <c r="G78" s="7" t="s">
        <v>40</v>
      </c>
      <c r="H78" s="1" t="s">
        <v>41</v>
      </c>
    </row>
    <row r="79" customFormat="false" ht="16.5" hidden="false" customHeight="true" outlineLevel="0" collapsed="false">
      <c r="A79" s="1" t="s">
        <v>230</v>
      </c>
      <c r="B79" s="1" t="s">
        <v>231</v>
      </c>
      <c r="C79" s="1" t="s">
        <v>58</v>
      </c>
      <c r="D79" s="1" t="s">
        <v>229</v>
      </c>
      <c r="E79" s="10" t="n">
        <v>27.6</v>
      </c>
      <c r="F79" s="1" t="s">
        <v>39</v>
      </c>
      <c r="G79" s="7" t="s">
        <v>40</v>
      </c>
      <c r="H79" s="1" t="s">
        <v>41</v>
      </c>
    </row>
    <row r="80" customFormat="false" ht="16.5" hidden="false" customHeight="true" outlineLevel="0" collapsed="false">
      <c r="A80" s="1" t="s">
        <v>232</v>
      </c>
      <c r="B80" s="1" t="s">
        <v>233</v>
      </c>
      <c r="C80" s="1" t="s">
        <v>234</v>
      </c>
      <c r="D80" s="7" t="s">
        <v>76</v>
      </c>
      <c r="E80" s="10" t="n">
        <v>0.818</v>
      </c>
      <c r="F80" s="1" t="s">
        <v>39</v>
      </c>
      <c r="G80" s="7" t="s">
        <v>160</v>
      </c>
      <c r="H80" s="1" t="s">
        <v>235</v>
      </c>
    </row>
    <row r="81" customFormat="false" ht="15" hidden="false" customHeight="true" outlineLevel="0" collapsed="false">
      <c r="A81" s="1" t="s">
        <v>236</v>
      </c>
      <c r="B81" s="7" t="s">
        <v>237</v>
      </c>
      <c r="C81" s="1" t="s">
        <v>181</v>
      </c>
      <c r="D81" s="1" t="s">
        <v>238</v>
      </c>
      <c r="E81" s="10" t="n">
        <v>7.1</v>
      </c>
      <c r="F81" s="1" t="s">
        <v>239</v>
      </c>
      <c r="G81" s="1" t="s">
        <v>240</v>
      </c>
      <c r="H81" s="7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50"/>
    <col collapsed="false" customWidth="true" hidden="false" outlineLevel="0" max="5" min="5" style="1" width="14"/>
    <col collapsed="false" customWidth="true" hidden="false" outlineLevel="0" max="6" min="6" style="1" width="22"/>
  </cols>
  <sheetData>
    <row r="1" customFormat="false" ht="16.5" hidden="false" customHeight="true" outlineLevel="0" collapsed="false">
      <c r="A1" s="6" t="s">
        <v>242</v>
      </c>
    </row>
    <row r="2" customFormat="false" ht="16.5" hidden="false" customHeight="true" outlineLevel="0" collapsed="false">
      <c r="A2" s="1" t="s">
        <v>243</v>
      </c>
    </row>
    <row r="4" customFormat="false" ht="16.5" hidden="false" customHeight="true" outlineLevel="0" collapsed="false">
      <c r="A4" s="8" t="s">
        <v>27</v>
      </c>
      <c r="B4" s="8" t="s">
        <v>244</v>
      </c>
      <c r="C4" s="9" t="s">
        <v>245</v>
      </c>
      <c r="D4" s="9" t="s">
        <v>246</v>
      </c>
      <c r="E4" s="9" t="s">
        <v>30</v>
      </c>
      <c r="F4" s="9" t="s">
        <v>31</v>
      </c>
    </row>
    <row r="5" customFormat="false" ht="16.5" hidden="false" customHeight="true" outlineLevel="0" collapsed="false">
      <c r="A5" s="1" t="s">
        <v>247</v>
      </c>
      <c r="B5" s="1" t="s">
        <v>248</v>
      </c>
      <c r="C5" s="1" t="s">
        <v>249</v>
      </c>
      <c r="D5" s="7" t="s">
        <v>250</v>
      </c>
      <c r="E5" s="1" t="s">
        <v>251</v>
      </c>
      <c r="F5" s="11" t="n">
        <v>74067251304.9223</v>
      </c>
    </row>
    <row r="6" customFormat="false" ht="16.5" hidden="false" customHeight="true" outlineLevel="0" collapsed="false">
      <c r="A6" s="1" t="s">
        <v>252</v>
      </c>
      <c r="B6" s="1" t="s">
        <v>248</v>
      </c>
      <c r="C6" s="1" t="s">
        <v>253</v>
      </c>
      <c r="D6" s="7" t="s">
        <v>250</v>
      </c>
      <c r="E6" s="1" t="s">
        <v>251</v>
      </c>
      <c r="F6" s="11" t="n">
        <v>362306894085.614</v>
      </c>
    </row>
    <row r="7" customFormat="false" ht="16.5" hidden="false" customHeight="true" outlineLevel="0" collapsed="false">
      <c r="A7" s="1" t="s">
        <v>254</v>
      </c>
      <c r="B7" s="1" t="s">
        <v>255</v>
      </c>
      <c r="C7" s="1" t="s">
        <v>249</v>
      </c>
      <c r="D7" s="7" t="s">
        <v>256</v>
      </c>
      <c r="E7" s="1" t="s">
        <v>251</v>
      </c>
      <c r="F7" s="11" t="n">
        <v>21490429685.4234</v>
      </c>
    </row>
    <row r="8" customFormat="false" ht="16.5" hidden="false" customHeight="true" outlineLevel="0" collapsed="false">
      <c r="A8" s="1" t="s">
        <v>257</v>
      </c>
      <c r="B8" s="1" t="s">
        <v>255</v>
      </c>
      <c r="C8" s="1" t="s">
        <v>253</v>
      </c>
      <c r="D8" s="7" t="s">
        <v>256</v>
      </c>
      <c r="E8" s="1" t="s">
        <v>251</v>
      </c>
      <c r="F8" s="11" t="n">
        <v>104125401080.667</v>
      </c>
    </row>
    <row r="9" customFormat="false" ht="16.5" hidden="false" customHeight="true" outlineLevel="0" collapsed="false">
      <c r="A9" s="1" t="s">
        <v>258</v>
      </c>
      <c r="B9" s="1" t="s">
        <v>255</v>
      </c>
      <c r="C9" s="1" t="s">
        <v>259</v>
      </c>
      <c r="D9" s="7" t="s">
        <v>260</v>
      </c>
      <c r="E9" s="1" t="s">
        <v>251</v>
      </c>
      <c r="F9" s="11" t="n">
        <v>237287338734.99</v>
      </c>
    </row>
    <row r="10" customFormat="false" ht="16.5" hidden="false" customHeight="true" outlineLevel="0" collapsed="false">
      <c r="A10" s="1" t="s">
        <v>261</v>
      </c>
      <c r="B10" s="1" t="s">
        <v>262</v>
      </c>
      <c r="C10" s="1" t="s">
        <v>240</v>
      </c>
      <c r="D10" s="7" t="s">
        <v>263</v>
      </c>
      <c r="E10" s="7" t="s">
        <v>76</v>
      </c>
      <c r="F10" s="11" t="n">
        <v>0.6</v>
      </c>
    </row>
    <row r="11" customFormat="false" ht="16.5" hidden="false" customHeight="true" outlineLevel="0" collapsed="false">
      <c r="A11" s="1" t="s">
        <v>264</v>
      </c>
      <c r="B11" s="1" t="s">
        <v>265</v>
      </c>
      <c r="C11" s="1" t="s">
        <v>249</v>
      </c>
      <c r="D11" s="7" t="s">
        <v>266</v>
      </c>
      <c r="E11" s="1" t="s">
        <v>267</v>
      </c>
      <c r="F11" s="11" t="n">
        <v>10.0957952959174</v>
      </c>
    </row>
    <row r="12" customFormat="false" ht="16.5" hidden="false" customHeight="true" outlineLevel="0" collapsed="false">
      <c r="A12" s="1" t="s">
        <v>268</v>
      </c>
      <c r="B12" s="1" t="s">
        <v>265</v>
      </c>
      <c r="C12" s="1" t="s">
        <v>253</v>
      </c>
      <c r="D12" s="7" t="s">
        <v>266</v>
      </c>
      <c r="E12" s="1" t="s">
        <v>267</v>
      </c>
      <c r="F12" s="11" t="n">
        <v>9.17098191725462</v>
      </c>
    </row>
    <row r="13" customFormat="false" ht="16.5" hidden="false" customHeight="true" outlineLevel="0" collapsed="false">
      <c r="A13" s="1" t="s">
        <v>269</v>
      </c>
      <c r="B13" s="1" t="s">
        <v>270</v>
      </c>
      <c r="C13" s="1" t="s">
        <v>249</v>
      </c>
      <c r="D13" s="7" t="s">
        <v>271</v>
      </c>
      <c r="E13" s="1" t="s">
        <v>172</v>
      </c>
      <c r="F13" s="11" t="n">
        <v>0.192289806873558</v>
      </c>
    </row>
    <row r="14" customFormat="false" ht="16.5" hidden="false" customHeight="true" outlineLevel="0" collapsed="false">
      <c r="A14" s="1" t="s">
        <v>272</v>
      </c>
      <c r="B14" s="1" t="s">
        <v>273</v>
      </c>
      <c r="C14" s="1" t="s">
        <v>249</v>
      </c>
      <c r="D14" s="7" t="s">
        <v>274</v>
      </c>
      <c r="E14" s="1" t="s">
        <v>172</v>
      </c>
      <c r="F14" s="11" t="n">
        <v>0.767139858927169</v>
      </c>
    </row>
    <row r="15" customFormat="false" ht="16.5" hidden="false" customHeight="true" outlineLevel="0" collapsed="false">
      <c r="A15" s="1" t="s">
        <v>275</v>
      </c>
      <c r="B15" s="1" t="s">
        <v>270</v>
      </c>
      <c r="C15" s="1" t="s">
        <v>253</v>
      </c>
      <c r="D15" s="7" t="s">
        <v>271</v>
      </c>
      <c r="E15" s="1" t="s">
        <v>172</v>
      </c>
      <c r="F15" s="11" t="n">
        <v>0.0372199275435518</v>
      </c>
    </row>
    <row r="16" customFormat="false" ht="16.5" hidden="false" customHeight="true" outlineLevel="0" collapsed="false">
      <c r="A16" s="1" t="s">
        <v>276</v>
      </c>
      <c r="B16" s="1" t="s">
        <v>273</v>
      </c>
      <c r="C16" s="1" t="s">
        <v>253</v>
      </c>
      <c r="D16" s="7" t="s">
        <v>274</v>
      </c>
      <c r="E16" s="1" t="s">
        <v>172</v>
      </c>
      <c r="F16" s="11" t="n">
        <v>0.138898055360943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2"/>
    <col collapsed="false" customWidth="true" hidden="false" outlineLevel="0" max="3" min="3" style="1" width="11"/>
    <col collapsed="false" customWidth="true" hidden="false" outlineLevel="0" max="9" min="4" style="1" width="9"/>
    <col collapsed="false" customWidth="true" hidden="false" outlineLevel="0" max="11" min="10" style="1" width="18"/>
    <col collapsed="false" customWidth="true" hidden="false" outlineLevel="0" max="12" min="12" style="1" width="16"/>
    <col collapsed="false" customWidth="true" hidden="false" outlineLevel="0" max="13" min="13" style="1" width="80"/>
  </cols>
  <sheetData>
    <row r="1" customFormat="false" ht="16.5" hidden="false" customHeight="true" outlineLevel="0" collapsed="false">
      <c r="A1" s="6" t="s">
        <v>277</v>
      </c>
    </row>
    <row r="2" customFormat="false" ht="16.5" hidden="false" customHeight="true" outlineLevel="0" collapsed="false">
      <c r="A2" s="7" t="s">
        <v>278</v>
      </c>
    </row>
    <row r="5" customFormat="false" ht="15" hidden="false" customHeight="true" outlineLevel="0" collapsed="false">
      <c r="A5" s="8" t="s">
        <v>27</v>
      </c>
      <c r="B5" s="9" t="s">
        <v>28</v>
      </c>
      <c r="C5" s="9" t="s">
        <v>30</v>
      </c>
      <c r="D5" s="8" t="s">
        <v>279</v>
      </c>
      <c r="E5" s="8" t="s">
        <v>181</v>
      </c>
      <c r="F5" s="8" t="s">
        <v>185</v>
      </c>
      <c r="G5" s="8" t="s">
        <v>188</v>
      </c>
      <c r="H5" s="8" t="s">
        <v>280</v>
      </c>
      <c r="I5" s="8" t="s">
        <v>281</v>
      </c>
      <c r="J5" s="9" t="s">
        <v>282</v>
      </c>
      <c r="K5" s="9" t="s">
        <v>283</v>
      </c>
      <c r="L5" s="9" t="s">
        <v>32</v>
      </c>
      <c r="M5" s="9" t="s">
        <v>246</v>
      </c>
    </row>
    <row r="6" customFormat="false" ht="15" hidden="false" customHeight="true" outlineLevel="0" collapsed="false">
      <c r="A6" s="1" t="s">
        <v>284</v>
      </c>
      <c r="B6" s="7" t="s">
        <v>285</v>
      </c>
      <c r="C6" s="1" t="s">
        <v>286</v>
      </c>
      <c r="D6" s="10" t="n">
        <v>7.78</v>
      </c>
      <c r="J6" s="10" t="n">
        <v>7.75</v>
      </c>
      <c r="K6" s="10" t="n">
        <v>7.85</v>
      </c>
      <c r="L6" s="1" t="s">
        <v>39</v>
      </c>
      <c r="M6" s="7" t="s">
        <v>287</v>
      </c>
    </row>
    <row r="7" customFormat="false" ht="16.5" hidden="false" customHeight="true" outlineLevel="0" collapsed="false">
      <c r="A7" s="1" t="s">
        <v>288</v>
      </c>
      <c r="B7" s="7" t="s">
        <v>289</v>
      </c>
      <c r="C7" s="1" t="s">
        <v>290</v>
      </c>
      <c r="D7" s="10" t="n">
        <v>12</v>
      </c>
      <c r="J7" s="10" t="n">
        <v>8</v>
      </c>
      <c r="K7" s="10" t="n">
        <v>20</v>
      </c>
      <c r="L7" s="1" t="s">
        <v>291</v>
      </c>
      <c r="M7" s="7" t="s">
        <v>292</v>
      </c>
    </row>
    <row r="8" customFormat="false" ht="15" hidden="false" customHeight="true" outlineLevel="0" collapsed="false">
      <c r="A8" s="1" t="s">
        <v>293</v>
      </c>
      <c r="B8" s="7" t="s">
        <v>294</v>
      </c>
      <c r="C8" s="7" t="s">
        <v>76</v>
      </c>
      <c r="D8" s="10" t="n">
        <v>0.9</v>
      </c>
      <c r="J8" s="10" t="n">
        <v>0.8</v>
      </c>
      <c r="K8" s="10" t="n">
        <v>0.95</v>
      </c>
      <c r="L8" s="1" t="s">
        <v>239</v>
      </c>
      <c r="M8" s="7" t="s">
        <v>295</v>
      </c>
    </row>
    <row r="9" customFormat="false" ht="16.5" hidden="false" customHeight="true" outlineLevel="0" collapsed="false">
      <c r="A9" s="1" t="s">
        <v>296</v>
      </c>
      <c r="B9" s="1" t="s">
        <v>297</v>
      </c>
      <c r="C9" s="7" t="s">
        <v>76</v>
      </c>
      <c r="D9" s="10" t="n">
        <v>0.6</v>
      </c>
      <c r="J9" s="10" t="n">
        <v>0.3</v>
      </c>
      <c r="K9" s="10" t="n">
        <v>0.9</v>
      </c>
      <c r="L9" s="1" t="s">
        <v>291</v>
      </c>
      <c r="M9" s="1" t="s">
        <v>298</v>
      </c>
    </row>
    <row r="10" customFormat="false" ht="16.5" hidden="false" customHeight="true" outlineLevel="0" collapsed="false">
      <c r="A10" s="1" t="s">
        <v>299</v>
      </c>
      <c r="B10" s="7" t="s">
        <v>300</v>
      </c>
      <c r="C10" s="7" t="s">
        <v>76</v>
      </c>
      <c r="D10" s="10" t="n">
        <v>1</v>
      </c>
      <c r="E10" s="10" t="n">
        <v>0.85</v>
      </c>
      <c r="F10" s="10" t="n">
        <v>0.65</v>
      </c>
      <c r="G10" s="10" t="n">
        <v>0.45</v>
      </c>
      <c r="H10" s="10" t="n">
        <v>0.3</v>
      </c>
      <c r="I10" s="10" t="n">
        <v>0.2</v>
      </c>
      <c r="J10" s="12" t="s">
        <v>301</v>
      </c>
      <c r="K10" s="12" t="s">
        <v>302</v>
      </c>
      <c r="L10" s="1" t="s">
        <v>239</v>
      </c>
      <c r="M10" s="7" t="s">
        <v>303</v>
      </c>
    </row>
    <row r="11" customFormat="false" ht="16.5" hidden="false" customHeight="true" outlineLevel="0" collapsed="false">
      <c r="A11" s="1" t="s">
        <v>304</v>
      </c>
      <c r="B11" s="7" t="s">
        <v>305</v>
      </c>
      <c r="C11" s="7" t="s">
        <v>167</v>
      </c>
      <c r="D11" s="10" t="n">
        <v>1</v>
      </c>
      <c r="E11" s="10" t="n">
        <v>2</v>
      </c>
      <c r="F11" s="10" t="n">
        <v>2.6</v>
      </c>
      <c r="G11" s="10" t="n">
        <v>3.38</v>
      </c>
      <c r="H11" s="10" t="n">
        <v>4.39</v>
      </c>
      <c r="I11" s="10" t="n">
        <v>5.71</v>
      </c>
      <c r="J11" s="10" t="s">
        <v>306</v>
      </c>
      <c r="K11" s="10" t="s">
        <v>307</v>
      </c>
      <c r="L11" s="1" t="s">
        <v>77</v>
      </c>
      <c r="M11" s="7" t="s">
        <v>308</v>
      </c>
    </row>
    <row r="12" customFormat="false" ht="16.5" hidden="false" customHeight="true" outlineLevel="0" collapsed="false">
      <c r="A12" s="1" t="s">
        <v>309</v>
      </c>
      <c r="B12" s="1" t="s">
        <v>310</v>
      </c>
      <c r="C12" s="1" t="s">
        <v>172</v>
      </c>
      <c r="D12" s="10" t="n">
        <v>0.4</v>
      </c>
      <c r="E12" s="10" t="n">
        <v>0.22</v>
      </c>
      <c r="J12" s="10" t="s">
        <v>311</v>
      </c>
      <c r="K12" s="10" t="s">
        <v>312</v>
      </c>
      <c r="L12" s="1" t="s">
        <v>291</v>
      </c>
      <c r="M12" s="1" t="s">
        <v>313</v>
      </c>
    </row>
    <row r="13" customFormat="false" ht="16.5" hidden="false" customHeight="true" outlineLevel="0" collapsed="false">
      <c r="A13" s="1" t="s">
        <v>314</v>
      </c>
      <c r="B13" s="1" t="s">
        <v>315</v>
      </c>
      <c r="C13" s="7" t="s">
        <v>76</v>
      </c>
      <c r="F13" s="10" t="n">
        <v>-0.35</v>
      </c>
      <c r="G13" s="10" t="n">
        <v>-0.25</v>
      </c>
      <c r="H13" s="10" t="n">
        <v>-0.2</v>
      </c>
      <c r="I13" s="10" t="n">
        <v>-0.15</v>
      </c>
      <c r="J13" s="12" t="s">
        <v>316</v>
      </c>
      <c r="K13" s="12" t="s">
        <v>317</v>
      </c>
      <c r="L13" s="1" t="s">
        <v>239</v>
      </c>
      <c r="M13" s="1" t="s">
        <v>318</v>
      </c>
    </row>
    <row r="14" customFormat="false" ht="16.5" hidden="false" customHeight="true" outlineLevel="0" collapsed="false">
      <c r="A14" s="1" t="s">
        <v>319</v>
      </c>
      <c r="B14" s="1" t="s">
        <v>320</v>
      </c>
      <c r="C14" s="7" t="s">
        <v>76</v>
      </c>
      <c r="F14" s="10" t="n">
        <v>2</v>
      </c>
      <c r="G14" s="10" t="n">
        <v>1</v>
      </c>
      <c r="H14" s="10" t="n">
        <v>0.6</v>
      </c>
      <c r="I14" s="10" t="n">
        <v>0.4</v>
      </c>
      <c r="J14" s="10" t="s">
        <v>321</v>
      </c>
      <c r="K14" s="10" t="s">
        <v>322</v>
      </c>
      <c r="L14" s="1" t="s">
        <v>239</v>
      </c>
      <c r="M14" s="1" t="s">
        <v>323</v>
      </c>
    </row>
    <row r="15" customFormat="false" ht="16.5" hidden="false" customHeight="true" outlineLevel="0" collapsed="false">
      <c r="A15" s="1" t="s">
        <v>324</v>
      </c>
      <c r="B15" s="1" t="s">
        <v>325</v>
      </c>
      <c r="C15" s="1" t="s">
        <v>326</v>
      </c>
      <c r="D15" s="10" t="n">
        <v>600</v>
      </c>
      <c r="J15" s="10" t="n">
        <v>350</v>
      </c>
      <c r="K15" s="10" t="n">
        <v>750</v>
      </c>
      <c r="L15" s="1" t="s">
        <v>77</v>
      </c>
      <c r="M15" s="7" t="s">
        <v>327</v>
      </c>
    </row>
    <row r="16" customFormat="false" ht="16.5" hidden="false" customHeight="true" outlineLevel="0" collapsed="false">
      <c r="A16" s="1" t="s">
        <v>328</v>
      </c>
      <c r="B16" s="1" t="s">
        <v>329</v>
      </c>
      <c r="C16" s="7" t="s">
        <v>167</v>
      </c>
      <c r="D16" s="10" t="n">
        <v>1.15</v>
      </c>
      <c r="J16" s="10" t="n">
        <v>0.95</v>
      </c>
      <c r="K16" s="10" t="n">
        <v>1.4</v>
      </c>
      <c r="L16" s="1" t="s">
        <v>239</v>
      </c>
      <c r="M16" s="1" t="s">
        <v>330</v>
      </c>
    </row>
    <row r="17" customFormat="false" ht="16.5" hidden="false" customHeight="true" outlineLevel="0" collapsed="false">
      <c r="A17" s="1" t="s">
        <v>331</v>
      </c>
      <c r="B17" s="7" t="s">
        <v>332</v>
      </c>
      <c r="C17" s="7" t="s">
        <v>76</v>
      </c>
      <c r="F17" s="10" t="n">
        <v>0.5</v>
      </c>
      <c r="G17" s="10" t="n">
        <v>0.35</v>
      </c>
      <c r="H17" s="10" t="n">
        <v>0.25</v>
      </c>
      <c r="I17" s="10" t="n">
        <v>0.2</v>
      </c>
      <c r="J17" s="12" t="s">
        <v>333</v>
      </c>
      <c r="K17" s="12" t="s">
        <v>334</v>
      </c>
      <c r="L17" s="1" t="s">
        <v>239</v>
      </c>
      <c r="M17" s="1" t="s">
        <v>335</v>
      </c>
    </row>
    <row r="18" customFormat="false" ht="16.5" hidden="false" customHeight="true" outlineLevel="0" collapsed="false">
      <c r="A18" s="1" t="s">
        <v>336</v>
      </c>
      <c r="B18" s="7" t="s">
        <v>337</v>
      </c>
      <c r="C18" s="7" t="s">
        <v>76</v>
      </c>
      <c r="E18" s="10" t="n">
        <v>0.85</v>
      </c>
      <c r="F18" s="10" t="n">
        <v>0.75</v>
      </c>
      <c r="G18" s="10" t="n">
        <v>0.68</v>
      </c>
      <c r="H18" s="10" t="n">
        <v>0.62</v>
      </c>
      <c r="I18" s="10" t="n">
        <v>0.55</v>
      </c>
      <c r="J18" s="12" t="s">
        <v>301</v>
      </c>
      <c r="K18" s="12" t="s">
        <v>302</v>
      </c>
      <c r="L18" s="1" t="s">
        <v>239</v>
      </c>
      <c r="M18" s="1" t="s">
        <v>338</v>
      </c>
    </row>
    <row r="19" customFormat="false" ht="16.5" hidden="false" customHeight="true" outlineLevel="0" collapsed="false">
      <c r="A19" s="1" t="s">
        <v>339</v>
      </c>
      <c r="B19" s="7" t="s">
        <v>340</v>
      </c>
      <c r="C19" s="7" t="s">
        <v>76</v>
      </c>
      <c r="D19" s="10" t="n">
        <v>0.05</v>
      </c>
      <c r="J19" s="10" t="n">
        <v>0.03</v>
      </c>
      <c r="K19" s="10" t="n">
        <v>0.08</v>
      </c>
      <c r="L19" s="1" t="s">
        <v>239</v>
      </c>
      <c r="M19" s="1" t="s">
        <v>341</v>
      </c>
    </row>
    <row r="20" customFormat="false" ht="16.5" hidden="false" customHeight="true" outlineLevel="0" collapsed="false">
      <c r="A20" s="1" t="s">
        <v>342</v>
      </c>
      <c r="B20" s="7" t="s">
        <v>343</v>
      </c>
      <c r="C20" s="7" t="s">
        <v>76</v>
      </c>
      <c r="D20" s="10" t="n">
        <v>0.75</v>
      </c>
      <c r="J20" s="10" t="n">
        <v>0.6</v>
      </c>
      <c r="K20" s="10" t="n">
        <v>0.85</v>
      </c>
      <c r="L20" s="1" t="s">
        <v>239</v>
      </c>
      <c r="M20" s="1" t="s">
        <v>344</v>
      </c>
    </row>
    <row r="21" customFormat="false" ht="16.5" hidden="false" customHeight="true" outlineLevel="0" collapsed="false">
      <c r="A21" s="1" t="s">
        <v>345</v>
      </c>
      <c r="B21" s="1" t="s">
        <v>346</v>
      </c>
      <c r="C21" s="7" t="s">
        <v>167</v>
      </c>
      <c r="D21" s="10" t="n">
        <v>1.2</v>
      </c>
      <c r="J21" s="10" t="n">
        <v>1</v>
      </c>
      <c r="K21" s="10" t="n">
        <v>1.5</v>
      </c>
      <c r="L21" s="1" t="s">
        <v>239</v>
      </c>
      <c r="M21" s="1" t="s">
        <v>347</v>
      </c>
    </row>
    <row r="22" customFormat="false" ht="16.5" hidden="false" customHeight="true" outlineLevel="0" collapsed="false">
      <c r="A22" s="1" t="s">
        <v>348</v>
      </c>
      <c r="B22" s="7" t="s">
        <v>349</v>
      </c>
      <c r="C22" s="7" t="s">
        <v>76</v>
      </c>
      <c r="F22" s="10" t="n">
        <v>0.8</v>
      </c>
      <c r="G22" s="10" t="n">
        <v>0.5</v>
      </c>
      <c r="H22" s="10" t="n">
        <v>0.35</v>
      </c>
      <c r="I22" s="10" t="n">
        <v>0.25</v>
      </c>
      <c r="J22" s="12" t="s">
        <v>333</v>
      </c>
      <c r="K22" s="12" t="s">
        <v>334</v>
      </c>
      <c r="L22" s="1" t="s">
        <v>239</v>
      </c>
      <c r="M22" s="7" t="s">
        <v>350</v>
      </c>
    </row>
    <row r="23" customFormat="false" ht="16.5" hidden="false" customHeight="true" outlineLevel="0" collapsed="false">
      <c r="A23" s="1" t="s">
        <v>351</v>
      </c>
      <c r="B23" s="7" t="s">
        <v>352</v>
      </c>
      <c r="C23" s="7" t="s">
        <v>116</v>
      </c>
      <c r="E23" s="10" t="n">
        <v>560</v>
      </c>
      <c r="F23" s="10" t="n">
        <v>750</v>
      </c>
      <c r="G23" s="10" t="n">
        <v>950</v>
      </c>
      <c r="H23" s="10" t="n">
        <v>1100</v>
      </c>
      <c r="I23" s="10" t="n">
        <v>1250</v>
      </c>
      <c r="J23" s="12" t="s">
        <v>353</v>
      </c>
      <c r="K23" s="12" t="s">
        <v>354</v>
      </c>
      <c r="L23" s="1" t="s">
        <v>239</v>
      </c>
      <c r="M23" s="1" t="s">
        <v>355</v>
      </c>
    </row>
    <row r="24" customFormat="false" ht="16.5" hidden="false" customHeight="true" outlineLevel="0" collapsed="false">
      <c r="A24" s="1" t="s">
        <v>356</v>
      </c>
      <c r="B24" s="7" t="s">
        <v>357</v>
      </c>
      <c r="C24" s="7" t="s">
        <v>76</v>
      </c>
      <c r="D24" s="10" t="n">
        <v>0.08</v>
      </c>
      <c r="J24" s="10" t="n">
        <v>0.03</v>
      </c>
      <c r="K24" s="10" t="n">
        <v>0.15</v>
      </c>
      <c r="L24" s="1" t="s">
        <v>239</v>
      </c>
      <c r="M24" s="1" t="s">
        <v>358</v>
      </c>
    </row>
    <row r="25" customFormat="false" ht="16.5" hidden="false" customHeight="true" outlineLevel="0" collapsed="false">
      <c r="A25" s="1" t="s">
        <v>359</v>
      </c>
      <c r="B25" s="7" t="s">
        <v>360</v>
      </c>
      <c r="C25" s="7" t="s">
        <v>76</v>
      </c>
      <c r="E25" s="10" t="n">
        <v>0.35</v>
      </c>
      <c r="F25" s="10" t="n">
        <v>0.25</v>
      </c>
      <c r="G25" s="10" t="n">
        <v>0.2</v>
      </c>
      <c r="H25" s="10" t="n">
        <v>0.17</v>
      </c>
      <c r="I25" s="10" t="n">
        <v>0.15</v>
      </c>
      <c r="J25" s="12" t="s">
        <v>361</v>
      </c>
      <c r="K25" s="12" t="s">
        <v>354</v>
      </c>
      <c r="L25" s="1" t="s">
        <v>239</v>
      </c>
      <c r="M25" s="1" t="s">
        <v>362</v>
      </c>
    </row>
    <row r="26" customFormat="false" ht="16.5" hidden="false" customHeight="true" outlineLevel="0" collapsed="false">
      <c r="A26" s="1" t="s">
        <v>363</v>
      </c>
      <c r="B26" s="7" t="s">
        <v>364</v>
      </c>
      <c r="C26" s="7" t="s">
        <v>76</v>
      </c>
      <c r="D26" s="10" t="n">
        <v>0.03</v>
      </c>
      <c r="J26" s="10" t="n">
        <v>0.02</v>
      </c>
      <c r="K26" s="10" t="n">
        <v>0.04</v>
      </c>
      <c r="L26" s="1" t="s">
        <v>239</v>
      </c>
      <c r="M26" s="1" t="s">
        <v>365</v>
      </c>
    </row>
    <row r="27" customFormat="false" ht="16.5" hidden="false" customHeight="true" outlineLevel="0" collapsed="false">
      <c r="A27" s="1" t="s">
        <v>366</v>
      </c>
      <c r="B27" s="7" t="s">
        <v>367</v>
      </c>
      <c r="C27" s="1" t="s">
        <v>38</v>
      </c>
      <c r="E27" s="10" t="n">
        <v>322</v>
      </c>
      <c r="F27" s="10" t="n">
        <v>0</v>
      </c>
      <c r="G27" s="10" t="n">
        <v>0</v>
      </c>
      <c r="H27" s="10" t="n">
        <v>0</v>
      </c>
      <c r="I27" s="10" t="n">
        <v>0</v>
      </c>
      <c r="J27" s="10" t="s">
        <v>368</v>
      </c>
      <c r="K27" s="10" t="s">
        <v>369</v>
      </c>
      <c r="L27" s="1" t="s">
        <v>239</v>
      </c>
      <c r="M27" s="1" t="s">
        <v>370</v>
      </c>
    </row>
    <row r="28" customFormat="false" ht="16.5" hidden="false" customHeight="true" outlineLevel="0" collapsed="false">
      <c r="A28" s="1" t="s">
        <v>371</v>
      </c>
      <c r="B28" s="7" t="s">
        <v>372</v>
      </c>
      <c r="C28" s="7" t="s">
        <v>76</v>
      </c>
      <c r="D28" s="10" t="n">
        <v>0</v>
      </c>
      <c r="J28" s="10" t="n">
        <v>0</v>
      </c>
      <c r="K28" s="10" t="n">
        <v>1</v>
      </c>
      <c r="L28" s="1" t="s">
        <v>239</v>
      </c>
      <c r="M28" s="7" t="s">
        <v>373</v>
      </c>
    </row>
    <row r="29" customFormat="false" ht="15" hidden="false" customHeight="true" outlineLevel="0" collapsed="false">
      <c r="A29" s="1" t="s">
        <v>374</v>
      </c>
      <c r="B29" s="7" t="s">
        <v>375</v>
      </c>
      <c r="C29" s="1" t="s">
        <v>38</v>
      </c>
      <c r="D29" s="10" t="n">
        <v>300</v>
      </c>
      <c r="J29" s="10" t="n">
        <v>200</v>
      </c>
      <c r="K29" s="10" t="n">
        <v>500</v>
      </c>
      <c r="L29" s="1" t="s">
        <v>239</v>
      </c>
      <c r="M29" s="7" t="s">
        <v>376</v>
      </c>
    </row>
    <row r="30" customFormat="false" ht="16.5" hidden="false" customHeight="true" outlineLevel="0" collapsed="false">
      <c r="A30" s="1" t="s">
        <v>377</v>
      </c>
      <c r="B30" s="7" t="s">
        <v>378</v>
      </c>
      <c r="C30" s="7" t="s">
        <v>76</v>
      </c>
      <c r="D30" s="10" t="n">
        <v>0.1</v>
      </c>
      <c r="J30" s="10" t="n">
        <v>0.05</v>
      </c>
      <c r="K30" s="10" t="n">
        <v>0.2</v>
      </c>
      <c r="L30" s="1" t="s">
        <v>291</v>
      </c>
      <c r="M30" s="1" t="s">
        <v>379</v>
      </c>
    </row>
    <row r="31" customFormat="false" ht="16.5" hidden="false" customHeight="true" outlineLevel="0" collapsed="false">
      <c r="A31" s="1" t="s">
        <v>380</v>
      </c>
      <c r="B31" s="1" t="s">
        <v>381</v>
      </c>
      <c r="C31" s="1" t="s">
        <v>382</v>
      </c>
      <c r="D31" s="10" t="n">
        <v>1.4</v>
      </c>
      <c r="J31" s="10" t="n">
        <v>1.2</v>
      </c>
      <c r="K31" s="10" t="n">
        <v>1.7</v>
      </c>
      <c r="L31" s="1" t="s">
        <v>291</v>
      </c>
      <c r="M31" s="7" t="s">
        <v>383</v>
      </c>
    </row>
    <row r="32" customFormat="false" ht="16.5" hidden="false" customHeight="true" outlineLevel="0" collapsed="false">
      <c r="A32" s="1" t="s">
        <v>384</v>
      </c>
      <c r="B32" s="1" t="s">
        <v>385</v>
      </c>
      <c r="C32" s="7" t="s">
        <v>167</v>
      </c>
      <c r="D32" s="10" t="n">
        <v>1.3</v>
      </c>
      <c r="J32" s="10" t="n">
        <v>1</v>
      </c>
      <c r="K32" s="10" t="n">
        <v>2</v>
      </c>
      <c r="L32" s="1" t="s">
        <v>77</v>
      </c>
      <c r="M32" s="7" t="s">
        <v>386</v>
      </c>
    </row>
    <row r="33" customFormat="false" ht="16.5" hidden="false" customHeight="true" outlineLevel="0" collapsed="false">
      <c r="A33" s="1" t="s">
        <v>387</v>
      </c>
      <c r="B33" s="7" t="s">
        <v>388</v>
      </c>
      <c r="C33" s="7" t="s">
        <v>167</v>
      </c>
      <c r="D33" s="10" t="n">
        <v>8</v>
      </c>
      <c r="J33" s="10" t="n">
        <v>5</v>
      </c>
      <c r="K33" s="10" t="n">
        <v>12</v>
      </c>
      <c r="L33" s="1" t="s">
        <v>239</v>
      </c>
      <c r="M33" s="7" t="s">
        <v>389</v>
      </c>
    </row>
    <row r="34" customFormat="false" ht="15" hidden="false" customHeight="true" outlineLevel="0" collapsed="false">
      <c r="A34" s="1" t="s">
        <v>390</v>
      </c>
      <c r="B34" s="7" t="s">
        <v>391</v>
      </c>
      <c r="C34" s="7" t="s">
        <v>76</v>
      </c>
      <c r="D34" s="10" t="n">
        <v>0.12</v>
      </c>
      <c r="J34" s="10" t="n">
        <v>0.1</v>
      </c>
      <c r="K34" s="10" t="n">
        <v>0.15</v>
      </c>
      <c r="L34" s="1" t="s">
        <v>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8"/>
    <col collapsed="false" customWidth="true" hidden="false" outlineLevel="0" max="9" min="3" style="1" width="11"/>
    <col collapsed="false" customWidth="true" hidden="false" outlineLevel="0" max="10" min="10" style="1" width="70"/>
  </cols>
  <sheetData>
    <row r="1" customFormat="false" ht="18.75" hidden="false" customHeight="true" outlineLevel="0" collapsed="false">
      <c r="A1" s="13" t="s">
        <v>392</v>
      </c>
    </row>
    <row r="2" customFormat="false" ht="16.5" hidden="false" customHeight="true" outlineLevel="0" collapsed="false">
      <c r="A2" s="7" t="s">
        <v>393</v>
      </c>
    </row>
    <row r="4" customFormat="false" ht="15" hidden="false" customHeight="true" outlineLevel="0" collapsed="false">
      <c r="A4" s="8" t="s">
        <v>27</v>
      </c>
      <c r="B4" s="9" t="s">
        <v>28</v>
      </c>
      <c r="C4" s="9" t="s">
        <v>30</v>
      </c>
      <c r="D4" s="8" t="s">
        <v>43</v>
      </c>
      <c r="E4" s="8" t="s">
        <v>394</v>
      </c>
      <c r="F4" s="8" t="s">
        <v>395</v>
      </c>
      <c r="G4" s="8" t="s">
        <v>396</v>
      </c>
      <c r="H4" s="8" t="s">
        <v>397</v>
      </c>
      <c r="I4" s="8" t="s">
        <v>398</v>
      </c>
      <c r="J4" s="9" t="s">
        <v>246</v>
      </c>
    </row>
    <row r="5" customFormat="false" ht="15" hidden="false" customHeight="true" outlineLevel="0" collapsed="false">
      <c r="B5" s="7" t="s">
        <v>399</v>
      </c>
      <c r="D5" s="1" t="n">
        <v>2025</v>
      </c>
      <c r="E5" s="1" t="n">
        <v>2026</v>
      </c>
      <c r="F5" s="1" t="n">
        <v>2027</v>
      </c>
      <c r="G5" s="1" t="n">
        <v>2028</v>
      </c>
      <c r="H5" s="1" t="n">
        <v>2029</v>
      </c>
      <c r="I5" s="1" t="n">
        <v>2030</v>
      </c>
    </row>
    <row r="6" customFormat="false" ht="16.5" hidden="false" customHeight="true" outlineLevel="0" collapsed="false">
      <c r="A6" s="14" t="s">
        <v>400</v>
      </c>
      <c r="B6" s="15"/>
      <c r="C6" s="15"/>
      <c r="D6" s="15"/>
      <c r="E6" s="15"/>
      <c r="F6" s="15"/>
      <c r="G6" s="15"/>
      <c r="H6" s="15"/>
      <c r="I6" s="15"/>
      <c r="J6" s="15"/>
    </row>
    <row r="7" customFormat="false" ht="16.5" hidden="false" customHeight="true" outlineLevel="0" collapsed="false">
      <c r="A7" s="1" t="s">
        <v>401</v>
      </c>
      <c r="B7" s="1" t="s">
        <v>402</v>
      </c>
      <c r="C7" s="1" t="s">
        <v>172</v>
      </c>
      <c r="D7" s="16" t="n">
        <f aca="false">Inputs!$D$12</f>
        <v>0.4</v>
      </c>
      <c r="E7" s="16" t="n">
        <f aca="false">Inputs!$E$12</f>
        <v>0.22</v>
      </c>
      <c r="F7" s="16" t="n">
        <f aca="false">E7*(1+Inputs!$F$13)</f>
        <v>0.143</v>
      </c>
      <c r="G7" s="16" t="n">
        <f aca="false">F7*(1+Inputs!$G$13)</f>
        <v>0.10725</v>
      </c>
      <c r="H7" s="16" t="n">
        <f aca="false">G7*(1+Inputs!$H$13)</f>
        <v>0.0858</v>
      </c>
      <c r="I7" s="16" t="n">
        <f aca="false">H7*(1+Inputs!$I$13)</f>
        <v>0.07293</v>
      </c>
      <c r="J7" s="1" t="s">
        <v>403</v>
      </c>
    </row>
    <row r="8" customFormat="false" ht="16.5" hidden="false" customHeight="true" outlineLevel="0" collapsed="false">
      <c r="A8" s="1" t="s">
        <v>404</v>
      </c>
      <c r="B8" s="1" t="s">
        <v>405</v>
      </c>
      <c r="C8" s="7" t="s">
        <v>76</v>
      </c>
      <c r="E8" s="17" t="n">
        <f aca="false">E7/D7-1</f>
        <v>-0.45</v>
      </c>
      <c r="F8" s="17" t="n">
        <f aca="false">F7/E7-1</f>
        <v>-0.35</v>
      </c>
      <c r="G8" s="17" t="n">
        <f aca="false">G7/F7-1</f>
        <v>-0.25</v>
      </c>
      <c r="H8" s="17" t="n">
        <f aca="false">H7/G7-1</f>
        <v>-0.2</v>
      </c>
      <c r="I8" s="17" t="n">
        <f aca="false">I7/H7-1</f>
        <v>-0.15</v>
      </c>
    </row>
    <row r="9" customFormat="false" ht="16.5" hidden="false" customHeight="true" outlineLevel="0" collapsed="false">
      <c r="A9" s="14" t="s">
        <v>406</v>
      </c>
      <c r="B9" s="15"/>
      <c r="C9" s="15"/>
      <c r="D9" s="15"/>
      <c r="E9" s="15"/>
      <c r="F9" s="15"/>
      <c r="G9" s="15"/>
      <c r="H9" s="15"/>
      <c r="I9" s="15"/>
      <c r="J9" s="15"/>
    </row>
    <row r="10" customFormat="false" ht="16.5" hidden="false" customHeight="true" outlineLevel="0" collapsed="false">
      <c r="A10" s="1" t="s">
        <v>407</v>
      </c>
      <c r="B10" s="1" t="s">
        <v>408</v>
      </c>
      <c r="C10" s="1" t="s">
        <v>409</v>
      </c>
      <c r="D10" s="18" t="n">
        <f aca="false">Revenue!$D$7/D7</f>
        <v>65</v>
      </c>
      <c r="E10" s="18" t="n">
        <f aca="false">Revenue!$E$7/E7</f>
        <v>1699.54545454545</v>
      </c>
      <c r="F10" s="18" t="n">
        <f aca="false">E10*(1+Inputs!$F$14)</f>
        <v>5098.63636363636</v>
      </c>
      <c r="G10" s="18" t="n">
        <f aca="false">F10*(1+Inputs!$G$14)</f>
        <v>10197.2727272727</v>
      </c>
      <c r="H10" s="18" t="n">
        <f aca="false">G10*(1+Inputs!$H$14)</f>
        <v>16315.6363636364</v>
      </c>
      <c r="I10" s="18" t="n">
        <f aca="false">H10*(1+Inputs!$I$14)</f>
        <v>22841.8909090909</v>
      </c>
      <c r="J10" s="1" t="s">
        <v>410</v>
      </c>
    </row>
    <row r="11" customFormat="false" ht="16.5" hidden="false" customHeight="true" outlineLevel="0" collapsed="false">
      <c r="A11" s="1" t="s">
        <v>411</v>
      </c>
      <c r="B11" s="1" t="s">
        <v>412</v>
      </c>
      <c r="C11" s="1" t="s">
        <v>413</v>
      </c>
      <c r="D11" s="19" t="n">
        <f aca="false">D10/365</f>
        <v>0.178082191780822</v>
      </c>
      <c r="E11" s="19" t="n">
        <f aca="false">E10/365</f>
        <v>4.65628891656289</v>
      </c>
      <c r="F11" s="19" t="n">
        <f aca="false">F10/365</f>
        <v>13.9688667496887</v>
      </c>
      <c r="G11" s="19" t="n">
        <f aca="false">G10/365</f>
        <v>27.9377334993773</v>
      </c>
      <c r="H11" s="19" t="n">
        <f aca="false">H10/365</f>
        <v>44.7003735990037</v>
      </c>
      <c r="I11" s="19" t="n">
        <f aca="false">I10/365</f>
        <v>62.5805230386052</v>
      </c>
    </row>
    <row r="12" customFormat="false" ht="16.5" hidden="false" customHeight="true" outlineLevel="0" collapsed="false">
      <c r="A12" s="1" t="s">
        <v>414</v>
      </c>
      <c r="B12" s="1" t="s">
        <v>415</v>
      </c>
      <c r="C12" s="7" t="s">
        <v>76</v>
      </c>
      <c r="E12" s="17" t="n">
        <f aca="false">E10/D10-1</f>
        <v>25.1468531468531</v>
      </c>
      <c r="F12" s="17" t="n">
        <f aca="false">F10/E10-1</f>
        <v>2</v>
      </c>
      <c r="G12" s="17" t="n">
        <f aca="false">G10/F10-1</f>
        <v>1</v>
      </c>
      <c r="H12" s="17" t="n">
        <f aca="false">H10/G10-1</f>
        <v>0.6</v>
      </c>
      <c r="I12" s="17" t="n">
        <f aca="false">I10/H10-1</f>
        <v>0.4</v>
      </c>
    </row>
    <row r="13" customFormat="false" ht="15" hidden="false" customHeight="true" outlineLevel="0" collapsed="false">
      <c r="A13" s="14" t="s">
        <v>416</v>
      </c>
      <c r="B13" s="15"/>
      <c r="C13" s="15"/>
      <c r="D13" s="15"/>
      <c r="E13" s="15"/>
      <c r="F13" s="15"/>
      <c r="G13" s="15"/>
      <c r="H13" s="15"/>
      <c r="I13" s="15"/>
      <c r="J13" s="15"/>
    </row>
    <row r="14" customFormat="false" ht="16.5" hidden="false" customHeight="true" outlineLevel="0" collapsed="false">
      <c r="A14" s="1" t="s">
        <v>417</v>
      </c>
      <c r="B14" s="1" t="s">
        <v>418</v>
      </c>
      <c r="C14" s="7" t="s">
        <v>167</v>
      </c>
      <c r="E14" s="20" t="n">
        <f aca="false">E10/D10</f>
        <v>26.1468531468531</v>
      </c>
    </row>
    <row r="15" customFormat="false" ht="16.5" hidden="false" customHeight="true" outlineLevel="0" collapsed="false">
      <c r="A15" s="1" t="s">
        <v>419</v>
      </c>
      <c r="B15" s="7" t="s">
        <v>420</v>
      </c>
      <c r="C15" s="7" t="s">
        <v>167</v>
      </c>
      <c r="E15" s="21" t="n">
        <f aca="false">SRC_MM!$E$59</f>
        <v>20</v>
      </c>
      <c r="J15" s="7" t="s">
        <v>421</v>
      </c>
    </row>
    <row r="16" customFormat="false" ht="16.5" hidden="false" customHeight="true" outlineLevel="0" collapsed="false">
      <c r="A16" s="1" t="s">
        <v>422</v>
      </c>
      <c r="B16" s="7" t="s">
        <v>423</v>
      </c>
      <c r="C16" s="1" t="s">
        <v>326</v>
      </c>
      <c r="E16" s="18" t="n">
        <f aca="false">SRC_MM!$E$57*SRC_MM!$E$58</f>
        <v>640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8"/>
    <col collapsed="false" customWidth="true" hidden="false" outlineLevel="0" max="9" min="3" style="1" width="11"/>
    <col collapsed="false" customWidth="true" hidden="false" outlineLevel="0" max="10" min="10" style="1" width="70"/>
  </cols>
  <sheetData>
    <row r="1" customFormat="false" ht="18.75" hidden="false" customHeight="true" outlineLevel="0" collapsed="false">
      <c r="A1" s="13" t="s">
        <v>424</v>
      </c>
    </row>
    <row r="2" customFormat="false" ht="16.5" hidden="false" customHeight="true" outlineLevel="0" collapsed="false">
      <c r="A2" s="7" t="s">
        <v>393</v>
      </c>
    </row>
    <row r="4" customFormat="false" ht="15" hidden="false" customHeight="true" outlineLevel="0" collapsed="false">
      <c r="A4" s="8" t="s">
        <v>27</v>
      </c>
      <c r="B4" s="9" t="s">
        <v>28</v>
      </c>
      <c r="C4" s="9" t="s">
        <v>30</v>
      </c>
      <c r="D4" s="8" t="s">
        <v>43</v>
      </c>
      <c r="E4" s="8" t="s">
        <v>394</v>
      </c>
      <c r="F4" s="8" t="s">
        <v>395</v>
      </c>
      <c r="G4" s="8" t="s">
        <v>396</v>
      </c>
      <c r="H4" s="8" t="s">
        <v>397</v>
      </c>
      <c r="I4" s="8" t="s">
        <v>398</v>
      </c>
      <c r="J4" s="9" t="s">
        <v>246</v>
      </c>
    </row>
    <row r="5" customFormat="false" ht="15" hidden="false" customHeight="true" outlineLevel="0" collapsed="false">
      <c r="B5" s="7" t="s">
        <v>399</v>
      </c>
      <c r="D5" s="1" t="n">
        <v>2025</v>
      </c>
      <c r="E5" s="1" t="n">
        <v>2026</v>
      </c>
      <c r="F5" s="1" t="n">
        <v>2027</v>
      </c>
      <c r="G5" s="1" t="n">
        <v>2028</v>
      </c>
      <c r="H5" s="1" t="n">
        <v>2029</v>
      </c>
      <c r="I5" s="1" t="n">
        <v>2030</v>
      </c>
    </row>
    <row r="6" customFormat="false" ht="16.5" hidden="false" customHeight="true" outlineLevel="0" collapsed="false">
      <c r="A6" s="14" t="s">
        <v>425</v>
      </c>
      <c r="B6" s="15"/>
      <c r="C6" s="15"/>
      <c r="D6" s="15"/>
      <c r="E6" s="15"/>
      <c r="F6" s="15"/>
      <c r="G6" s="15"/>
      <c r="H6" s="15"/>
      <c r="I6" s="15"/>
      <c r="J6" s="15"/>
    </row>
    <row r="7" customFormat="false" ht="16.5" hidden="false" customHeight="true" outlineLevel="0" collapsed="false">
      <c r="A7" s="1" t="s">
        <v>426</v>
      </c>
      <c r="B7" s="7" t="s">
        <v>427</v>
      </c>
      <c r="C7" s="1" t="s">
        <v>38</v>
      </c>
      <c r="D7" s="18" t="n">
        <f aca="false">SRC_MM!$E$10</f>
        <v>26</v>
      </c>
      <c r="E7" s="18" t="n">
        <f aca="false">SRC_MM!$E$12+Inputs!$D$15/2</f>
        <v>373.9</v>
      </c>
      <c r="F7" s="18" t="n">
        <f aca="false">Demand!$F$10*Demand!$F$7</f>
        <v>729.105</v>
      </c>
      <c r="G7" s="18" t="n">
        <f aca="false">Demand!$G$10*Demand!$G$7</f>
        <v>1093.6575</v>
      </c>
      <c r="H7" s="18" t="n">
        <f aca="false">Demand!$H$10*Demand!$H$7</f>
        <v>1399.8816</v>
      </c>
      <c r="I7" s="18" t="n">
        <f aca="false">Demand!$I$10*Demand!$I$7</f>
        <v>1665.859104</v>
      </c>
      <c r="J7" s="1" t="s">
        <v>428</v>
      </c>
    </row>
    <row r="8" customFormat="false" ht="16.5" hidden="false" customHeight="true" outlineLevel="0" collapsed="false">
      <c r="A8" s="14" t="s">
        <v>429</v>
      </c>
      <c r="B8" s="15"/>
      <c r="C8" s="15"/>
      <c r="D8" s="15"/>
      <c r="E8" s="15"/>
      <c r="F8" s="15"/>
      <c r="G8" s="15"/>
      <c r="H8" s="15"/>
      <c r="I8" s="15"/>
      <c r="J8" s="15"/>
    </row>
    <row r="9" customFormat="false" ht="15" hidden="false" customHeight="true" outlineLevel="0" collapsed="false">
      <c r="A9" s="1" t="s">
        <v>430</v>
      </c>
      <c r="B9" s="7" t="s">
        <v>431</v>
      </c>
      <c r="C9" s="1" t="s">
        <v>38</v>
      </c>
      <c r="D9" s="18" t="n">
        <f aca="false">SRC_MM!$E$9</f>
        <v>53.1</v>
      </c>
      <c r="E9" s="18" t="n">
        <f aca="false">SRC_MM!$E$11*(1+Inputs!$D$16)</f>
        <v>91.59</v>
      </c>
      <c r="F9" s="18" t="n">
        <f aca="false">E9*(1+Inputs!$F$17)</f>
        <v>137.385</v>
      </c>
      <c r="G9" s="18" t="n">
        <f aca="false">F9*(1+Inputs!$G$17)</f>
        <v>185.46975</v>
      </c>
      <c r="H9" s="18" t="n">
        <f aca="false">G9*(1+Inputs!$H$17)</f>
        <v>231.8371875</v>
      </c>
      <c r="I9" s="18" t="n">
        <f aca="false">H9*(1+Inputs!$I$17)</f>
        <v>278.204625</v>
      </c>
    </row>
    <row r="10" customFormat="false" ht="16.5" hidden="false" customHeight="true" outlineLevel="0" collapsed="false">
      <c r="A10" s="1" t="s">
        <v>432</v>
      </c>
      <c r="B10" s="7" t="s">
        <v>433</v>
      </c>
      <c r="C10" s="1" t="s">
        <v>38</v>
      </c>
      <c r="D10" s="18" t="n">
        <f aca="false">D9*SRC_MM!$E$15/SRC_MM!$E$13</f>
        <v>26.1868753287743</v>
      </c>
      <c r="E10" s="18" t="n">
        <f aca="false">E9*SRC_MM!$E$15/SRC_MM!$E$13</f>
        <v>45.1686612309311</v>
      </c>
      <c r="F10" s="18" t="n">
        <f aca="false">F9*SRC_MM!$E$15/SRC_MM!$E$13</f>
        <v>67.7529918463966</v>
      </c>
      <c r="G10" s="18" t="n">
        <f aca="false">G9*SRC_MM!$E$15/SRC_MM!$E$13</f>
        <v>91.4665389926355</v>
      </c>
      <c r="H10" s="18" t="n">
        <f aca="false">H9*SRC_MM!$E$15/SRC_MM!$E$13</f>
        <v>114.333173740794</v>
      </c>
      <c r="I10" s="18" t="n">
        <f aca="false">I9*SRC_MM!$E$15/SRC_MM!$E$13</f>
        <v>137.199808488953</v>
      </c>
      <c r="J10" s="7" t="s">
        <v>434</v>
      </c>
    </row>
    <row r="11" customFormat="false" ht="16.5" hidden="false" customHeight="true" outlineLevel="0" collapsed="false">
      <c r="A11" s="1" t="s">
        <v>435</v>
      </c>
      <c r="B11" s="7" t="s">
        <v>436</v>
      </c>
      <c r="C11" s="1" t="s">
        <v>38</v>
      </c>
      <c r="D11" s="18" t="n">
        <f aca="false">D9*SRC_MM!$E$16/SRC_MM!$E$13</f>
        <v>24.3908048395581</v>
      </c>
      <c r="E11" s="18" t="n">
        <f aca="false">E9*SRC_MM!$E$16/SRC_MM!$E$13</f>
        <v>42.0706933193056</v>
      </c>
      <c r="F11" s="18" t="n">
        <f aca="false">F9*SRC_MM!$E$16/SRC_MM!$E$13</f>
        <v>63.1060399789584</v>
      </c>
      <c r="G11" s="18" t="n">
        <f aca="false">G9*SRC_MM!$E$16/SRC_MM!$E$13</f>
        <v>85.1931539715939</v>
      </c>
      <c r="H11" s="18" t="n">
        <f aca="false">H9*SRC_MM!$E$16/SRC_MM!$E$13</f>
        <v>106.491442464492</v>
      </c>
      <c r="I11" s="18" t="n">
        <f aca="false">I9*SRC_MM!$E$16/SRC_MM!$E$13</f>
        <v>127.789730957391</v>
      </c>
    </row>
    <row r="12" customFormat="false" ht="16.5" hidden="false" customHeight="true" outlineLevel="0" collapsed="false">
      <c r="A12" s="1" t="s">
        <v>437</v>
      </c>
      <c r="B12" s="7" t="s">
        <v>438</v>
      </c>
      <c r="C12" s="1" t="s">
        <v>38</v>
      </c>
      <c r="D12" s="18" t="n">
        <f aca="false">D9*SRC_MM!$E$17/SRC_MM!$E$13</f>
        <v>2.52231983166754</v>
      </c>
      <c r="E12" s="18" t="n">
        <f aca="false">E9*SRC_MM!$E$17/SRC_MM!$E$13</f>
        <v>4.35064544976328</v>
      </c>
      <c r="F12" s="18" t="n">
        <f aca="false">F9*SRC_MM!$E$17/SRC_MM!$E$13</f>
        <v>6.52596817464492</v>
      </c>
      <c r="G12" s="18" t="n">
        <f aca="false">G9*SRC_MM!$E$17/SRC_MM!$E$13</f>
        <v>8.81005703577065</v>
      </c>
      <c r="H12" s="18" t="n">
        <f aca="false">H9*SRC_MM!$E$17/SRC_MM!$E$13</f>
        <v>11.0125712947133</v>
      </c>
      <c r="I12" s="18" t="n">
        <f aca="false">I9*SRC_MM!$E$17/SRC_MM!$E$13</f>
        <v>13.215085553656</v>
      </c>
    </row>
    <row r="13" customFormat="false" ht="16.5" hidden="false" customHeight="true" outlineLevel="0" collapsed="false">
      <c r="A13" s="1" t="s">
        <v>439</v>
      </c>
      <c r="B13" s="7" t="s">
        <v>440</v>
      </c>
      <c r="C13" s="1" t="s">
        <v>38</v>
      </c>
      <c r="D13" s="18" t="n">
        <f aca="false">D9*SRC_MM!$E$18/SRC_MM!$E$13</f>
        <v>15.6255339295108</v>
      </c>
      <c r="E13" s="18" t="n">
        <f aca="false">E9*SRC_MM!$E$18/SRC_MM!$E$13</f>
        <v>26.9518390320884</v>
      </c>
      <c r="F13" s="18" t="n">
        <f aca="false">F9*SRC_MM!$E$18/SRC_MM!$E$13</f>
        <v>40.4277585481326</v>
      </c>
      <c r="G13" s="18" t="n">
        <f aca="false">G9*SRC_MM!$E$18/SRC_MM!$E$13</f>
        <v>54.577474039979</v>
      </c>
      <c r="H13" s="18" t="n">
        <f aca="false">H9*SRC_MM!$E$18/SRC_MM!$E$13</f>
        <v>68.2218425499737</v>
      </c>
      <c r="I13" s="18" t="n">
        <f aca="false">I9*SRC_MM!$E$18/SRC_MM!$E$13</f>
        <v>81.8662110599684</v>
      </c>
      <c r="J13" s="7" t="s">
        <v>441</v>
      </c>
    </row>
    <row r="14" customFormat="false" ht="16.5" hidden="false" customHeight="true" outlineLevel="0" collapsed="false">
      <c r="A14" s="1" t="s">
        <v>442</v>
      </c>
      <c r="B14" s="7" t="s">
        <v>443</v>
      </c>
      <c r="C14" s="1" t="s">
        <v>38</v>
      </c>
      <c r="D14" s="18" t="n">
        <f aca="false">D9*SRC_MM!$E$19/SRC_MM!$E$13</f>
        <v>30.9452051551815</v>
      </c>
      <c r="E14" s="18" t="n">
        <f aca="false">E9*SRC_MM!$E$19/SRC_MM!$E$13</f>
        <v>53.3761081009995</v>
      </c>
      <c r="F14" s="18" t="n">
        <f aca="false">F9*SRC_MM!$E$19/SRC_MM!$E$13</f>
        <v>80.0641621514992</v>
      </c>
      <c r="G14" s="18" t="n">
        <f aca="false">G9*SRC_MM!$E$19/SRC_MM!$E$13</f>
        <v>108.086618904524</v>
      </c>
      <c r="H14" s="18" t="n">
        <f aca="false">H9*SRC_MM!$E$19/SRC_MM!$E$13</f>
        <v>135.108273630655</v>
      </c>
      <c r="I14" s="18" t="n">
        <f aca="false">I9*SRC_MM!$E$19/SRC_MM!$E$13</f>
        <v>162.129928356786</v>
      </c>
      <c r="J14" s="7" t="s">
        <v>444</v>
      </c>
    </row>
    <row r="15" customFormat="false" ht="16.5" hidden="false" customHeight="true" outlineLevel="0" collapsed="false">
      <c r="A15" s="1" t="s">
        <v>445</v>
      </c>
      <c r="B15" s="7" t="s">
        <v>446</v>
      </c>
      <c r="C15" s="1" t="s">
        <v>38</v>
      </c>
      <c r="D15" s="18" t="n">
        <f aca="false">D9*SRC_MM!$E$20/SRC_MM!$E$13</f>
        <v>6.52926091530773</v>
      </c>
      <c r="E15" s="18" t="n">
        <f aca="false">E9*SRC_MM!$E$20/SRC_MM!$E$13</f>
        <v>11.2620528669122</v>
      </c>
      <c r="F15" s="18" t="n">
        <f aca="false">F9*SRC_MM!$E$20/SRC_MM!$E$13</f>
        <v>16.8930793003682</v>
      </c>
      <c r="G15" s="18" t="n">
        <f aca="false">G9*SRC_MM!$E$20/SRC_MM!$E$13</f>
        <v>22.8056570554971</v>
      </c>
      <c r="H15" s="18" t="n">
        <f aca="false">H9*SRC_MM!$E$20/SRC_MM!$E$13</f>
        <v>28.5070713193714</v>
      </c>
      <c r="I15" s="18" t="n">
        <f aca="false">I9*SRC_MM!$E$20/SRC_MM!$E$13</f>
        <v>34.2084855832457</v>
      </c>
    </row>
    <row r="16" customFormat="false" ht="15" hidden="false" customHeight="true" outlineLevel="0" collapsed="false">
      <c r="A16" s="14" t="s">
        <v>447</v>
      </c>
      <c r="B16" s="15"/>
      <c r="C16" s="15"/>
      <c r="D16" s="15"/>
      <c r="E16" s="15"/>
      <c r="F16" s="15"/>
      <c r="G16" s="15"/>
      <c r="H16" s="15"/>
      <c r="I16" s="15"/>
      <c r="J16" s="15"/>
    </row>
    <row r="17" customFormat="false" ht="15" hidden="false" customHeight="true" outlineLevel="0" collapsed="false">
      <c r="A17" s="22" t="s">
        <v>448</v>
      </c>
      <c r="B17" s="23" t="s">
        <v>449</v>
      </c>
      <c r="C17" s="22" t="s">
        <v>38</v>
      </c>
      <c r="D17" s="24" t="n">
        <f aca="false">D7+D9</f>
        <v>79.1</v>
      </c>
      <c r="E17" s="24" t="n">
        <f aca="false">E7+E9</f>
        <v>465.49</v>
      </c>
      <c r="F17" s="24" t="n">
        <f aca="false">F7+F9</f>
        <v>866.49</v>
      </c>
      <c r="G17" s="24" t="n">
        <f aca="false">G7+G9</f>
        <v>1279.12725</v>
      </c>
      <c r="H17" s="24" t="n">
        <f aca="false">H7+H9</f>
        <v>1631.7187875</v>
      </c>
      <c r="I17" s="24" t="n">
        <f aca="false">I7+I9</f>
        <v>1944.063729</v>
      </c>
    </row>
    <row r="18" customFormat="false" ht="15" hidden="false" customHeight="true" outlineLevel="0" collapsed="false">
      <c r="A18" s="1" t="s">
        <v>450</v>
      </c>
      <c r="B18" s="7" t="s">
        <v>451</v>
      </c>
      <c r="C18" s="7" t="s">
        <v>76</v>
      </c>
      <c r="D18" s="25" t="n">
        <f aca="false">D17/SRC_MM!$E$5-1</f>
        <v>1.59148838580742</v>
      </c>
      <c r="E18" s="17" t="n">
        <f aca="false">E17/D17-1</f>
        <v>4.88482932996207</v>
      </c>
      <c r="F18" s="17" t="n">
        <f aca="false">F17/E17-1</f>
        <v>0.861457818642721</v>
      </c>
      <c r="G18" s="17" t="n">
        <f aca="false">G17/F17-1</f>
        <v>0.476216978845688</v>
      </c>
      <c r="H18" s="17" t="n">
        <f aca="false">H17/G17-1</f>
        <v>0.275650086807235</v>
      </c>
      <c r="I18" s="17" t="n">
        <f aca="false">I17/H17-1</f>
        <v>0.191420815824859</v>
      </c>
    </row>
    <row r="19" customFormat="false" ht="15" hidden="false" customHeight="true" outlineLevel="0" collapsed="false">
      <c r="A19" s="1" t="s">
        <v>452</v>
      </c>
      <c r="B19" s="7" t="s">
        <v>453</v>
      </c>
      <c r="C19" s="7" t="s">
        <v>76</v>
      </c>
      <c r="D19" s="17" t="n">
        <f aca="false">D7/D17</f>
        <v>0.328697850821745</v>
      </c>
      <c r="E19" s="17" t="n">
        <f aca="false">E7/E17</f>
        <v>0.803239596983823</v>
      </c>
      <c r="F19" s="17" t="n">
        <f aca="false">F7/F17</f>
        <v>0.841446525637919</v>
      </c>
      <c r="G19" s="17" t="n">
        <f aca="false">G7/G17</f>
        <v>0.855002893574506</v>
      </c>
      <c r="H19" s="17" t="n">
        <f aca="false">H7/H17</f>
        <v>0.857918417514084</v>
      </c>
      <c r="I19" s="17" t="n">
        <f aca="false">I7/I17</f>
        <v>0.856895316316042</v>
      </c>
    </row>
    <row r="20" customFormat="false" ht="16.5" hidden="false" customHeight="true" outlineLevel="0" collapsed="false">
      <c r="A20" s="1" t="s">
        <v>454</v>
      </c>
      <c r="B20" s="7" t="s">
        <v>455</v>
      </c>
      <c r="C20" s="1" t="s">
        <v>38</v>
      </c>
      <c r="D20" s="26" t="n">
        <f aca="false">D17-SRC_MM!$E$6</f>
        <v>0.0619999999999976</v>
      </c>
    </row>
    <row r="21" customFormat="false" ht="16.5" hidden="false" customHeight="true" outlineLevel="0" collapsed="false">
      <c r="A21" s="14" t="s">
        <v>456</v>
      </c>
      <c r="B21" s="15"/>
      <c r="C21" s="15"/>
      <c r="D21" s="15"/>
      <c r="E21" s="15"/>
      <c r="F21" s="15"/>
      <c r="G21" s="15"/>
      <c r="H21" s="15"/>
      <c r="I21" s="15"/>
      <c r="J21" s="15"/>
    </row>
    <row r="22" customFormat="false" ht="16.5" hidden="false" customHeight="true" outlineLevel="0" collapsed="false">
      <c r="A22" s="1" t="s">
        <v>457</v>
      </c>
      <c r="B22" s="7" t="s">
        <v>458</v>
      </c>
      <c r="C22" s="1" t="s">
        <v>38</v>
      </c>
      <c r="E22" s="18" t="n">
        <f aca="false">SRC_MM!$E$66</f>
        <v>452</v>
      </c>
      <c r="F22" s="18" t="n">
        <f aca="false">SRC_MM!$E$67</f>
        <v>880.1</v>
      </c>
      <c r="G22" s="18" t="n">
        <f aca="false">SRC_MM!$E$68</f>
        <v>2469.6</v>
      </c>
      <c r="I22" s="18" t="n">
        <f aca="false">SRC_MM!$E$69</f>
        <v>5800</v>
      </c>
      <c r="J22" s="1" t="s">
        <v>459</v>
      </c>
    </row>
    <row r="23" customFormat="false" ht="16.5" hidden="false" customHeight="true" outlineLevel="0" collapsed="false">
      <c r="A23" s="1" t="s">
        <v>460</v>
      </c>
      <c r="B23" s="7" t="s">
        <v>461</v>
      </c>
      <c r="C23" s="7" t="s">
        <v>167</v>
      </c>
      <c r="E23" s="20" t="n">
        <f aca="false">E17/E22</f>
        <v>1.02984513274336</v>
      </c>
      <c r="F23" s="20" t="n">
        <f aca="false">F17/F22</f>
        <v>0.984535848199068</v>
      </c>
      <c r="G23" s="20" t="n">
        <f aca="false">G17/G22</f>
        <v>0.51794916180758</v>
      </c>
      <c r="I23" s="20" t="n">
        <f aca="false">I17/I22</f>
        <v>0.335183401551724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8"/>
    <col collapsed="false" customWidth="true" hidden="false" outlineLevel="0" max="9" min="3" style="1" width="11"/>
    <col collapsed="false" customWidth="true" hidden="false" outlineLevel="0" max="10" min="10" style="1" width="70"/>
  </cols>
  <sheetData>
    <row r="1" customFormat="false" ht="18.75" hidden="false" customHeight="true" outlineLevel="0" collapsed="false">
      <c r="A1" s="13" t="s">
        <v>462</v>
      </c>
    </row>
    <row r="2" customFormat="false" ht="16.5" hidden="false" customHeight="true" outlineLevel="0" collapsed="false">
      <c r="A2" s="7" t="s">
        <v>393</v>
      </c>
    </row>
    <row r="4" customFormat="false" ht="15" hidden="false" customHeight="true" outlineLevel="0" collapsed="false">
      <c r="A4" s="8" t="s">
        <v>27</v>
      </c>
      <c r="B4" s="9" t="s">
        <v>28</v>
      </c>
      <c r="C4" s="9" t="s">
        <v>30</v>
      </c>
      <c r="D4" s="8" t="s">
        <v>43</v>
      </c>
      <c r="E4" s="8" t="s">
        <v>394</v>
      </c>
      <c r="F4" s="8" t="s">
        <v>395</v>
      </c>
      <c r="G4" s="8" t="s">
        <v>396</v>
      </c>
      <c r="H4" s="8" t="s">
        <v>397</v>
      </c>
      <c r="I4" s="8" t="s">
        <v>398</v>
      </c>
      <c r="J4" s="9" t="s">
        <v>246</v>
      </c>
    </row>
    <row r="5" customFormat="false" ht="15" hidden="false" customHeight="true" outlineLevel="0" collapsed="false">
      <c r="B5" s="7" t="s">
        <v>399</v>
      </c>
      <c r="D5" s="1" t="n">
        <v>2025</v>
      </c>
      <c r="E5" s="1" t="n">
        <v>2026</v>
      </c>
      <c r="F5" s="1" t="n">
        <v>2027</v>
      </c>
      <c r="G5" s="1" t="n">
        <v>2028</v>
      </c>
      <c r="H5" s="1" t="n">
        <v>2029</v>
      </c>
      <c r="I5" s="1" t="n">
        <v>2030</v>
      </c>
    </row>
    <row r="6" customFormat="false" ht="16.5" hidden="false" customHeight="true" outlineLevel="0" collapsed="false">
      <c r="A6" s="14" t="s">
        <v>463</v>
      </c>
      <c r="B6" s="15"/>
      <c r="C6" s="15"/>
      <c r="D6" s="15"/>
      <c r="E6" s="15"/>
      <c r="F6" s="15"/>
      <c r="G6" s="15"/>
      <c r="H6" s="15"/>
      <c r="I6" s="15"/>
      <c r="J6" s="15"/>
    </row>
    <row r="7" customFormat="false" ht="16.5" hidden="false" customHeight="true" outlineLevel="0" collapsed="false">
      <c r="A7" s="1" t="s">
        <v>464</v>
      </c>
      <c r="B7" s="1" t="s">
        <v>465</v>
      </c>
      <c r="C7" s="7" t="s">
        <v>76</v>
      </c>
      <c r="D7" s="25" t="n">
        <f aca="false">Inputs!$D$10</f>
        <v>1</v>
      </c>
      <c r="E7" s="25" t="n">
        <f aca="false">Inputs!$E$10</f>
        <v>0.85</v>
      </c>
      <c r="F7" s="25" t="n">
        <f aca="false">Inputs!$F$10</f>
        <v>0.65</v>
      </c>
      <c r="G7" s="25" t="n">
        <f aca="false">Inputs!$G$10</f>
        <v>0.45</v>
      </c>
      <c r="H7" s="25" t="n">
        <f aca="false">Inputs!$H$10</f>
        <v>0.3</v>
      </c>
      <c r="I7" s="25" t="n">
        <f aca="false">Inputs!$I$10</f>
        <v>0.2</v>
      </c>
    </row>
    <row r="8" customFormat="false" ht="16.5" hidden="false" customHeight="true" outlineLevel="0" collapsed="false">
      <c r="A8" s="1" t="s">
        <v>466</v>
      </c>
      <c r="B8" s="1" t="s">
        <v>467</v>
      </c>
      <c r="C8" s="7" t="s">
        <v>76</v>
      </c>
      <c r="D8" s="17" t="n">
        <f aca="false">1-D7</f>
        <v>0</v>
      </c>
      <c r="E8" s="17" t="n">
        <f aca="false">1-E7</f>
        <v>0.15</v>
      </c>
      <c r="F8" s="17" t="n">
        <f aca="false">1-F7</f>
        <v>0.35</v>
      </c>
      <c r="G8" s="17" t="n">
        <f aca="false">1-G7</f>
        <v>0.55</v>
      </c>
      <c r="H8" s="17" t="n">
        <f aca="false">1-H7</f>
        <v>0.7</v>
      </c>
      <c r="I8" s="17" t="n">
        <f aca="false">1-I7</f>
        <v>0.8</v>
      </c>
    </row>
    <row r="9" customFormat="false" ht="16.5" hidden="false" customHeight="true" outlineLevel="0" collapsed="false">
      <c r="A9" s="1" t="s">
        <v>468</v>
      </c>
      <c r="B9" s="7" t="s">
        <v>469</v>
      </c>
      <c r="C9" s="1" t="s">
        <v>470</v>
      </c>
      <c r="D9" s="18" t="n">
        <f aca="false">(D7*TK_Link!$F$5+D8*TK_Link!$F$6)/10^9*TK_Link!$F$10</f>
        <v>44.4403507829534</v>
      </c>
      <c r="E9" s="18" t="n">
        <f aca="false">(E7*TK_Link!$F$5+E8*TK_Link!$F$6)/10^9*TK_Link!$F$10</f>
        <v>70.3819186332156</v>
      </c>
      <c r="F9" s="18" t="n">
        <f aca="false">(F7*TK_Link!$F$5+F8*TK_Link!$F$6)/10^9*TK_Link!$F$10</f>
        <v>104.970675766899</v>
      </c>
      <c r="G9" s="18" t="n">
        <f aca="false">(G7*TK_Link!$F$5+G8*TK_Link!$F$6)/10^9*TK_Link!$F$10</f>
        <v>139.559432900582</v>
      </c>
      <c r="H9" s="18" t="n">
        <f aca="false">(H7*TK_Link!$F$5+H8*TK_Link!$F$6)/10^9*TK_Link!$F$10</f>
        <v>165.501000750844</v>
      </c>
      <c r="I9" s="18" t="n">
        <f aca="false">(I7*TK_Link!$F$5+I8*TK_Link!$F$6)/10^9*TK_Link!$F$10</f>
        <v>182.795379317685</v>
      </c>
    </row>
    <row r="10" customFormat="false" ht="16.5" hidden="false" customHeight="true" outlineLevel="0" collapsed="false">
      <c r="A10" s="1" t="s">
        <v>471</v>
      </c>
      <c r="B10" s="7" t="s">
        <v>472</v>
      </c>
      <c r="C10" s="1" t="s">
        <v>470</v>
      </c>
      <c r="D10" s="18" t="n">
        <f aca="false">(D7*TK_Link!$F$7+D8*TK_Link!$F$8)/10^9*TK_Link!$F$10</f>
        <v>12.894257811254</v>
      </c>
      <c r="E10" s="18" t="n">
        <f aca="false">(E7*TK_Link!$F$7+E8*TK_Link!$F$8)/10^9*TK_Link!$F$10</f>
        <v>20.331405236826</v>
      </c>
      <c r="F10" s="18" t="n">
        <f aca="false">(F7*TK_Link!$F$7+F8*TK_Link!$F$8)/10^9*TK_Link!$F$10</f>
        <v>30.2476018042552</v>
      </c>
      <c r="G10" s="18" t="n">
        <f aca="false">(G7*TK_Link!$F$7+G8*TK_Link!$F$8)/10^9*TK_Link!$F$10</f>
        <v>40.1637983716844</v>
      </c>
      <c r="H10" s="18" t="n">
        <f aca="false">(H7*TK_Link!$F$7+H8*TK_Link!$F$8)/10^9*TK_Link!$F$10</f>
        <v>47.6009457972564</v>
      </c>
      <c r="I10" s="18" t="n">
        <f aca="false">(I7*TK_Link!$F$7+I8*TK_Link!$F$8)/10^9*TK_Link!$F$10</f>
        <v>52.559044080971</v>
      </c>
    </row>
    <row r="11" customFormat="false" ht="16.5" hidden="false" customHeight="true" outlineLevel="0" collapsed="false">
      <c r="A11" s="1" t="s">
        <v>473</v>
      </c>
      <c r="B11" s="7" t="s">
        <v>474</v>
      </c>
      <c r="C11" s="1" t="s">
        <v>470</v>
      </c>
      <c r="D11" s="18" t="n">
        <f aca="false">Inputs!$D$9*D9+(1-Inputs!$D$9)*D10</f>
        <v>31.8219135942736</v>
      </c>
      <c r="E11" s="18" t="n">
        <f aca="false">Inputs!$D$9*E9+(1-Inputs!$D$9)*E10</f>
        <v>50.3617132746598</v>
      </c>
      <c r="F11" s="18" t="n">
        <f aca="false">Inputs!$D$9*F9+(1-Inputs!$D$9)*F10</f>
        <v>75.0814461818413</v>
      </c>
      <c r="G11" s="18" t="n">
        <f aca="false">Inputs!$D$9*G9+(1-Inputs!$D$9)*G10</f>
        <v>99.8011790890228</v>
      </c>
      <c r="H11" s="18" t="n">
        <f aca="false">Inputs!$D$9*H9+(1-Inputs!$D$9)*H10</f>
        <v>118.340978769409</v>
      </c>
      <c r="I11" s="18" t="n">
        <f aca="false">Inputs!$D$9*I9+(1-Inputs!$D$9)*I10</f>
        <v>130.700845223</v>
      </c>
    </row>
    <row r="12" customFormat="false" ht="15" hidden="false" customHeight="true" outlineLevel="0" collapsed="false">
      <c r="A12" s="1" t="s">
        <v>475</v>
      </c>
      <c r="B12" s="7" t="s">
        <v>476</v>
      </c>
      <c r="C12" s="7" t="s">
        <v>167</v>
      </c>
      <c r="D12" s="21" t="n">
        <f aca="false">Inputs!$D$11</f>
        <v>1</v>
      </c>
      <c r="E12" s="21" t="n">
        <f aca="false">Inputs!$E$11</f>
        <v>2</v>
      </c>
      <c r="F12" s="21" t="n">
        <f aca="false">Inputs!$F$11</f>
        <v>2.6</v>
      </c>
      <c r="G12" s="21" t="n">
        <f aca="false">Inputs!$G$11</f>
        <v>3.38</v>
      </c>
      <c r="H12" s="21" t="n">
        <f aca="false">Inputs!$H$11</f>
        <v>4.39</v>
      </c>
      <c r="I12" s="21" t="n">
        <f aca="false">Inputs!$I$11</f>
        <v>5.71</v>
      </c>
    </row>
    <row r="13" customFormat="false" ht="16.5" hidden="false" customHeight="true" outlineLevel="0" collapsed="false">
      <c r="A13" s="1" t="s">
        <v>477</v>
      </c>
      <c r="B13" s="1" t="s">
        <v>478</v>
      </c>
      <c r="C13" s="1" t="s">
        <v>479</v>
      </c>
      <c r="D13" s="26" t="n">
        <f aca="false">Demand!$D$10/(D11*D12)</f>
        <v>2.0426175756978</v>
      </c>
      <c r="E13" s="26" t="n">
        <f aca="false">Demand!$E$10/(E11*E12)</f>
        <v>16.8733879770588</v>
      </c>
      <c r="F13" s="26" t="n">
        <f aca="false">Demand!$F$10/(F11*F12)</f>
        <v>26.1184897965946</v>
      </c>
      <c r="G13" s="26" t="n">
        <f aca="false">Demand!$G$10/(G11*G12)</f>
        <v>30.2295486025927</v>
      </c>
      <c r="H13" s="26" t="n">
        <f aca="false">Demand!$H$10/(H11*H12)</f>
        <v>31.4054007948649</v>
      </c>
      <c r="I13" s="26" t="n">
        <f aca="false">Demand!$I$10/(I11*I12)</f>
        <v>30.6067734346607</v>
      </c>
    </row>
    <row r="14" customFormat="false" ht="16.5" hidden="false" customHeight="true" outlineLevel="0" collapsed="false">
      <c r="A14" s="14" t="s">
        <v>480</v>
      </c>
      <c r="B14" s="15"/>
      <c r="C14" s="15"/>
      <c r="D14" s="15"/>
      <c r="E14" s="15"/>
      <c r="F14" s="15"/>
      <c r="G14" s="15"/>
      <c r="H14" s="15"/>
      <c r="I14" s="15"/>
      <c r="J14" s="15"/>
    </row>
    <row r="15" customFormat="false" ht="16.5" hidden="false" customHeight="true" outlineLevel="0" collapsed="false">
      <c r="A15" s="1" t="s">
        <v>481</v>
      </c>
      <c r="B15" s="7" t="s">
        <v>482</v>
      </c>
      <c r="C15" s="1" t="s">
        <v>326</v>
      </c>
      <c r="D15" s="26" t="n">
        <f aca="false">Revenue!$D$7*(1-SRC_MM!$E$22)*Inputs!$D$8</f>
        <v>7.1604</v>
      </c>
      <c r="E15" s="26" t="n">
        <f aca="false">(SRC_MM!$E$24*Inputs!$D$8-SRC_MM!$E$11*Inputs!$E$18)*2</f>
        <v>99.948</v>
      </c>
      <c r="J15" s="1" t="s">
        <v>483</v>
      </c>
    </row>
    <row r="16" customFormat="false" ht="16.5" hidden="false" customHeight="true" outlineLevel="0" collapsed="false">
      <c r="A16" s="1" t="s">
        <v>484</v>
      </c>
      <c r="B16" s="7" t="s">
        <v>485</v>
      </c>
      <c r="C16" s="1" t="s">
        <v>479</v>
      </c>
      <c r="D16" s="26" t="n">
        <f aca="false">D15/Inputs!$D$7</f>
        <v>0.5967</v>
      </c>
      <c r="E16" s="26" t="n">
        <f aca="false">E15/Inputs!$D$7</f>
        <v>8.329</v>
      </c>
    </row>
    <row r="17" customFormat="false" ht="16.5" hidden="false" customHeight="true" outlineLevel="0" collapsed="false">
      <c r="A17" s="1" t="s">
        <v>486</v>
      </c>
      <c r="B17" s="7" t="s">
        <v>487</v>
      </c>
      <c r="C17" s="1" t="s">
        <v>479</v>
      </c>
      <c r="D17" s="19" t="n">
        <f aca="false">D13</f>
        <v>2.0426175756978</v>
      </c>
      <c r="E17" s="26" t="n">
        <f aca="false">(2*SRC_MM!$E$12/Demand!$E$7)/(E11*E12)</f>
        <v>6.66992977536585</v>
      </c>
      <c r="J17" s="1" t="s">
        <v>488</v>
      </c>
    </row>
    <row r="18" customFormat="false" ht="16.5" hidden="false" customHeight="true" outlineLevel="0" collapsed="false">
      <c r="A18" s="1" t="s">
        <v>489</v>
      </c>
      <c r="B18" s="1" t="s">
        <v>490</v>
      </c>
      <c r="C18" s="7" t="s">
        <v>167</v>
      </c>
      <c r="D18" s="20" t="n">
        <f aca="false">D17/D16</f>
        <v>3.4231901721096</v>
      </c>
      <c r="E18" s="20" t="n">
        <f aca="false">E17/E16</f>
        <v>0.800807993200366</v>
      </c>
      <c r="J18" s="1" t="s">
        <v>491</v>
      </c>
    </row>
    <row r="19" customFormat="false" ht="16.5" hidden="false" customHeight="true" outlineLevel="0" collapsed="false">
      <c r="A19" s="1" t="s">
        <v>492</v>
      </c>
      <c r="B19" s="7" t="s">
        <v>493</v>
      </c>
      <c r="C19" s="7" t="s">
        <v>167</v>
      </c>
      <c r="D19" s="20" t="n">
        <f aca="false">D18</f>
        <v>3.4231901721096</v>
      </c>
      <c r="E19" s="20" t="n">
        <f aca="false">E18</f>
        <v>0.800807993200366</v>
      </c>
      <c r="F19" s="21" t="n">
        <f aca="false">E18*Inputs!$D$32</f>
        <v>1.04105039116048</v>
      </c>
      <c r="G19" s="21" t="n">
        <f aca="false">E18*Inputs!$D$32</f>
        <v>1.04105039116048</v>
      </c>
      <c r="H19" s="21" t="n">
        <f aca="false">E18*Inputs!$D$32</f>
        <v>1.04105039116048</v>
      </c>
      <c r="I19" s="21" t="n">
        <f aca="false">E18*Inputs!$D$32</f>
        <v>1.04105039116048</v>
      </c>
    </row>
    <row r="20" customFormat="false" ht="16.5" hidden="false" customHeight="true" outlineLevel="0" collapsed="false">
      <c r="A20" s="1" t="s">
        <v>494</v>
      </c>
      <c r="B20" s="1" t="s">
        <v>495</v>
      </c>
      <c r="C20" s="1" t="s">
        <v>479</v>
      </c>
      <c r="D20" s="19" t="n">
        <f aca="false">D13/D19</f>
        <v>0.5967</v>
      </c>
      <c r="E20" s="26" t="n">
        <f aca="false">0.5*E16+0.5*(Inputs!$D$15/Demand!$E$7)/(E11*E12*E18*Inputs!$D$32)</f>
        <v>17.1690799937546</v>
      </c>
      <c r="F20" s="19" t="n">
        <f aca="false">F13/F19</f>
        <v>25.088593230804</v>
      </c>
      <c r="G20" s="19" t="n">
        <f aca="false">G13/G19</f>
        <v>29.0375459817035</v>
      </c>
      <c r="H20" s="19" t="n">
        <f aca="false">H13/H19</f>
        <v>30.1670323180579</v>
      </c>
      <c r="I20" s="19" t="n">
        <f aca="false">I13/I19</f>
        <v>29.3998961957479</v>
      </c>
      <c r="J20" s="1" t="s">
        <v>496</v>
      </c>
    </row>
    <row r="21" customFormat="false" ht="16.5" hidden="false" customHeight="true" outlineLevel="0" collapsed="false">
      <c r="A21" s="14" t="s">
        <v>497</v>
      </c>
      <c r="B21" s="15"/>
      <c r="C21" s="15"/>
      <c r="D21" s="15"/>
      <c r="E21" s="15"/>
      <c r="F21" s="15"/>
      <c r="G21" s="15"/>
      <c r="H21" s="15"/>
      <c r="I21" s="15"/>
      <c r="J21" s="15"/>
    </row>
    <row r="22" customFormat="false" ht="16.5" hidden="false" customHeight="true" outlineLevel="0" collapsed="false">
      <c r="A22" s="1" t="s">
        <v>498</v>
      </c>
      <c r="B22" s="7" t="s">
        <v>499</v>
      </c>
      <c r="C22" s="7" t="s">
        <v>76</v>
      </c>
      <c r="D22" s="25" t="n">
        <f aca="false">(SRC_MM!$E$23*Inputs!$D$8-D15)/Revenue!$D$9</f>
        <v>0.864457627118644</v>
      </c>
      <c r="E22" s="25" t="n">
        <f aca="false">Inputs!$E$18</f>
        <v>0.85</v>
      </c>
      <c r="F22" s="25" t="n">
        <f aca="false">Inputs!$F$18</f>
        <v>0.75</v>
      </c>
      <c r="G22" s="25" t="n">
        <f aca="false">Inputs!$G$18</f>
        <v>0.68</v>
      </c>
      <c r="H22" s="25" t="n">
        <f aca="false">Inputs!$H$18</f>
        <v>0.62</v>
      </c>
      <c r="I22" s="25" t="n">
        <f aca="false">Inputs!$I$18</f>
        <v>0.55</v>
      </c>
      <c r="J22" s="1" t="s">
        <v>341</v>
      </c>
    </row>
    <row r="23" customFormat="false" ht="15" hidden="false" customHeight="true" outlineLevel="0" collapsed="false">
      <c r="A23" s="1" t="s">
        <v>500</v>
      </c>
      <c r="B23" s="7" t="s">
        <v>501</v>
      </c>
      <c r="C23" s="1" t="s">
        <v>38</v>
      </c>
      <c r="D23" s="18" t="n">
        <f aca="false">D22*Revenue!$D$9</f>
        <v>45.9027</v>
      </c>
      <c r="E23" s="18" t="n">
        <f aca="false">E22*Revenue!$E$9</f>
        <v>77.8515</v>
      </c>
      <c r="F23" s="18" t="n">
        <f aca="false">F22*Revenue!$F$9</f>
        <v>103.03875</v>
      </c>
      <c r="G23" s="18" t="n">
        <f aca="false">G22*Revenue!$G$9</f>
        <v>126.11943</v>
      </c>
      <c r="H23" s="18" t="n">
        <f aca="false">H22*Revenue!$H$9</f>
        <v>143.73905625</v>
      </c>
      <c r="I23" s="18" t="n">
        <f aca="false">I22*Revenue!$I$9</f>
        <v>153.01254375</v>
      </c>
    </row>
    <row r="24" customFormat="false" ht="16.5" hidden="false" customHeight="true" outlineLevel="0" collapsed="false">
      <c r="A24" s="1" t="s">
        <v>502</v>
      </c>
      <c r="B24" s="7" t="s">
        <v>503</v>
      </c>
      <c r="C24" s="1" t="s">
        <v>479</v>
      </c>
      <c r="D24" s="26" t="n">
        <f aca="false">D23/Inputs!$D$7</f>
        <v>3.825225</v>
      </c>
      <c r="E24" s="26" t="n">
        <f aca="false">E23/Inputs!$D$7</f>
        <v>6.487625</v>
      </c>
      <c r="F24" s="26" t="n">
        <f aca="false">F23/Inputs!$D$7</f>
        <v>8.5865625</v>
      </c>
      <c r="G24" s="26" t="n">
        <f aca="false">G23/Inputs!$D$7</f>
        <v>10.5099525</v>
      </c>
      <c r="H24" s="26" t="n">
        <f aca="false">H23/Inputs!$D$7</f>
        <v>11.9782546875</v>
      </c>
      <c r="I24" s="26" t="n">
        <f aca="false">I23/Inputs!$D$7</f>
        <v>12.7510453125</v>
      </c>
    </row>
    <row r="25" customFormat="false" ht="16.5" hidden="false" customHeight="true" outlineLevel="0" collapsed="false">
      <c r="A25" s="14" t="s">
        <v>504</v>
      </c>
      <c r="B25" s="15"/>
      <c r="C25" s="15"/>
      <c r="D25" s="15"/>
      <c r="E25" s="15"/>
      <c r="F25" s="15"/>
      <c r="G25" s="15"/>
      <c r="H25" s="15"/>
      <c r="I25" s="15"/>
      <c r="J25" s="15"/>
    </row>
    <row r="26" customFormat="false" ht="16.5" hidden="false" customHeight="true" outlineLevel="0" collapsed="false">
      <c r="A26" s="1" t="s">
        <v>505</v>
      </c>
      <c r="B26" s="1" t="s">
        <v>506</v>
      </c>
      <c r="C26" s="1" t="s">
        <v>38</v>
      </c>
      <c r="E26" s="18" t="n">
        <f aca="false">SRC_MM!$E$30-SRC_MM!$E$33*Inputs!$D$20</f>
        <v>245.195</v>
      </c>
    </row>
    <row r="27" customFormat="false" ht="16.5" hidden="false" customHeight="true" outlineLevel="0" collapsed="false">
      <c r="A27" s="1" t="s">
        <v>507</v>
      </c>
      <c r="B27" s="7" t="s">
        <v>508</v>
      </c>
      <c r="C27" s="1" t="s">
        <v>38</v>
      </c>
      <c r="D27" s="18" t="n">
        <f aca="false">SRC_MM!$E$31</f>
        <v>194.2</v>
      </c>
      <c r="E27" s="18" t="n">
        <f aca="false">E26*(1+Inputs!$D$21)</f>
        <v>539.429</v>
      </c>
      <c r="F27" s="18" t="n">
        <f aca="false">F28*Inputs!$D$7</f>
        <v>970.9722</v>
      </c>
      <c r="G27" s="18" t="n">
        <f aca="false">G28*Inputs!$D$7</f>
        <v>1456.4583</v>
      </c>
      <c r="H27" s="18" t="n">
        <f aca="false">H28*Inputs!$D$7</f>
        <v>1966.218705</v>
      </c>
      <c r="I27" s="18" t="n">
        <f aca="false">I28*Inputs!$D$7</f>
        <v>2457.77338125</v>
      </c>
      <c r="J27" s="1" t="s">
        <v>509</v>
      </c>
    </row>
    <row r="28" customFormat="false" ht="16.5" hidden="false" customHeight="true" outlineLevel="0" collapsed="false">
      <c r="A28" s="1" t="s">
        <v>510</v>
      </c>
      <c r="B28" s="7" t="s">
        <v>511</v>
      </c>
      <c r="C28" s="1" t="s">
        <v>479</v>
      </c>
      <c r="D28" s="26" t="n">
        <f aca="false">D27/Inputs!$D$7</f>
        <v>16.1833333333333</v>
      </c>
      <c r="E28" s="26" t="n">
        <f aca="false">E27/Inputs!$D$7</f>
        <v>44.9524166666667</v>
      </c>
      <c r="F28" s="26" t="n">
        <f aca="false">E28*(1+Inputs!$F$22)</f>
        <v>80.91435</v>
      </c>
      <c r="G28" s="26" t="n">
        <f aca="false">F28*(1+Inputs!$G$22)</f>
        <v>121.371525</v>
      </c>
      <c r="H28" s="26" t="n">
        <f aca="false">G28*(1+Inputs!$H$22)</f>
        <v>163.85155875</v>
      </c>
      <c r="I28" s="26" t="n">
        <f aca="false">H28*(1+Inputs!$I$22)</f>
        <v>204.8144484375</v>
      </c>
    </row>
    <row r="29" customFormat="false" ht="16.5" hidden="false" customHeight="true" outlineLevel="0" collapsed="false">
      <c r="A29" s="14" t="s">
        <v>512</v>
      </c>
      <c r="B29" s="15"/>
      <c r="C29" s="15"/>
      <c r="D29" s="15"/>
      <c r="E29" s="15"/>
      <c r="F29" s="15"/>
      <c r="G29" s="15"/>
      <c r="H29" s="15"/>
      <c r="I29" s="15"/>
      <c r="J29" s="15"/>
    </row>
    <row r="30" customFormat="false" ht="16.5" hidden="false" customHeight="true" outlineLevel="0" collapsed="false">
      <c r="A30" s="1" t="s">
        <v>513</v>
      </c>
      <c r="B30" s="7" t="s">
        <v>514</v>
      </c>
      <c r="C30" s="1" t="s">
        <v>479</v>
      </c>
      <c r="D30" s="19" t="n">
        <f aca="false">D20+D24</f>
        <v>4.421925</v>
      </c>
      <c r="E30" s="19" t="n">
        <f aca="false">E20+E24</f>
        <v>23.6567049937546</v>
      </c>
      <c r="F30" s="19" t="n">
        <f aca="false">F20+F24</f>
        <v>33.675155730804</v>
      </c>
      <c r="G30" s="19" t="n">
        <f aca="false">G20+G24</f>
        <v>39.5474984817035</v>
      </c>
      <c r="H30" s="19" t="n">
        <f aca="false">H20+H24</f>
        <v>42.1452870055579</v>
      </c>
      <c r="I30" s="19" t="n">
        <f aca="false">I20+I24</f>
        <v>42.1509415082479</v>
      </c>
    </row>
    <row r="31" customFormat="false" ht="16.5" hidden="false" customHeight="true" outlineLevel="0" collapsed="false">
      <c r="A31" s="22" t="s">
        <v>515</v>
      </c>
      <c r="B31" s="23" t="s">
        <v>516</v>
      </c>
      <c r="C31" s="22" t="s">
        <v>479</v>
      </c>
      <c r="D31" s="27" t="n">
        <f aca="false">D30+D28</f>
        <v>20.6052583333333</v>
      </c>
      <c r="E31" s="27" t="n">
        <f aca="false">E30+E28</f>
        <v>68.6091216604212</v>
      </c>
      <c r="F31" s="27" t="n">
        <f aca="false">F30+F28</f>
        <v>114.589505730804</v>
      </c>
      <c r="G31" s="27" t="n">
        <f aca="false">G30+G28</f>
        <v>160.919023481703</v>
      </c>
      <c r="H31" s="27" t="n">
        <f aca="false">H30+H28</f>
        <v>205.996845755558</v>
      </c>
      <c r="I31" s="27" t="n">
        <f aca="false">I30+I28</f>
        <v>246.965389945748</v>
      </c>
    </row>
    <row r="32" customFormat="false" ht="16.5" hidden="false" customHeight="true" outlineLevel="0" collapsed="false">
      <c r="A32" s="1" t="s">
        <v>517</v>
      </c>
      <c r="B32" s="7" t="s">
        <v>518</v>
      </c>
      <c r="C32" s="7" t="s">
        <v>76</v>
      </c>
      <c r="D32" s="17" t="n">
        <f aca="false">D28/D31</f>
        <v>0.78539822561474</v>
      </c>
      <c r="E32" s="17" t="n">
        <f aca="false">E28/E31</f>
        <v>0.655195921165662</v>
      </c>
      <c r="F32" s="17" t="n">
        <f aca="false">F28/F31</f>
        <v>0.706123562397465</v>
      </c>
      <c r="G32" s="17" t="n">
        <f aca="false">G28/G31</f>
        <v>0.754239755958996</v>
      </c>
      <c r="H32" s="17" t="n">
        <f aca="false">H28/H31</f>
        <v>0.795408095444487</v>
      </c>
      <c r="I32" s="17" t="n">
        <f aca="false">I28/I31</f>
        <v>0.829324499609005</v>
      </c>
    </row>
    <row r="33" customFormat="false" ht="16.5" hidden="false" customHeight="true" outlineLevel="0" collapsed="false">
      <c r="A33" s="1" t="s">
        <v>519</v>
      </c>
      <c r="B33" s="7" t="s">
        <v>520</v>
      </c>
      <c r="C33" s="7" t="s">
        <v>167</v>
      </c>
      <c r="D33" s="16" t="n">
        <f aca="false">(D7*TK_Link!$F$7+D8*TK_Link!$F$8)/TK_Link!$F$9</f>
        <v>0.0905671149585634</v>
      </c>
      <c r="E33" s="16" t="n">
        <f aca="false">(E7*TK_Link!$F$7+E8*TK_Link!$F$8)/TK_Link!$F$9</f>
        <v>0.142804397298899</v>
      </c>
      <c r="F33" s="16" t="n">
        <f aca="false">(F7*TK_Link!$F$7+F8*TK_Link!$F$8)/TK_Link!$F$9</f>
        <v>0.212454107086013</v>
      </c>
      <c r="G33" s="16" t="n">
        <f aca="false">(G7*TK_Link!$F$7+G8*TK_Link!$F$8)/TK_Link!$F$9</f>
        <v>0.282103816873127</v>
      </c>
      <c r="H33" s="16" t="n">
        <f aca="false">(H7*TK_Link!$F$7+H8*TK_Link!$F$8)/TK_Link!$F$9</f>
        <v>0.334341099213463</v>
      </c>
      <c r="I33" s="16" t="n">
        <f aca="false">(I7*TK_Link!$F$7+I8*TK_Link!$F$8)/TK_Link!$F$9</f>
        <v>0.36916595410702</v>
      </c>
    </row>
    <row r="34" customFormat="false" ht="16.5" hidden="false" customHeight="true" outlineLevel="0" collapsed="false">
      <c r="A34" s="1" t="s">
        <v>521</v>
      </c>
      <c r="B34" s="7" t="s">
        <v>522</v>
      </c>
      <c r="C34" s="1" t="s">
        <v>479</v>
      </c>
      <c r="D34" s="19" t="n">
        <f aca="false">D31*D33</f>
        <v>1.8661588002259</v>
      </c>
      <c r="E34" s="19" t="n">
        <f aca="false">E31*E33</f>
        <v>9.79768426792329</v>
      </c>
      <c r="F34" s="19" t="n">
        <f aca="false">F31*F33</f>
        <v>24.3450111214656</v>
      </c>
      <c r="G34" s="19" t="n">
        <f aca="false">G31*G33</f>
        <v>45.395870731685</v>
      </c>
      <c r="H34" s="19" t="n">
        <f aca="false">H31*H33</f>
        <v>68.8732118444194</v>
      </c>
      <c r="I34" s="19" t="n">
        <f aca="false">I31*I33</f>
        <v>91.1712138107343</v>
      </c>
    </row>
    <row r="35" customFormat="false" ht="16.5" hidden="false" customHeight="true" outlineLevel="0" collapsed="false">
      <c r="A35" s="1" t="s">
        <v>523</v>
      </c>
      <c r="B35" s="1" t="s">
        <v>524</v>
      </c>
      <c r="C35" s="7" t="s">
        <v>525</v>
      </c>
      <c r="D35" s="28" t="n">
        <f aca="false">D31*1000/Inputs!$D$31</f>
        <v>14718.0416666667</v>
      </c>
      <c r="E35" s="28" t="n">
        <f aca="false">E31*1000/Inputs!$D$31</f>
        <v>49006.5154717295</v>
      </c>
      <c r="F35" s="28" t="n">
        <f aca="false">F31*1000/Inputs!$D$31</f>
        <v>81849.6469505743</v>
      </c>
      <c r="G35" s="28" t="n">
        <f aca="false">G31*1000/Inputs!$D$31</f>
        <v>114942.159629788</v>
      </c>
      <c r="H35" s="28" t="n">
        <f aca="false">H31*1000/Inputs!$D$31</f>
        <v>147140.604111113</v>
      </c>
      <c r="I35" s="28" t="n">
        <f aca="false">I31*1000/Inputs!$D$31</f>
        <v>176403.849961249</v>
      </c>
      <c r="J35" s="1" t="s">
        <v>526</v>
      </c>
    </row>
    <row r="36" customFormat="false" ht="15" hidden="false" customHeight="true" outlineLevel="0" collapsed="false">
      <c r="A36" s="14" t="s">
        <v>527</v>
      </c>
      <c r="B36" s="15"/>
      <c r="C36" s="15"/>
      <c r="D36" s="15"/>
      <c r="E36" s="15"/>
      <c r="F36" s="15"/>
      <c r="G36" s="15"/>
      <c r="H36" s="15"/>
      <c r="I36" s="15"/>
      <c r="J36" s="15"/>
    </row>
    <row r="37" customFormat="false" ht="15" hidden="false" customHeight="true" outlineLevel="0" collapsed="false">
      <c r="A37" s="1" t="s">
        <v>528</v>
      </c>
      <c r="B37" s="7" t="s">
        <v>529</v>
      </c>
      <c r="C37" s="1" t="s">
        <v>38</v>
      </c>
      <c r="D37" s="18" t="n">
        <f aca="false">(D20+D24+D28)*Inputs!$D$7</f>
        <v>247.2631</v>
      </c>
      <c r="E37" s="18" t="n">
        <f aca="false">(E20+E24+E28)*Inputs!$D$7</f>
        <v>823.309459925055</v>
      </c>
      <c r="F37" s="18" t="n">
        <f aca="false">(F20+F24+F28)*Inputs!$D$7</f>
        <v>1375.07406876965</v>
      </c>
      <c r="G37" s="18" t="n">
        <f aca="false">(G20+G24+G28)*Inputs!$D$7</f>
        <v>1931.02828178044</v>
      </c>
      <c r="H37" s="18" t="n">
        <f aca="false">(H20+H24+H28)*Inputs!$D$7</f>
        <v>2471.96214906669</v>
      </c>
      <c r="I37" s="18" t="n">
        <f aca="false">(I20+I24+I28)*Inputs!$D$7</f>
        <v>2963.58467934897</v>
      </c>
    </row>
    <row r="38" customFormat="false" ht="16.5" hidden="false" customHeight="true" outlineLevel="0" collapsed="false">
      <c r="A38" s="1" t="s">
        <v>530</v>
      </c>
      <c r="B38" s="7" t="s">
        <v>531</v>
      </c>
      <c r="C38" s="1" t="s">
        <v>38</v>
      </c>
      <c r="E38" s="18" t="n">
        <f aca="false">SRC_MM!$E$63</f>
        <v>300</v>
      </c>
      <c r="F38" s="18" t="n">
        <f aca="false">SRC_MM!$E$64</f>
        <v>400</v>
      </c>
      <c r="G38" s="18" t="n">
        <f aca="false">SRC_MM!$E$65</f>
        <v>500</v>
      </c>
      <c r="J38" s="7" t="s">
        <v>532</v>
      </c>
    </row>
    <row r="39" customFormat="false" ht="15" hidden="false" customHeight="true" outlineLevel="0" collapsed="false">
      <c r="A39" s="1" t="s">
        <v>533</v>
      </c>
      <c r="B39" s="7" t="s">
        <v>534</v>
      </c>
      <c r="C39" s="7" t="s">
        <v>76</v>
      </c>
      <c r="E39" s="17" t="n">
        <f aca="false">E38/E37</f>
        <v>0.364383035301585</v>
      </c>
      <c r="F39" s="17" t="n">
        <f aca="false">F38/F37</f>
        <v>0.290893421005242</v>
      </c>
      <c r="G39" s="17" t="n">
        <f aca="false">G38/G37</f>
        <v>0.258929402908067</v>
      </c>
    </row>
    <row r="40" customFormat="false" ht="16.5" hidden="false" customHeight="true" outlineLevel="0" collapsed="false">
      <c r="A40" s="1" t="s">
        <v>535</v>
      </c>
      <c r="B40" s="7" t="s">
        <v>536</v>
      </c>
      <c r="C40" s="1" t="s">
        <v>290</v>
      </c>
      <c r="D40" s="26" t="n">
        <f aca="false">TK_Link!$F$11</f>
        <v>10.0957952959174</v>
      </c>
      <c r="E40" s="26" t="n">
        <f aca="false">TK_Link!$F$11</f>
        <v>10.0957952959174</v>
      </c>
      <c r="F40" s="26" t="n">
        <f aca="false">TK_Link!$F$11</f>
        <v>10.0957952959174</v>
      </c>
      <c r="G40" s="26" t="n">
        <f aca="false">TK_Link!$F$11</f>
        <v>10.0957952959174</v>
      </c>
      <c r="H40" s="26" t="n">
        <f aca="false">TK_Link!$F$11</f>
        <v>10.0957952959174</v>
      </c>
      <c r="I40" s="26" t="n">
        <f aca="false">TK_Link!$F$11</f>
        <v>10.0957952959174</v>
      </c>
      <c r="J40" s="7" t="s">
        <v>537</v>
      </c>
    </row>
    <row r="41" customFormat="false" ht="16.5" hidden="false" customHeight="true" outlineLevel="0" collapsed="false">
      <c r="A41" s="1" t="s">
        <v>538</v>
      </c>
      <c r="B41" s="7" t="s">
        <v>539</v>
      </c>
      <c r="C41" s="1" t="s">
        <v>172</v>
      </c>
      <c r="D41" s="16" t="n">
        <f aca="false">D20*Inputs!$D$7/Demand!$D$10</f>
        <v>0.11016</v>
      </c>
      <c r="E41" s="16" t="n">
        <f aca="false">E20*Inputs!$D$7/Demand!$E$10</f>
        <v>0.121225919185643</v>
      </c>
      <c r="F41" s="16" t="n">
        <f aca="false">F20*Inputs!$D$7/Demand!$F$10</f>
        <v>0.0590477722468776</v>
      </c>
      <c r="G41" s="16" t="n">
        <f aca="false">G20*Inputs!$D$7/Demand!$G$10</f>
        <v>0.0341709554211006</v>
      </c>
      <c r="H41" s="16" t="n">
        <f aca="false">H20*Inputs!$D$7/Demand!$H$10</f>
        <v>0.0221875739167315</v>
      </c>
      <c r="I41" s="16" t="n">
        <f aca="false">I20*Inputs!$D$7/Demand!$I$10</f>
        <v>0.0154452516979916</v>
      </c>
      <c r="J41" s="7" t="s">
        <v>540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8"/>
    <col collapsed="false" customWidth="true" hidden="false" outlineLevel="0" max="9" min="3" style="1" width="11"/>
    <col collapsed="false" customWidth="true" hidden="false" outlineLevel="0" max="10" min="10" style="1" width="70"/>
  </cols>
  <sheetData>
    <row r="1" customFormat="false" ht="18.75" hidden="false" customHeight="true" outlineLevel="0" collapsed="false">
      <c r="A1" s="13" t="s">
        <v>541</v>
      </c>
    </row>
    <row r="2" customFormat="false" ht="16.5" hidden="false" customHeight="true" outlineLevel="0" collapsed="false">
      <c r="A2" s="7" t="s">
        <v>393</v>
      </c>
    </row>
    <row r="4" customFormat="false" ht="15" hidden="false" customHeight="true" outlineLevel="0" collapsed="false">
      <c r="A4" s="8" t="s">
        <v>27</v>
      </c>
      <c r="B4" s="9" t="s">
        <v>28</v>
      </c>
      <c r="C4" s="9" t="s">
        <v>30</v>
      </c>
      <c r="D4" s="8" t="s">
        <v>43</v>
      </c>
      <c r="E4" s="8" t="s">
        <v>394</v>
      </c>
      <c r="F4" s="8" t="s">
        <v>395</v>
      </c>
      <c r="G4" s="8" t="s">
        <v>396</v>
      </c>
      <c r="H4" s="8" t="s">
        <v>397</v>
      </c>
      <c r="I4" s="8" t="s">
        <v>398</v>
      </c>
      <c r="J4" s="9" t="s">
        <v>246</v>
      </c>
    </row>
    <row r="5" customFormat="false" ht="15" hidden="false" customHeight="true" outlineLevel="0" collapsed="false">
      <c r="B5" s="7" t="s">
        <v>399</v>
      </c>
      <c r="D5" s="1" t="n">
        <v>2025</v>
      </c>
      <c r="E5" s="1" t="n">
        <v>2026</v>
      </c>
      <c r="F5" s="1" t="n">
        <v>2027</v>
      </c>
      <c r="G5" s="1" t="n">
        <v>2028</v>
      </c>
      <c r="H5" s="1" t="n">
        <v>2029</v>
      </c>
      <c r="I5" s="1" t="n">
        <v>2030</v>
      </c>
    </row>
    <row r="6" customFormat="false" ht="15" hidden="false" customHeight="true" outlineLevel="0" collapsed="false">
      <c r="A6" s="14" t="s">
        <v>542</v>
      </c>
      <c r="B6" s="15"/>
      <c r="C6" s="15"/>
      <c r="D6" s="15"/>
      <c r="E6" s="15"/>
      <c r="F6" s="15"/>
      <c r="G6" s="15"/>
      <c r="H6" s="15"/>
      <c r="I6" s="15"/>
      <c r="J6" s="15"/>
    </row>
    <row r="7" customFormat="false" ht="15" hidden="false" customHeight="true" outlineLevel="0" collapsed="false">
      <c r="A7" s="1" t="s">
        <v>543</v>
      </c>
      <c r="B7" s="7" t="s">
        <v>449</v>
      </c>
      <c r="C7" s="1" t="s">
        <v>38</v>
      </c>
      <c r="D7" s="18" t="n">
        <f aca="false">Revenue!$D$17</f>
        <v>79.1</v>
      </c>
      <c r="E7" s="18" t="n">
        <f aca="false">Revenue!$E$17</f>
        <v>465.49</v>
      </c>
      <c r="F7" s="18" t="n">
        <f aca="false">Revenue!$F$17</f>
        <v>866.49</v>
      </c>
      <c r="G7" s="18" t="n">
        <f aca="false">Revenue!$G$17</f>
        <v>1279.12725</v>
      </c>
      <c r="H7" s="18" t="n">
        <f aca="false">Revenue!$H$17</f>
        <v>1631.7187875</v>
      </c>
      <c r="I7" s="18" t="n">
        <f aca="false">Revenue!$I$17</f>
        <v>1944.063729</v>
      </c>
    </row>
    <row r="8" customFormat="false" ht="16.5" hidden="false" customHeight="true" outlineLevel="0" collapsed="false">
      <c r="A8" s="1" t="s">
        <v>544</v>
      </c>
      <c r="B8" s="1" t="s">
        <v>545</v>
      </c>
      <c r="C8" s="1" t="s">
        <v>38</v>
      </c>
      <c r="D8" s="18" t="n">
        <f aca="false">Compute!$D$20*Inputs!$D$7</f>
        <v>7.1604</v>
      </c>
      <c r="E8" s="18" t="n">
        <f aca="false">Compute!$E$20*Inputs!$D$7</f>
        <v>206.028959925055</v>
      </c>
      <c r="F8" s="18" t="n">
        <f aca="false">Compute!$F$20*Inputs!$D$7</f>
        <v>301.063118769648</v>
      </c>
      <c r="G8" s="18" t="n">
        <f aca="false">Compute!$G$20*Inputs!$D$7</f>
        <v>348.450551780441</v>
      </c>
      <c r="H8" s="18" t="n">
        <f aca="false">Compute!$H$20*Inputs!$D$7</f>
        <v>362.004387816694</v>
      </c>
      <c r="I8" s="18" t="n">
        <f aca="false">Compute!$I$20*Inputs!$D$7</f>
        <v>352.798754348974</v>
      </c>
    </row>
    <row r="9" customFormat="false" ht="15" hidden="false" customHeight="true" outlineLevel="0" collapsed="false">
      <c r="A9" s="1" t="s">
        <v>546</v>
      </c>
      <c r="B9" s="7" t="s">
        <v>547</v>
      </c>
      <c r="C9" s="1" t="s">
        <v>38</v>
      </c>
      <c r="D9" s="18" t="n">
        <f aca="false">Compute!$D$23</f>
        <v>45.9027</v>
      </c>
      <c r="E9" s="18" t="n">
        <f aca="false">Compute!$E$23</f>
        <v>77.8515</v>
      </c>
      <c r="F9" s="18" t="n">
        <f aca="false">Compute!$F$23</f>
        <v>103.03875</v>
      </c>
      <c r="G9" s="18" t="n">
        <f aca="false">Compute!$G$23</f>
        <v>126.11943</v>
      </c>
      <c r="H9" s="18" t="n">
        <f aca="false">Compute!$H$23</f>
        <v>143.73905625</v>
      </c>
      <c r="I9" s="18" t="n">
        <f aca="false">Compute!$I$23</f>
        <v>153.01254375</v>
      </c>
    </row>
    <row r="10" customFormat="false" ht="15" hidden="false" customHeight="true" outlineLevel="0" collapsed="false">
      <c r="A10" s="1" t="s">
        <v>548</v>
      </c>
      <c r="B10" s="7" t="s">
        <v>549</v>
      </c>
      <c r="C10" s="1" t="s">
        <v>38</v>
      </c>
      <c r="D10" s="18" t="n">
        <f aca="false">SRC_MM!$E$23*(1-Inputs!$D$8)</f>
        <v>5.8959</v>
      </c>
      <c r="E10" s="18" t="n">
        <f aca="false">E7*Inputs!$D$19</f>
        <v>23.2745</v>
      </c>
      <c r="F10" s="18" t="n">
        <f aca="false">F7*Inputs!$D$19</f>
        <v>43.3245</v>
      </c>
      <c r="G10" s="18" t="n">
        <f aca="false">G7*Inputs!$D$19</f>
        <v>63.9563625</v>
      </c>
      <c r="H10" s="18" t="n">
        <f aca="false">H7*Inputs!$D$19</f>
        <v>81.585939375</v>
      </c>
      <c r="I10" s="18" t="n">
        <f aca="false">I7*Inputs!$D$19</f>
        <v>97.20318645</v>
      </c>
    </row>
    <row r="11" customFormat="false" ht="15" hidden="false" customHeight="true" outlineLevel="0" collapsed="false">
      <c r="A11" s="1" t="s">
        <v>550</v>
      </c>
      <c r="B11" s="7" t="s">
        <v>551</v>
      </c>
      <c r="C11" s="1" t="s">
        <v>38</v>
      </c>
      <c r="D11" s="29" t="n">
        <f aca="false">D8+D9+D10</f>
        <v>58.959</v>
      </c>
      <c r="E11" s="29" t="n">
        <f aca="false">E8+E9+E10</f>
        <v>307.154959925055</v>
      </c>
      <c r="F11" s="29" t="n">
        <f aca="false">F8+F9+F10</f>
        <v>447.426368769648</v>
      </c>
      <c r="G11" s="29" t="n">
        <f aca="false">G8+G9+G10</f>
        <v>538.526344280441</v>
      </c>
      <c r="H11" s="29" t="n">
        <f aca="false">H8+H9+H10</f>
        <v>587.329383441694</v>
      </c>
      <c r="I11" s="29" t="n">
        <f aca="false">I8+I9+I10</f>
        <v>603.014484548974</v>
      </c>
    </row>
    <row r="12" customFormat="false" ht="15" hidden="false" customHeight="true" outlineLevel="0" collapsed="false">
      <c r="A12" s="1" t="s">
        <v>552</v>
      </c>
      <c r="B12" s="7" t="s">
        <v>553</v>
      </c>
      <c r="C12" s="1" t="s">
        <v>38</v>
      </c>
      <c r="D12" s="29" t="n">
        <f aca="false">D7-D11</f>
        <v>20.141</v>
      </c>
      <c r="E12" s="29" t="n">
        <f aca="false">E7-E11</f>
        <v>158.335040074945</v>
      </c>
      <c r="F12" s="29" t="n">
        <f aca="false">F7-F11</f>
        <v>419.063631230352</v>
      </c>
      <c r="G12" s="29" t="n">
        <f aca="false">G7-G11</f>
        <v>740.600905719559</v>
      </c>
      <c r="H12" s="29" t="n">
        <f aca="false">H7-H11</f>
        <v>1044.38940405831</v>
      </c>
      <c r="I12" s="29" t="n">
        <f aca="false">I7-I11</f>
        <v>1341.04924445103</v>
      </c>
    </row>
    <row r="13" customFormat="false" ht="15" hidden="false" customHeight="true" outlineLevel="0" collapsed="false">
      <c r="A13" s="22" t="s">
        <v>554</v>
      </c>
      <c r="B13" s="23" t="s">
        <v>555</v>
      </c>
      <c r="C13" s="23" t="s">
        <v>76</v>
      </c>
      <c r="D13" s="30" t="n">
        <f aca="false">D12/D7</f>
        <v>0.254627054361568</v>
      </c>
      <c r="E13" s="30" t="n">
        <f aca="false">E12/E7</f>
        <v>0.340147028024115</v>
      </c>
      <c r="F13" s="30" t="n">
        <f aca="false">F12/F7</f>
        <v>0.483633545950158</v>
      </c>
      <c r="G13" s="30" t="n">
        <f aca="false">G12/G7</f>
        <v>0.578989233260068</v>
      </c>
      <c r="H13" s="30" t="n">
        <f aca="false">H12/H7</f>
        <v>0.640054776631237</v>
      </c>
      <c r="I13" s="30" t="n">
        <f aca="false">I12/I7</f>
        <v>0.689817532443159</v>
      </c>
    </row>
    <row r="14" customFormat="false" ht="16.5" hidden="false" customHeight="true" outlineLevel="0" collapsed="false">
      <c r="A14" s="1" t="s">
        <v>556</v>
      </c>
      <c r="B14" s="7" t="s">
        <v>557</v>
      </c>
      <c r="C14" s="7" t="s">
        <v>76</v>
      </c>
      <c r="D14" s="25" t="n">
        <f aca="false">1-(D8+D10*Revenue!$D$7/D7)/Revenue!$D$7</f>
        <v>0.650062705436157</v>
      </c>
      <c r="E14" s="25" t="n">
        <f aca="false">1-(E8+E10*Revenue!$E$7/E7)/Revenue!$E$7</f>
        <v>0.398973094610712</v>
      </c>
      <c r="F14" s="25" t="n">
        <f aca="false">1-(F8+F10*Revenue!$F$7/F7)/Revenue!$F$7</f>
        <v>0.537078515756101</v>
      </c>
      <c r="G14" s="25" t="n">
        <f aca="false">1-(G8+G10*Revenue!$G$7/G7)/Revenue!$G$7</f>
        <v>0.631389693043351</v>
      </c>
      <c r="H14" s="25" t="n">
        <f aca="false">1-(H8+H10*Revenue!$H$7/H7)/Revenue!$H$7</f>
        <v>0.691403567404062</v>
      </c>
      <c r="I14" s="25" t="n">
        <f aca="false">1-(I8+I10*Revenue!$I$7/I7)/Revenue!$I$7</f>
        <v>0.738218131112141</v>
      </c>
      <c r="J14" s="7" t="s">
        <v>558</v>
      </c>
    </row>
    <row r="15" customFormat="false" ht="15" hidden="false" customHeight="true" outlineLevel="0" collapsed="false">
      <c r="A15" s="1" t="s">
        <v>559</v>
      </c>
      <c r="B15" s="7" t="s">
        <v>560</v>
      </c>
      <c r="C15" s="7" t="s">
        <v>76</v>
      </c>
      <c r="D15" s="25" t="n">
        <f aca="false">1-(D9+D10*Revenue!$D$9/D7)/Revenue!$D$9</f>
        <v>0.0610050783175127</v>
      </c>
      <c r="E15" s="25" t="n">
        <f aca="false">1-(E9+E10*Revenue!$E$9/E7)/Revenue!$E$9</f>
        <v>0.1</v>
      </c>
      <c r="F15" s="25" t="n">
        <f aca="false">1-(F9+F10*Revenue!$F$9/F7)/Revenue!$F$9</f>
        <v>0.2</v>
      </c>
      <c r="G15" s="25" t="n">
        <f aca="false">1-(G9+G10*Revenue!$G$9/G7)/Revenue!$G$9</f>
        <v>0.27</v>
      </c>
      <c r="H15" s="25" t="n">
        <f aca="false">1-(H9+H10*Revenue!$H$9/H7)/Revenue!$H$9</f>
        <v>0.33</v>
      </c>
      <c r="I15" s="25" t="n">
        <f aca="false">1-(I9+I10*Revenue!$I$9/I7)/Revenue!$I$9</f>
        <v>0.4</v>
      </c>
    </row>
    <row r="16" customFormat="false" ht="15" hidden="false" customHeight="true" outlineLevel="0" collapsed="false">
      <c r="A16" s="14" t="s">
        <v>561</v>
      </c>
      <c r="B16" s="15"/>
      <c r="C16" s="15"/>
      <c r="D16" s="15"/>
      <c r="E16" s="15"/>
      <c r="F16" s="15"/>
      <c r="G16" s="15"/>
      <c r="H16" s="15"/>
      <c r="I16" s="15"/>
      <c r="J16" s="15"/>
    </row>
    <row r="17" customFormat="false" ht="15" hidden="false" customHeight="true" outlineLevel="0" collapsed="false">
      <c r="A17" s="1" t="s">
        <v>562</v>
      </c>
      <c r="B17" s="7" t="s">
        <v>563</v>
      </c>
      <c r="C17" s="1" t="s">
        <v>38</v>
      </c>
      <c r="D17" s="18" t="n">
        <f aca="false">Compute!$D$27</f>
        <v>194.2</v>
      </c>
      <c r="E17" s="18" t="n">
        <f aca="false">Compute!$E$27</f>
        <v>539.429</v>
      </c>
      <c r="F17" s="18" t="n">
        <f aca="false">Compute!$F$27</f>
        <v>970.9722</v>
      </c>
      <c r="G17" s="18" t="n">
        <f aca="false">Compute!$G$27</f>
        <v>1456.4583</v>
      </c>
      <c r="H17" s="18" t="n">
        <f aca="false">Compute!$H$27</f>
        <v>1966.218705</v>
      </c>
      <c r="I17" s="18" t="n">
        <f aca="false">Compute!$I$27</f>
        <v>2457.77338125</v>
      </c>
    </row>
    <row r="18" customFormat="false" ht="16.5" hidden="false" customHeight="true" outlineLevel="0" collapsed="false">
      <c r="A18" s="1" t="s">
        <v>564</v>
      </c>
      <c r="B18" s="7" t="s">
        <v>565</v>
      </c>
      <c r="C18" s="1" t="s">
        <v>566</v>
      </c>
      <c r="E18" s="28" t="n">
        <f aca="false">SRC_MM!$E$33*2/AVERAGE(SRC_MM!$E$42,SRC_MM!$E$43)*1000</f>
        <v>276.706827309237</v>
      </c>
      <c r="F18" s="28" t="n">
        <f aca="false">E18*(1+Inputs!$D$24)</f>
        <v>298.843373493976</v>
      </c>
      <c r="G18" s="28" t="n">
        <f aca="false">F18*(1+Inputs!$D$24)</f>
        <v>322.750843373494</v>
      </c>
      <c r="H18" s="28" t="n">
        <f aca="false">G18*(1+Inputs!$D$24)</f>
        <v>348.570910843374</v>
      </c>
      <c r="I18" s="28" t="n">
        <f aca="false">H18*(1+Inputs!$D$24)</f>
        <v>376.456583710843</v>
      </c>
      <c r="J18" s="1" t="s">
        <v>567</v>
      </c>
    </row>
    <row r="19" customFormat="false" ht="16.5" hidden="false" customHeight="true" outlineLevel="0" collapsed="false">
      <c r="A19" s="1" t="s">
        <v>568</v>
      </c>
      <c r="B19" s="7" t="s">
        <v>569</v>
      </c>
      <c r="C19" s="1" t="s">
        <v>38</v>
      </c>
      <c r="D19" s="18" t="n">
        <f aca="false">SRC_MM!$E$32</f>
        <v>84.3</v>
      </c>
      <c r="E19" s="18" t="n">
        <f aca="false">Inputs!$E$23*E18/1000</f>
        <v>154.955823293173</v>
      </c>
      <c r="F19" s="18" t="n">
        <f aca="false">Inputs!$F$23*F18/1000</f>
        <v>224.132530120482</v>
      </c>
      <c r="G19" s="18" t="n">
        <f aca="false">Inputs!$G$23*G18/1000</f>
        <v>306.613301204819</v>
      </c>
      <c r="H19" s="18" t="n">
        <f aca="false">Inputs!$H$23*H18/1000</f>
        <v>383.428001927711</v>
      </c>
      <c r="I19" s="18" t="n">
        <f aca="false">Inputs!$I$23*I18/1000</f>
        <v>470.570729638554</v>
      </c>
    </row>
    <row r="20" customFormat="false" ht="16.5" hidden="false" customHeight="true" outlineLevel="0" collapsed="false">
      <c r="A20" s="1" t="s">
        <v>570</v>
      </c>
      <c r="B20" s="7" t="s">
        <v>571</v>
      </c>
      <c r="C20" s="1" t="s">
        <v>38</v>
      </c>
      <c r="D20" s="18" t="n">
        <f aca="false">SRC_MM!$E$34</f>
        <v>24.031</v>
      </c>
      <c r="E20" s="18" t="n">
        <f aca="false">E19*SRC_MM!$E$35/SRC_MM!$E$33</f>
        <v>63.4396787148594</v>
      </c>
      <c r="F20" s="18" t="n">
        <f aca="false">F19*SRC_MM!$E$35/SRC_MM!$E$33</f>
        <v>91.7609638554217</v>
      </c>
      <c r="G20" s="18" t="n">
        <f aca="false">G19*SRC_MM!$E$35/SRC_MM!$E$33</f>
        <v>125.528998554217</v>
      </c>
      <c r="H20" s="18" t="n">
        <f aca="false">H19*SRC_MM!$E$35/SRC_MM!$E$33</f>
        <v>156.977316086747</v>
      </c>
      <c r="I20" s="18" t="n">
        <f aca="false">I19*SRC_MM!$E$35/SRC_MM!$E$33</f>
        <v>192.653978833735</v>
      </c>
      <c r="J20" s="1" t="s">
        <v>572</v>
      </c>
    </row>
    <row r="21" customFormat="false" ht="16.5" hidden="false" customHeight="true" outlineLevel="0" collapsed="false">
      <c r="A21" s="1" t="s">
        <v>573</v>
      </c>
      <c r="B21" s="7" t="s">
        <v>574</v>
      </c>
      <c r="C21" s="1" t="s">
        <v>38</v>
      </c>
      <c r="D21" s="18" t="n">
        <f aca="false">SRC_MM!$E$25+SRC_MM!$E$26+SRC_MM!$E$27-SRC_MM!$E$32-SRC_MM!$E$31</f>
        <v>62.98</v>
      </c>
      <c r="E21" s="18" t="n">
        <f aca="false">(SRC_MM!$E$28+SRC_MM!$E$29+SRC_MM!$E$30-SRC_MM!$E$33-Compute!$E$26)+(E7-SRC_MM!$E$8)*Inputs!$E$25</f>
        <v>162.09895</v>
      </c>
      <c r="F21" s="18" t="n">
        <f aca="false">F7*Inputs!$F$25</f>
        <v>216.6225</v>
      </c>
      <c r="G21" s="18" t="n">
        <f aca="false">G7*Inputs!$G$25</f>
        <v>255.82545</v>
      </c>
      <c r="H21" s="18" t="n">
        <f aca="false">H7*Inputs!$H$25</f>
        <v>277.392193875</v>
      </c>
      <c r="I21" s="18" t="n">
        <f aca="false">I7*Inputs!$I$25</f>
        <v>291.60955935</v>
      </c>
      <c r="J21" s="1" t="s">
        <v>575</v>
      </c>
    </row>
    <row r="22" customFormat="false" ht="15" hidden="false" customHeight="true" outlineLevel="0" collapsed="false">
      <c r="A22" s="1" t="s">
        <v>576</v>
      </c>
      <c r="B22" s="7" t="s">
        <v>577</v>
      </c>
      <c r="C22" s="1" t="s">
        <v>38</v>
      </c>
      <c r="D22" s="29" t="n">
        <f aca="false">D17+D19+D21</f>
        <v>341.48</v>
      </c>
      <c r="E22" s="29" t="n">
        <f aca="false">E17+E19+E21</f>
        <v>856.483773293173</v>
      </c>
      <c r="F22" s="29" t="n">
        <f aca="false">F17+F19+F21</f>
        <v>1411.72723012048</v>
      </c>
      <c r="G22" s="29" t="n">
        <f aca="false">G17+G19+G21</f>
        <v>2018.89705120482</v>
      </c>
      <c r="H22" s="29" t="n">
        <f aca="false">H17+H19+H21</f>
        <v>2627.03890080271</v>
      </c>
      <c r="I22" s="29" t="n">
        <f aca="false">I17+I19+I21</f>
        <v>3219.95367023855</v>
      </c>
    </row>
    <row r="23" customFormat="false" ht="15" hidden="false" customHeight="true" outlineLevel="0" collapsed="false">
      <c r="A23" s="1" t="s">
        <v>578</v>
      </c>
      <c r="B23" s="7" t="s">
        <v>579</v>
      </c>
      <c r="C23" s="1" t="s">
        <v>38</v>
      </c>
      <c r="D23" s="29" t="n">
        <f aca="false">D12-D22</f>
        <v>-321.339</v>
      </c>
      <c r="E23" s="29" t="n">
        <f aca="false">E12-E22</f>
        <v>-698.148733218228</v>
      </c>
      <c r="F23" s="29" t="n">
        <f aca="false">F12-F22</f>
        <v>-992.66359889013</v>
      </c>
      <c r="G23" s="29" t="n">
        <f aca="false">G12-G22</f>
        <v>-1278.29614548526</v>
      </c>
      <c r="H23" s="29" t="n">
        <f aca="false">H12-H22</f>
        <v>-1582.64949674441</v>
      </c>
      <c r="I23" s="29" t="n">
        <f aca="false">I12-I22</f>
        <v>-1878.90442578753</v>
      </c>
    </row>
    <row r="24" customFormat="false" ht="16.5" hidden="false" customHeight="true" outlineLevel="0" collapsed="false">
      <c r="A24" s="1" t="s">
        <v>580</v>
      </c>
      <c r="B24" s="7" t="s">
        <v>581</v>
      </c>
      <c r="C24" s="1" t="s">
        <v>38</v>
      </c>
      <c r="D24" s="18" t="n">
        <f aca="false">SRC_MM!$E$36</f>
        <v>40.369</v>
      </c>
      <c r="E24" s="18" t="n">
        <f aca="false">(Funding!$E$7+0.5*(Funding!$E$8+Funding!$E$9+Funding!$E$10+Funding!$E$11))*Inputs!$D$26</f>
        <v>73.7975115809769</v>
      </c>
      <c r="F24" s="18" t="n">
        <f aca="false">(Funding!$F$7+0.5*(Funding!$F$8+Funding!$F$9+Funding!$F$10+Funding!$F$11))*Inputs!$D$26</f>
        <v>89.598676874282</v>
      </c>
      <c r="G24" s="18" t="n">
        <f aca="false">(Funding!$G$7+0.5*(Funding!$G$8+Funding!$G$9+Funding!$G$10+Funding!$G$11))*Inputs!$D$26</f>
        <v>40.1952907772841</v>
      </c>
      <c r="H24" s="18" t="n">
        <f aca="false">(Funding!$H$7+0.5*(Funding!$H$8+Funding!$H$9+Funding!$H$10+Funding!$H$11))*Inputs!$D$26</f>
        <v>9</v>
      </c>
      <c r="I24" s="18" t="n">
        <f aca="false">(Funding!$I$7+0.5*(Funding!$I$8+Funding!$I$9+Funding!$I$10+Funding!$I$11))*Inputs!$D$26</f>
        <v>9</v>
      </c>
      <c r="J24" s="1" t="s">
        <v>582</v>
      </c>
    </row>
    <row r="25" customFormat="false" ht="16.5" hidden="false" customHeight="true" outlineLevel="0" collapsed="false">
      <c r="A25" s="1" t="s">
        <v>583</v>
      </c>
      <c r="B25" s="7" t="s">
        <v>584</v>
      </c>
      <c r="C25" s="1" t="s">
        <v>38</v>
      </c>
      <c r="D25" s="29" t="n">
        <f aca="false">D23+D24+D20</f>
        <v>-256.939</v>
      </c>
      <c r="E25" s="29" t="n">
        <f aca="false">E23+E24+E20</f>
        <v>-560.911542922391</v>
      </c>
      <c r="F25" s="29" t="n">
        <f aca="false">F23+F24+F20</f>
        <v>-811.303958160426</v>
      </c>
      <c r="G25" s="29" t="n">
        <f aca="false">G23+G24+G20</f>
        <v>-1112.57185615376</v>
      </c>
      <c r="H25" s="29" t="n">
        <f aca="false">H23+H24+H20</f>
        <v>-1416.67218065766</v>
      </c>
      <c r="I25" s="29" t="n">
        <f aca="false">I23+I24+I20</f>
        <v>-1677.25044695379</v>
      </c>
    </row>
    <row r="26" customFormat="false" ht="16.5" hidden="false" customHeight="true" outlineLevel="0" collapsed="false">
      <c r="A26" s="1" t="s">
        <v>585</v>
      </c>
      <c r="B26" s="7" t="s">
        <v>586</v>
      </c>
      <c r="C26" s="1" t="s">
        <v>38</v>
      </c>
      <c r="D26" s="26" t="n">
        <f aca="false">D25+SRC_MM!$E$38</f>
        <v>-6.08300000000003</v>
      </c>
    </row>
    <row r="27" customFormat="false" ht="16.5" hidden="false" customHeight="true" outlineLevel="0" collapsed="false">
      <c r="A27" s="14" t="s">
        <v>587</v>
      </c>
      <c r="B27" s="15"/>
      <c r="C27" s="15"/>
      <c r="D27" s="15"/>
      <c r="E27" s="15"/>
      <c r="F27" s="15"/>
      <c r="G27" s="15"/>
      <c r="H27" s="15"/>
      <c r="I27" s="15"/>
      <c r="J27" s="15"/>
    </row>
    <row r="28" customFormat="false" ht="16.5" hidden="false" customHeight="true" outlineLevel="0" collapsed="false">
      <c r="A28" s="1" t="s">
        <v>588</v>
      </c>
      <c r="B28" s="7" t="s">
        <v>589</v>
      </c>
      <c r="C28" s="1" t="s">
        <v>479</v>
      </c>
      <c r="D28" s="26" t="n">
        <f aca="false">Compute!$D$31</f>
        <v>20.6052583333333</v>
      </c>
      <c r="E28" s="26" t="n">
        <f aca="false">Compute!$E$31</f>
        <v>68.6091216604212</v>
      </c>
      <c r="F28" s="26" t="n">
        <f aca="false">Compute!$F$31</f>
        <v>114.589505730804</v>
      </c>
      <c r="G28" s="26" t="n">
        <f aca="false">Compute!$G$31</f>
        <v>160.919023481703</v>
      </c>
      <c r="H28" s="26" t="n">
        <f aca="false">Compute!$H$31</f>
        <v>205.996845755558</v>
      </c>
      <c r="I28" s="26" t="n">
        <f aca="false">Compute!$I$31</f>
        <v>246.965389945748</v>
      </c>
    </row>
    <row r="29" customFormat="false" ht="16.5" hidden="false" customHeight="true" outlineLevel="0" collapsed="false">
      <c r="A29" s="22" t="s">
        <v>590</v>
      </c>
      <c r="B29" s="23" t="s">
        <v>591</v>
      </c>
      <c r="C29" s="22" t="s">
        <v>290</v>
      </c>
      <c r="D29" s="27" t="n">
        <f aca="false">D7/D28</f>
        <v>3.83882593075958</v>
      </c>
      <c r="E29" s="27" t="n">
        <f aca="false">E7/E28</f>
        <v>6.78466636410139</v>
      </c>
      <c r="F29" s="27" t="n">
        <f aca="false">F7/F28</f>
        <v>7.56168721100496</v>
      </c>
      <c r="G29" s="27" t="n">
        <f aca="false">G7/G28</f>
        <v>7.9488877220625</v>
      </c>
      <c r="H29" s="27" t="n">
        <f aca="false">H7/H28</f>
        <v>7.92108627447746</v>
      </c>
      <c r="I29" s="27" t="n">
        <f aca="false">I7/I28</f>
        <v>7.87180636698552</v>
      </c>
    </row>
    <row r="30" customFormat="false" ht="16.5" hidden="false" customHeight="true" outlineLevel="0" collapsed="false">
      <c r="A30" s="22" t="s">
        <v>592</v>
      </c>
      <c r="B30" s="23" t="s">
        <v>593</v>
      </c>
      <c r="C30" s="22" t="s">
        <v>290</v>
      </c>
      <c r="D30" s="27" t="n">
        <f aca="false">(D11+D22)/D28</f>
        <v>19.4338257507893</v>
      </c>
      <c r="E30" s="27" t="n">
        <f aca="false">(E11+E22)/E28</f>
        <v>16.960408544182</v>
      </c>
      <c r="F30" s="27" t="n">
        <f aca="false">(F11+F22)/F28</f>
        <v>16.2244665166607</v>
      </c>
      <c r="G30" s="27" t="n">
        <f aca="false">(G11+G22)/G28</f>
        <v>15.8926107066269</v>
      </c>
      <c r="H30" s="27" t="n">
        <f aca="false">(H11+H22)/H28</f>
        <v>15.6039684610447</v>
      </c>
      <c r="I30" s="27" t="n">
        <f aca="false">(I11+I22)/I28</f>
        <v>15.4797729172794</v>
      </c>
    </row>
    <row r="31" customFormat="false" ht="16.5" hidden="false" customHeight="true" outlineLevel="0" collapsed="false">
      <c r="A31" s="22" t="s">
        <v>594</v>
      </c>
      <c r="B31" s="23" t="s">
        <v>595</v>
      </c>
      <c r="C31" s="23" t="s">
        <v>167</v>
      </c>
      <c r="D31" s="31" t="n">
        <f aca="false">D29/D30</f>
        <v>0.197533207304983</v>
      </c>
      <c r="E31" s="31" t="n">
        <f aca="false">E29/E30</f>
        <v>0.400029654145848</v>
      </c>
      <c r="F31" s="31" t="n">
        <f aca="false">F29/F30</f>
        <v>0.466066924495789</v>
      </c>
      <c r="G31" s="31" t="n">
        <f aca="false">G29/G30</f>
        <v>0.500162488643102</v>
      </c>
      <c r="H31" s="31" t="n">
        <f aca="false">H29/H30</f>
        <v>0.507632804709422</v>
      </c>
      <c r="I31" s="31" t="n">
        <f aca="false">I29/I30</f>
        <v>0.508522082917546</v>
      </c>
      <c r="J31" s="1" t="s">
        <v>596</v>
      </c>
    </row>
    <row r="32" customFormat="false" ht="16.5" hidden="false" customHeight="true" outlineLevel="0" collapsed="false">
      <c r="A32" s="1" t="s">
        <v>597</v>
      </c>
      <c r="B32" s="7" t="s">
        <v>598</v>
      </c>
      <c r="C32" s="1" t="s">
        <v>290</v>
      </c>
      <c r="D32" s="26" t="n">
        <f aca="false">Inputs!$D$7</f>
        <v>12</v>
      </c>
      <c r="E32" s="26" t="n">
        <f aca="false">Inputs!$D$7</f>
        <v>12</v>
      </c>
      <c r="F32" s="26" t="n">
        <f aca="false">Inputs!$D$7</f>
        <v>12</v>
      </c>
      <c r="G32" s="26" t="n">
        <f aca="false">Inputs!$D$7</f>
        <v>12</v>
      </c>
      <c r="H32" s="26" t="n">
        <f aca="false">Inputs!$D$7</f>
        <v>12</v>
      </c>
      <c r="I32" s="26" t="n">
        <f aca="false">Inputs!$D$7</f>
        <v>12</v>
      </c>
    </row>
    <row r="33" customFormat="false" ht="16.5" hidden="false" customHeight="true" outlineLevel="0" collapsed="false">
      <c r="A33" s="1" t="s">
        <v>599</v>
      </c>
      <c r="B33" s="7" t="s">
        <v>600</v>
      </c>
      <c r="C33" s="1" t="s">
        <v>290</v>
      </c>
      <c r="D33" s="19" t="n">
        <f aca="false">D30-D32</f>
        <v>7.43382575078934</v>
      </c>
      <c r="E33" s="19" t="n">
        <f aca="false">E30-E32</f>
        <v>4.96040854418196</v>
      </c>
      <c r="F33" s="19" t="n">
        <f aca="false">F30-F32</f>
        <v>4.22446651666071</v>
      </c>
      <c r="G33" s="19" t="n">
        <f aca="false">G30-G32</f>
        <v>3.89261070662687</v>
      </c>
      <c r="H33" s="19" t="n">
        <f aca="false">H30-H32</f>
        <v>3.60396846104466</v>
      </c>
      <c r="I33" s="19" t="n">
        <f aca="false">I30-I32</f>
        <v>3.47977291727938</v>
      </c>
    </row>
    <row r="34" customFormat="false" ht="16.5" hidden="false" customHeight="true" outlineLevel="0" collapsed="false">
      <c r="A34" s="1" t="s">
        <v>601</v>
      </c>
      <c r="B34" s="7" t="s">
        <v>602</v>
      </c>
      <c r="C34" s="1" t="s">
        <v>290</v>
      </c>
      <c r="D34" s="26" t="n">
        <f aca="false">D7/Compute!$D$34</f>
        <v>42.3865321592273</v>
      </c>
      <c r="E34" s="26" t="n">
        <f aca="false">E7/Compute!$E$34</f>
        <v>47.5102062151534</v>
      </c>
      <c r="F34" s="26" t="n">
        <f aca="false">F7/Compute!$F$34</f>
        <v>35.5920971108531</v>
      </c>
      <c r="G34" s="26" t="n">
        <f aca="false">G7/Compute!$G$34</f>
        <v>28.1771718304592</v>
      </c>
      <c r="H34" s="26" t="n">
        <f aca="false">H7/Compute!$H$34</f>
        <v>23.6916319684053</v>
      </c>
      <c r="I34" s="26" t="n">
        <f aca="false">I7/Compute!$I$34</f>
        <v>21.3232186755323</v>
      </c>
    </row>
    <row r="35" customFormat="false" ht="16.5" hidden="false" customHeight="true" outlineLevel="0" collapsed="false">
      <c r="A35" s="1" t="s">
        <v>603</v>
      </c>
      <c r="B35" s="7" t="s">
        <v>604</v>
      </c>
      <c r="C35" s="1" t="s">
        <v>290</v>
      </c>
      <c r="D35" s="26" t="n">
        <f aca="false">(D11+D22)/Compute!$D$34</f>
        <v>214.579273720718</v>
      </c>
      <c r="E35" s="26" t="n">
        <f aca="false">(E11+E22)/Compute!$E$34</f>
        <v>118.766710724479</v>
      </c>
      <c r="F35" s="26" t="n">
        <f aca="false">(F11+F22)/Compute!$F$34</f>
        <v>76.3669233755605</v>
      </c>
      <c r="G35" s="26" t="n">
        <f aca="false">(G11+G22)/Compute!$G$34</f>
        <v>56.3360357289117</v>
      </c>
      <c r="H35" s="26" t="n">
        <f aca="false">(H11+H22)/Compute!$H$34</f>
        <v>46.6708056465477</v>
      </c>
      <c r="I35" s="26" t="n">
        <f aca="false">(I11+I22)/Compute!$I$34</f>
        <v>41.9317457232035</v>
      </c>
    </row>
    <row r="36" customFormat="false" ht="16.5" hidden="false" customHeight="true" outlineLevel="0" collapsed="false">
      <c r="A36" s="1" t="s">
        <v>605</v>
      </c>
      <c r="B36" s="1" t="s">
        <v>606</v>
      </c>
      <c r="C36" s="7" t="s">
        <v>167</v>
      </c>
      <c r="D36" s="21" t="n">
        <f aca="false">Revenue!$D$7/Compute!$D$20/Inputs!$D$7</f>
        <v>3.63108206245461</v>
      </c>
      <c r="E36" s="21" t="n">
        <f aca="false">Revenue!$E$7/Compute!$E$20/Inputs!$D$7</f>
        <v>1.8147934161101</v>
      </c>
      <c r="F36" s="21" t="n">
        <f aca="false">Revenue!$F$7/Compute!$F$20/Inputs!$D$7</f>
        <v>2.4217679102629</v>
      </c>
      <c r="G36" s="21" t="n">
        <f aca="false">Revenue!$G$7/Compute!$G$20/Inputs!$D$7</f>
        <v>3.13863041516753</v>
      </c>
      <c r="H36" s="21" t="n">
        <f aca="false">Revenue!$H$7/Compute!$H$20/Inputs!$D$7</f>
        <v>3.86702937067395</v>
      </c>
      <c r="I36" s="21" t="n">
        <f aca="false">Revenue!$I$7/Compute!$I$20/Inputs!$D$7</f>
        <v>4.72183952881024</v>
      </c>
      <c r="J36" s="1" t="s">
        <v>607</v>
      </c>
    </row>
    <row r="37" customFormat="false" ht="15" hidden="false" customHeight="true" outlineLevel="0" collapsed="false">
      <c r="A37" s="1" t="s">
        <v>608</v>
      </c>
      <c r="B37" s="7" t="s">
        <v>609</v>
      </c>
      <c r="C37" s="7" t="s">
        <v>76</v>
      </c>
      <c r="D37" s="17" t="n">
        <f aca="false">(D17+D19+D21)/D7</f>
        <v>4.31706700379267</v>
      </c>
      <c r="E37" s="17" t="n">
        <f aca="false">(E17+E19+E21)/E7</f>
        <v>1.83996170335168</v>
      </c>
      <c r="F37" s="17" t="n">
        <f aca="false">(F17+F19+F21)/F7</f>
        <v>1.62924815072359</v>
      </c>
      <c r="G37" s="17" t="n">
        <f aca="false">(G17+G19+G21)/G7</f>
        <v>1.57833948983951</v>
      </c>
      <c r="H37" s="17" t="n">
        <f aca="false">(H17+H19+H21)/H7</f>
        <v>1.60998262747692</v>
      </c>
      <c r="I37" s="17" t="n">
        <f aca="false">(I17+I19+I21)/I7</f>
        <v>1.6563004711244</v>
      </c>
    </row>
    <row r="38" customFormat="false" ht="16.5" hidden="false" customHeight="true" outlineLevel="0" collapsed="false">
      <c r="A38" s="1" t="s">
        <v>610</v>
      </c>
      <c r="B38" s="7" t="s">
        <v>611</v>
      </c>
      <c r="C38" s="7" t="s">
        <v>612</v>
      </c>
      <c r="D38" s="32" t="n">
        <f aca="false">IF(D31&gt;=1,1,0)</f>
        <v>0</v>
      </c>
      <c r="E38" s="32" t="n">
        <f aca="false">IF(E31&gt;=1,1,0)</f>
        <v>0</v>
      </c>
      <c r="F38" s="32" t="n">
        <f aca="false">IF(F31&gt;=1,1,0)</f>
        <v>0</v>
      </c>
      <c r="G38" s="32" t="n">
        <f aca="false">IF(G31&gt;=1,1,0)</f>
        <v>0</v>
      </c>
      <c r="H38" s="32" t="n">
        <f aca="false">IF(H31&gt;=1,1,0)</f>
        <v>0</v>
      </c>
      <c r="I38" s="32" t="n">
        <f aca="false">IF(I31&gt;=1,1,0)</f>
        <v>0</v>
      </c>
    </row>
    <row r="39" customFormat="false" ht="15" hidden="false" customHeight="true" outlineLevel="0" collapsed="false">
      <c r="A39" s="14" t="s">
        <v>613</v>
      </c>
      <c r="B39" s="15"/>
      <c r="C39" s="15"/>
      <c r="D39" s="15"/>
      <c r="E39" s="15"/>
      <c r="F39" s="15"/>
      <c r="G39" s="15"/>
      <c r="H39" s="15"/>
      <c r="I39" s="15"/>
      <c r="J39" s="15"/>
    </row>
    <row r="40" customFormat="false" ht="16.5" hidden="false" customHeight="true" outlineLevel="0" collapsed="false">
      <c r="A40" s="1" t="s">
        <v>614</v>
      </c>
      <c r="B40" s="7" t="s">
        <v>615</v>
      </c>
      <c r="C40" s="7" t="s">
        <v>76</v>
      </c>
      <c r="E40" s="25" t="n">
        <f aca="false">1-SRC_MM!$E$24/SRC_MM!$E$8</f>
        <v>0.178540485361104</v>
      </c>
      <c r="J40" s="7" t="s">
        <v>616</v>
      </c>
    </row>
    <row r="41" customFormat="false" ht="16.5" hidden="false" customHeight="true" outlineLevel="0" collapsed="false">
      <c r="A41" s="1" t="s">
        <v>617</v>
      </c>
      <c r="B41" s="7" t="s">
        <v>618</v>
      </c>
      <c r="C41" s="1" t="s">
        <v>38</v>
      </c>
      <c r="E41" s="18" t="n">
        <f aca="false">-SRC_MM!$E$39*2</f>
        <v>-586.062</v>
      </c>
    </row>
    <row r="42" customFormat="false" ht="16.5" hidden="false" customHeight="true" outlineLevel="0" collapsed="false">
      <c r="A42" s="1" t="s">
        <v>619</v>
      </c>
      <c r="B42" s="7" t="s">
        <v>620</v>
      </c>
      <c r="C42" s="1" t="s">
        <v>38</v>
      </c>
      <c r="E42" s="18" t="n">
        <f aca="false">-SRC_MM!$E$70</f>
        <v>-710</v>
      </c>
      <c r="F42" s="18" t="n">
        <f aca="false">-SRC_MM!$E$71</f>
        <v>-917</v>
      </c>
      <c r="G42" s="18" t="n">
        <f aca="false">-SRC_MM!$E$72</f>
        <v>-539</v>
      </c>
      <c r="J42" s="1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8"/>
    <col collapsed="false" customWidth="true" hidden="false" outlineLevel="0" max="9" min="3" style="1" width="11"/>
    <col collapsed="false" customWidth="true" hidden="false" outlineLevel="0" max="10" min="10" style="1" width="70"/>
  </cols>
  <sheetData>
    <row r="1" customFormat="false" ht="18.75" hidden="false" customHeight="true" outlineLevel="0" collapsed="false">
      <c r="A1" s="13" t="s">
        <v>621</v>
      </c>
    </row>
    <row r="2" customFormat="false" ht="16.5" hidden="false" customHeight="true" outlineLevel="0" collapsed="false">
      <c r="A2" s="7" t="s">
        <v>393</v>
      </c>
    </row>
    <row r="4" customFormat="false" ht="15" hidden="false" customHeight="true" outlineLevel="0" collapsed="false">
      <c r="A4" s="8" t="s">
        <v>27</v>
      </c>
      <c r="B4" s="9" t="s">
        <v>28</v>
      </c>
      <c r="C4" s="9" t="s">
        <v>30</v>
      </c>
      <c r="D4" s="8" t="s">
        <v>43</v>
      </c>
      <c r="E4" s="8" t="s">
        <v>394</v>
      </c>
      <c r="F4" s="8" t="s">
        <v>395</v>
      </c>
      <c r="G4" s="8" t="s">
        <v>396</v>
      </c>
      <c r="H4" s="8" t="s">
        <v>397</v>
      </c>
      <c r="I4" s="8" t="s">
        <v>398</v>
      </c>
      <c r="J4" s="9" t="s">
        <v>246</v>
      </c>
    </row>
    <row r="5" customFormat="false" ht="15" hidden="false" customHeight="true" outlineLevel="0" collapsed="false">
      <c r="B5" s="7" t="s">
        <v>399</v>
      </c>
      <c r="D5" s="1" t="n">
        <v>2025</v>
      </c>
      <c r="E5" s="1" t="n">
        <v>2026</v>
      </c>
      <c r="F5" s="1" t="n">
        <v>2027</v>
      </c>
      <c r="G5" s="1" t="n">
        <v>2028</v>
      </c>
      <c r="H5" s="1" t="n">
        <v>2029</v>
      </c>
      <c r="I5" s="1" t="n">
        <v>2030</v>
      </c>
    </row>
    <row r="6" customFormat="false" ht="16.5" hidden="false" customHeight="true" outlineLevel="0" collapsed="false">
      <c r="A6" s="14" t="s">
        <v>622</v>
      </c>
      <c r="B6" s="15"/>
      <c r="C6" s="15"/>
      <c r="D6" s="15"/>
      <c r="E6" s="15"/>
      <c r="F6" s="15"/>
      <c r="G6" s="15"/>
      <c r="H6" s="15"/>
      <c r="I6" s="15"/>
      <c r="J6" s="15"/>
    </row>
    <row r="7" customFormat="false" ht="15" hidden="false" customHeight="true" outlineLevel="0" collapsed="false">
      <c r="A7" s="1" t="s">
        <v>623</v>
      </c>
      <c r="B7" s="7" t="s">
        <v>624</v>
      </c>
      <c r="C7" s="1" t="s">
        <v>38</v>
      </c>
      <c r="E7" s="18" t="n">
        <f aca="false">SRC_MM!$E$44</f>
        <v>1050.3</v>
      </c>
      <c r="F7" s="29" t="n">
        <f aca="false">E19</f>
        <v>2986.62256247607</v>
      </c>
      <c r="G7" s="29" t="n">
        <f aca="false">F19</f>
        <v>1339.84302590947</v>
      </c>
      <c r="H7" s="29" t="n">
        <f aca="false">G19</f>
        <v>300</v>
      </c>
      <c r="I7" s="29" t="n">
        <f aca="false">H19</f>
        <v>300</v>
      </c>
    </row>
    <row r="8" customFormat="false" ht="16.5" hidden="false" customHeight="true" outlineLevel="0" collapsed="false">
      <c r="A8" s="1" t="s">
        <v>625</v>
      </c>
      <c r="B8" s="1" t="s">
        <v>626</v>
      </c>
      <c r="C8" s="1" t="s">
        <v>38</v>
      </c>
      <c r="D8" s="29" t="n">
        <v>0</v>
      </c>
      <c r="E8" s="18" t="n">
        <f aca="false">SRC_MM!$E$46/Inputs!$D$6</f>
        <v>680.385604113111</v>
      </c>
      <c r="F8" s="29" t="n">
        <v>0</v>
      </c>
      <c r="G8" s="29" t="n">
        <v>0</v>
      </c>
      <c r="H8" s="29" t="n">
        <v>0</v>
      </c>
      <c r="I8" s="29" t="n">
        <v>0</v>
      </c>
      <c r="J8" s="1" t="s">
        <v>627</v>
      </c>
    </row>
    <row r="9" customFormat="false" ht="16.5" hidden="false" customHeight="true" outlineLevel="0" collapsed="false">
      <c r="A9" s="1" t="s">
        <v>628</v>
      </c>
      <c r="B9" s="7" t="s">
        <v>629</v>
      </c>
      <c r="C9" s="1" t="s">
        <v>38</v>
      </c>
      <c r="D9" s="29" t="n">
        <v>0</v>
      </c>
      <c r="E9" s="18" t="n">
        <f aca="false">SRC_MM!$E$47/Inputs!$D$6</f>
        <v>1213.84318766067</v>
      </c>
      <c r="F9" s="29" t="n">
        <v>0</v>
      </c>
      <c r="G9" s="29" t="n">
        <v>0</v>
      </c>
      <c r="H9" s="29" t="n">
        <v>0</v>
      </c>
      <c r="I9" s="29" t="n">
        <v>0</v>
      </c>
      <c r="J9" s="1" t="s">
        <v>630</v>
      </c>
    </row>
    <row r="10" customFormat="false" ht="16.5" hidden="false" customHeight="true" outlineLevel="0" collapsed="false">
      <c r="A10" s="1" t="s">
        <v>631</v>
      </c>
      <c r="B10" s="7" t="s">
        <v>632</v>
      </c>
      <c r="C10" s="1" t="s">
        <v>38</v>
      </c>
      <c r="D10" s="29" t="n">
        <v>0</v>
      </c>
      <c r="E10" s="18" t="n">
        <f aca="false">SRC_MM!$E$49/Inputs!$D$6</f>
        <v>826.902313624679</v>
      </c>
      <c r="F10" s="29" t="n">
        <v>0</v>
      </c>
      <c r="G10" s="29" t="n">
        <v>0</v>
      </c>
      <c r="H10" s="29" t="n">
        <v>0</v>
      </c>
      <c r="I10" s="29" t="n">
        <v>0</v>
      </c>
      <c r="J10" s="1" t="s">
        <v>633</v>
      </c>
    </row>
    <row r="11" customFormat="false" ht="16.5" hidden="false" customHeight="true" outlineLevel="0" collapsed="false">
      <c r="A11" s="1" t="s">
        <v>634</v>
      </c>
      <c r="B11" s="7" t="s">
        <v>635</v>
      </c>
      <c r="C11" s="1" t="s">
        <v>38</v>
      </c>
      <c r="D11" s="29" t="n">
        <v>0</v>
      </c>
      <c r="E11" s="18" t="n">
        <f aca="false">SRC_MM!$E$52-SRC_MM!$E$51</f>
        <v>98.103</v>
      </c>
      <c r="F11" s="29" t="n">
        <v>0</v>
      </c>
      <c r="G11" s="29" t="n">
        <v>0</v>
      </c>
      <c r="H11" s="29" t="n">
        <v>0</v>
      </c>
      <c r="I11" s="29" t="n">
        <v>0</v>
      </c>
      <c r="J11" s="1" t="s">
        <v>636</v>
      </c>
    </row>
    <row r="12" customFormat="false" ht="15" hidden="false" customHeight="true" outlineLevel="0" collapsed="false">
      <c r="A12" s="14" t="s">
        <v>637</v>
      </c>
      <c r="B12" s="15"/>
      <c r="C12" s="15"/>
      <c r="D12" s="15"/>
      <c r="E12" s="15"/>
      <c r="F12" s="15"/>
      <c r="G12" s="15"/>
      <c r="H12" s="15"/>
      <c r="I12" s="15"/>
      <c r="J12" s="15"/>
    </row>
    <row r="13" customFormat="false" ht="16.5" hidden="false" customHeight="true" outlineLevel="0" collapsed="false">
      <c r="A13" s="1" t="s">
        <v>638</v>
      </c>
      <c r="B13" s="7" t="s">
        <v>639</v>
      </c>
      <c r="C13" s="1" t="s">
        <v>38</v>
      </c>
      <c r="E13" s="18" t="n">
        <f aca="false">PnL!$E$25</f>
        <v>-560.911542922391</v>
      </c>
      <c r="F13" s="18" t="n">
        <f aca="false">PnL!$F$25</f>
        <v>-811.303958160426</v>
      </c>
      <c r="G13" s="18" t="n">
        <f aca="false">PnL!$G$25</f>
        <v>-1112.57185615376</v>
      </c>
      <c r="H13" s="18" t="n">
        <f aca="false">PnL!$H$25</f>
        <v>-1416.67218065766</v>
      </c>
      <c r="I13" s="18" t="n">
        <f aca="false">PnL!$I$25</f>
        <v>-1677.25044695379</v>
      </c>
      <c r="J13" s="7" t="s">
        <v>640</v>
      </c>
    </row>
    <row r="14" customFormat="false" ht="15" hidden="false" customHeight="true" outlineLevel="0" collapsed="false">
      <c r="A14" s="1" t="s">
        <v>641</v>
      </c>
      <c r="B14" s="7" t="s">
        <v>642</v>
      </c>
      <c r="C14" s="1" t="s">
        <v>38</v>
      </c>
      <c r="E14" s="18" t="n">
        <f aca="false">-Inputs!$E$27</f>
        <v>-322</v>
      </c>
      <c r="F14" s="18" t="n">
        <f aca="false">-Inputs!$F$27</f>
        <v>-0</v>
      </c>
      <c r="G14" s="18" t="n">
        <f aca="false">-Inputs!$G$27</f>
        <v>-0</v>
      </c>
      <c r="H14" s="18" t="n">
        <f aca="false">-Inputs!$H$27</f>
        <v>-0</v>
      </c>
      <c r="I14" s="18" t="n">
        <f aca="false">-Inputs!$I$27</f>
        <v>-0</v>
      </c>
    </row>
    <row r="15" customFormat="false" ht="15" hidden="false" customHeight="true" outlineLevel="0" collapsed="false">
      <c r="A15" s="1" t="s">
        <v>643</v>
      </c>
      <c r="B15" s="7" t="s">
        <v>644</v>
      </c>
      <c r="C15" s="1" t="s">
        <v>38</v>
      </c>
      <c r="E15" s="29" t="n">
        <v>0</v>
      </c>
      <c r="F15" s="18" t="n">
        <f aca="false">-SRC_MM!$E$48/Inputs!$D$6*(1-Inputs!$D$28)</f>
        <v>-835.47557840617</v>
      </c>
      <c r="G15" s="29" t="n">
        <v>0</v>
      </c>
      <c r="H15" s="29" t="n">
        <v>0</v>
      </c>
      <c r="I15" s="29" t="n">
        <v>0</v>
      </c>
    </row>
    <row r="16" customFormat="false" ht="15" hidden="false" customHeight="true" outlineLevel="0" collapsed="false">
      <c r="A16" s="1" t="s">
        <v>645</v>
      </c>
      <c r="B16" s="7" t="s">
        <v>646</v>
      </c>
      <c r="C16" s="1" t="s">
        <v>38</v>
      </c>
      <c r="D16" s="18" t="n">
        <f aca="false">SRC_MM!$E$44</f>
        <v>1050.3</v>
      </c>
      <c r="E16" s="29" t="n">
        <f aca="false">E7+E8+E9+E10+E11+E13+E14+E15</f>
        <v>2986.62256247607</v>
      </c>
      <c r="F16" s="29" t="n">
        <f aca="false">F7+F8+F9+F10+F11+F13+F14+F15</f>
        <v>1339.84302590947</v>
      </c>
      <c r="G16" s="29" t="n">
        <f aca="false">G7+G8+G9+G10+G11+G13+G14+G15</f>
        <v>227.271169755711</v>
      </c>
      <c r="H16" s="29" t="n">
        <f aca="false">H7+H8+H9+H10+H11+H13+H14+H15</f>
        <v>-1116.67218065766</v>
      </c>
      <c r="I16" s="29" t="n">
        <f aca="false">I7+I8+I9+I10+I11+I13+I14+I15</f>
        <v>-1377.25044695379</v>
      </c>
    </row>
    <row r="17" customFormat="false" ht="15" hidden="false" customHeight="true" outlineLevel="0" collapsed="false">
      <c r="A17" s="22" t="s">
        <v>647</v>
      </c>
      <c r="B17" s="23" t="s">
        <v>648</v>
      </c>
      <c r="C17" s="22" t="s">
        <v>38</v>
      </c>
      <c r="D17" s="22"/>
      <c r="E17" s="33" t="n">
        <f aca="false">MAX(0,Inputs!$D$29-E16)</f>
        <v>0</v>
      </c>
      <c r="F17" s="33" t="n">
        <f aca="false">MAX(0,Inputs!$D$29-F16)</f>
        <v>0</v>
      </c>
      <c r="G17" s="33" t="n">
        <f aca="false">MAX(0,Inputs!$D$29-G16)</f>
        <v>72.7288302442892</v>
      </c>
      <c r="H17" s="33" t="n">
        <f aca="false">MAX(0,Inputs!$D$29-H16)</f>
        <v>1416.67218065766</v>
      </c>
      <c r="I17" s="33" t="n">
        <f aca="false">MAX(0,Inputs!$D$29-I16)</f>
        <v>1677.25044695379</v>
      </c>
    </row>
    <row r="18" customFormat="false" ht="16.5" hidden="false" customHeight="true" outlineLevel="0" collapsed="false">
      <c r="A18" s="22" t="s">
        <v>649</v>
      </c>
      <c r="B18" s="23" t="s">
        <v>650</v>
      </c>
      <c r="C18" s="22" t="s">
        <v>38</v>
      </c>
      <c r="D18" s="22"/>
      <c r="E18" s="24" t="n">
        <f aca="false">E17</f>
        <v>0</v>
      </c>
      <c r="F18" s="24" t="n">
        <f aca="false">E18+F17</f>
        <v>0</v>
      </c>
      <c r="G18" s="24" t="n">
        <f aca="false">F18+G17</f>
        <v>72.7288302442892</v>
      </c>
      <c r="H18" s="24" t="n">
        <f aca="false">G18+H17</f>
        <v>1489.40101090195</v>
      </c>
      <c r="I18" s="24" t="n">
        <f aca="false">H18+I17</f>
        <v>3166.65145785574</v>
      </c>
    </row>
    <row r="19" customFormat="false" ht="15" hidden="false" customHeight="true" outlineLevel="0" collapsed="false">
      <c r="A19" s="1" t="s">
        <v>651</v>
      </c>
      <c r="B19" s="7" t="s">
        <v>652</v>
      </c>
      <c r="C19" s="1" t="s">
        <v>38</v>
      </c>
      <c r="D19" s="29" t="n">
        <f aca="false">D16</f>
        <v>1050.3</v>
      </c>
      <c r="E19" s="29" t="n">
        <f aca="false">E16+E17</f>
        <v>2986.62256247607</v>
      </c>
      <c r="F19" s="29" t="n">
        <f aca="false">F16+F17</f>
        <v>1339.84302590947</v>
      </c>
      <c r="G19" s="29" t="n">
        <f aca="false">G16+G17</f>
        <v>300</v>
      </c>
      <c r="H19" s="29" t="n">
        <f aca="false">H16+H17</f>
        <v>300</v>
      </c>
      <c r="I19" s="29" t="n">
        <f aca="false">I16+I17</f>
        <v>300</v>
      </c>
    </row>
    <row r="20" customFormat="false" ht="15" hidden="false" customHeight="true" outlineLevel="0" collapsed="false">
      <c r="A20" s="1" t="s">
        <v>653</v>
      </c>
      <c r="B20" s="7" t="s">
        <v>654</v>
      </c>
      <c r="C20" s="7" t="s">
        <v>655</v>
      </c>
      <c r="E20" s="32" t="n">
        <f aca="false">IF(E17&gt;0,E$5,9999)</f>
        <v>9999</v>
      </c>
      <c r="F20" s="32" t="n">
        <f aca="false">IF(F17&gt;0,F$5,9999)</f>
        <v>9999</v>
      </c>
      <c r="G20" s="32" t="n">
        <f aca="false">IF(G17&gt;0,G$5,9999)</f>
        <v>2028</v>
      </c>
      <c r="H20" s="32" t="n">
        <f aca="false">IF(H17&gt;0,H$5,9999)</f>
        <v>2029</v>
      </c>
      <c r="I20" s="32" t="n">
        <f aca="false">IF(I17&gt;0,I$5,9999)</f>
        <v>2030</v>
      </c>
    </row>
    <row r="21" customFormat="false" ht="16.5" hidden="false" customHeight="true" outlineLevel="0" collapsed="false">
      <c r="A21" s="1" t="s">
        <v>656</v>
      </c>
      <c r="B21" s="7" t="s">
        <v>657</v>
      </c>
      <c r="C21" s="7" t="s">
        <v>655</v>
      </c>
      <c r="E21" s="32" t="n">
        <f aca="false">MIN(E20,F20,G20,H20,I20)</f>
        <v>2028</v>
      </c>
    </row>
    <row r="22" customFormat="false" ht="16.5" hidden="false" customHeight="true" outlineLevel="0" collapsed="false">
      <c r="A22" s="1" t="s">
        <v>658</v>
      </c>
      <c r="B22" s="7" t="s">
        <v>659</v>
      </c>
      <c r="C22" s="7" t="s">
        <v>76</v>
      </c>
      <c r="E22" s="25" t="n">
        <f aca="false">E18/(Valuation!$E$8*(1-Inputs!$D$30))</f>
        <v>0</v>
      </c>
      <c r="F22" s="25" t="n">
        <f aca="false">F18/(Valuation!$F$8*(1-Inputs!$D$30))</f>
        <v>0</v>
      </c>
      <c r="G22" s="25" t="n">
        <f aca="false">G18/(Valuation!$G$8*(1-Inputs!$D$30))</f>
        <v>0.00825607790618764</v>
      </c>
      <c r="H22" s="25" t="n">
        <f aca="false">H18/(Valuation!$H$8*(1-Inputs!$D$30))</f>
        <v>0.169074777337377</v>
      </c>
      <c r="I22" s="25" t="n">
        <f aca="false">I18/(Valuation!$I$8*(1-Inputs!$D$30))</f>
        <v>0.359473967200958</v>
      </c>
      <c r="J22" s="7" t="s">
        <v>660</v>
      </c>
    </row>
    <row r="23" customFormat="false" ht="16.5" hidden="false" customHeight="true" outlineLevel="0" collapsed="false">
      <c r="A23" s="14" t="s">
        <v>661</v>
      </c>
      <c r="B23" s="15"/>
      <c r="C23" s="15"/>
      <c r="D23" s="15"/>
      <c r="E23" s="15"/>
      <c r="F23" s="15"/>
      <c r="G23" s="15"/>
      <c r="H23" s="15"/>
      <c r="I23" s="15"/>
      <c r="J23" s="15"/>
    </row>
    <row r="24" customFormat="false" ht="16.5" hidden="false" customHeight="true" outlineLevel="0" collapsed="false">
      <c r="A24" s="1" t="s">
        <v>662</v>
      </c>
      <c r="B24" s="7" t="s">
        <v>663</v>
      </c>
      <c r="C24" s="1" t="s">
        <v>38</v>
      </c>
      <c r="D24" s="18" t="n">
        <f aca="false">SRC_MM!$E$73</f>
        <v>1555</v>
      </c>
      <c r="J24" s="1" t="s">
        <v>664</v>
      </c>
    </row>
    <row r="25" customFormat="false" ht="16.5" hidden="false" customHeight="true" outlineLevel="0" collapsed="false">
      <c r="A25" s="1" t="s">
        <v>665</v>
      </c>
      <c r="B25" s="1" t="s">
        <v>666</v>
      </c>
      <c r="C25" s="1" t="s">
        <v>38</v>
      </c>
      <c r="E25" s="29" t="n">
        <f aca="false">E8</f>
        <v>680.385604113111</v>
      </c>
    </row>
    <row r="26" customFormat="false" ht="16.5" hidden="false" customHeight="true" outlineLevel="0" collapsed="false">
      <c r="A26" s="1" t="s">
        <v>667</v>
      </c>
      <c r="B26" s="1" t="s">
        <v>668</v>
      </c>
      <c r="C26" s="1" t="s">
        <v>38</v>
      </c>
      <c r="E26" s="29" t="n">
        <f aca="false">E9+E10</f>
        <v>2040.74550128535</v>
      </c>
    </row>
    <row r="27" customFormat="false" ht="15" hidden="false" customHeight="true" outlineLevel="0" collapsed="false">
      <c r="A27" s="1" t="s">
        <v>669</v>
      </c>
      <c r="B27" s="7" t="s">
        <v>670</v>
      </c>
      <c r="C27" s="1" t="s">
        <v>38</v>
      </c>
      <c r="E27" s="29" t="n">
        <f aca="false">D24+E25+E26</f>
        <v>4276.13110539846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58"/>
    <col collapsed="false" customWidth="true" hidden="false" outlineLevel="0" max="9" min="3" style="1" width="11"/>
    <col collapsed="false" customWidth="true" hidden="false" outlineLevel="0" max="10" min="10" style="1" width="70"/>
  </cols>
  <sheetData>
    <row r="1" customFormat="false" ht="18.75" hidden="false" customHeight="true" outlineLevel="0" collapsed="false">
      <c r="A1" s="13" t="s">
        <v>671</v>
      </c>
    </row>
    <row r="2" customFormat="false" ht="16.5" hidden="false" customHeight="true" outlineLevel="0" collapsed="false">
      <c r="A2" s="7" t="s">
        <v>393</v>
      </c>
    </row>
    <row r="4" customFormat="false" ht="15" hidden="false" customHeight="true" outlineLevel="0" collapsed="false">
      <c r="A4" s="8" t="s">
        <v>27</v>
      </c>
      <c r="B4" s="9" t="s">
        <v>28</v>
      </c>
      <c r="C4" s="9" t="s">
        <v>30</v>
      </c>
      <c r="D4" s="8" t="s">
        <v>43</v>
      </c>
      <c r="E4" s="8" t="s">
        <v>394</v>
      </c>
      <c r="F4" s="8" t="s">
        <v>395</v>
      </c>
      <c r="G4" s="8" t="s">
        <v>396</v>
      </c>
      <c r="H4" s="8" t="s">
        <v>397</v>
      </c>
      <c r="I4" s="8" t="s">
        <v>398</v>
      </c>
      <c r="J4" s="9" t="s">
        <v>246</v>
      </c>
    </row>
    <row r="5" customFormat="false" ht="15" hidden="false" customHeight="true" outlineLevel="0" collapsed="false">
      <c r="B5" s="7" t="s">
        <v>399</v>
      </c>
      <c r="D5" s="1" t="n">
        <v>2025</v>
      </c>
      <c r="E5" s="1" t="n">
        <v>2026</v>
      </c>
      <c r="F5" s="1" t="n">
        <v>2027</v>
      </c>
      <c r="G5" s="1" t="n">
        <v>2028</v>
      </c>
      <c r="H5" s="1" t="n">
        <v>2029</v>
      </c>
      <c r="I5" s="1" t="n">
        <v>2030</v>
      </c>
    </row>
    <row r="6" customFormat="false" ht="16.5" hidden="false" customHeight="true" outlineLevel="0" collapsed="false">
      <c r="A6" s="14" t="s">
        <v>672</v>
      </c>
      <c r="B6" s="15"/>
      <c r="C6" s="15"/>
      <c r="D6" s="15"/>
      <c r="E6" s="15"/>
      <c r="F6" s="15"/>
      <c r="G6" s="15"/>
      <c r="H6" s="15"/>
      <c r="I6" s="15"/>
      <c r="J6" s="15"/>
    </row>
    <row r="7" customFormat="false" ht="16.5" hidden="false" customHeight="true" outlineLevel="0" collapsed="false">
      <c r="A7" s="1" t="s">
        <v>673</v>
      </c>
      <c r="B7" s="7" t="s">
        <v>674</v>
      </c>
      <c r="C7" s="1" t="s">
        <v>140</v>
      </c>
      <c r="D7" s="26" t="n">
        <f aca="false">SRC_MM!$E$56/SRC_MM!$E$55</f>
        <v>218.047826939652</v>
      </c>
      <c r="E7" s="26" t="n">
        <f aca="false">SRC_MM!$E$56/SRC_MM!$E$55</f>
        <v>218.047826939652</v>
      </c>
      <c r="F7" s="26" t="n">
        <f aca="false">SRC_MM!$E$56/SRC_MM!$E$55</f>
        <v>218.047826939652</v>
      </c>
      <c r="G7" s="26" t="n">
        <f aca="false">SRC_MM!$E$56/SRC_MM!$E$55</f>
        <v>218.047826939652</v>
      </c>
      <c r="H7" s="26" t="n">
        <f aca="false">SRC_MM!$E$56/SRC_MM!$E$55</f>
        <v>218.047826939652</v>
      </c>
      <c r="I7" s="26" t="n">
        <f aca="false">SRC_MM!$E$56/SRC_MM!$E$55</f>
        <v>218.047826939652</v>
      </c>
      <c r="J7" s="7" t="s">
        <v>675</v>
      </c>
    </row>
    <row r="8" customFormat="false" ht="15" hidden="false" customHeight="true" outlineLevel="0" collapsed="false">
      <c r="A8" s="1" t="s">
        <v>676</v>
      </c>
      <c r="B8" s="7" t="s">
        <v>153</v>
      </c>
      <c r="C8" s="1" t="s">
        <v>38</v>
      </c>
      <c r="D8" s="18" t="n">
        <f aca="false">SRC_MM!$E$56/Inputs!$D$6</f>
        <v>9787.9177377892</v>
      </c>
      <c r="E8" s="18" t="n">
        <f aca="false">SRC_MM!$E$56/Inputs!$D$6</f>
        <v>9787.9177377892</v>
      </c>
      <c r="F8" s="18" t="n">
        <f aca="false">SRC_MM!$E$56/Inputs!$D$6</f>
        <v>9787.9177377892</v>
      </c>
      <c r="G8" s="18" t="n">
        <f aca="false">SRC_MM!$E$56/Inputs!$D$6</f>
        <v>9787.9177377892</v>
      </c>
      <c r="H8" s="18" t="n">
        <f aca="false">SRC_MM!$E$56/Inputs!$D$6</f>
        <v>9787.9177377892</v>
      </c>
      <c r="I8" s="18" t="n">
        <f aca="false">SRC_MM!$E$56/Inputs!$D$6</f>
        <v>9787.9177377892</v>
      </c>
    </row>
    <row r="9" customFormat="false" ht="15" hidden="false" customHeight="true" outlineLevel="0" collapsed="false">
      <c r="A9" s="1" t="s">
        <v>677</v>
      </c>
      <c r="B9" s="7" t="s">
        <v>678</v>
      </c>
      <c r="C9" s="1" t="s">
        <v>38</v>
      </c>
      <c r="E9" s="18" t="n">
        <f aca="false">Funding!$E$19-SRC_MM!$E$52-SRC_MM!$E$48/Inputs!$D$6*(1-Inputs!$D$28)</f>
        <v>2017.5919840699</v>
      </c>
      <c r="F9" s="18" t="n">
        <f aca="false">Funding!$F$19-SRC_MM!$E$52</f>
        <v>1206.28802590947</v>
      </c>
      <c r="G9" s="18" t="n">
        <f aca="false">Funding!$G$19-SRC_MM!$E$52</f>
        <v>166.445</v>
      </c>
      <c r="H9" s="18" t="n">
        <f aca="false">Funding!$H$19-SRC_MM!$E$52</f>
        <v>166.445</v>
      </c>
      <c r="I9" s="18" t="n">
        <f aca="false">Funding!$I$19-SRC_MM!$E$52</f>
        <v>166.445</v>
      </c>
    </row>
    <row r="10" customFormat="false" ht="16.5" hidden="false" customHeight="true" outlineLevel="0" collapsed="false">
      <c r="A10" s="1" t="s">
        <v>679</v>
      </c>
      <c r="B10" s="7" t="s">
        <v>680</v>
      </c>
      <c r="C10" s="1" t="s">
        <v>38</v>
      </c>
      <c r="E10" s="29" t="n">
        <f aca="false">E8-E9</f>
        <v>7770.32575371931</v>
      </c>
      <c r="F10" s="29" t="n">
        <f aca="false">E8-F9</f>
        <v>8581.62971187973</v>
      </c>
      <c r="G10" s="29" t="n">
        <f aca="false">E8-G9</f>
        <v>9621.4727377892</v>
      </c>
      <c r="H10" s="29" t="n">
        <f aca="false">E8-H9</f>
        <v>9621.4727377892</v>
      </c>
      <c r="I10" s="29" t="n">
        <f aca="false">E8-I9</f>
        <v>9621.4727377892</v>
      </c>
      <c r="J10" s="7" t="s">
        <v>681</v>
      </c>
    </row>
    <row r="11" customFormat="false" ht="16.5" hidden="false" customHeight="true" outlineLevel="0" collapsed="false">
      <c r="A11" s="1" t="s">
        <v>682</v>
      </c>
      <c r="B11" s="1" t="s">
        <v>683</v>
      </c>
      <c r="C11" s="7" t="s">
        <v>167</v>
      </c>
      <c r="E11" s="34" t="n">
        <f aca="false">E10/Revenue!$E$17</f>
        <v>16.6927877155671</v>
      </c>
      <c r="F11" s="34" t="n">
        <f aca="false">E10/Revenue!$F$17</f>
        <v>8.96758849348441</v>
      </c>
      <c r="G11" s="34" t="n">
        <f aca="false">E10/Revenue!$G$17</f>
        <v>6.07470894996515</v>
      </c>
      <c r="H11" s="34" t="n">
        <f aca="false">E10/Revenue!$H$17</f>
        <v>4.76204957204938</v>
      </c>
      <c r="I11" s="34" t="n">
        <f aca="false">E10/Revenue!$I$17</f>
        <v>3.99695011938536</v>
      </c>
      <c r="J11" s="7" t="s">
        <v>684</v>
      </c>
    </row>
    <row r="12" customFormat="false" ht="16.5" hidden="false" customHeight="true" outlineLevel="0" collapsed="false">
      <c r="A12" s="14" t="s">
        <v>685</v>
      </c>
      <c r="B12" s="15"/>
      <c r="C12" s="15"/>
      <c r="D12" s="15"/>
      <c r="E12" s="15"/>
      <c r="F12" s="15"/>
      <c r="G12" s="15"/>
      <c r="H12" s="15"/>
      <c r="I12" s="15"/>
      <c r="J12" s="15"/>
    </row>
    <row r="13" customFormat="false" ht="15" hidden="false" customHeight="true" outlineLevel="0" collapsed="false">
      <c r="A13" s="1" t="s">
        <v>686</v>
      </c>
      <c r="B13" s="7" t="s">
        <v>687</v>
      </c>
      <c r="C13" s="1" t="s">
        <v>38</v>
      </c>
      <c r="E13" s="18" t="n">
        <f aca="false">SRC_MM!$E$74/Inputs!$D$6</f>
        <v>37493.5732647815</v>
      </c>
    </row>
    <row r="14" customFormat="false" ht="16.5" hidden="false" customHeight="true" outlineLevel="0" collapsed="false">
      <c r="A14" s="1" t="s">
        <v>688</v>
      </c>
      <c r="B14" s="7" t="s">
        <v>689</v>
      </c>
      <c r="C14" s="7" t="s">
        <v>167</v>
      </c>
      <c r="E14" s="34" t="n">
        <f aca="false">E13/(SRC_MM!$E$75/SRC_MM!$E$81*2)</f>
        <v>139.520110157206</v>
      </c>
    </row>
    <row r="15" customFormat="false" ht="16.5" hidden="false" customHeight="true" outlineLevel="0" collapsed="false">
      <c r="A15" s="1" t="s">
        <v>690</v>
      </c>
      <c r="B15" s="1" t="s">
        <v>691</v>
      </c>
      <c r="C15" s="7" t="s">
        <v>167</v>
      </c>
      <c r="E15" s="34" t="n">
        <f aca="false">E8/(SRC_MM!$E$8*2)</f>
        <v>41.981924364086</v>
      </c>
    </row>
    <row r="16" customFormat="false" ht="16.5" hidden="false" customHeight="true" outlineLevel="0" collapsed="false">
      <c r="A16" s="14" t="s">
        <v>692</v>
      </c>
      <c r="B16" s="15"/>
      <c r="C16" s="15"/>
      <c r="D16" s="15"/>
      <c r="E16" s="15"/>
      <c r="F16" s="15"/>
      <c r="G16" s="15"/>
      <c r="H16" s="15"/>
      <c r="I16" s="15"/>
      <c r="J16" s="15"/>
    </row>
    <row r="17" customFormat="false" ht="16.5" hidden="false" customHeight="true" outlineLevel="0" collapsed="false">
      <c r="A17" s="1" t="s">
        <v>693</v>
      </c>
      <c r="B17" s="1" t="s">
        <v>694</v>
      </c>
      <c r="C17" s="1" t="s">
        <v>38</v>
      </c>
      <c r="I17" s="18" t="n">
        <f aca="false">Revenue!$I$17*Inputs!$D$33</f>
        <v>15552.509832</v>
      </c>
    </row>
    <row r="18" customFormat="false" ht="16.5" hidden="false" customHeight="true" outlineLevel="0" collapsed="false">
      <c r="A18" s="1" t="s">
        <v>695</v>
      </c>
      <c r="B18" s="1" t="s">
        <v>696</v>
      </c>
      <c r="C18" s="1" t="s">
        <v>38</v>
      </c>
      <c r="I18" s="29" t="n">
        <f aca="false">I17+I9</f>
        <v>15718.954832</v>
      </c>
    </row>
    <row r="19" customFormat="false" ht="16.5" hidden="false" customHeight="true" outlineLevel="0" collapsed="false">
      <c r="A19" s="22" t="s">
        <v>697</v>
      </c>
      <c r="B19" s="23" t="s">
        <v>698</v>
      </c>
      <c r="C19" s="23" t="s">
        <v>76</v>
      </c>
      <c r="D19" s="22"/>
      <c r="E19" s="22"/>
      <c r="F19" s="22"/>
      <c r="G19" s="22"/>
      <c r="H19" s="22"/>
      <c r="I19" s="35" t="n">
        <f aca="false">1/(1+Funding!$I$22)</f>
        <v>0.735578631239931</v>
      </c>
    </row>
    <row r="20" customFormat="false" ht="16.5" hidden="false" customHeight="true" outlineLevel="0" collapsed="false">
      <c r="A20" s="1" t="s">
        <v>699</v>
      </c>
      <c r="B20" s="7" t="s">
        <v>700</v>
      </c>
      <c r="C20" s="1" t="s">
        <v>38</v>
      </c>
      <c r="I20" s="18" t="n">
        <f aca="false">I18*I19/(1+Inputs!$D$34)^4</f>
        <v>7348.19511839045</v>
      </c>
      <c r="J20" s="7" t="s">
        <v>701</v>
      </c>
    </row>
    <row r="21" customFormat="false" ht="16.5" hidden="false" customHeight="true" outlineLevel="0" collapsed="false">
      <c r="A21" s="1" t="s">
        <v>702</v>
      </c>
      <c r="B21" s="7" t="s">
        <v>703</v>
      </c>
      <c r="C21" s="7" t="s">
        <v>167</v>
      </c>
      <c r="I21" s="20" t="n">
        <f aca="false">I20/I8</f>
        <v>0.750741405398263</v>
      </c>
      <c r="J21" s="1" t="s">
        <v>704</v>
      </c>
    </row>
    <row r="22" customFormat="false" ht="16.5" hidden="false" customHeight="true" outlineLevel="0" collapsed="false">
      <c r="A22" s="1" t="s">
        <v>705</v>
      </c>
      <c r="B22" s="7" t="s">
        <v>706</v>
      </c>
      <c r="C22" s="1" t="s">
        <v>38</v>
      </c>
      <c r="I22" s="18" t="n">
        <f aca="false">(I8*(1+Inputs!$D$34)^4/I19-I9)/Inputs!$D$33</f>
        <v>2596.43293393848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60"/>
    <col collapsed="false" customWidth="true" hidden="false" outlineLevel="0" max="3" min="3" style="1" width="16"/>
  </cols>
  <sheetData>
    <row r="1" customFormat="false" ht="16.5" hidden="false" customHeight="true" outlineLevel="0" collapsed="false">
      <c r="A1" s="6" t="s">
        <v>707</v>
      </c>
    </row>
    <row r="3" customFormat="false" ht="16.5" hidden="false" customHeight="true" outlineLevel="0" collapsed="false">
      <c r="A3" s="8" t="s">
        <v>27</v>
      </c>
      <c r="B3" s="9" t="s">
        <v>708</v>
      </c>
      <c r="C3" s="9" t="s">
        <v>709</v>
      </c>
    </row>
    <row r="4" customFormat="false" ht="16.5" hidden="false" customHeight="true" outlineLevel="0" collapsed="false">
      <c r="A4" s="1" t="s">
        <v>710</v>
      </c>
      <c r="B4" s="1" t="s">
        <v>711</v>
      </c>
      <c r="C4" s="36" t="n">
        <f aca="false">MAX(0,ABS(Revenue!$D$20)-0.1)</f>
        <v>0</v>
      </c>
    </row>
    <row r="5" customFormat="false" ht="16.5" hidden="false" customHeight="true" outlineLevel="0" collapsed="false">
      <c r="A5" s="1" t="s">
        <v>712</v>
      </c>
      <c r="B5" s="1" t="s">
        <v>713</v>
      </c>
      <c r="C5" s="36" t="n">
        <f aca="false">ABS(PnL!$D$11-SRC_MM!$E$23)</f>
        <v>0</v>
      </c>
    </row>
    <row r="6" customFormat="false" ht="16.5" hidden="false" customHeight="true" outlineLevel="0" collapsed="false">
      <c r="A6" s="1" t="s">
        <v>714</v>
      </c>
      <c r="B6" s="1" t="s">
        <v>715</v>
      </c>
      <c r="C6" s="36" t="n">
        <f aca="false">ABS(PnL!$D$22-(SRC_MM!$E$25+SRC_MM!$E$26+SRC_MM!$E$27))</f>
        <v>0</v>
      </c>
    </row>
    <row r="7" customFormat="false" ht="16.5" hidden="false" customHeight="true" outlineLevel="0" collapsed="false">
      <c r="A7" s="1" t="s">
        <v>716</v>
      </c>
      <c r="B7" s="1" t="s">
        <v>717</v>
      </c>
      <c r="C7" s="36" t="n">
        <f aca="false">MAX(0,ABS(SRC_MM!$E$11+SRC_MM!$E$12-SRC_MM!$E$8)-0.1)</f>
        <v>0</v>
      </c>
    </row>
    <row r="8" customFormat="false" ht="16.5" hidden="false" customHeight="true" outlineLevel="0" collapsed="false">
      <c r="A8" s="1" t="s">
        <v>718</v>
      </c>
      <c r="B8" s="7" t="s">
        <v>719</v>
      </c>
      <c r="C8" s="36" t="n">
        <f aca="false">SUMPRODUCT((Compute!$D$7:$I$7&lt;0)+(Compute!$D$7:$I$7&gt;1))</f>
        <v>0</v>
      </c>
    </row>
    <row r="9" customFormat="false" ht="16.5" hidden="false" customHeight="true" outlineLevel="0" collapsed="false">
      <c r="A9" s="1" t="s">
        <v>720</v>
      </c>
      <c r="B9" s="7" t="s">
        <v>721</v>
      </c>
      <c r="C9" s="36" t="n">
        <f aca="false">ABS(SUM(Compute!$D$31:$I$31)-SUM(Compute!$D$30:$I$30)-SUM(Compute!$D$28:$I$28))</f>
        <v>0</v>
      </c>
    </row>
    <row r="10" customFormat="false" ht="16.5" hidden="false" customHeight="true" outlineLevel="0" collapsed="false">
      <c r="A10" s="1" t="s">
        <v>722</v>
      </c>
      <c r="B10" s="1" t="s">
        <v>723</v>
      </c>
      <c r="C10" s="36" t="n">
        <f aca="false">MAX(0,ABS(PnL!$D$13-(1-SRC_MM!$E$23/SRC_MM!$E$6))-0.001)</f>
        <v>0</v>
      </c>
    </row>
    <row r="11" customFormat="false" ht="15" hidden="false" customHeight="true" outlineLevel="0" collapsed="false">
      <c r="A11" s="1" t="s">
        <v>724</v>
      </c>
      <c r="B11" s="7" t="s">
        <v>725</v>
      </c>
      <c r="C11" s="36" t="n">
        <f aca="false">SUMPRODUCT((Funding!$E$19:$I$19&lt;Inputs!$D$29-0.001)*1)</f>
        <v>0</v>
      </c>
    </row>
    <row r="13" customFormat="false" ht="16.5" hidden="false" customHeight="true" outlineLevel="0" collapsed="false">
      <c r="A13" s="1" t="s">
        <v>726</v>
      </c>
      <c r="B13" s="7" t="s">
        <v>727</v>
      </c>
      <c r="C13" s="1" t="n">
        <f aca="false">SUM(C4:C11)</f>
        <v>0</v>
      </c>
    </row>
    <row r="14" customFormat="false" ht="16.5" hidden="false" customHeight="true" outlineLevel="0" collapsed="false">
      <c r="A14" s="1" t="s">
        <v>728</v>
      </c>
      <c r="B14" s="7" t="s">
        <v>729</v>
      </c>
      <c r="C14" s="1" t="n">
        <f aca="false">SUMPRODUCT(--ISERROR(Demand!$D$6:$I$80))+SUMPRODUCT(--ISERROR(Revenue!$D$6:$I$80))+SUMPRODUCT(--ISERROR(Compute!$D$6:$I$80))+SUMPRODUCT(--ISERROR(PnL!$D$6:$I$80))+SUMPRODUCT(--ISERROR(Funding!$D$6:$I$80))+SUMPRODUCT(--ISERROR(Valuation!$D$6:$I$80))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0"/>
    <col collapsed="false" customWidth="true" hidden="false" outlineLevel="0" max="10" min="3" style="0" width="16"/>
  </cols>
  <sheetData>
    <row r="1" customFormat="false" ht="17.15" hidden="false" customHeight="false" outlineLevel="0" collapsed="false">
      <c r="A1" s="37" t="s">
        <v>730</v>
      </c>
    </row>
    <row r="3" customFormat="false" ht="17.15" hidden="false" customHeight="false" outlineLevel="0" collapsed="false">
      <c r="A3" s="38" t="s">
        <v>731</v>
      </c>
      <c r="B3" s="38" t="s">
        <v>732</v>
      </c>
      <c r="C3" s="39" t="s">
        <v>733</v>
      </c>
      <c r="D3" s="39" t="s">
        <v>734</v>
      </c>
      <c r="E3" s="39" t="s">
        <v>735</v>
      </c>
      <c r="F3" s="39" t="s">
        <v>736</v>
      </c>
      <c r="G3" s="39" t="s">
        <v>737</v>
      </c>
      <c r="H3" s="38" t="s">
        <v>738</v>
      </c>
      <c r="I3" s="38" t="s">
        <v>739</v>
      </c>
      <c r="J3" s="38" t="s">
        <v>740</v>
      </c>
    </row>
    <row r="4" customFormat="false" ht="15" hidden="false" customHeight="false" outlineLevel="0" collapsed="false">
      <c r="A4" s="40" t="s">
        <v>741</v>
      </c>
      <c r="B4" s="0" t="s">
        <v>240</v>
      </c>
      <c r="C4" s="41" t="n">
        <v>465.49</v>
      </c>
      <c r="D4" s="41" t="n">
        <v>1944.063729</v>
      </c>
      <c r="E4" s="42" t="n">
        <v>0.689817532443159</v>
      </c>
      <c r="F4" s="43" t="n">
        <v>0.508522082917546</v>
      </c>
      <c r="G4" s="41" t="n">
        <v>-1677.25044695379</v>
      </c>
      <c r="H4" s="41" t="n">
        <v>3166.65145785574</v>
      </c>
      <c r="I4" s="44" t="n">
        <v>2028</v>
      </c>
      <c r="J4" s="43" t="n">
        <v>0.750741405398263</v>
      </c>
    </row>
    <row r="5" customFormat="false" ht="17.15" hidden="false" customHeight="false" outlineLevel="0" collapsed="false">
      <c r="A5" s="40" t="s">
        <v>742</v>
      </c>
      <c r="B5" s="0" t="s">
        <v>743</v>
      </c>
      <c r="C5" s="41" t="n">
        <v>465.49</v>
      </c>
      <c r="D5" s="41" t="n">
        <v>1944.063729</v>
      </c>
      <c r="E5" s="42" t="n">
        <v>0.689817532443159</v>
      </c>
      <c r="F5" s="43" t="n">
        <v>0.508522082917546</v>
      </c>
      <c r="G5" s="41" t="n">
        <v>-1677.25044695379</v>
      </c>
      <c r="H5" s="41" t="n">
        <v>3166.65145785574</v>
      </c>
      <c r="I5" s="44" t="n">
        <v>2028</v>
      </c>
      <c r="J5" s="43" t="n">
        <v>0.750741405398263</v>
      </c>
    </row>
    <row r="6" customFormat="false" ht="17.15" hidden="false" customHeight="false" outlineLevel="0" collapsed="false">
      <c r="A6" s="40" t="s">
        <v>744</v>
      </c>
      <c r="B6" s="0" t="s">
        <v>745</v>
      </c>
      <c r="C6" s="41" t="n">
        <v>465.49</v>
      </c>
      <c r="D6" s="41" t="n">
        <v>1944.063729</v>
      </c>
      <c r="E6" s="42" t="n">
        <v>0.689817532443159</v>
      </c>
      <c r="F6" s="43" t="n">
        <v>0.508522082917546</v>
      </c>
      <c r="G6" s="41" t="n">
        <v>-1677.25044695379</v>
      </c>
      <c r="H6" s="41" t="n">
        <v>3166.65145785574</v>
      </c>
      <c r="I6" s="44" t="n">
        <v>2028</v>
      </c>
      <c r="J6" s="43" t="n">
        <v>0.750741405398263</v>
      </c>
    </row>
    <row r="7" customFormat="false" ht="17.15" hidden="false" customHeight="false" outlineLevel="0" collapsed="false">
      <c r="A7" s="0" t="s">
        <v>746</v>
      </c>
      <c r="B7" s="0" t="s">
        <v>747</v>
      </c>
      <c r="C7" s="41" t="n">
        <v>465.49</v>
      </c>
      <c r="D7" s="41" t="n">
        <v>800.2729692</v>
      </c>
      <c r="E7" s="42" t="n">
        <v>0.620640939384279</v>
      </c>
      <c r="F7" s="43" t="n">
        <v>0.238746638722368</v>
      </c>
      <c r="G7" s="41" t="n">
        <v>-2350.04891006669</v>
      </c>
      <c r="H7" s="41" t="n">
        <v>4648.20409398508</v>
      </c>
      <c r="I7" s="44" t="n">
        <v>2028</v>
      </c>
      <c r="J7" s="43" t="n">
        <v>0.279181239869061</v>
      </c>
    </row>
    <row r="8" customFormat="false" ht="17.15" hidden="false" customHeight="false" outlineLevel="0" collapsed="false">
      <c r="A8" s="0" t="s">
        <v>748</v>
      </c>
      <c r="B8" s="0" t="s">
        <v>749</v>
      </c>
      <c r="C8" s="41" t="n">
        <v>465.49</v>
      </c>
      <c r="D8" s="41" t="n">
        <v>4988.222925</v>
      </c>
      <c r="E8" s="42" t="n">
        <v>0.719354930780281</v>
      </c>
      <c r="F8" s="43" t="n">
        <v>0.982611083936739</v>
      </c>
      <c r="G8" s="41" t="n">
        <v>121.141513694587</v>
      </c>
      <c r="H8" s="41" t="n">
        <v>0</v>
      </c>
      <c r="I8" s="44" t="n">
        <v>9999</v>
      </c>
      <c r="J8" s="43" t="n">
        <v>2.62650857423342</v>
      </c>
    </row>
    <row r="9" customFormat="false" ht="17.15" hidden="false" customHeight="false" outlineLevel="0" collapsed="false">
      <c r="A9" s="0" t="s">
        <v>750</v>
      </c>
      <c r="B9" s="0" t="s">
        <v>751</v>
      </c>
      <c r="C9" s="41" t="n">
        <v>465.49</v>
      </c>
      <c r="D9" s="41" t="n">
        <v>592.280625</v>
      </c>
      <c r="E9" s="42" t="n">
        <v>0.0959938469218469</v>
      </c>
      <c r="F9" s="43" t="n">
        <v>0.166716968442427</v>
      </c>
      <c r="G9" s="41" t="n">
        <v>-2758.67693015379</v>
      </c>
      <c r="H9" s="41" t="n">
        <v>5510.93266905574</v>
      </c>
      <c r="I9" s="44" t="n">
        <v>2028</v>
      </c>
      <c r="J9" s="43" t="n">
        <v>0.195901240313121</v>
      </c>
    </row>
    <row r="10" customFormat="false" ht="17.15" hidden="false" customHeight="false" outlineLevel="0" collapsed="false">
      <c r="A10" s="0" t="s">
        <v>752</v>
      </c>
      <c r="B10" s="0" t="s">
        <v>753</v>
      </c>
      <c r="C10" s="41" t="n">
        <v>465.49</v>
      </c>
      <c r="D10" s="41" t="n">
        <v>5303.420625</v>
      </c>
      <c r="E10" s="42" t="n">
        <v>0.854625460836614</v>
      </c>
      <c r="F10" s="43" t="n">
        <v>1.17989098051186</v>
      </c>
      <c r="G10" s="41" t="n">
        <v>1052.11511731493</v>
      </c>
      <c r="H10" s="41" t="n">
        <v>0</v>
      </c>
      <c r="I10" s="44" t="n">
        <v>9999</v>
      </c>
      <c r="J10" s="43" t="n">
        <v>2.92451974675567</v>
      </c>
    </row>
    <row r="11" customFormat="false" ht="17.15" hidden="false" customHeight="false" outlineLevel="0" collapsed="false">
      <c r="A11" s="0" t="s">
        <v>754</v>
      </c>
      <c r="B11" s="0" t="s">
        <v>755</v>
      </c>
      <c r="C11" s="41" t="n">
        <v>340.49</v>
      </c>
      <c r="D11" s="41" t="n">
        <v>1387.143729</v>
      </c>
      <c r="E11" s="42" t="n">
        <v>0.670385327367942</v>
      </c>
      <c r="F11" s="43" t="n">
        <v>0.385999785955808</v>
      </c>
      <c r="G11" s="41" t="n">
        <v>-2004.84088853277</v>
      </c>
      <c r="H11" s="41" t="n">
        <v>3978.64498078393</v>
      </c>
      <c r="I11" s="44" t="n">
        <v>2028</v>
      </c>
      <c r="J11" s="43" t="n">
        <v>0.503793535012413</v>
      </c>
    </row>
    <row r="12" customFormat="false" ht="17.15" hidden="false" customHeight="false" outlineLevel="0" collapsed="false">
      <c r="A12" s="0" t="s">
        <v>756</v>
      </c>
      <c r="B12" s="0" t="s">
        <v>757</v>
      </c>
      <c r="C12" s="41" t="n">
        <v>540.49</v>
      </c>
      <c r="D12" s="41" t="n">
        <v>2278.215729</v>
      </c>
      <c r="E12" s="42" t="n">
        <v>0.696916577823526</v>
      </c>
      <c r="F12" s="43" t="n">
        <v>0.575224801800218</v>
      </c>
      <c r="G12" s="41" t="n">
        <v>-1480.69618200641</v>
      </c>
      <c r="H12" s="41" t="n">
        <v>2677.31025719368</v>
      </c>
      <c r="I12" s="44" t="n">
        <v>2029</v>
      </c>
      <c r="J12" s="43" t="n">
        <v>0.915836831874977</v>
      </c>
    </row>
    <row r="13" customFormat="false" ht="17.15" hidden="false" customHeight="false" outlineLevel="0" collapsed="false">
      <c r="A13" s="40" t="s">
        <v>758</v>
      </c>
      <c r="B13" s="0" t="s">
        <v>759</v>
      </c>
      <c r="C13" s="41" t="n">
        <v>465.49</v>
      </c>
      <c r="D13" s="41" t="n">
        <v>1944.063729</v>
      </c>
      <c r="E13" s="42" t="n">
        <v>0.689817532443159</v>
      </c>
      <c r="F13" s="43" t="n">
        <v>1.0207074783012</v>
      </c>
      <c r="G13" s="41" t="n">
        <v>281.221069968328</v>
      </c>
      <c r="H13" s="41" t="n">
        <v>0</v>
      </c>
      <c r="I13" s="44" t="n">
        <v>9999</v>
      </c>
      <c r="J13" s="43" t="n">
        <v>1.12571968934986</v>
      </c>
    </row>
    <row r="14" customFormat="false" ht="17.15" hidden="false" customHeight="false" outlineLevel="0" collapsed="false">
      <c r="A14" s="40" t="s">
        <v>760</v>
      </c>
      <c r="B14" s="0" t="s">
        <v>761</v>
      </c>
      <c r="C14" s="41" t="n">
        <v>465.49</v>
      </c>
      <c r="D14" s="41" t="n">
        <v>1944.063729</v>
      </c>
      <c r="E14" s="42" t="n">
        <v>0.689817532443159</v>
      </c>
      <c r="F14" s="43" t="n">
        <v>0.743983804295073</v>
      </c>
      <c r="G14" s="41" t="n">
        <v>-463.662707663621</v>
      </c>
      <c r="H14" s="41" t="n">
        <v>341.484392782897</v>
      </c>
      <c r="I14" s="44" t="n">
        <v>2030</v>
      </c>
      <c r="J14" s="43" t="n">
        <v>0.982525932355321</v>
      </c>
    </row>
    <row r="15" customFormat="false" ht="17.15" hidden="false" customHeight="false" outlineLevel="0" collapsed="false">
      <c r="A15" s="40" t="s">
        <v>762</v>
      </c>
      <c r="B15" s="0" t="s">
        <v>763</v>
      </c>
      <c r="C15" s="41" t="n">
        <v>465.49</v>
      </c>
      <c r="D15" s="41" t="n">
        <v>1944.063729</v>
      </c>
      <c r="E15" s="42" t="n">
        <v>0.689817532443159</v>
      </c>
      <c r="F15" s="43" t="n">
        <v>0.339871980444757</v>
      </c>
      <c r="G15" s="41" t="n">
        <v>-3574.27052554754</v>
      </c>
      <c r="H15" s="41" t="n">
        <v>7107.16344569949</v>
      </c>
      <c r="I15" s="44" t="n">
        <v>2028</v>
      </c>
      <c r="J15" s="43" t="n">
        <v>0.564874873847398</v>
      </c>
    </row>
    <row r="16" customFormat="false" ht="17.15" hidden="false" customHeight="false" outlineLevel="0" collapsed="false">
      <c r="A16" s="40" t="s">
        <v>764</v>
      </c>
      <c r="B16" s="0" t="s">
        <v>765</v>
      </c>
      <c r="C16" s="41" t="n">
        <v>465.49</v>
      </c>
      <c r="D16" s="41" t="n">
        <v>1944.063729</v>
      </c>
      <c r="E16" s="42" t="n">
        <v>0.575059825163048</v>
      </c>
      <c r="F16" s="43" t="n">
        <v>0.480482639977506</v>
      </c>
      <c r="G16" s="41" t="n">
        <v>-1900.34674330026</v>
      </c>
      <c r="H16" s="41" t="n">
        <v>3687.43817455387</v>
      </c>
      <c r="I16" s="44" t="n">
        <v>2028</v>
      </c>
      <c r="J16" s="43" t="n">
        <v>0.719454713530683</v>
      </c>
    </row>
    <row r="17" customFormat="false" ht="17.15" hidden="false" customHeight="false" outlineLevel="0" collapsed="false">
      <c r="A17" s="40" t="s">
        <v>766</v>
      </c>
      <c r="B17" s="0" t="s">
        <v>767</v>
      </c>
      <c r="C17" s="41" t="n">
        <v>465.49</v>
      </c>
      <c r="D17" s="41" t="n">
        <v>1944.063729</v>
      </c>
      <c r="E17" s="42" t="n">
        <v>0.768949546873567</v>
      </c>
      <c r="F17" s="43" t="n">
        <v>0.529843171797498</v>
      </c>
      <c r="G17" s="41" t="n">
        <v>-1523.41276789693</v>
      </c>
      <c r="H17" s="41" t="n">
        <v>2756.51456719054</v>
      </c>
      <c r="I17" s="44" t="n">
        <v>2029</v>
      </c>
      <c r="J17" s="43" t="n">
        <v>0.777363946957722</v>
      </c>
    </row>
    <row r="18" customFormat="false" ht="17.15" hidden="false" customHeight="false" outlineLevel="0" collapsed="false">
      <c r="A18" s="0" t="s">
        <v>768</v>
      </c>
      <c r="B18" s="0" t="s">
        <v>769</v>
      </c>
      <c r="C18" s="41" t="n">
        <v>465.49</v>
      </c>
      <c r="D18" s="41" t="n">
        <v>1944.063729</v>
      </c>
      <c r="E18" s="42" t="n">
        <v>0.63537506498396</v>
      </c>
      <c r="F18" s="43" t="n">
        <v>0.494822815805854</v>
      </c>
      <c r="G18" s="41" t="n">
        <v>-1783.09007325849</v>
      </c>
      <c r="H18" s="41" t="n">
        <v>3628.32368183474</v>
      </c>
      <c r="I18" s="44" t="n">
        <v>2028</v>
      </c>
      <c r="J18" s="43" t="n">
        <v>0.722874240976888</v>
      </c>
    </row>
    <row r="19" customFormat="false" ht="17.15" hidden="false" customHeight="false" outlineLevel="0" collapsed="false">
      <c r="A19" s="0" t="s">
        <v>770</v>
      </c>
      <c r="B19" s="0" t="s">
        <v>771</v>
      </c>
      <c r="C19" s="41" t="n">
        <v>465.49</v>
      </c>
      <c r="D19" s="41" t="n">
        <v>1944.063729</v>
      </c>
      <c r="E19" s="42" t="n">
        <v>0.753333744478892</v>
      </c>
      <c r="F19" s="43" t="n">
        <v>0.525495262737868</v>
      </c>
      <c r="G19" s="41" t="n">
        <v>-1553.77088293165</v>
      </c>
      <c r="H19" s="41" t="n">
        <v>2621.56263327437</v>
      </c>
      <c r="I19" s="44" t="n">
        <v>2029</v>
      </c>
      <c r="J19" s="43" t="n">
        <v>0.786541588978656</v>
      </c>
    </row>
    <row r="20" customFormat="false" ht="17.15" hidden="false" customHeight="false" outlineLevel="0" collapsed="false">
      <c r="A20" s="40" t="s">
        <v>772</v>
      </c>
      <c r="B20" s="0" t="s">
        <v>773</v>
      </c>
      <c r="C20" s="41" t="n">
        <v>465.49</v>
      </c>
      <c r="D20" s="41" t="n">
        <v>1944.063729</v>
      </c>
      <c r="E20" s="42" t="n">
        <v>0.68807867748823</v>
      </c>
      <c r="F20" s="43" t="n">
        <v>0.508072821484494</v>
      </c>
      <c r="G20" s="41" t="n">
        <v>-1680.63089180166</v>
      </c>
      <c r="H20" s="41" t="n">
        <v>3230.07740758473</v>
      </c>
      <c r="I20" s="44" t="n">
        <v>2028</v>
      </c>
      <c r="J20" s="43" t="n">
        <v>0.746786286012988</v>
      </c>
    </row>
    <row r="21" customFormat="false" ht="17.15" hidden="false" customHeight="false" outlineLevel="0" collapsed="false">
      <c r="A21" s="40" t="s">
        <v>774</v>
      </c>
      <c r="B21" s="0" t="s">
        <v>775</v>
      </c>
      <c r="C21" s="41" t="n">
        <v>465.49</v>
      </c>
      <c r="D21" s="41" t="n">
        <v>1944.063729</v>
      </c>
      <c r="E21" s="42" t="n">
        <v>0.691556387398088</v>
      </c>
      <c r="F21" s="43" t="n">
        <v>0.508972139569145</v>
      </c>
      <c r="G21" s="41" t="n">
        <v>-1673.87000210592</v>
      </c>
      <c r="H21" s="41" t="n">
        <v>3103.22550812675</v>
      </c>
      <c r="I21" s="44" t="n">
        <v>2028</v>
      </c>
      <c r="J21" s="43" t="n">
        <v>0.754738641943006</v>
      </c>
    </row>
    <row r="22" customFormat="false" ht="17.15" hidden="false" customHeight="false" outlineLevel="0" collapsed="false">
      <c r="A22" s="40" t="s">
        <v>776</v>
      </c>
      <c r="B22" s="0" t="s">
        <v>777</v>
      </c>
      <c r="C22" s="41" t="n">
        <v>465.49</v>
      </c>
      <c r="D22" s="41" t="n">
        <v>1944.063729</v>
      </c>
      <c r="E22" s="42" t="n">
        <v>0.689817532443159</v>
      </c>
      <c r="F22" s="43" t="n">
        <v>0.520431370931831</v>
      </c>
      <c r="G22" s="41" t="n">
        <v>-1589.76757914879</v>
      </c>
      <c r="H22" s="41" t="n">
        <v>2810.10483187137</v>
      </c>
      <c r="I22" s="44" t="n">
        <v>2029</v>
      </c>
      <c r="J22" s="43" t="n">
        <v>0.773778585723176</v>
      </c>
    </row>
    <row r="23" customFormat="false" ht="17.15" hidden="false" customHeight="false" outlineLevel="0" collapsed="false">
      <c r="A23" s="40" t="s">
        <v>778</v>
      </c>
      <c r="B23" s="0" t="s">
        <v>779</v>
      </c>
      <c r="C23" s="41" t="n">
        <v>465.49</v>
      </c>
      <c r="D23" s="41" t="n">
        <v>1944.063729</v>
      </c>
      <c r="E23" s="42" t="n">
        <v>0.689817532443159</v>
      </c>
      <c r="F23" s="43" t="n">
        <v>0.497145653472764</v>
      </c>
      <c r="G23" s="41" t="n">
        <v>-1764.73331475879</v>
      </c>
      <c r="H23" s="41" t="n">
        <v>3519.90340607974</v>
      </c>
      <c r="I23" s="44" t="n">
        <v>2028</v>
      </c>
      <c r="J23" s="43" t="n">
        <v>0.729231126193905</v>
      </c>
    </row>
    <row r="24" customFormat="false" ht="17.15" hidden="false" customHeight="false" outlineLevel="0" collapsed="false">
      <c r="A24" s="40" t="s">
        <v>780</v>
      </c>
      <c r="B24" s="0" t="s">
        <v>781</v>
      </c>
      <c r="C24" s="41" t="n">
        <v>465.49</v>
      </c>
      <c r="D24" s="41" t="n">
        <v>1944.063729</v>
      </c>
      <c r="E24" s="42" t="n">
        <v>0.689817532443159</v>
      </c>
      <c r="F24" s="43" t="n">
        <v>0.521356889913328</v>
      </c>
      <c r="G24" s="41" t="n">
        <v>-1621.66709679283</v>
      </c>
      <c r="H24" s="41" t="n">
        <v>2982.56943773444</v>
      </c>
      <c r="I24" s="44" t="n">
        <v>2029</v>
      </c>
      <c r="J24" s="43" t="n">
        <v>0.762461348102512</v>
      </c>
    </row>
    <row r="25" customFormat="false" ht="17.15" hidden="false" customHeight="false" outlineLevel="0" collapsed="false">
      <c r="A25" s="40" t="s">
        <v>782</v>
      </c>
      <c r="B25" s="0" t="s">
        <v>783</v>
      </c>
      <c r="C25" s="41" t="n">
        <v>465.49</v>
      </c>
      <c r="D25" s="41" t="n">
        <v>1944.063729</v>
      </c>
      <c r="E25" s="42" t="n">
        <v>0.689817532443159</v>
      </c>
      <c r="F25" s="43" t="n">
        <v>0.490412557617954</v>
      </c>
      <c r="G25" s="41" t="n">
        <v>-1760.62547219524</v>
      </c>
      <c r="H25" s="41" t="n">
        <v>3442.3166369555</v>
      </c>
      <c r="I25" s="44" t="n">
        <v>2028</v>
      </c>
      <c r="J25" s="43" t="n">
        <v>0.733849250676793</v>
      </c>
    </row>
    <row r="26" customFormat="false" ht="17.15" hidden="false" customHeight="false" outlineLevel="0" collapsed="false">
      <c r="A26" s="40" t="s">
        <v>784</v>
      </c>
      <c r="B26" s="0" t="s">
        <v>785</v>
      </c>
      <c r="C26" s="41" t="n">
        <v>465.49</v>
      </c>
      <c r="D26" s="41" t="n">
        <v>1944.063729</v>
      </c>
      <c r="E26" s="42" t="n">
        <v>0.689613660293244</v>
      </c>
      <c r="F26" s="43" t="n">
        <v>0.50846936812343</v>
      </c>
      <c r="G26" s="41" t="n">
        <v>-1677.6467874058</v>
      </c>
      <c r="H26" s="41" t="n">
        <v>3167.92973484369</v>
      </c>
      <c r="I26" s="44" t="n">
        <v>2028</v>
      </c>
      <c r="J26" s="43" t="n">
        <v>0.750661280909695</v>
      </c>
    </row>
    <row r="27" customFormat="false" ht="17.15" hidden="false" customHeight="false" outlineLevel="0" collapsed="false">
      <c r="A27" s="40" t="s">
        <v>786</v>
      </c>
      <c r="B27" s="0" t="s">
        <v>787</v>
      </c>
      <c r="C27" s="41" t="n">
        <v>465.49</v>
      </c>
      <c r="D27" s="41" t="n">
        <v>1944.063729</v>
      </c>
      <c r="E27" s="42" t="n">
        <v>0.68992756720616</v>
      </c>
      <c r="F27" s="43" t="n">
        <v>0.508550538917302</v>
      </c>
      <c r="G27" s="41" t="n">
        <v>-1677.03653236211</v>
      </c>
      <c r="H27" s="41" t="n">
        <v>3165.96137937993</v>
      </c>
      <c r="I27" s="44" t="n">
        <v>2028</v>
      </c>
      <c r="J27" s="43" t="n">
        <v>0.750784667753677</v>
      </c>
    </row>
    <row r="28" customFormat="false" ht="15" hidden="false" customHeight="false" outlineLevel="0" collapsed="false">
      <c r="A28" s="40" t="s">
        <v>788</v>
      </c>
      <c r="B28" s="0" t="s">
        <v>789</v>
      </c>
      <c r="C28" s="41" t="n">
        <v>465.49</v>
      </c>
      <c r="D28" s="41" t="n">
        <v>1944.063729</v>
      </c>
      <c r="E28" s="42" t="n">
        <v>0.689817532443159</v>
      </c>
      <c r="F28" s="43" t="n">
        <v>0.508522082917546</v>
      </c>
      <c r="G28" s="41" t="n">
        <v>-1677.25044695379</v>
      </c>
      <c r="H28" s="41" t="n">
        <v>2282.47728163196</v>
      </c>
      <c r="I28" s="44" t="n">
        <v>2029</v>
      </c>
      <c r="J28" s="43" t="n">
        <v>0.810587231918958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2026-10-08T01:26:11Z</dcterms:created>
  <dc:creator>openpyxl</dc:creator>
  <dc:description/>
  <dc:language>en-US</dc:language>
  <cp:lastModifiedBy/>
  <dcterms:modified xsi:type="dcterms:W3CDTF">2026-10-08T01:27:13Z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