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變動列" sheetId="1" state="visible" r:id="rId1"/>
    <sheet xmlns:r="http://schemas.openxmlformats.org/officeDocument/2006/relationships" name="②關鍵輸出前後值" sheetId="2" state="visible" r:id="rId2"/>
    <sheet xmlns:r="http://schemas.openxmlformats.org/officeDocument/2006/relationships" name="③已套用的預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60" customWidth="1" min="3" max="3"/>
    <col width="40" customWidth="1" min="4" max="4"/>
    <col width="40" customWidth="1" min="5" max="5"/>
    <col width="30" customWidth="1" min="6" max="6"/>
  </cols>
  <sheetData>
    <row r="1">
      <c r="A1" s="1" t="inlineStr">
        <is>
          <t>分類</t>
        </is>
      </c>
      <c r="B1" s="1" t="inlineStr">
        <is>
          <t>ID／儲存格</t>
        </is>
      </c>
      <c r="C1" s="1" t="inlineStr">
        <is>
          <t>項目</t>
        </is>
      </c>
      <c r="D1" s="1" t="inlineStr">
        <is>
          <t>M1 基準</t>
        </is>
      </c>
      <c r="E1" s="1" t="inlineStr">
        <is>
          <t>v0.2</t>
        </is>
      </c>
      <c r="F1" s="1" t="inlineStr">
        <is>
          <t>說明</t>
        </is>
      </c>
    </row>
    <row r="2">
      <c r="A2" t="inlineStr">
        <is>
          <t>公式改變</t>
        </is>
      </c>
      <c r="B2" t="inlineStr">
        <is>
          <t>Demand!D01@2026</t>
        </is>
      </c>
      <c r="C2" t="inlineStr">
        <is>
          <t>API 綜合實收單價</t>
        </is>
      </c>
      <c r="D2">
        <f>Inputs!$E$12</f>
        <v/>
      </c>
      <c r="E2">
        <f>Inputs!$E$12*(1-0.5*Inputs!$D$33*Inputs!$D$34)</f>
        <v/>
      </c>
      <c r="F2" t="inlineStr"/>
    </row>
    <row r="3">
      <c r="A3" t="inlineStr">
        <is>
          <t>新增列</t>
        </is>
      </c>
      <c r="B3" t="inlineStr">
        <is>
          <t>Demand!D09</t>
        </is>
      </c>
      <c r="C3" t="inlineStr">
        <is>
          <t>2026 下半年 API 綜合實收單價（含 M3.1 Flash 降價的已觀測部分）</t>
        </is>
      </c>
      <c r="D3" t="inlineStr">
        <is>
          <t>—</t>
        </is>
      </c>
      <c r="E3" t="inlineStr">
        <is>
          <t>（新列）</t>
        </is>
      </c>
      <c r="F3" t="inlineStr"/>
    </row>
    <row r="4">
      <c r="A4" t="inlineStr">
        <is>
          <t>新增列</t>
        </is>
      </c>
      <c r="B4" t="inlineStr">
        <is>
          <t>Revenue!R15</t>
        </is>
      </c>
      <c r="C4" t="inlineStr">
        <is>
          <t>對照：Bloomberg 共識（另一獨立點；S062 與 Yahoo 同源）</t>
        </is>
      </c>
      <c r="D4" t="inlineStr">
        <is>
          <t>—</t>
        </is>
      </c>
      <c r="E4" t="inlineStr">
        <is>
          <t>（新列）</t>
        </is>
      </c>
      <c r="F4" t="inlineStr"/>
    </row>
    <row r="5">
      <c r="A5" t="inlineStr">
        <is>
          <t>新增列</t>
        </is>
      </c>
      <c r="B5" t="inlineStr">
        <is>
          <t>Revenue!R16</t>
        </is>
      </c>
      <c r="C5" t="inlineStr">
        <is>
          <t>模型 ÷ Bloomberg 共識</t>
        </is>
      </c>
      <c r="D5" t="inlineStr">
        <is>
          <t>—</t>
        </is>
      </c>
      <c r="E5" t="inlineStr">
        <is>
          <t>（新列）</t>
        </is>
      </c>
      <c r="F5" t="inlineStr"/>
    </row>
    <row r="6">
      <c r="A6" t="inlineStr">
        <is>
          <t>新增列</t>
        </is>
      </c>
      <c r="B6" t="inlineStr">
        <is>
          <t>Revenue!R17</t>
        </is>
      </c>
      <c r="C6" t="inlineStr">
        <is>
          <t>對照：2027 共識（Yahoo 24 位）</t>
        </is>
      </c>
      <c r="D6" t="inlineStr">
        <is>
          <t>—</t>
        </is>
      </c>
      <c r="E6" t="inlineStr">
        <is>
          <t>（新列）</t>
        </is>
      </c>
      <c r="F6" t="inlineStr"/>
    </row>
    <row r="7">
      <c r="A7" t="inlineStr">
        <is>
          <t>新增列</t>
        </is>
      </c>
      <c r="B7" t="inlineStr">
        <is>
          <t>Revenue!R18</t>
        </is>
      </c>
      <c r="C7" t="inlineStr">
        <is>
          <t>對照：2027 共識（stockanalysis／S&amp;P）</t>
        </is>
      </c>
      <c r="D7" t="inlineStr">
        <is>
          <t>—</t>
        </is>
      </c>
      <c r="E7" t="inlineStr">
        <is>
          <t>（新列）</t>
        </is>
      </c>
      <c r="F7" t="inlineStr"/>
    </row>
    <row r="8">
      <c r="A8" t="inlineStr">
        <is>
          <t>新增列</t>
        </is>
      </c>
      <c r="B8" t="inlineStr">
        <is>
          <t>Revenue!R19</t>
        </is>
      </c>
      <c r="C8" t="inlineStr">
        <is>
          <t>模型 ÷ 2027 共識平均</t>
        </is>
      </c>
      <c r="D8" t="inlineStr">
        <is>
          <t>—</t>
        </is>
      </c>
      <c r="E8" t="inlineStr">
        <is>
          <t>（新列）</t>
        </is>
      </c>
      <c r="F8" t="inlineStr"/>
    </row>
    <row r="9">
      <c r="A9" t="inlineStr">
        <is>
          <t>新增列</t>
        </is>
      </c>
      <c r="B9" t="inlineStr">
        <is>
          <t>Revenue!R20</t>
        </is>
      </c>
      <c r="C9" t="inlineStr">
        <is>
          <t>對照：1H26 已實現營收占 Bloomberg 全年共識</t>
        </is>
      </c>
      <c r="D9" t="inlineStr">
        <is>
          <t>—</t>
        </is>
      </c>
      <c r="E9" t="inlineStr">
        <is>
          <t>（新列）</t>
        </is>
      </c>
      <c r="F9" t="inlineStr"/>
    </row>
    <row r="10">
      <c r="A10" t="inlineStr">
        <is>
          <t>新增列</t>
        </is>
      </c>
      <c r="B10" t="inlineStr">
        <is>
          <t>Revenue!R21</t>
        </is>
      </c>
      <c r="C10" t="inlineStr">
        <is>
          <t>對照：Bloomberg 共識隱含 2H26 ÷ 1H26</t>
        </is>
      </c>
      <c r="D10" t="inlineStr">
        <is>
          <t>—</t>
        </is>
      </c>
      <c r="E10" t="inlineStr">
        <is>
          <t>（新列）</t>
        </is>
      </c>
      <c r="F10" t="inlineStr"/>
    </row>
    <row r="11">
      <c r="A11" t="inlineStr">
        <is>
          <t>新增列</t>
        </is>
      </c>
      <c r="B11" t="inlineStr">
        <is>
          <t>Revenue!R22</t>
        </is>
      </c>
      <c r="C11" t="inlineStr">
        <is>
          <t>對照：AI 原生產品付費用戶（9M25 期間，S074）</t>
        </is>
      </c>
      <c r="D11" t="inlineStr">
        <is>
          <t>—</t>
        </is>
      </c>
      <c r="E11" t="inlineStr">
        <is>
          <t>（新列）</t>
        </is>
      </c>
      <c r="F11" t="inlineStr"/>
    </row>
    <row r="12">
      <c r="A12" t="inlineStr">
        <is>
          <t>新增列</t>
        </is>
      </c>
      <c r="B12" t="inlineStr">
        <is>
          <t>Revenue!R23</t>
        </is>
      </c>
      <c r="C12" t="inlineStr">
        <is>
          <t>對照：AI 原生 ARPPU＝(訂閱＋儲值) ÷ 付費用戶</t>
        </is>
      </c>
      <c r="D12" t="inlineStr">
        <is>
          <t>—</t>
        </is>
      </c>
      <c r="E12" t="inlineStr">
        <is>
          <t>（新列）</t>
        </is>
      </c>
      <c r="F12" t="inlineStr"/>
    </row>
    <row r="13">
      <c r="A13" t="inlineStr">
        <is>
          <t>新增列</t>
        </is>
      </c>
      <c r="B13" t="inlineStr">
        <is>
          <t>Revenue!R24</t>
        </is>
      </c>
      <c r="C13" t="inlineStr">
        <is>
          <t>驗算：海螺 ARPPU＝(訂閱＋儲值) ÷ 付費用戶（S105）</t>
        </is>
      </c>
      <c r="D13" t="inlineStr">
        <is>
          <t>—</t>
        </is>
      </c>
      <c r="E13" t="inlineStr">
        <is>
          <t>（新列）</t>
        </is>
      </c>
      <c r="F13" t="inlineStr"/>
    </row>
    <row r="14">
      <c r="A14" t="inlineStr">
        <is>
          <t>新增列</t>
        </is>
      </c>
      <c r="B14" t="inlineStr">
        <is>
          <t>Revenue!R25</t>
        </is>
      </c>
      <c r="C14" t="inlineStr">
        <is>
          <t>驗算：Talkie／星野 ARPPU＝(訂閱＋儲值) ÷ 付費用戶（S107）</t>
        </is>
      </c>
      <c r="D14" t="inlineStr">
        <is>
          <t>—</t>
        </is>
      </c>
      <c r="E14" t="inlineStr">
        <is>
          <t>（新列）</t>
        </is>
      </c>
      <c r="F14" t="inlineStr"/>
    </row>
    <row r="15">
      <c r="A15" t="inlineStr">
        <is>
          <t>新增列</t>
        </is>
      </c>
      <c r="B15" t="inlineStr">
        <is>
          <t>Revenue!R26</t>
        </is>
      </c>
      <c r="C15" t="inlineStr">
        <is>
          <t>廣告占 Talkie／星野營收（付費人數 × ARPPU 不涵蓋的部分）</t>
        </is>
      </c>
      <c r="D15" t="inlineStr">
        <is>
          <t>—</t>
        </is>
      </c>
      <c r="E15" t="inlineStr">
        <is>
          <t>（新列）</t>
        </is>
      </c>
      <c r="F15" t="inlineStr"/>
    </row>
    <row r="16">
      <c r="A16" t="inlineStr">
        <is>
          <t>新增列</t>
        </is>
      </c>
      <c r="B16" t="inlineStr">
        <is>
          <t>Revenue!R27</t>
        </is>
      </c>
      <c r="C16" t="inlineStr">
        <is>
          <t>消費端 2026 營收：模型 ÷ 1H26 實際年化</t>
        </is>
      </c>
      <c r="D16" t="inlineStr">
        <is>
          <t>—</t>
        </is>
      </c>
      <c r="E16" t="inlineStr">
        <is>
          <t>（新列）</t>
        </is>
      </c>
      <c r="F16" t="inlineStr"/>
    </row>
    <row r="17">
      <c r="A17" t="inlineStr">
        <is>
          <t>公式改變</t>
        </is>
      </c>
      <c r="B17" t="inlineStr">
        <is>
          <t>Compute!C10@2026</t>
        </is>
      </c>
      <c r="C17" t="inlineStr">
        <is>
          <t>校準期 API 推論 MW（token 換算）</t>
        </is>
      </c>
      <c r="D17">
        <f>(2*SRC_MM!$E$12/Demand!$E$7)/(E11*E12)</f>
        <v/>
      </c>
      <c r="E17">
        <f>(2*SRC_MM!$E$12/Inputs!$E$12)/(E11*E12)</f>
        <v/>
      </c>
      <c r="F17" t="inlineStr"/>
    </row>
    <row r="18">
      <c r="A18" t="inlineStr">
        <is>
          <t>公式改變</t>
        </is>
      </c>
      <c r="B18" t="inlineStr">
        <is>
          <t>Compute!C13@2026</t>
        </is>
      </c>
      <c r="C18" t="inlineStr">
        <is>
          <t>API 推論 MW（有效；年均）</t>
        </is>
      </c>
      <c r="D18">
        <f>0.5*E16+0.5*(Inputs!$D$15/Demand!$E$7)/(E11*E12*E18*Inputs!$D$32)</f>
        <v/>
      </c>
      <c r="E18">
        <f>0.5*E16+0.5*(Inputs!$D$15/Demand!$E$13)/(E11*E12*E18*Inputs!$D$32)</f>
        <v/>
      </c>
      <c r="F18" t="inlineStr"/>
    </row>
    <row r="19">
      <c r="A19" t="inlineStr">
        <is>
          <t>新增列</t>
        </is>
      </c>
      <c r="B19" t="inlineStr">
        <is>
          <t>Compute!C31</t>
        </is>
      </c>
      <c r="C19" t="inlineStr">
        <is>
          <t>每 MW 可容納 Hopper 級 GPU 數（1,000 kW ÷ 每張 kW；Analogy，Tokenomics 官方 GPU／MW 不在快照）</t>
        </is>
      </c>
      <c r="D19" t="inlineStr">
        <is>
          <t>—</t>
        </is>
      </c>
      <c r="E19" t="inlineStr">
        <is>
          <t>（新列）</t>
        </is>
      </c>
      <c r="F19" t="inlineStr"/>
    </row>
    <row r="20">
      <c r="A20" t="inlineStr">
        <is>
          <t>新增列</t>
        </is>
      </c>
      <c r="B20" t="inlineStr">
        <is>
          <t>Compute!C32</t>
        </is>
      </c>
      <c r="C20" t="inlineStr">
        <is>
          <t>證據價 A：AutoDL H800 單卡（口徑明確）</t>
        </is>
      </c>
      <c r="D20" t="inlineStr">
        <is>
          <t>—</t>
        </is>
      </c>
      <c r="E20" t="inlineStr">
        <is>
          <t>（新列）</t>
        </is>
      </c>
      <c r="F20" t="inlineStr"/>
    </row>
    <row r="21">
      <c r="A21" t="inlineStr">
        <is>
          <t>新增列</t>
        </is>
      </c>
      <c r="B21" t="inlineStr">
        <is>
          <t>Compute!C33</t>
        </is>
      </c>
      <c r="C21" t="inlineStr">
        <is>
          <t>證據價 B：SMM H20 96G 1 年約（整機 8 卡口徑）</t>
        </is>
      </c>
      <c r="D21" t="inlineStr">
        <is>
          <t>—</t>
        </is>
      </c>
      <c r="E21" t="inlineStr">
        <is>
          <t>（新列）</t>
        </is>
      </c>
      <c r="F21" t="inlineStr"/>
    </row>
    <row r="22">
      <c r="A22" t="inlineStr">
        <is>
          <t>新增列</t>
        </is>
      </c>
      <c r="B22" t="inlineStr">
        <is>
          <t>Compute!C34</t>
        </is>
      </c>
      <c r="C22" t="inlineStr">
        <is>
          <t>證據價 C：SMM H100 80G 現貨</t>
        </is>
      </c>
      <c r="D22" t="inlineStr">
        <is>
          <t>—</t>
        </is>
      </c>
      <c r="E22" t="inlineStr">
        <is>
          <t>（新列）</t>
        </is>
      </c>
      <c r="F22" t="inlineStr"/>
    </row>
    <row r="23">
      <c r="A23" t="inlineStr">
        <is>
          <t>新增列</t>
        </is>
      </c>
      <c r="B23" t="inlineStr">
        <is>
          <t>Compute!C35</t>
        </is>
      </c>
      <c r="C23" t="inlineStr">
        <is>
          <t>隱含每 MW 年租金：A（H800）</t>
        </is>
      </c>
      <c r="D23" t="inlineStr">
        <is>
          <t>—</t>
        </is>
      </c>
      <c r="E23" t="inlineStr">
        <is>
          <t>（新列）</t>
        </is>
      </c>
      <c r="F23" t="inlineStr"/>
    </row>
    <row r="24">
      <c r="A24" t="inlineStr">
        <is>
          <t>新增列</t>
        </is>
      </c>
      <c r="B24" t="inlineStr">
        <is>
          <t>Compute!C36</t>
        </is>
      </c>
      <c r="C24" t="inlineStr">
        <is>
          <t>隱含每 MW 年租金：B（H20）</t>
        </is>
      </c>
      <c r="D24" t="inlineStr">
        <is>
          <t>—</t>
        </is>
      </c>
      <c r="E24" t="inlineStr">
        <is>
          <t>（新列）</t>
        </is>
      </c>
      <c r="F24" t="inlineStr"/>
    </row>
    <row r="25">
      <c r="A25" t="inlineStr">
        <is>
          <t>新增列</t>
        </is>
      </c>
      <c r="B25" t="inlineStr">
        <is>
          <t>Compute!C37</t>
        </is>
      </c>
      <c r="C25" t="inlineStr">
        <is>
          <t>隱含每 MW 年租金：C（H100）</t>
        </is>
      </c>
      <c r="D25" t="inlineStr">
        <is>
          <t>—</t>
        </is>
      </c>
      <c r="E25" t="inlineStr">
        <is>
          <t>（新列）</t>
        </is>
      </c>
      <c r="F25" t="inlineStr"/>
    </row>
    <row r="26">
      <c r="A26" t="inlineStr">
        <is>
          <t>新增列</t>
        </is>
      </c>
      <c r="B26" t="inlineStr">
        <is>
          <t>Compute!C38</t>
        </is>
      </c>
      <c r="C26" t="inlineStr">
        <is>
          <t>證據價 ÷ TK 持有成本：A（H800）</t>
        </is>
      </c>
      <c r="D26" t="inlineStr">
        <is>
          <t>—</t>
        </is>
      </c>
      <c r="E26" t="inlineStr">
        <is>
          <t>（新列）</t>
        </is>
      </c>
      <c r="F26" t="inlineStr"/>
    </row>
    <row r="27">
      <c r="A27" t="inlineStr">
        <is>
          <t>新增列</t>
        </is>
      </c>
      <c r="B27" t="inlineStr">
        <is>
          <t>Compute!C39</t>
        </is>
      </c>
      <c r="C27" t="inlineStr">
        <is>
          <t>證據價 ÷ TK 持有成本：B（H20）</t>
        </is>
      </c>
      <c r="D27" t="inlineStr">
        <is>
          <t>—</t>
        </is>
      </c>
      <c r="E27" t="inlineStr">
        <is>
          <t>（新列）</t>
        </is>
      </c>
      <c r="F27" t="inlineStr"/>
    </row>
    <row r="28">
      <c r="A28" t="inlineStr">
        <is>
          <t>新增列</t>
        </is>
      </c>
      <c r="B28" t="inlineStr">
        <is>
          <t>Compute!C40</t>
        </is>
      </c>
      <c r="C28" t="inlineStr">
        <is>
          <t>證據價 ÷ TK 持有成本：C（H100）</t>
        </is>
      </c>
      <c r="D28" t="inlineStr">
        <is>
          <t>—</t>
        </is>
      </c>
      <c r="E28" t="inlineStr">
        <is>
          <t>（新列）</t>
        </is>
      </c>
      <c r="F28" t="inlineStr"/>
    </row>
    <row r="29">
      <c r="A29" t="inlineStr">
        <is>
          <t>新增列</t>
        </is>
      </c>
      <c r="B29" t="inlineStr">
        <is>
          <t>Compute!C41</t>
        </is>
      </c>
      <c r="C29" t="inlineStr">
        <is>
          <t>對照：I02（合約價基準）÷ TK 持有成本</t>
        </is>
      </c>
      <c r="D29" t="inlineStr">
        <is>
          <t>—</t>
        </is>
      </c>
      <c r="E29" t="inlineStr">
        <is>
          <t>（新列）</t>
        </is>
      </c>
      <c r="F29" t="inlineStr"/>
    </row>
    <row r="30">
      <c r="A30" t="inlineStr">
        <is>
          <t>新增列</t>
        </is>
      </c>
      <c r="B30" t="inlineStr">
        <is>
          <t>Compute!C42</t>
        </is>
      </c>
      <c r="C30" t="inlineStr">
        <is>
          <t>證據落在 I02 區間（8–20）外的個數（0–3）</t>
        </is>
      </c>
      <c r="D30" t="inlineStr">
        <is>
          <t>—</t>
        </is>
      </c>
      <c r="E30" t="inlineStr">
        <is>
          <t>（新列）</t>
        </is>
      </c>
      <c r="F30" t="inlineStr"/>
    </row>
    <row r="31">
      <c r="A31" t="inlineStr">
        <is>
          <t>新增列</t>
        </is>
      </c>
      <c r="B31" t="inlineStr">
        <is>
          <t>Compute!C43</t>
        </is>
      </c>
      <c r="C31" t="inlineStr">
        <is>
          <t>η（本模型總校準係數）</t>
        </is>
      </c>
      <c r="D31" t="inlineStr">
        <is>
          <t>—</t>
        </is>
      </c>
      <c r="E31" t="inlineStr">
        <is>
          <t>（新列）</t>
        </is>
      </c>
      <c r="F31" t="inlineStr"/>
    </row>
    <row r="32">
      <c r="A32" t="inlineStr">
        <is>
          <t>新增列</t>
        </is>
      </c>
      <c r="B32" t="inlineStr">
        <is>
          <t>Compute!C44</t>
        </is>
      </c>
      <c r="C32" t="inlineStr">
        <is>
          <t>η 相對 Tokenomics 推算的偏離（η−1；＜0＝每 MW 實際計費 token 少於推算）</t>
        </is>
      </c>
      <c r="D32" t="inlineStr">
        <is>
          <t>—</t>
        </is>
      </c>
      <c r="E32" t="inlineStr">
        <is>
          <t>（新列）</t>
        </is>
      </c>
      <c r="F32" t="inlineStr"/>
    </row>
    <row r="33">
      <c r="A33" t="inlineStr">
        <is>
          <t>新增列</t>
        </is>
      </c>
      <c r="B33" t="inlineStr">
        <is>
          <t>Compute!C45</t>
        </is>
      </c>
      <c r="C33" t="inlineStr">
        <is>
          <t>對照：1H26 物業廠房設備增額（資本支出下限近似，非 MW）</t>
        </is>
      </c>
      <c r="D33" t="inlineStr">
        <is>
          <t>—</t>
        </is>
      </c>
      <c r="E33" t="inlineStr">
        <is>
          <t>（新列）</t>
        </is>
      </c>
      <c r="F33" t="inlineStr"/>
    </row>
    <row r="34">
      <c r="A34" t="inlineStr">
        <is>
          <t>新增列</t>
        </is>
      </c>
      <c r="B34" t="inlineStr">
        <is>
          <t>PxQ!X01</t>
        </is>
      </c>
      <c r="C34" t="inlineStr">
        <is>
          <t>年均上線 MW（Compute 總 MW；D6：模型自身 MW）</t>
        </is>
      </c>
      <c r="D34" t="inlineStr">
        <is>
          <t>—</t>
        </is>
      </c>
      <c r="E34" t="inlineStr">
        <is>
          <t>（新列）</t>
        </is>
      </c>
      <c r="F34" t="inlineStr"/>
    </row>
    <row r="35">
      <c r="A35" t="inlineStr">
        <is>
          <t>新增列</t>
        </is>
      </c>
      <c r="B35" t="inlineStr">
        <is>
          <t>PxQ!X02</t>
        </is>
      </c>
      <c r="C35" t="inlineStr">
        <is>
          <t>每 MW 年持有成本 h＝Σ 世代占比 × IF_HoldEcon 基準欄</t>
        </is>
      </c>
      <c r="D35" t="inlineStr">
        <is>
          <t>—</t>
        </is>
      </c>
      <c r="E35" t="inlineStr">
        <is>
          <t>（新列）</t>
        </is>
      </c>
      <c r="F35" t="inlineStr"/>
    </row>
    <row r="36">
      <c r="A36" t="inlineStr">
        <is>
          <t>新增列</t>
        </is>
      </c>
      <c r="B36" t="inlineStr">
        <is>
          <t>PxQ!X03</t>
        </is>
      </c>
      <c r="C36" t="inlineStr">
        <is>
          <t>算力持有成本 C＝MW × h</t>
        </is>
      </c>
      <c r="D36" t="inlineStr">
        <is>
          <t>—</t>
        </is>
      </c>
      <c r="E36" t="inlineStr">
        <is>
          <t>（新列）</t>
        </is>
      </c>
      <c r="F36" t="inlineStr"/>
    </row>
    <row r="37">
      <c r="A37" t="inlineStr">
        <is>
          <t>新增列</t>
        </is>
      </c>
      <c r="B37" t="inlineStr">
        <is>
          <t>PxQ!X04</t>
        </is>
      </c>
      <c r="C37" t="inlineStr">
        <is>
          <t>總營收</t>
        </is>
      </c>
      <c r="D37" t="inlineStr">
        <is>
          <t>—</t>
        </is>
      </c>
      <c r="E37" t="inlineStr">
        <is>
          <t>（新列）</t>
        </is>
      </c>
      <c r="F37" t="inlineStr"/>
    </row>
    <row r="38">
      <c r="A38" t="inlineStr">
        <is>
          <t>新增列</t>
        </is>
      </c>
      <c r="B38" t="inlineStr">
        <is>
          <t>PxQ!X05</t>
        </is>
      </c>
      <c r="C38" t="inlineStr">
        <is>
          <t>回本比值＝營收 ÷ C</t>
        </is>
      </c>
      <c r="D38" t="inlineStr">
        <is>
          <t>—</t>
        </is>
      </c>
      <c r="E38" t="inlineStr">
        <is>
          <t>（新列）</t>
        </is>
      </c>
      <c r="F38" t="inlineStr"/>
    </row>
    <row r="39">
      <c r="A39" t="inlineStr">
        <is>
          <t>新增列</t>
        </is>
      </c>
      <c r="B39" t="inlineStr">
        <is>
          <t>PxQ!X06</t>
        </is>
      </c>
      <c r="C39" t="inlineStr">
        <is>
          <t>比值相對 FY2025（FY2025＝1）</t>
        </is>
      </c>
      <c r="D39" t="inlineStr">
        <is>
          <t>—</t>
        </is>
      </c>
      <c r="E39" t="inlineStr">
        <is>
          <t>（新列）</t>
        </is>
      </c>
      <c r="F39" t="inlineStr"/>
    </row>
    <row r="40">
      <c r="A40" t="inlineStr">
        <is>
          <t>新增列</t>
        </is>
      </c>
      <c r="B40" t="inlineStr">
        <is>
          <t>PxQ!X07</t>
        </is>
      </c>
      <c r="C40" t="inlineStr">
        <is>
          <t>讀法</t>
        </is>
      </c>
      <c r="D40" t="inlineStr">
        <is>
          <t>—</t>
        </is>
      </c>
      <c r="E40" t="inlineStr">
        <is>
          <t>（新列）</t>
        </is>
      </c>
      <c r="F40" t="inlineStr"/>
    </row>
    <row r="41">
      <c r="A41" t="inlineStr">
        <is>
          <t>新增列</t>
        </is>
      </c>
      <c r="B41" t="inlineStr">
        <is>
          <t>PxQ!X08</t>
        </is>
      </c>
      <c r="C41" t="inlineStr">
        <is>
          <t>Q＝API 計費 token</t>
        </is>
      </c>
      <c r="D41" t="inlineStr">
        <is>
          <t>—</t>
        </is>
      </c>
      <c r="E41" t="inlineStr">
        <is>
          <t>（新列）</t>
        </is>
      </c>
      <c r="F41" t="inlineStr"/>
    </row>
    <row r="42">
      <c r="A42" t="inlineStr">
        <is>
          <t>新增列</t>
        </is>
      </c>
      <c r="B42" t="inlineStr">
        <is>
          <t>PxQ!X09</t>
        </is>
      </c>
      <c r="C42" t="inlineStr">
        <is>
          <t>P＝API 綜合實收單價</t>
        </is>
      </c>
      <c r="D42" t="inlineStr">
        <is>
          <t>—</t>
        </is>
      </c>
      <c r="E42" t="inlineStr">
        <is>
          <t>（新列）</t>
        </is>
      </c>
      <c r="F42" t="inlineStr"/>
    </row>
    <row r="43">
      <c r="A43" t="inlineStr">
        <is>
          <t>新增列</t>
        </is>
      </c>
      <c r="B43" t="inlineStr">
        <is>
          <t>PxQ!X10</t>
        </is>
      </c>
      <c r="C43" t="inlineStr">
        <is>
          <t>Q × P＝API 計價 token 價值</t>
        </is>
      </c>
      <c r="D43" t="inlineStr">
        <is>
          <t>—</t>
        </is>
      </c>
      <c r="E43" t="inlineStr">
        <is>
          <t>（新列）</t>
        </is>
      </c>
      <c r="F43" t="inlineStr"/>
    </row>
    <row r="44">
      <c r="A44" t="inlineStr">
        <is>
          <t>新增列</t>
        </is>
      </c>
      <c r="B44" t="inlineStr">
        <is>
          <t>PxQ!X11</t>
        </is>
      </c>
      <c r="C44" t="inlineStr">
        <is>
          <t>實際 m×L＝總營收 ÷（Q × P）</t>
        </is>
      </c>
      <c r="D44" t="inlineStr">
        <is>
          <t>—</t>
        </is>
      </c>
      <c r="E44" t="inlineStr">
        <is>
          <t>（新列）</t>
        </is>
      </c>
      <c r="F44" t="inlineStr"/>
    </row>
    <row r="45">
      <c r="A45" t="inlineStr">
        <is>
          <t>新增列</t>
        </is>
      </c>
      <c r="B45" t="inlineStr">
        <is>
          <t>PxQ!X12</t>
        </is>
      </c>
      <c r="C45" t="inlineStr">
        <is>
          <t>所需 m×L＝C ÷（Q × P）</t>
        </is>
      </c>
      <c r="D45" t="inlineStr">
        <is>
          <t>—</t>
        </is>
      </c>
      <c r="E45" t="inlineStr">
        <is>
          <t>（新列）</t>
        </is>
      </c>
      <c r="F45" t="inlineStr"/>
    </row>
    <row r="46">
      <c r="A46" t="inlineStr">
        <is>
          <t>新增列</t>
        </is>
      </c>
      <c r="B46" t="inlineStr">
        <is>
          <t>PxQ!X13</t>
        </is>
      </c>
      <c r="C46" t="inlineStr">
        <is>
          <t>比值＝實際 ÷ 所需（恆等式，應＝X05）</t>
        </is>
      </c>
      <c r="D46" t="inlineStr">
        <is>
          <t>—</t>
        </is>
      </c>
      <c r="E46" t="inlineStr">
        <is>
          <t>（新列）</t>
        </is>
      </c>
      <c r="F46" t="inlineStr"/>
    </row>
    <row r="47">
      <c r="A47" t="inlineStr">
        <is>
          <t>新增列</t>
        </is>
      </c>
      <c r="B47" t="inlineStr">
        <is>
          <t>PxQ!X14</t>
        </is>
      </c>
      <c r="C47" t="inlineStr">
        <is>
          <t>企業端（API）比值＝API 營收 ÷（API 推論 MW × h）</t>
        </is>
      </c>
      <c r="D47" t="inlineStr">
        <is>
          <t>—</t>
        </is>
      </c>
      <c r="E47" t="inlineStr">
        <is>
          <t>（新列）</t>
        </is>
      </c>
      <c r="F47" t="inlineStr"/>
    </row>
    <row r="48">
      <c r="A48" t="inlineStr">
        <is>
          <t>新增列</t>
        </is>
      </c>
      <c r="B48" t="inlineStr">
        <is>
          <t>PxQ!X15</t>
        </is>
      </c>
      <c r="C48" t="inlineStr">
        <is>
          <t>消費端比值＝消費端營收 ÷（消費端 MW × h）</t>
        </is>
      </c>
      <c r="D48" t="inlineStr">
        <is>
          <t>—</t>
        </is>
      </c>
      <c r="E48" t="inlineStr">
        <is>
          <t>（新列）</t>
        </is>
      </c>
      <c r="F48" t="inlineStr"/>
    </row>
    <row r="49">
      <c r="A49" t="inlineStr">
        <is>
          <t>新增列</t>
        </is>
      </c>
      <c r="B49" t="inlineStr">
        <is>
          <t>PxQ!X16</t>
        </is>
      </c>
      <c r="C49" t="inlineStr">
        <is>
          <t>訓練 MW 占總 MW</t>
        </is>
      </c>
      <c r="D49" t="inlineStr">
        <is>
          <t>—</t>
        </is>
      </c>
      <c r="E49" t="inlineStr">
        <is>
          <t>（新列）</t>
        </is>
      </c>
      <c r="F49" t="inlineStr"/>
    </row>
    <row r="50">
      <c r="A50" t="inlineStr">
        <is>
          <t>新增列</t>
        </is>
      </c>
      <c r="B50" t="inlineStr">
        <is>
          <t>PxQ!X17</t>
        </is>
      </c>
      <c r="C50" t="inlineStr">
        <is>
          <t>持平所需 MW＝營收 ÷（h × FY2025 比值）</t>
        </is>
      </c>
      <c r="D50" t="inlineStr">
        <is>
          <t>—</t>
        </is>
      </c>
      <c r="E50" t="inlineStr">
        <is>
          <t>（新列）</t>
        </is>
      </c>
      <c r="F50" t="inlineStr"/>
    </row>
    <row r="51">
      <c r="A51" t="inlineStr">
        <is>
          <t>新增列</t>
        </is>
      </c>
      <c r="B51" t="inlineStr">
        <is>
          <t>PxQ!X18</t>
        </is>
      </c>
      <c r="C51" t="inlineStr">
        <is>
          <t>實際 MW ÷ 持平所需 MW</t>
        </is>
      </c>
      <c r="D51" t="inlineStr">
        <is>
          <t>—</t>
        </is>
      </c>
      <c r="E51" t="inlineStr">
        <is>
          <t>（新列）</t>
        </is>
      </c>
      <c r="F51" t="inlineStr"/>
    </row>
    <row r="52">
      <c r="A52" t="inlineStr">
        <is>
          <t>新增列</t>
        </is>
      </c>
      <c r="B52" t="inlineStr">
        <is>
          <t>PxQ!X19</t>
        </is>
      </c>
      <c r="C52" t="inlineStr">
        <is>
          <t>M3.1 Flash 對 M3 牌價降幅（觀測值）</t>
        </is>
      </c>
      <c r="D52" t="inlineStr">
        <is>
          <t>—</t>
        </is>
      </c>
      <c r="E52" t="inlineStr">
        <is>
          <t>（新列）</t>
        </is>
      </c>
      <c r="F52" t="inlineStr"/>
    </row>
    <row r="53">
      <c r="A53" t="inlineStr">
        <is>
          <t>新增列</t>
        </is>
      </c>
      <c r="B53" t="inlineStr">
        <is>
          <t>PxQ!X20</t>
        </is>
      </c>
      <c r="C53" t="inlineStr">
        <is>
          <t>降價後營收持平所需用量倍數＝1 ÷（1 − 降幅）</t>
        </is>
      </c>
      <c r="D53" t="inlineStr">
        <is>
          <t>—</t>
        </is>
      </c>
      <c r="E53" t="inlineStr">
        <is>
          <t>（新列）</t>
        </is>
      </c>
      <c r="F53" t="inlineStr"/>
    </row>
    <row r="54">
      <c r="A54" t="inlineStr">
        <is>
          <t>新增列</t>
        </is>
      </c>
      <c r="B54" t="inlineStr">
        <is>
          <t>PxQ!X21</t>
        </is>
      </c>
      <c r="C54" t="inlineStr">
        <is>
          <t>2026 下半年已觀測折減＝降幅 × 新價流量占比（I31）</t>
        </is>
      </c>
      <c r="D54" t="inlineStr">
        <is>
          <t>—</t>
        </is>
      </c>
      <c r="E54" t="inlineStr">
        <is>
          <t>（新列）</t>
        </is>
      </c>
      <c r="F54" t="inlineStr"/>
    </row>
    <row r="55">
      <c r="A55" t="inlineStr">
        <is>
          <t>新增列</t>
        </is>
      </c>
      <c r="B55" t="inlineStr">
        <is>
          <t>PxQ!X22</t>
        </is>
      </c>
      <c r="C55" t="inlineStr">
        <is>
          <t>2026 下半年所需用量倍數</t>
        </is>
      </c>
      <c r="D55" t="inlineStr">
        <is>
          <t>—</t>
        </is>
      </c>
      <c r="E55" t="inlineStr">
        <is>
          <t>（新列）</t>
        </is>
      </c>
      <c r="F55" t="inlineStr"/>
    </row>
    <row r="56">
      <c r="A56" t="inlineStr">
        <is>
          <t>新增列</t>
        </is>
      </c>
      <c r="B56" t="inlineStr">
        <is>
          <t>PxQ!X23</t>
        </is>
      </c>
      <c r="C56" t="inlineStr">
        <is>
          <t>2026 全年平均折減</t>
        </is>
      </c>
      <c r="D56" t="inlineStr">
        <is>
          <t>—</t>
        </is>
      </c>
      <c r="E56" t="inlineStr">
        <is>
          <t>（新列）</t>
        </is>
      </c>
      <c r="F56" t="inlineStr"/>
    </row>
    <row r="57">
      <c r="A57" t="inlineStr">
        <is>
          <t>新增列</t>
        </is>
      </c>
      <c r="B57" t="inlineStr">
        <is>
          <t>PxQ!六、對照</t>
        </is>
      </c>
      <c r="D57" t="inlineStr">
        <is>
          <t>—</t>
        </is>
      </c>
      <c r="E57" t="inlineStr">
        <is>
          <t>（新列）</t>
        </is>
      </c>
      <c r="F57" t="inlineStr"/>
    </row>
    <row r="58">
      <c r="A58" t="inlineStr">
        <is>
          <t>新增列</t>
        </is>
      </c>
      <c r="B58" t="inlineStr">
        <is>
          <t>PxQ!X24</t>
        </is>
      </c>
      <c r="C58" t="inlineStr">
        <is>
          <t>合約價 I02 ÷ h（算力成本中雲端租用溢價）</t>
        </is>
      </c>
      <c r="D58" t="inlineStr">
        <is>
          <t>—</t>
        </is>
      </c>
      <c r="E58" t="inlineStr">
        <is>
          <t>（新列）</t>
        </is>
      </c>
      <c r="F58" t="inlineStr"/>
    </row>
    <row r="59">
      <c r="A59" t="inlineStr">
        <is>
          <t>新增列</t>
        </is>
      </c>
      <c r="B59" t="inlineStr">
        <is>
          <t>PxQ!X25</t>
        </is>
      </c>
      <c r="C59" t="inlineStr">
        <is>
          <t>每 MW 營收 ÷ h（＝X05，與 PnL 每 MW 營收同口徑）</t>
        </is>
      </c>
      <c r="D59" t="inlineStr">
        <is>
          <t>—</t>
        </is>
      </c>
      <c r="E59" t="inlineStr">
        <is>
          <t>（新列）</t>
        </is>
      </c>
      <c r="F59" t="inlineStr"/>
    </row>
    <row r="60">
      <c r="A60" t="inlineStr">
        <is>
          <t>新增列</t>
        </is>
      </c>
      <c r="B60" t="inlineStr">
        <is>
          <t>PxQ!X26</t>
        </is>
      </c>
      <c r="C60" t="inlineStr">
        <is>
          <t>營收 ÷ 算力支出（合約價口徑，＝Compute C26）</t>
        </is>
      </c>
      <c r="D60" t="inlineStr">
        <is>
          <t>—</t>
        </is>
      </c>
      <c r="E60" t="inlineStr">
        <is>
          <t>（新列）</t>
        </is>
      </c>
      <c r="F60" t="inlineStr"/>
    </row>
    <row r="61">
      <c r="A61" t="inlineStr">
        <is>
          <t>新增列</t>
        </is>
      </c>
      <c r="B61" t="inlineStr">
        <is>
          <t>PxQ!X27</t>
        </is>
      </c>
      <c r="C61" t="inlineStr">
        <is>
          <t>分解檢查：X26 × X24 − X05（應＝0）</t>
        </is>
      </c>
      <c r="D61" t="inlineStr">
        <is>
          <t>—</t>
        </is>
      </c>
      <c r="E61" t="inlineStr">
        <is>
          <t>（新列）</t>
        </is>
      </c>
      <c r="F61" t="inlineStr"/>
    </row>
    <row r="62">
      <c r="A62" t="inlineStr">
        <is>
          <t>新增列</t>
        </is>
      </c>
      <c r="B62" t="inlineStr">
        <is>
          <t>PxQ!X28</t>
        </is>
      </c>
      <c r="C62" t="inlineStr">
        <is>
          <t>比值＝1 所需的合約價 I02（＝I02 ÷ 比值；what must be true）</t>
        </is>
      </c>
      <c r="D62" t="inlineStr">
        <is>
          <t>—</t>
        </is>
      </c>
      <c r="E62" t="inlineStr">
        <is>
          <t>（新列）</t>
        </is>
      </c>
      <c r="F62" t="inlineStr"/>
    </row>
    <row r="63">
      <c r="A63" t="inlineStr">
        <is>
          <t>新增列</t>
        </is>
      </c>
      <c r="B63" t="inlineStr">
        <is>
          <t>Funding!F20</t>
        </is>
      </c>
      <c r="C63" t="inlineStr">
        <is>
          <t>對照：公告經營活動現金流（FY2025；1H26 現金流量表未取得）</t>
        </is>
      </c>
      <c r="D63" t="inlineStr">
        <is>
          <t>—</t>
        </is>
      </c>
      <c r="E63" t="inlineStr">
        <is>
          <t>（新列）</t>
        </is>
      </c>
      <c r="F63" t="inlineStr"/>
    </row>
    <row r="64">
      <c r="A64" t="inlineStr">
        <is>
          <t>新增列</t>
        </is>
      </c>
      <c r="B64" t="inlineStr">
        <is>
          <t>Funding!F21</t>
        </is>
      </c>
      <c r="C64" t="inlineStr">
        <is>
          <t>對照：經營現金流 − 模型經調整淨利（FY2025；負＝實際流出較多）</t>
        </is>
      </c>
      <c r="D64" t="inlineStr">
        <is>
          <t>—</t>
        </is>
      </c>
      <c r="E64" t="inlineStr">
        <is>
          <t>（新列）</t>
        </is>
      </c>
      <c r="F64" t="inlineStr"/>
    </row>
    <row r="65">
      <c r="A65" t="inlineStr">
        <is>
          <t>新增列</t>
        </is>
      </c>
      <c r="B65" t="inlineStr">
        <is>
          <t>Funding!F22</t>
        </is>
      </c>
      <c r="C65" t="inlineStr">
        <is>
          <t>對照：1H26 物業廠房設備增額</t>
        </is>
      </c>
      <c r="D65" t="inlineStr">
        <is>
          <t>—</t>
        </is>
      </c>
      <c r="E65" t="inlineStr">
        <is>
          <t>（新列）</t>
        </is>
      </c>
      <c r="F65" t="inlineStr"/>
    </row>
    <row r="66">
      <c r="A66" t="inlineStr">
        <is>
          <t>新增列</t>
        </is>
      </c>
      <c r="B66" t="inlineStr">
        <is>
          <t>Funding!F23</t>
        </is>
      </c>
      <c r="C66" t="inlineStr">
        <is>
          <t>對照：1H26 合約負債增額</t>
        </is>
      </c>
      <c r="D66" t="inlineStr">
        <is>
          <t>—</t>
        </is>
      </c>
      <c r="E66" t="inlineStr">
        <is>
          <t>（新列）</t>
        </is>
      </c>
      <c r="F66" t="inlineStr"/>
    </row>
    <row r="67">
      <c r="A67" t="inlineStr">
        <is>
          <t>公式改變</t>
        </is>
      </c>
      <c r="B67" t="inlineStr">
        <is>
          <t>Funding!F18@2026</t>
        </is>
      </c>
      <c r="C67" t="inlineStr">
        <is>
          <t>累計外部資金</t>
        </is>
      </c>
      <c r="D67">
        <f>D24+E25+E26</f>
        <v/>
      </c>
      <c r="E67">
        <f>D28+E29+E30</f>
        <v/>
      </c>
      <c r="F67" t="inlineStr"/>
    </row>
    <row r="68">
      <c r="A68" t="inlineStr">
        <is>
          <t>公式改變</t>
        </is>
      </c>
      <c r="B68" t="inlineStr">
        <is>
          <t>Valuation!V01@2025</t>
        </is>
      </c>
      <c r="C68" t="inlineStr">
        <is>
          <t>股價（10-21 推算收盤）</t>
        </is>
      </c>
      <c r="D68">
        <f>SRC_MM!$E$56/SRC_MM!$E$55</f>
        <v/>
      </c>
      <c r="E68">
        <f>SRC_MM!$E$82</f>
        <v/>
      </c>
      <c r="F68" t="inlineStr"/>
    </row>
    <row r="69">
      <c r="A69" t="inlineStr">
        <is>
          <t>公式改變</t>
        </is>
      </c>
      <c r="B69" t="inlineStr">
        <is>
          <t>Valuation!V01@2026</t>
        </is>
      </c>
      <c r="C69" t="inlineStr">
        <is>
          <t>股價（10-21 推算收盤）</t>
        </is>
      </c>
      <c r="D69">
        <f>SRC_MM!$E$56/SRC_MM!$E$55</f>
        <v/>
      </c>
      <c r="E69">
        <f>SRC_MM!$E$82</f>
        <v/>
      </c>
      <c r="F69" t="inlineStr"/>
    </row>
    <row r="70">
      <c r="A70" t="inlineStr">
        <is>
          <t>公式改變</t>
        </is>
      </c>
      <c r="B70" t="inlineStr">
        <is>
          <t>Valuation!V01@2027</t>
        </is>
      </c>
      <c r="C70" t="inlineStr">
        <is>
          <t>股價（10-21 推算收盤）</t>
        </is>
      </c>
      <c r="D70">
        <f>SRC_MM!$E$56/SRC_MM!$E$55</f>
        <v/>
      </c>
      <c r="E70">
        <f>SRC_MM!$E$82</f>
        <v/>
      </c>
      <c r="F70" t="inlineStr"/>
    </row>
    <row r="71">
      <c r="A71" t="inlineStr">
        <is>
          <t>公式改變</t>
        </is>
      </c>
      <c r="B71" t="inlineStr">
        <is>
          <t>Valuation!V01@2028</t>
        </is>
      </c>
      <c r="C71" t="inlineStr">
        <is>
          <t>股價（10-21 推算收盤）</t>
        </is>
      </c>
      <c r="D71">
        <f>SRC_MM!$E$56/SRC_MM!$E$55</f>
        <v/>
      </c>
      <c r="E71">
        <f>SRC_MM!$E$82</f>
        <v/>
      </c>
      <c r="F71" t="inlineStr"/>
    </row>
    <row r="72">
      <c r="A72" t="inlineStr">
        <is>
          <t>公式改變</t>
        </is>
      </c>
      <c r="B72" t="inlineStr">
        <is>
          <t>Valuation!V01@2029</t>
        </is>
      </c>
      <c r="C72" t="inlineStr">
        <is>
          <t>股價（10-21 推算收盤）</t>
        </is>
      </c>
      <c r="D72">
        <f>SRC_MM!$E$56/SRC_MM!$E$55</f>
        <v/>
      </c>
      <c r="E72">
        <f>SRC_MM!$E$82</f>
        <v/>
      </c>
      <c r="F72" t="inlineStr"/>
    </row>
    <row r="73">
      <c r="A73" t="inlineStr">
        <is>
          <t>公式改變</t>
        </is>
      </c>
      <c r="B73" t="inlineStr">
        <is>
          <t>Valuation!V01@2030</t>
        </is>
      </c>
      <c r="C73" t="inlineStr">
        <is>
          <t>股價（10-21 推算收盤）</t>
        </is>
      </c>
      <c r="D73">
        <f>SRC_MM!$E$56/SRC_MM!$E$55</f>
        <v/>
      </c>
      <c r="E73">
        <f>SRC_MM!$E$82</f>
        <v/>
      </c>
      <c r="F73" t="inlineStr"/>
    </row>
    <row r="74">
      <c r="A74" t="inlineStr">
        <is>
          <t>公式改變</t>
        </is>
      </c>
      <c r="B74" t="inlineStr">
        <is>
          <t>Valuation!V02@2025</t>
        </is>
      </c>
      <c r="C74" t="inlineStr">
        <is>
          <t>市值</t>
        </is>
      </c>
      <c r="D74">
        <f>SRC_MM!$E$56/Inputs!$D$6</f>
        <v/>
      </c>
      <c r="E74">
        <f>SRC_MM!$E$82*SRC_MM!$E$55/Inputs!$D$6</f>
        <v/>
      </c>
      <c r="F74" t="inlineStr"/>
    </row>
    <row r="75">
      <c r="A75" t="inlineStr">
        <is>
          <t>公式改變</t>
        </is>
      </c>
      <c r="B75" t="inlineStr">
        <is>
          <t>Valuation!V02@2026</t>
        </is>
      </c>
      <c r="C75" t="inlineStr">
        <is>
          <t>市值</t>
        </is>
      </c>
      <c r="D75">
        <f>SRC_MM!$E$56/Inputs!$D$6</f>
        <v/>
      </c>
      <c r="E75">
        <f>SRC_MM!$E$82*SRC_MM!$E$55/Inputs!$D$6</f>
        <v/>
      </c>
      <c r="F75" t="inlineStr"/>
    </row>
    <row r="76">
      <c r="A76" t="inlineStr">
        <is>
          <t>公式改變</t>
        </is>
      </c>
      <c r="B76" t="inlineStr">
        <is>
          <t>Valuation!V02@2027</t>
        </is>
      </c>
      <c r="C76" t="inlineStr">
        <is>
          <t>市值</t>
        </is>
      </c>
      <c r="D76">
        <f>SRC_MM!$E$56/Inputs!$D$6</f>
        <v/>
      </c>
      <c r="E76">
        <f>SRC_MM!$E$82*SRC_MM!$E$55/Inputs!$D$6</f>
        <v/>
      </c>
      <c r="F76" t="inlineStr"/>
    </row>
    <row r="77">
      <c r="A77" t="inlineStr">
        <is>
          <t>公式改變</t>
        </is>
      </c>
      <c r="B77" t="inlineStr">
        <is>
          <t>Valuation!V02@2028</t>
        </is>
      </c>
      <c r="C77" t="inlineStr">
        <is>
          <t>市值</t>
        </is>
      </c>
      <c r="D77">
        <f>SRC_MM!$E$56/Inputs!$D$6</f>
        <v/>
      </c>
      <c r="E77">
        <f>SRC_MM!$E$82*SRC_MM!$E$55/Inputs!$D$6</f>
        <v/>
      </c>
      <c r="F77" t="inlineStr"/>
    </row>
    <row r="78">
      <c r="A78" t="inlineStr">
        <is>
          <t>公式改變</t>
        </is>
      </c>
      <c r="B78" t="inlineStr">
        <is>
          <t>Valuation!V02@2029</t>
        </is>
      </c>
      <c r="C78" t="inlineStr">
        <is>
          <t>市值</t>
        </is>
      </c>
      <c r="D78">
        <f>SRC_MM!$E$56/Inputs!$D$6</f>
        <v/>
      </c>
      <c r="E78">
        <f>SRC_MM!$E$82*SRC_MM!$E$55/Inputs!$D$6</f>
        <v/>
      </c>
      <c r="F78" t="inlineStr"/>
    </row>
    <row r="79">
      <c r="A79" t="inlineStr">
        <is>
          <t>公式改變</t>
        </is>
      </c>
      <c r="B79" t="inlineStr">
        <is>
          <t>Valuation!V02@2030</t>
        </is>
      </c>
      <c r="C79" t="inlineStr">
        <is>
          <t>市值</t>
        </is>
      </c>
      <c r="D79">
        <f>SRC_MM!$E$56/Inputs!$D$6</f>
        <v/>
      </c>
      <c r="E79">
        <f>SRC_MM!$E$82*SRC_MM!$E$55/Inputs!$D$6</f>
        <v/>
      </c>
      <c r="F79" t="inlineStr"/>
    </row>
    <row r="80">
      <c r="A80" t="inlineStr">
        <is>
          <t>公式改變</t>
        </is>
      </c>
      <c r="B80" t="inlineStr">
        <is>
          <t>Valuation!V07@2026</t>
        </is>
      </c>
      <c r="C80" t="inlineStr">
        <is>
          <t>智譜 市值 ÷ 1H26 年化營收</t>
        </is>
      </c>
      <c r="D80">
        <f>E13/(SRC_MM!$E$75/SRC_MM!$E$81*2)</f>
        <v/>
      </c>
      <c r="E80">
        <f>E13/(SRC_MM!$E$75/SRC_MM!$E$101*2)</f>
        <v/>
      </c>
      <c r="F80" t="inlineStr"/>
    </row>
    <row r="81">
      <c r="A81" t="inlineStr">
        <is>
          <t>公式改變</t>
        </is>
      </c>
      <c r="B81" t="inlineStr">
        <is>
          <t>Valuation!V09@2030</t>
        </is>
      </c>
      <c r="C81" t="inlineStr">
        <is>
          <t>2030 年 EV＝模型營收 × 退出倍數</t>
        </is>
      </c>
      <c r="D81">
        <f>Revenue!$I$17*Inputs!$D$33</f>
        <v/>
      </c>
      <c r="E81">
        <f>Revenue!$I$17*Inputs!$D$36</f>
        <v/>
      </c>
      <c r="F81" t="inlineStr"/>
    </row>
    <row r="82">
      <c r="A82" t="inlineStr">
        <is>
          <t>公式改變</t>
        </is>
      </c>
      <c r="B82" t="inlineStr">
        <is>
          <t>Valuation!V11@2030</t>
        </is>
      </c>
      <c r="C82" t="inlineStr">
        <is>
          <t>現有股東持有比例＝1 ÷（1＋累計稀釋）</t>
        </is>
      </c>
      <c r="D82">
        <f>1/(1+Funding!$I$22)</f>
        <v/>
      </c>
      <c r="E82">
        <f>1/(1+Funding!$I$26)</f>
        <v/>
      </c>
      <c r="F82" t="inlineStr"/>
    </row>
    <row r="83">
      <c r="A83" t="inlineStr">
        <is>
          <t>公式改變</t>
        </is>
      </c>
      <c r="B83" t="inlineStr">
        <is>
          <t>Valuation!V12@2030</t>
        </is>
      </c>
      <c r="C83" t="inlineStr">
        <is>
          <t>現有股東價值折現至今</t>
        </is>
      </c>
      <c r="D83">
        <f>I18*I19/(1+Inputs!$D$34)^4</f>
        <v/>
      </c>
      <c r="E83">
        <f>I18*I19/(1+Inputs!$D$37)^4</f>
        <v/>
      </c>
      <c r="F83" t="inlineStr"/>
    </row>
    <row r="84">
      <c r="A84" t="inlineStr">
        <is>
          <t>公式改變</t>
        </is>
      </c>
      <c r="B84" t="inlineStr">
        <is>
          <t>Valuation!V14@2030</t>
        </is>
      </c>
      <c r="C84" t="inlineStr">
        <is>
          <t>支持現價所需的 2030 營收</t>
        </is>
      </c>
      <c r="D84">
        <f>(I8*(1+Inputs!$D$34)^4/I19-I9)/Inputs!$D$33</f>
        <v/>
      </c>
      <c r="E84">
        <f>(I8*(1+Inputs!$D$37)^4/I19-I9)/Inputs!$D$36</f>
        <v/>
      </c>
      <c r="F84" t="inlineStr"/>
    </row>
    <row r="85">
      <c r="A85" t="inlineStr">
        <is>
          <t>標註改變</t>
        </is>
      </c>
      <c r="B85" t="inlineStr">
        <is>
          <t>SRC_MM!S052</t>
        </is>
      </c>
      <c r="C85" t="inlineStr">
        <is>
          <t>市值【已更新，見 S078】</t>
        </is>
      </c>
      <c r="D85" t="inlineStr">
        <is>
          <t>市值</t>
        </is>
      </c>
      <c r="E85" t="inlineStr">
        <is>
          <t>市值【已更新，見 S078】</t>
        </is>
      </c>
      <c r="F85" t="inlineStr">
        <is>
          <t>舊列保留並標「已更新」</t>
        </is>
      </c>
    </row>
    <row r="86">
      <c r="A86" t="inlineStr">
        <is>
          <t>標註改變</t>
        </is>
      </c>
      <c r="B86" t="inlineStr">
        <is>
          <t>SRC_MM!S062</t>
        </is>
      </c>
      <c r="C86" t="inlineStr">
        <is>
          <t>市場共識營收（23 位分析師平均；與 Yahoo 彙整同值，疑同源，見 S081 另一獨立點）</t>
        </is>
      </c>
      <c r="D86" t="inlineStr">
        <is>
          <t>市場共識營收（23 位分析師平均）</t>
        </is>
      </c>
      <c r="E86" t="inlineStr">
        <is>
          <t>市場共識營收（23 位分析師平均；與 Yahoo 彙整同值，疑同源，見 S081 另一獨立點）</t>
        </is>
      </c>
      <c r="F86" t="inlineStr">
        <is>
          <t>舊列保留並標「已更新」</t>
        </is>
      </c>
    </row>
    <row r="87">
      <c r="A87" t="inlineStr">
        <is>
          <t>標註改變</t>
        </is>
      </c>
      <c r="B87" t="inlineStr">
        <is>
          <t>SRC_MM!S077</t>
        </is>
      </c>
      <c r="C87" t="inlineStr">
        <is>
          <t>人民幣兌美元（換算阿里雲上限用）【已更新，見 S097】</t>
        </is>
      </c>
      <c r="D87" t="inlineStr">
        <is>
          <t>人民幣兌美元（換算阿里雲上限用）</t>
        </is>
      </c>
      <c r="E87" t="inlineStr">
        <is>
          <t>人民幣兌美元（換算阿里雲上限用）【已更新，見 S097】</t>
        </is>
      </c>
      <c r="F87" t="inlineStr">
        <is>
          <t>舊列保留並標「已更新」</t>
        </is>
      </c>
    </row>
    <row r="88">
      <c r="A88" t="inlineStr">
        <is>
          <t>新增列</t>
        </is>
      </c>
      <c r="B88" t="inlineStr">
        <is>
          <t>SRC_MM!S078</t>
        </is>
      </c>
      <c r="C88" t="inlineStr">
        <is>
          <t>收盤價（由多個行情頁 10-22「昨收」欄推算；非直接收盤公告）</t>
        </is>
      </c>
      <c r="D88" t="inlineStr">
        <is>
          <t>—</t>
        </is>
      </c>
      <c r="E88" t="inlineStr">
        <is>
          <t>171.9</t>
        </is>
      </c>
      <c r="F88" t="inlineStr"/>
    </row>
    <row r="89">
      <c r="A89" t="inlineStr">
        <is>
          <t>新增列</t>
        </is>
      </c>
      <c r="B89" t="inlineStr">
        <is>
          <t>SRC_MM!S079</t>
        </is>
      </c>
      <c r="C89" t="inlineStr">
        <is>
          <t>盤中價（跌破 IPO 價；未收盤）</t>
        </is>
      </c>
      <c r="D89" t="inlineStr">
        <is>
          <t>—</t>
        </is>
      </c>
      <c r="E89" t="inlineStr">
        <is>
          <t>162</t>
        </is>
      </c>
      <c r="F89" t="inlineStr"/>
    </row>
    <row r="90">
      <c r="A90" t="inlineStr">
        <is>
          <t>新增列</t>
        </is>
      </c>
      <c r="B90" t="inlineStr">
        <is>
          <t>SRC_MM!S080</t>
        </is>
      </c>
      <c r="C90" t="inlineStr">
        <is>
          <t>IPO 發行價</t>
        </is>
      </c>
      <c r="D90" t="inlineStr">
        <is>
          <t>—</t>
        </is>
      </c>
      <c r="E90" t="inlineStr">
        <is>
          <t>165</t>
        </is>
      </c>
      <c r="F90" t="inlineStr"/>
    </row>
    <row r="91">
      <c r="A91" t="inlineStr">
        <is>
          <t>新增列</t>
        </is>
      </c>
      <c r="B91" t="inlineStr">
        <is>
          <t>SRC_MM!S081</t>
        </is>
      </c>
      <c r="C91" t="inlineStr">
        <is>
          <t>Bloomberg 共識營收（與 S062 不同源）</t>
        </is>
      </c>
      <c r="D91" t="inlineStr">
        <is>
          <t>—</t>
        </is>
      </c>
      <c r="E91" t="inlineStr">
        <is>
          <t>363.77</t>
        </is>
      </c>
      <c r="F91" t="inlineStr"/>
    </row>
    <row r="92">
      <c r="A92" t="inlineStr">
        <is>
          <t>新增列</t>
        </is>
      </c>
      <c r="B92" t="inlineStr">
        <is>
          <t>SRC_MM!S082</t>
        </is>
      </c>
      <c r="C92" t="inlineStr">
        <is>
          <t>Yahoo 共識營收（24 位）</t>
        </is>
      </c>
      <c r="D92" t="inlineStr">
        <is>
          <t>—</t>
        </is>
      </c>
      <c r="E92" t="inlineStr">
        <is>
          <t>1360</t>
        </is>
      </c>
      <c r="F92" t="inlineStr"/>
    </row>
    <row r="93">
      <c r="A93" t="inlineStr">
        <is>
          <t>新增列</t>
        </is>
      </c>
      <c r="B93" t="inlineStr">
        <is>
          <t>SRC_MM!S083</t>
        </is>
      </c>
      <c r="C93" t="inlineStr">
        <is>
          <t>stockanalysis／S&amp;P 資料 共識營收</t>
        </is>
      </c>
      <c r="D93" t="inlineStr">
        <is>
          <t>—</t>
        </is>
      </c>
      <c r="E93" t="inlineStr">
        <is>
          <t>1030</t>
        </is>
      </c>
      <c r="F93" t="inlineStr"/>
    </row>
    <row r="94">
      <c r="A94" t="inlineStr">
        <is>
          <t>新增列</t>
        </is>
      </c>
      <c r="B94" t="inlineStr">
        <is>
          <t>SRC_MM!S084</t>
        </is>
      </c>
      <c r="C94" t="inlineStr">
        <is>
          <t>分析師平均目標價（18 買／4 持有／1 賣）</t>
        </is>
      </c>
      <c r="D94" t="inlineStr">
        <is>
          <t>—</t>
        </is>
      </c>
      <c r="E94" t="inlineStr">
        <is>
          <t>588.79</t>
        </is>
      </c>
      <c r="F94" t="inlineStr"/>
    </row>
    <row r="95">
      <c r="A95" t="inlineStr">
        <is>
          <t>新增列</t>
        </is>
      </c>
      <c r="B95" t="inlineStr">
        <is>
          <t>SRC_MM!S085</t>
        </is>
      </c>
      <c r="C95" t="inlineStr">
        <is>
          <t>合約負債</t>
        </is>
      </c>
      <c r="D95" t="inlineStr">
        <is>
          <t>—</t>
        </is>
      </c>
      <c r="E95" t="inlineStr">
        <is>
          <t>18.287</t>
        </is>
      </c>
      <c r="F95" t="inlineStr"/>
    </row>
    <row r="96">
      <c r="A96" t="inlineStr">
        <is>
          <t>新增列</t>
        </is>
      </c>
      <c r="B96" t="inlineStr">
        <is>
          <t>SRC_MM!S086</t>
        </is>
      </c>
      <c r="C96" t="inlineStr">
        <is>
          <t>合約負債</t>
        </is>
      </c>
      <c r="D96" t="inlineStr">
        <is>
          <t>—</t>
        </is>
      </c>
      <c r="E96" t="inlineStr">
        <is>
          <t>7.541</t>
        </is>
      </c>
      <c r="F96" t="inlineStr"/>
    </row>
    <row r="97">
      <c r="A97" t="inlineStr">
        <is>
          <t>新增列</t>
        </is>
      </c>
      <c r="B97" t="inlineStr">
        <is>
          <t>SRC_MM!S087</t>
        </is>
      </c>
      <c r="C97" t="inlineStr">
        <is>
          <t>物業廠房設備</t>
        </is>
      </c>
      <c r="D97" t="inlineStr">
        <is>
          <t>—</t>
        </is>
      </c>
      <c r="E97" t="inlineStr">
        <is>
          <t>74.913</t>
        </is>
      </c>
      <c r="F97" t="inlineStr"/>
    </row>
    <row r="98">
      <c r="A98" t="inlineStr">
        <is>
          <t>新增列</t>
        </is>
      </c>
      <c r="B98" t="inlineStr">
        <is>
          <t>SRC_MM!S088</t>
        </is>
      </c>
      <c r="C98" t="inlineStr">
        <is>
          <t>物業廠房設備</t>
        </is>
      </c>
      <c r="D98" t="inlineStr">
        <is>
          <t>—</t>
        </is>
      </c>
      <c r="E98" t="inlineStr">
        <is>
          <t>1.571</t>
        </is>
      </c>
      <c r="F98" t="inlineStr"/>
    </row>
    <row r="99">
      <c r="A99" t="inlineStr">
        <is>
          <t>新增列</t>
        </is>
      </c>
      <c r="B99" t="inlineStr">
        <is>
          <t>SRC_MM!S089</t>
        </is>
      </c>
      <c r="C99" t="inlineStr">
        <is>
          <t>經營活動現金流</t>
        </is>
      </c>
      <c r="D99" t="inlineStr">
        <is>
          <t>—</t>
        </is>
      </c>
      <c r="E99" t="inlineStr">
        <is>
          <t>-279.641</t>
        </is>
      </c>
      <c r="F99" t="inlineStr"/>
    </row>
    <row r="100">
      <c r="A100" t="inlineStr">
        <is>
          <t>新增列</t>
        </is>
      </c>
      <c r="B100" t="inlineStr">
        <is>
          <t>SRC_MM!S090</t>
        </is>
      </c>
      <c r="C100" t="inlineStr">
        <is>
          <t>投資活動現金流（含理財產品贖回，不能當資本支出）</t>
        </is>
      </c>
      <c r="D100" t="inlineStr">
        <is>
          <t>—</t>
        </is>
      </c>
      <c r="E100" t="inlineStr">
        <is>
          <t>72.261</t>
        </is>
      </c>
      <c r="F100" t="inlineStr"/>
    </row>
    <row r="101">
      <c r="A101" t="inlineStr">
        <is>
          <t>新增列</t>
        </is>
      </c>
      <c r="B101" t="inlineStr">
        <is>
          <t>SRC_MM!S091</t>
        </is>
      </c>
      <c r="C101" t="inlineStr">
        <is>
          <t>融資活動現金流</t>
        </is>
      </c>
      <c r="D101" t="inlineStr">
        <is>
          <t>—</t>
        </is>
      </c>
      <c r="E101" t="inlineStr">
        <is>
          <t>423.342</t>
        </is>
      </c>
      <c r="F101" t="inlineStr"/>
    </row>
    <row r="102">
      <c r="A102" t="inlineStr">
        <is>
          <t>新增列</t>
        </is>
      </c>
      <c r="B102" t="inlineStr">
        <is>
          <t>SRC_MM!S092</t>
        </is>
      </c>
      <c r="C102" t="inlineStr">
        <is>
          <t>期初現金（現金流量表口徑）</t>
        </is>
      </c>
      <c r="D102" t="inlineStr">
        <is>
          <t>—</t>
        </is>
      </c>
      <c r="E102" t="inlineStr">
        <is>
          <t>288.912</t>
        </is>
      </c>
      <c r="F102" t="inlineStr"/>
    </row>
    <row r="103">
      <c r="A103" t="inlineStr">
        <is>
          <t>新增列</t>
        </is>
      </c>
      <c r="B103" t="inlineStr">
        <is>
          <t>SRC_MM!S093</t>
        </is>
      </c>
      <c r="C103" t="inlineStr">
        <is>
          <t>匯率影響</t>
        </is>
      </c>
      <c r="D103" t="inlineStr">
        <is>
          <t>—</t>
        </is>
      </c>
      <c r="E103" t="inlineStr">
        <is>
          <t>2.747</t>
        </is>
      </c>
      <c r="F103" t="inlineStr"/>
    </row>
    <row r="104">
      <c r="A104" t="inlineStr">
        <is>
          <t>新增列</t>
        </is>
      </c>
      <c r="B104" t="inlineStr">
        <is>
          <t>SRC_MM!S094</t>
        </is>
      </c>
      <c r="C104" t="inlineStr">
        <is>
          <t>期末現金（現金流量表口徑；公司口徑含定存理財為 S040）</t>
        </is>
      </c>
      <c r="D104" t="inlineStr">
        <is>
          <t>—</t>
        </is>
      </c>
      <c r="E104" t="inlineStr">
        <is>
          <t>507.621</t>
        </is>
      </c>
      <c r="F104" t="inlineStr"/>
    </row>
    <row r="105">
      <c r="A105" t="inlineStr">
        <is>
          <t>新增列</t>
        </is>
      </c>
      <c r="B105" t="inlineStr">
        <is>
          <t>SRC_MM!S095</t>
        </is>
      </c>
      <c r="C105" t="inlineStr">
        <is>
          <t>經營活動現金流</t>
        </is>
      </c>
      <c r="D105" t="inlineStr">
        <is>
          <t>—</t>
        </is>
      </c>
      <c r="E105" t="inlineStr">
        <is>
          <t>-258.483</t>
        </is>
      </c>
      <c r="F105" t="inlineStr"/>
    </row>
    <row r="106">
      <c r="A106" t="inlineStr">
        <is>
          <t>新增列</t>
        </is>
      </c>
      <c r="B106" t="inlineStr">
        <is>
          <t>SRC_MM!S096</t>
        </is>
      </c>
      <c r="C106" t="inlineStr">
        <is>
          <t>人民幣兌美元中間價（期末）</t>
        </is>
      </c>
      <c r="D106" t="inlineStr">
        <is>
          <t>—</t>
        </is>
      </c>
      <c r="E106" t="inlineStr">
        <is>
          <t>6.8109</t>
        </is>
      </c>
      <c r="F106" t="inlineStr"/>
    </row>
    <row r="107">
      <c r="A107" t="inlineStr">
        <is>
          <t>新增列</t>
        </is>
      </c>
      <c r="B107" t="inlineStr">
        <is>
          <t>SRC_MM!S097</t>
        </is>
      </c>
      <c r="C107" t="inlineStr">
        <is>
          <t>人民幣兌美元（1H26 期間平均；未取得，範圍 6.85–6.98）</t>
        </is>
      </c>
      <c r="D107" t="inlineStr">
        <is>
          <t>—</t>
        </is>
      </c>
      <c r="E107" t="inlineStr">
        <is>
          <t>6.9</t>
        </is>
      </c>
      <c r="F107" t="inlineStr"/>
    </row>
    <row r="108">
      <c r="A108" t="inlineStr">
        <is>
          <t>新增列</t>
        </is>
      </c>
      <c r="B108" t="inlineStr">
        <is>
          <t>SRC_MM!S098</t>
        </is>
      </c>
      <c r="C108" t="inlineStr">
        <is>
          <t>API 牌價 M3.1 Flash：輸入</t>
        </is>
      </c>
      <c r="D108" t="inlineStr">
        <is>
          <t>—</t>
        </is>
      </c>
      <c r="E108" t="inlineStr">
        <is>
          <t>0.15</t>
        </is>
      </c>
      <c r="F108" t="inlineStr"/>
    </row>
    <row r="109">
      <c r="A109" t="inlineStr">
        <is>
          <t>新增列</t>
        </is>
      </c>
      <c r="B109" t="inlineStr">
        <is>
          <t>SRC_MM!S099</t>
        </is>
      </c>
      <c r="C109" t="inlineStr">
        <is>
          <t>API 牌價 M3.1 Flash：輸出</t>
        </is>
      </c>
      <c r="D109" t="inlineStr">
        <is>
          <t>—</t>
        </is>
      </c>
      <c r="E109" t="inlineStr">
        <is>
          <t>0.6</t>
        </is>
      </c>
      <c r="F109" t="inlineStr"/>
    </row>
    <row r="110">
      <c r="A110" t="inlineStr">
        <is>
          <t>新增列</t>
        </is>
      </c>
      <c r="B110" t="inlineStr">
        <is>
          <t>SRC_MM!S100</t>
        </is>
      </c>
      <c r="C110" t="inlineStr">
        <is>
          <t>API 牌價 M3.1 Flash：快取讀取</t>
        </is>
      </c>
      <c r="D110" t="inlineStr">
        <is>
          <t>—</t>
        </is>
      </c>
      <c r="E110" t="inlineStr">
        <is>
          <t>0.015</t>
        </is>
      </c>
      <c r="F110" t="inlineStr"/>
    </row>
    <row r="111">
      <c r="A111" t="inlineStr">
        <is>
          <t>新增列</t>
        </is>
      </c>
      <c r="B111" t="inlineStr">
        <is>
          <t>SRC_MM!S101</t>
        </is>
      </c>
      <c r="C111" t="inlineStr">
        <is>
          <t>API 牌價 M3 輸入（OpenRouter 官方端點現況，獨立確認 S056）</t>
        </is>
      </c>
      <c r="D111" t="inlineStr">
        <is>
          <t>—</t>
        </is>
      </c>
      <c r="E111" t="inlineStr">
        <is>
          <t>0.3</t>
        </is>
      </c>
      <c r="F111" t="inlineStr"/>
    </row>
    <row r="112">
      <c r="A112" t="inlineStr">
        <is>
          <t>新增列</t>
        </is>
      </c>
      <c r="B112" t="inlineStr">
        <is>
          <t>SRC_MM!S102</t>
        </is>
      </c>
      <c r="C112" t="inlineStr">
        <is>
          <t>AutoDL H800 80G 單卡租價（公開標價）</t>
        </is>
      </c>
      <c r="D112" t="inlineStr">
        <is>
          <t>—</t>
        </is>
      </c>
      <c r="E112" t="inlineStr">
        <is>
          <t>9.98</t>
        </is>
      </c>
      <c r="F112" t="inlineStr"/>
    </row>
    <row r="113">
      <c r="A113" t="inlineStr">
        <is>
          <t>新增列</t>
        </is>
      </c>
      <c r="B113" t="inlineStr">
        <is>
          <t>SRC_MM!S103</t>
        </is>
      </c>
      <c r="C113" t="inlineStr">
        <is>
          <t>SMM H20 96G 1 年約租價（口徑：整機或單卡未寫清；樣本 2 台）</t>
        </is>
      </c>
      <c r="D113" t="inlineStr">
        <is>
          <t>—</t>
        </is>
      </c>
      <c r="E113" t="inlineStr">
        <is>
          <t>35000</t>
        </is>
      </c>
      <c r="F113" t="inlineStr"/>
    </row>
    <row r="114">
      <c r="A114" t="inlineStr">
        <is>
          <t>新增列</t>
        </is>
      </c>
      <c r="B114" t="inlineStr">
        <is>
          <t>SRC_MM!S104</t>
        </is>
      </c>
      <c r="C114" t="inlineStr">
        <is>
          <t>SMM H100 80G SXM 現貨租價（長三角）</t>
        </is>
      </c>
      <c r="D114" t="inlineStr">
        <is>
          <t>—</t>
        </is>
      </c>
      <c r="E114" t="inlineStr">
        <is>
          <t>85000</t>
        </is>
      </c>
      <c r="F114" t="inlineStr"/>
    </row>
    <row r="115">
      <c r="A115" t="inlineStr">
        <is>
          <t>新增列</t>
        </is>
      </c>
      <c r="B115" t="inlineStr">
        <is>
          <t>SRC_MM!S105</t>
        </is>
      </c>
      <c r="C115" t="inlineStr">
        <is>
          <t>海螺 Hailuo 付費用戶（9M25 平均）</t>
        </is>
      </c>
      <c r="D115" t="inlineStr">
        <is>
          <t>—</t>
        </is>
      </c>
      <c r="E115" t="inlineStr">
        <is>
          <t>0.31</t>
        </is>
      </c>
      <c r="F115" t="inlineStr"/>
    </row>
    <row r="116">
      <c r="A116" t="inlineStr">
        <is>
          <t>新增列</t>
        </is>
      </c>
      <c r="B116" t="inlineStr">
        <is>
          <t>SRC_MM!S106</t>
        </is>
      </c>
      <c r="C116" t="inlineStr">
        <is>
          <t>海螺 Hailuo 付費用戶平均支出（ARPPU）</t>
        </is>
      </c>
      <c r="D116" t="inlineStr">
        <is>
          <t>—</t>
        </is>
      </c>
      <c r="E116" t="inlineStr">
        <is>
          <t>56</t>
        </is>
      </c>
      <c r="F116" t="inlineStr"/>
    </row>
    <row r="117">
      <c r="A117" t="inlineStr">
        <is>
          <t>新增列</t>
        </is>
      </c>
      <c r="B117" t="inlineStr">
        <is>
          <t>SRC_MM!S107</t>
        </is>
      </c>
      <c r="C117" t="inlineStr">
        <is>
          <t>Talkie／星野 付費用戶</t>
        </is>
      </c>
      <c r="D117" t="inlineStr">
        <is>
          <t>—</t>
        </is>
      </c>
      <c r="E117" t="inlineStr">
        <is>
          <t>1.39</t>
        </is>
      </c>
      <c r="F117" t="inlineStr"/>
    </row>
    <row r="118">
      <c r="A118" t="inlineStr">
        <is>
          <t>新增列</t>
        </is>
      </c>
      <c r="B118" t="inlineStr">
        <is>
          <t>SRC_MM!S108</t>
        </is>
      </c>
      <c r="C118" t="inlineStr">
        <is>
          <t>Talkie／星野 ARPPU（約）</t>
        </is>
      </c>
      <c r="D118" t="inlineStr">
        <is>
          <t>—</t>
        </is>
      </c>
      <c r="E118" t="inlineStr">
        <is>
          <t>5</t>
        </is>
      </c>
      <c r="F118" t="inlineStr"/>
    </row>
    <row r="119">
      <c r="A119" t="inlineStr">
        <is>
          <t>新增列</t>
        </is>
      </c>
      <c r="B119" t="inlineStr">
        <is>
          <t>SRC_MM!S109</t>
        </is>
      </c>
      <c r="C119" t="inlineStr">
        <is>
          <t>Talkie／星野 訂閱營收</t>
        </is>
      </c>
      <c r="D119" t="inlineStr">
        <is>
          <t>—</t>
        </is>
      </c>
      <c r="E119" t="inlineStr">
        <is>
          <t>6.604</t>
        </is>
      </c>
      <c r="F119" t="inlineStr"/>
    </row>
    <row r="120">
      <c r="A120" t="inlineStr">
        <is>
          <t>新增列</t>
        </is>
      </c>
      <c r="B120" t="inlineStr">
        <is>
          <t>SRC_MM!S110</t>
        </is>
      </c>
      <c r="C120" t="inlineStr">
        <is>
          <t>Talkie／星野 儲值營收</t>
        </is>
      </c>
      <c r="D120" t="inlineStr">
        <is>
          <t>—</t>
        </is>
      </c>
      <c r="E120" t="inlineStr">
        <is>
          <t>0.958</t>
        </is>
      </c>
      <c r="F120" t="inlineStr"/>
    </row>
    <row r="121">
      <c r="A121" t="inlineStr">
        <is>
          <t>新增列</t>
        </is>
      </c>
      <c r="B121" t="inlineStr">
        <is>
          <t>SRC_MM!S111</t>
        </is>
      </c>
      <c r="C121" t="inlineStr">
        <is>
          <t>海螺 Hailuo 訂閱營收</t>
        </is>
      </c>
      <c r="D121" t="inlineStr">
        <is>
          <t>—</t>
        </is>
      </c>
      <c r="E121" t="inlineStr">
        <is>
          <t>14.147</t>
        </is>
      </c>
      <c r="F121" t="inlineStr"/>
    </row>
    <row r="122">
      <c r="A122" t="inlineStr">
        <is>
          <t>新增列</t>
        </is>
      </c>
      <c r="B122" t="inlineStr">
        <is>
          <t>SRC_MM!S112</t>
        </is>
      </c>
      <c r="C122" t="inlineStr">
        <is>
          <t>海螺 Hailuo 儲值營收</t>
        </is>
      </c>
      <c r="D122" t="inlineStr">
        <is>
          <t>—</t>
        </is>
      </c>
      <c r="E122" t="inlineStr">
        <is>
          <t>3.317</t>
        </is>
      </c>
      <c r="F122" t="inlineStr"/>
    </row>
    <row r="123">
      <c r="A123" t="inlineStr">
        <is>
          <t>新增列</t>
        </is>
      </c>
      <c r="B123" t="inlineStr">
        <is>
          <t>Inputs!I30</t>
        </is>
      </c>
      <c r="C123" t="inlineStr">
        <is>
          <t>M3.1 Flash 對 M3 的牌價降幅（輸入、輸出同為 −50%，快取 −75%；2026-10-19 起）</t>
        </is>
      </c>
      <c r="D123" t="inlineStr">
        <is>
          <t>—</t>
        </is>
      </c>
      <c r="E123" t="inlineStr">
        <is>
          <t>0.5</t>
        </is>
      </c>
      <c r="F123" t="inlineStr"/>
    </row>
    <row r="124">
      <c r="A124" t="inlineStr">
        <is>
          <t>新增列</t>
        </is>
      </c>
      <c r="B124" t="inlineStr">
        <is>
          <t>Inputs!I31</t>
        </is>
      </c>
      <c r="C124" t="inlineStr">
        <is>
          <t>2026 下半年 API 流量中以 M3.1 Flash 牌價計價的比例（上架日起的時間占比 × 遷移率）</t>
        </is>
      </c>
      <c r="D124" t="inlineStr">
        <is>
          <t>—</t>
        </is>
      </c>
      <c r="E124" t="inlineStr">
        <is>
          <t>0.2</t>
        </is>
      </c>
      <c r="F124" t="inlineStr"/>
    </row>
    <row r="125">
      <c r="A125" t="inlineStr">
        <is>
          <t>新增列</t>
        </is>
      </c>
      <c r="B125" t="inlineStr">
        <is>
          <t>Inputs!I33</t>
        </is>
      </c>
      <c r="C125" t="inlineStr">
        <is>
          <t>SMM 租價報價的卡數口徑（每筆月租對應幾張卡）</t>
        </is>
      </c>
      <c r="D125" t="inlineStr">
        <is>
          <t>—</t>
        </is>
      </c>
      <c r="E125" t="inlineStr">
        <is>
          <t>8</t>
        </is>
      </c>
      <c r="F1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20" customWidth="1" min="3" max="3"/>
    <col width="2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輸出</t>
        </is>
      </c>
      <c r="B1" s="1" t="inlineStr">
        <is>
          <t>年</t>
        </is>
      </c>
      <c r="C1" s="1" t="inlineStr">
        <is>
          <t>v0.1（2026-10-08）</t>
        </is>
      </c>
      <c r="D1" s="1" t="inlineStr">
        <is>
          <t>M1（TK 同步 v19.0）</t>
        </is>
      </c>
      <c r="E1" s="1" t="inlineStr">
        <is>
          <t>v0.2 資料更新（不含 M3.1 降價；I31=0）</t>
        </is>
      </c>
      <c r="F1" s="1" t="inlineStr">
        <is>
          <t>v0.2 成品（基準，含 M3.1 已觀測降價）</t>
        </is>
      </c>
      <c r="G1" s="1" t="inlineStr">
        <is>
          <t>新機制（PxQ／D2／η 對照）對此值的影響</t>
        </is>
      </c>
    </row>
    <row r="2">
      <c r="A2" t="inlineStr">
        <is>
          <t>η 2025</t>
        </is>
      </c>
      <c r="B2" t="n">
        <v>2025</v>
      </c>
      <c r="C2" t="n">
        <v>3.4231901721096</v>
      </c>
      <c r="D2" t="n">
        <v>2.24720950962579</v>
      </c>
      <c r="E2" t="n">
        <v>2.24720950962579</v>
      </c>
      <c r="F2" t="n">
        <v>2.24720950962579</v>
      </c>
      <c r="G2" t="inlineStr">
        <is>
          <t>0（新機制不改既有數值）</t>
        </is>
      </c>
    </row>
    <row r="3">
      <c r="A3" t="inlineStr">
        <is>
          <t>η 1H26</t>
        </is>
      </c>
      <c r="B3" t="n">
        <v>2026</v>
      </c>
      <c r="C3" t="n">
        <v>0.800807993200366</v>
      </c>
      <c r="D3" t="n">
        <v>0.522271880839059</v>
      </c>
      <c r="E3" t="n">
        <v>0.522271880839059</v>
      </c>
      <c r="F3" t="n">
        <v>0.522271880839059</v>
      </c>
      <c r="G3" t="inlineStr">
        <is>
          <t>0（新機制不改既有數值）</t>
        </is>
      </c>
    </row>
    <row r="4">
      <c r="A4" t="inlineStr">
        <is>
          <t>API 全年平均單價 $/M</t>
        </is>
      </c>
      <c r="B4" t="n">
        <v>2026</v>
      </c>
      <c r="C4" t="n">
        <v>0.22</v>
      </c>
      <c r="D4" t="n">
        <v>0.22</v>
      </c>
      <c r="E4" t="n">
        <v>0.22</v>
      </c>
      <c r="F4" t="n">
        <v>0.209</v>
      </c>
      <c r="G4" t="inlineStr">
        <is>
          <t>0（新機制不改既有數值）</t>
        </is>
      </c>
    </row>
    <row r="5">
      <c r="A5" t="inlineStr">
        <is>
          <t>營收 2026 $M</t>
        </is>
      </c>
      <c r="B5" t="n">
        <v>2026</v>
      </c>
      <c r="C5" t="n">
        <v>465.49</v>
      </c>
      <c r="D5" t="n">
        <v>465.49</v>
      </c>
      <c r="E5" t="n">
        <v>465.49</v>
      </c>
      <c r="F5" t="n">
        <v>465.49</v>
      </c>
      <c r="G5" t="inlineStr">
        <is>
          <t>0（新機制不改既有數值）</t>
        </is>
      </c>
    </row>
    <row r="6">
      <c r="A6" t="inlineStr">
        <is>
          <t>營收 2030 $M</t>
        </is>
      </c>
      <c r="B6" t="n">
        <v>2030</v>
      </c>
      <c r="C6" t="n">
        <v>1944.063729</v>
      </c>
      <c r="D6" t="n">
        <v>1944.063729</v>
      </c>
      <c r="E6" t="n">
        <v>1944.063729</v>
      </c>
      <c r="F6" t="n">
        <v>1944.063729</v>
      </c>
      <c r="G6" t="inlineStr">
        <is>
          <t>0（新機制不改既有數值）</t>
        </is>
      </c>
    </row>
    <row r="7">
      <c r="A7" t="inlineStr">
        <is>
          <t>API 推論 MW 2026</t>
        </is>
      </c>
      <c r="B7" t="n">
        <v>2026</v>
      </c>
      <c r="C7" t="n">
        <v>17.1690799937546</v>
      </c>
      <c r="D7" t="n">
        <v>17.1690799937546</v>
      </c>
      <c r="E7" t="n">
        <v>17.1690799937546</v>
      </c>
      <c r="F7" t="n">
        <v>18.614033326394</v>
      </c>
      <c r="G7" t="inlineStr">
        <is>
          <t>0（新機制不改既有數值）</t>
        </is>
      </c>
    </row>
    <row r="8">
      <c r="A8" t="inlineStr">
        <is>
          <t>API 推論 MW 2030</t>
        </is>
      </c>
      <c r="B8" t="n">
        <v>2030</v>
      </c>
      <c r="C8" t="n">
        <v>29.3998961957479</v>
      </c>
      <c r="D8" t="n">
        <v>29.198800113028</v>
      </c>
      <c r="E8" t="n">
        <v>29.198800113028</v>
      </c>
      <c r="F8" t="n">
        <v>30.7355790663453</v>
      </c>
      <c r="G8" t="inlineStr">
        <is>
          <t>0（新機制不改既有數值）</t>
        </is>
      </c>
    </row>
    <row r="9">
      <c r="A9" t="inlineStr">
        <is>
          <t>總 MW 2026</t>
        </is>
      </c>
      <c r="B9" t="n">
        <v>2026</v>
      </c>
      <c r="C9" t="n">
        <v>68.6091216604212</v>
      </c>
      <c r="D9" t="n">
        <v>68.6091216604212</v>
      </c>
      <c r="E9" t="n">
        <v>68.6091216604212</v>
      </c>
      <c r="F9" t="n">
        <v>70.0540749930606</v>
      </c>
      <c r="G9" t="inlineStr">
        <is>
          <t>0（新機制不改既有數值）</t>
        </is>
      </c>
    </row>
    <row r="10">
      <c r="A10" t="inlineStr">
        <is>
          <t>總 MW 2030</t>
        </is>
      </c>
      <c r="B10" t="n">
        <v>2030</v>
      </c>
      <c r="C10" t="n">
        <v>246.965389945748</v>
      </c>
      <c r="D10" t="n">
        <v>246.764293863028</v>
      </c>
      <c r="E10" t="n">
        <v>246.764293863028</v>
      </c>
      <c r="F10" t="n">
        <v>248.301072816345</v>
      </c>
      <c r="G10" t="inlineStr">
        <is>
          <t>0（新機制不改既有數值）</t>
        </is>
      </c>
    </row>
    <row r="11">
      <c r="A11" t="inlineStr">
        <is>
          <t>每 MW 營收 2030 $M</t>
        </is>
      </c>
      <c r="B11" t="n">
        <v>2030</v>
      </c>
      <c r="C11" t="n">
        <v>7.87180636698552</v>
      </c>
      <c r="D11" t="n">
        <v>7.87822135271765</v>
      </c>
      <c r="E11" t="n">
        <v>7.87822135271765</v>
      </c>
      <c r="F11" t="n">
        <v>7.82946165696963</v>
      </c>
      <c r="G11" t="inlineStr">
        <is>
          <t>0（新機制不改既有數值）</t>
        </is>
      </c>
    </row>
    <row r="12">
      <c r="A12" t="inlineStr">
        <is>
          <t>每 MW 全成本 2030 $M</t>
        </is>
      </c>
      <c r="B12" t="n">
        <v>2030</v>
      </c>
      <c r="C12" t="n">
        <v>15.4797729172794</v>
      </c>
      <c r="D12" t="n">
        <v>15.4826086950634</v>
      </c>
      <c r="E12" t="n">
        <v>15.4826086950634</v>
      </c>
      <c r="F12" t="n">
        <v>15.4610542181354</v>
      </c>
      <c r="G12" t="inlineStr">
        <is>
          <t>0（新機制不改既有數值）</t>
        </is>
      </c>
    </row>
    <row r="13">
      <c r="A13" t="inlineStr">
        <is>
          <t>覆蓋率 2027</t>
        </is>
      </c>
      <c r="B13" t="n">
        <v>2027</v>
      </c>
      <c r="C13" t="n">
        <v>0.466066924495789</v>
      </c>
      <c r="D13" t="n">
        <v>0.46634448073931</v>
      </c>
      <c r="E13" t="n">
        <v>0.46634448073931</v>
      </c>
      <c r="F13" t="n">
        <v>0.462415494722086</v>
      </c>
      <c r="G13" t="inlineStr">
        <is>
          <t>0（新機制不改既有數值）</t>
        </is>
      </c>
    </row>
    <row r="14">
      <c r="A14" t="inlineStr">
        <is>
          <t>覆蓋率 2030</t>
        </is>
      </c>
      <c r="B14" t="n">
        <v>2030</v>
      </c>
      <c r="C14" t="n">
        <v>0.508522082917546</v>
      </c>
      <c r="D14" t="n">
        <v>0.508843277504625</v>
      </c>
      <c r="E14" t="n">
        <v>0.508843277504625</v>
      </c>
      <c r="F14" t="n">
        <v>0.50639895226458</v>
      </c>
      <c r="G14" t="inlineStr">
        <is>
          <t>0（新機制不改既有數值）</t>
        </is>
      </c>
    </row>
    <row r="15">
      <c r="A15" t="inlineStr">
        <is>
          <t>累計需新融資 2030 $M</t>
        </is>
      </c>
      <c r="B15" t="n">
        <v>2030</v>
      </c>
      <c r="C15" t="n">
        <v>3166.65145785574</v>
      </c>
      <c r="D15" t="n">
        <v>3158.8601667682</v>
      </c>
      <c r="E15" t="n">
        <v>3158.8601667682</v>
      </c>
      <c r="F15" t="n">
        <v>3249.12702156017</v>
      </c>
      <c r="G15" t="inlineStr">
        <is>
          <t>0（新機制不改既有數值）</t>
        </is>
      </c>
    </row>
    <row r="16">
      <c r="A16" t="inlineStr">
        <is>
          <t>首次需新融資年</t>
        </is>
      </c>
      <c r="B16" t="n">
        <v>2026</v>
      </c>
      <c r="C16" t="n">
        <v>2028</v>
      </c>
      <c r="D16" t="n">
        <v>2028</v>
      </c>
      <c r="E16" t="n">
        <v>2028</v>
      </c>
      <c r="F16" t="n">
        <v>2028</v>
      </c>
      <c r="G16" t="inlineStr">
        <is>
          <t>0（新機制不改既有數值）</t>
        </is>
      </c>
    </row>
    <row r="17">
      <c r="A17" t="inlineStr">
        <is>
          <t>市值 $M</t>
        </is>
      </c>
      <c r="B17" t="n">
        <v>2026</v>
      </c>
      <c r="C17" t="n">
        <v>9787.917737789199</v>
      </c>
      <c r="D17" t="n">
        <v>9787.917737789199</v>
      </c>
      <c r="E17" t="n">
        <v>7716.39453023136</v>
      </c>
      <c r="F17" t="n">
        <v>7716.39453023136</v>
      </c>
      <c r="G17" t="inlineStr">
        <is>
          <t>0（新機制不改既有數值）</t>
        </is>
      </c>
    </row>
    <row r="18">
      <c r="A18" t="inlineStr">
        <is>
          <t>累計稀釋（占市值）</t>
        </is>
      </c>
      <c r="B18" t="n">
        <v>2030</v>
      </c>
      <c r="C18" t="n">
        <v>0.359473967200958</v>
      </c>
      <c r="D18" t="n">
        <v>0.358589510431992</v>
      </c>
      <c r="E18" t="n">
        <v>0.454855517818787</v>
      </c>
      <c r="F18" t="n">
        <v>0.467853363500662</v>
      </c>
      <c r="G18" t="inlineStr">
        <is>
          <t>0（新機制不改既有數值）</t>
        </is>
      </c>
    </row>
    <row r="19">
      <c r="A19" t="inlineStr">
        <is>
          <t>反向檢驗 折現價值÷市值</t>
        </is>
      </c>
      <c r="B19" t="n">
        <v>2030</v>
      </c>
      <c r="C19" t="n">
        <v>0.750741405398263</v>
      </c>
      <c r="D19" t="n">
        <v>0.751230146340725</v>
      </c>
      <c r="E19" t="n">
        <v>0.889850984556104</v>
      </c>
      <c r="F19" t="n">
        <v>0.881971351573187</v>
      </c>
      <c r="G19" t="inlineStr">
        <is>
          <t>0（新機制不改既有數值）</t>
        </is>
      </c>
    </row>
    <row r="20">
      <c r="A20" t="inlineStr">
        <is>
          <t>回本比值 2025（新）</t>
        </is>
      </c>
      <c r="B20" t="n">
        <v>2025</v>
      </c>
      <c r="E20" t="n">
        <v>0.395629330909248</v>
      </c>
      <c r="F20" t="n">
        <v>0.395629330909248</v>
      </c>
      <c r="G20" t="inlineStr">
        <is>
          <t>無（新輸出）</t>
        </is>
      </c>
    </row>
    <row r="21">
      <c r="A21" t="inlineStr">
        <is>
          <t>回本比值 2026（新）</t>
        </is>
      </c>
      <c r="B21" t="n">
        <v>2026</v>
      </c>
      <c r="E21" t="n">
        <v>0.7088146025066761</v>
      </c>
      <c r="F21" t="n">
        <v>0.694194410573274</v>
      </c>
      <c r="G21" t="inlineStr">
        <is>
          <t>無（新輸出）</t>
        </is>
      </c>
    </row>
    <row r="22">
      <c r="A22" t="inlineStr">
        <is>
          <t>回本比值 2030（新）</t>
        </is>
      </c>
      <c r="B22" t="n">
        <v>2030</v>
      </c>
      <c r="E22" t="n">
        <v>0.875051668746483</v>
      </c>
      <c r="F22" t="n">
        <v>0.869635820267289</v>
      </c>
      <c r="G22" t="inlineStr">
        <is>
          <t>無（新輸出）</t>
        </is>
      </c>
    </row>
    <row r="23">
      <c r="A23" t="inlineStr">
        <is>
          <t>比值＝1 所需合約價 $M（新）</t>
        </is>
      </c>
      <c r="B23" t="n">
        <v>2030</v>
      </c>
      <c r="E23" t="n">
        <v>13.7134759335869</v>
      </c>
      <c r="F23" t="n">
        <v>13.7988796233252</v>
      </c>
      <c r="G23" t="inlineStr">
        <is>
          <t>無（新輸出）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60" customWidth="1" min="3" max="3"/>
    <col width="40" customWidth="1" min="4" max="4"/>
    <col width="70" customWidth="1" min="5" max="5"/>
  </cols>
  <sheetData>
    <row r="1">
      <c r="A1" s="1" t="inlineStr">
        <is>
          <t>#</t>
        </is>
      </c>
      <c r="B1" s="1" t="inlineStr">
        <is>
          <t>問題</t>
        </is>
      </c>
      <c r="C1" s="1" t="inlineStr">
        <is>
          <t>預設</t>
        </is>
      </c>
      <c r="D1" s="1" t="inlineStr">
        <is>
          <t>替代</t>
        </is>
      </c>
      <c r="E1" s="1" t="inlineStr">
        <is>
          <t>影響方向／量化</t>
        </is>
      </c>
    </row>
    <row r="2">
      <c r="A2" t="inlineStr">
        <is>
          <t>D1</t>
        </is>
      </c>
      <c r="B2" t="inlineStr">
        <is>
          <t>產能層</t>
        </is>
      </c>
      <c r="C2" t="inlineStr">
        <is>
          <t>維持 `IF_TokGW` × `IF_Util`；Prod 層敏感度未做（快照只含 8 個名稱，缺 `IF_ProdDerate`／`IF_UtilActual`，且本段依指示不重取快照）</t>
        </is>
      </c>
      <c r="D2" t="inlineStr">
        <is>
          <t>主值改 Prod 層</t>
        </is>
      </c>
      <c r="E2" t="inlineStr">
        <is>
          <t>M1 引用審視報告估 API MW −3%～−6%、覆蓋率幾乎不變；本段未量化，列為待補</t>
        </is>
      </c>
    </row>
    <row r="3">
      <c r="A3" t="inlineStr">
        <is>
          <t>D2</t>
        </is>
      </c>
      <c r="B3" t="inlineStr">
        <is>
          <t>合約價 I02</t>
        </is>
      </c>
      <c r="C3" t="inlineStr">
        <is>
          <t>維持 12（Analogy 8–20）；Compute 第七節並列「證據價 ÷ TK 持有成本」；3 項證據中 H20 一項落區間外（樣本 2 台、口徑不明），H800、H100 在區間內</t>
        </is>
      </c>
      <c r="D3" t="inlineStr">
        <is>
          <t>直接改用中國租價</t>
        </is>
      </c>
      <c r="E3" t="inlineStr">
        <is>
          <t>I02＝5.5／9.2／13.4（H20／H800／H100 證據）：2030 回本比值 0.40／0.67／0.97（基準 0.87）；覆蓋率與融資 0 影響（被 η 校準吸收）。回本比值與 I02 成正比</t>
        </is>
      </c>
    </row>
    <row r="4">
      <c r="A4" t="inlineStr">
        <is>
          <t>D3</t>
        </is>
      </c>
      <c r="B4" t="inlineStr">
        <is>
          <t>中國晶片世代</t>
        </is>
      </c>
      <c r="C4" t="inlineStr">
        <is>
          <t>維持 Hopper 代理；持有成本取 Hopper（TK07）與 GB200（TK08）、占比用 v0.1 I05</t>
        </is>
      </c>
      <c r="D4" t="inlineStr">
        <is>
          <t>請 Tokenomics 新增世代</t>
        </is>
      </c>
      <c r="E4" t="inlineStr">
        <is>
          <t>缺口，不量化</t>
        </is>
      </c>
    </row>
    <row r="5">
      <c r="A5" t="inlineStr">
        <is>
          <t>D4</t>
        </is>
      </c>
      <c r="B5" t="inlineStr">
        <is>
          <t>η</t>
        </is>
      </c>
      <c r="C5" t="inlineStr">
        <is>
          <t>維持總校準係數；Compute 第八節並列 η−1，Tokenomics 服務端落差分解無 `IF_` 等義名稱（OpenAI v0.6.2 交接檔同列為缺口）→ 不引用</t>
        </is>
      </c>
      <c r="D5" t="inlineStr">
        <is>
          <t>逐項拆解入模</t>
        </is>
      </c>
      <c r="E5" t="inlineStr">
        <is>
          <t>0（只對照）</t>
        </is>
      </c>
    </row>
    <row r="6">
      <c r="A6" t="inlineStr">
        <is>
          <t>D5</t>
        </is>
      </c>
      <c r="B6" t="inlineStr">
        <is>
          <t>A 股上市情境、機率加權</t>
        </is>
      </c>
      <c r="C6" t="inlineStr">
        <is>
          <t>v0.2 不做</t>
        </is>
      </c>
      <c r="D6" t="inlineStr">
        <is>
          <t>做</t>
        </is>
      </c>
      <c r="E6" t="inlineStr">
        <is>
          <t>缺席會低估再融資彈性；現價已低於 IPO 價，A 股情境價值更高，需另案</t>
        </is>
      </c>
    </row>
    <row r="7">
      <c r="A7" t="inlineStr">
        <is>
          <t>D6</t>
        </is>
      </c>
      <c r="B7" t="inlineStr">
        <is>
          <t>P×Q 的 MW 口徑</t>
        </is>
      </c>
      <c r="C7" t="inlineStr">
        <is>
          <t>模型自身年均上線 MW（Compute C21）× v0.1 機隊組合；h＝Hopper 占比 × TK07 ＋ GB200 占比 × TK08</t>
        </is>
      </c>
      <c r="D7" t="inlineStr">
        <is>
          <t>用 Tokenomics 預設組合</t>
        </is>
      </c>
      <c r="E7" t="inlineStr">
        <is>
          <t>比值與 I02 成正比（所有 MW ∝ 1/I02）：基準 2030 為 0.87；比值＝1 需 I02≈13.8</t>
        </is>
      </c>
    </row>
    <row r="8">
      <c r="A8" t="inlineStr">
        <is>
          <t>D7</t>
        </is>
      </c>
      <c r="B8" t="inlineStr">
        <is>
          <t>金額單位</t>
        </is>
      </c>
      <c r="C8" t="inlineStr">
        <is>
          <t>維持 US$M；人民幣以 S096（期末中間價 6.8109）、S097（1H26 平均 6.90，Assumed 6.85–6.98）換算</t>
        </is>
      </c>
      <c r="D8" t="inlineStr">
        <is>
          <t>人民幣</t>
        </is>
      </c>
      <c r="E8" t="inlineStr">
        <is>
          <t>V07 智譜倍數 139.5→135.6（用 S097 取代 7.10）</t>
        </is>
      </c>
    </row>
    <row r="9">
      <c r="A9" t="inlineStr">
        <is>
          <t>D8</t>
        </is>
      </c>
      <c r="B9" t="inlineStr">
        <is>
          <t>單價路徑</t>
        </is>
      </c>
      <c r="C9" t="inlineStr">
        <is>
          <t>只更新已觀測的 2026 年：I30＝0.50（觀測）、I31＝0.20（Assumed 0–1）；上半年維持降價前 I07 校準 η；2027 起 I08 不改</t>
        </is>
      </c>
      <c r="D9" t="inlineStr">
        <is>
          <t>全年 −50% 或改 I08</t>
        </is>
      </c>
      <c r="E9" t="inlineStr">
        <is>
          <t>I31＝0（v0.1 行為）／0.20／0.5／1：覆蓋率 2030 0.509／0.506／0.502／0.494；累計融資 3,159／3,249／3,409／3,780；回本比值 2030 0.88／0.87／0.86／0.84</t>
        </is>
      </c>
    </row>
    <row r="10">
      <c r="A10" t="inlineStr">
        <is>
          <t>E1</t>
        </is>
      </c>
      <c r="B10" t="inlineStr">
        <is>
          <t>P×Q 的 P</t>
        </is>
      </c>
      <c r="C10" t="inlineStr">
        <is>
          <t>取 MiniMax 實收單價（Demand D01）；Tokenomics 有效牌價（`IF_PxEffMix`）為 OpenAI 層級牌價且不在快照 → 不列</t>
        </is>
      </c>
      <c r="D10" t="inlineStr">
        <is>
          <t>取 TK 有效牌價</t>
        </is>
      </c>
      <c r="E10" t="inlineStr">
        <is>
          <t>實際／所需 m×L 水準因此與 OpenAI 頁不可直接比較；比值（營收÷C）不受影響</t>
        </is>
      </c>
    </row>
    <row r="11">
      <c r="A11" t="inlineStr">
        <is>
          <t>E2</t>
        </is>
      </c>
      <c r="B11" t="inlineStr">
        <is>
          <t>市值基準</t>
        </is>
      </c>
      <c r="C11" t="inlineStr">
        <is>
          <t>10-21 推算收盤價 HK$171.9（Derived，±0.5）</t>
        </is>
      </c>
      <c r="D11" t="inlineStr">
        <is>
          <t>10-22 盤中 162</t>
        </is>
      </c>
      <c r="E11" t="inlineStr">
        <is>
          <t>市值 −5.8%；反向檢驗 0.88 往下</t>
        </is>
      </c>
    </row>
    <row r="12">
      <c r="A12" t="inlineStr">
        <is>
          <t>E3</t>
        </is>
      </c>
      <c r="B12" t="inlineStr">
        <is>
          <t>共識</t>
        </is>
      </c>
      <c r="C12" t="inlineStr">
        <is>
          <t>Revenue R13 維持 S062（452，與 Yahoo 同源）；另列 Bloomberg 363.8 為獨立點（R15）</t>
        </is>
      </c>
      <c r="D12" t="inlineStr">
        <is>
          <t>改用 Bloomberg 為主</t>
        </is>
      </c>
      <c r="E12" t="inlineStr">
        <is>
          <t>模型 465 對 452＝1.03x、對 363.8＝1.28x；僅對照，不反推</t>
        </is>
      </c>
    </row>
    <row r="13">
      <c r="A13" t="inlineStr">
        <is>
          <t>E4</t>
        </is>
      </c>
      <c r="B13" t="inlineStr">
        <is>
          <t>GPU／MW</t>
        </is>
      </c>
      <c r="C13" t="inlineStr">
        <is>
          <t>1,000 kW ÷ I26（1.4 kW）＝714 張（Analogy 1.2–1.7）；Tokenomics 官方值不在快照</t>
        </is>
      </c>
      <c r="D13" t="inlineStr">
        <is>
          <t>M2 的 500–800（Assumed）</t>
        </is>
      </c>
      <c r="E13" t="inlineStr">
        <is>
          <t>租價隱含每 MW 年租金約 ±15%（I26 區間）；H800 9.2 在 8–20 內的結論對 I26 1.2–1.7 不翻轉</t>
        </is>
      </c>
    </row>
    <row r="14">
      <c r="A14" t="inlineStr">
        <is>
          <t>E5</t>
        </is>
      </c>
      <c r="B14" t="inlineStr">
        <is>
          <t>SMM 租價卡數口徑</t>
        </is>
      </c>
      <c r="C14" t="inlineStr">
        <is>
          <t>I33＝8（整機；Assumed 1–8）</t>
        </is>
      </c>
      <c r="D14" t="inlineStr">
        <is>
          <t>單卡</t>
        </is>
      </c>
      <c r="E14" t="inlineStr">
        <is>
          <t>若實為單卡，H20 租價 ×8＝約 44（遠高於區間 20），D2 結論翻轉；以 AutoDL 單卡（口徑明確）為主</t>
        </is>
      </c>
    </row>
    <row r="15">
      <c r="A15" t="inlineStr">
        <is>
          <t>E6</t>
        </is>
      </c>
      <c r="B15" t="inlineStr">
        <is>
          <t>自建集群</t>
        </is>
      </c>
      <c r="C15" t="inlineStr">
        <is>
          <t>M2 未找到 GPU 數／MW／資本支出 → 不建「自建 MW × IF_HoldEcon」列，保留 v0.1 不建折舊；1H26 PP&amp;E 增額 73.3 僅對照</t>
        </is>
      </c>
      <c r="D15" t="inlineStr">
        <is>
          <t>以 PP&amp;E 增額反推 MW</t>
        </is>
      </c>
      <c r="E15" t="inlineStr">
        <is>
          <t>不量化（會以未證實的資本支出當 MW 數）</t>
        </is>
      </c>
    </row>
    <row r="16">
      <c r="A16" t="inlineStr">
        <is>
          <t>E7</t>
        </is>
      </c>
      <c r="B16" t="inlineStr">
        <is>
          <t>消費端付費人數 × ARPPU</t>
        </is>
      </c>
      <c r="C16" t="inlineStr">
        <is>
          <t>不建驅動：只有 9M25（二手）可校準，2026 無一手人數；Revenue 第五節列對照與驗算（海螺 56.3 vs 56、Talkie 5.44 vs 5）</t>
        </is>
      </c>
      <c r="D16" t="inlineStr">
        <is>
          <t>以 9M25 外推</t>
        </is>
      </c>
      <c r="E16" t="inlineStr">
        <is>
          <t>廣告占 Talkie 約 60%，付費人數 × ARPPU 不涵蓋；無法校準 2026</t>
        </is>
      </c>
    </row>
    <row r="17">
      <c r="A17" t="inlineStr">
        <is>
          <t>E8</t>
        </is>
      </c>
      <c r="B17" t="inlineStr">
        <is>
          <t>營運燒錢</t>
        </is>
      </c>
      <c r="C17" t="inlineStr">
        <is>
          <t>F06 維持以經調整淨利代營運現金流；FY2025 公告經營現金流 −279.6，較模型 −256.9 多流出 22.7（8.8%）僅對照；1H26 現金流量表找不到</t>
        </is>
      </c>
      <c r="D17" t="inlineStr">
        <is>
          <t>改用經營現金流</t>
        </is>
      </c>
      <c r="E17" t="inlineStr">
        <is>
          <t>未量化（本段未入模）；方向：燒錢較重則累計需新融資上升、首次融資年不晚於 2028</t>
        </is>
      </c>
    </row>
    <row r="18">
      <c r="A18" t="inlineStr">
        <is>
          <t>E9</t>
        </is>
      </c>
      <c r="B18" t="inlineStr">
        <is>
          <t>η 校準價</t>
        </is>
      </c>
      <c r="C18" t="inlineStr">
        <is>
          <t>η 2026 以降價前 I07 校準（C10）；下半年用 D09（降價後）</t>
        </is>
      </c>
      <c r="D18" t="inlineStr">
        <is>
          <t>全年用降價後價</t>
        </is>
      </c>
      <c r="E18" t="inlineStr">
        <is>
          <t>若 η 用降價後價校準，降價會被 η 全數吸收（零影響）——那是錯的，因為上半年實際是舊價</t>
        </is>
      </c>
    </row>
    <row r="19">
      <c r="A19" t="inlineStr">
        <is>
          <t>E10</t>
        </is>
      </c>
      <c r="B19" t="inlineStr">
        <is>
          <t>敏感度情境 I02＝5.5／9.2／13.4</t>
        </is>
      </c>
      <c r="C19" t="inlineStr">
        <is>
          <t>寫在 sensitivity.py 情境清單（情境設定值，非模型參數）</t>
        </is>
      </c>
      <c r="D19" t="inlineStr">
        <is>
          <t>改為由 Excel 引用</t>
        </is>
      </c>
      <c r="E19" t="inlineStr">
        <is>
          <t>工程類</t>
        </is>
      </c>
    </row>
    <row r="20">
      <c r="A20" t="inlineStr">
        <is>
          <t>E11</t>
        </is>
      </c>
      <c r="B20" t="inlineStr">
        <is>
          <t>成品檔</t>
        </is>
      </c>
      <c r="C20" t="inlineStr">
        <is>
          <t>`dist/` 放 v0_2；v0.1 移 `dist/_待刪除/`（不刪）</t>
        </is>
      </c>
      <c r="D20" t="inlineStr">
        <is>
          <t>直接覆蓋</t>
        </is>
      </c>
      <c r="E20" t="inlineStr">
        <is>
          <t>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2026-10-22T07:52:21Z</dcterms:created>
  <dcterms:modified xmlns:dcterms="http://purl.org/dc/terms/" xmlns:xsi="http://www.w3.org/2001/XMLSchema-instance" xsi:type="dcterms:W3CDTF">2026-10-22T07:52:21Z</dcterms:modified>
</cp:coreProperties>
</file>