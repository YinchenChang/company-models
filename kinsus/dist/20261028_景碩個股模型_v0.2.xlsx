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Q!$B$18</definedName>
    <definedName function="false" hidden="false" name="a25_da" vbProcedure="false">Q!$B$17</definedName>
    <definedName function="false" hidden="false" name="a25_eps" vbProcedure="false">Q!$B$16</definedName>
    <definedName function="false" hidden="false" name="a25_gp" vbProcedure="false">Q!$B$5</definedName>
    <definedName function="false" hidden="false" name="a25_lens" vbProcedure="false">Q!$B$19</definedName>
    <definedName function="false" hidden="false" name="a25_nci" vbProcedure="false">Q!$B$13</definedName>
    <definedName function="false" hidden="false" name="a25_ni" vbProcedure="false">Q!$B$14</definedName>
    <definedName function="false" hidden="false" name="a25_nic" vbProcedure="false">Q!$B$12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Q!$B$15</definedName>
    <definedName function="false" hidden="false" name="a26_abf" vbProcedure="false">Q!$G$22</definedName>
    <definedName function="false" hidden="false" name="a26_bt" vbProcedure="false">Q!$G$23</definedName>
    <definedName function="false" hidden="false" name="a26_cx" vbProcedure="false">Q!$G$18</definedName>
    <definedName function="false" hidden="false" name="a26_da" vbProcedure="false">Q!$G$17</definedName>
    <definedName function="false" hidden="false" name="a26_eps" vbProcedure="false">Q!$G$16</definedName>
    <definedName function="false" hidden="false" name="a26_gp" vbProcedure="false">Q!$G$5</definedName>
    <definedName function="false" hidden="false" name="a26_lens" vbProcedure="false">Q!$G$19</definedName>
    <definedName function="false" hidden="false" name="a26_nci" vbProcedure="false">Q!$G$13</definedName>
    <definedName function="false" hidden="false" name="a26_ni" vbProcedure="false">Q!$G$14</definedName>
    <definedName function="false" hidden="false" name="a26_nic" vbProcedure="false">Q!$G$12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Q!$G$15</definedName>
    <definedName function="false" hidden="false" name="a26_shend" vbProcedure="false">Q!$F$15</definedName>
    <definedName function="false" hidden="false" name="ai_abf" vbProcedure="false">In!$E$95</definedName>
    <definedName function="false" hidden="false" name="ai_abf_hi" vbProcedure="false">In!$F$95</definedName>
    <definedName function="false" hidden="false" name="ai_abf_lo" vbProcedure="false">In!$D$95</definedName>
    <definedName function="false" hidden="false" name="bk_eps27" vbProcedure="false">In!$E$152</definedName>
    <definedName function="false" hidden="false" name="bk_eps27_hi" vbProcedure="false">In!$F$152</definedName>
    <definedName function="false" hidden="false" name="bk_eps27_lo" vbProcedure="false">In!$D$152</definedName>
    <definedName function="false" hidden="false" name="bk_eps28" vbProcedure="false">In!$E$153</definedName>
    <definedName function="false" hidden="false" name="bk_eps28_hi" vbProcedure="false">In!$F$153</definedName>
    <definedName function="false" hidden="false" name="bk_eps28_lo" vbProcedure="false">In!$D$153</definedName>
    <definedName function="false" hidden="false" name="capex26" vbProcedure="false">In!$E$121</definedName>
    <definedName function="false" hidden="false" name="capex26_hi" vbProcedure="false">In!$F$121</definedName>
    <definedName function="false" hidden="false" name="capex26_lo" vbProcedure="false">In!$D$121</definedName>
    <definedName function="false" hidden="false" name="cap_27" vbProcedure="false">In!$E$99</definedName>
    <definedName function="false" hidden="false" name="cap_27_hi" vbProcedure="false">In!$F$99</definedName>
    <definedName function="false" hidden="false" name="cap_27_lo" vbProcedure="false">In!$D$99</definedName>
    <definedName function="false" hidden="false" name="cap_28" vbProcedure="false">In!$E$100</definedName>
    <definedName function="false" hidden="false" name="cap_28_hi" vbProcedure="false">In!$F$100</definedName>
    <definedName function="false" hidden="false" name="cap_28_lo" vbProcedure="false">In!$D$100</definedName>
    <definedName function="false" hidden="false" name="cap_29" vbProcedure="false">In!$E$101</definedName>
    <definedName function="false" hidden="false" name="cap_29_hi" vbProcedure="false">In!$F$101</definedName>
    <definedName function="false" hidden="false" name="cap_29_lo" vbProcedure="false">In!$D$101</definedName>
    <definedName function="false" hidden="false" name="carry" vbProcedure="false">In!$E$103</definedName>
    <definedName function="false" hidden="false" name="carry_hi" vbProcedure="false">In!$F$103</definedName>
    <definedName function="false" hidden="false" name="carry_lo" vbProcedure="false">In!$D$103</definedName>
    <definedName function="false" hidden="false" name="cons_eps26" vbProcedure="false">In!$E$145</definedName>
    <definedName function="false" hidden="false" name="cons_eps27" vbProcedure="false">In!$E$146</definedName>
    <definedName function="false" hidden="false" name="cons_feps" vbProcedure="false">In!$E$158</definedName>
    <definedName function="false" hidden="false" name="cons_tp" vbProcedure="false">In!$E$159</definedName>
    <definedName function="false" hidden="false" name="cpu_r" vbProcedure="false">In!$E$87</definedName>
    <definedName function="false" hidden="false" name="cpu_r_hi" vbProcedure="false">In!$F$87</definedName>
    <definedName function="false" hidden="false" name="cpu_r_lo" vbProcedure="false">In!$D$87</definedName>
    <definedName function="false" hidden="false" name="cx27" vbProcedure="false">In!$E$118</definedName>
    <definedName function="false" hidden="false" name="cx27_hi" vbProcedure="false">In!$F$118</definedName>
    <definedName function="false" hidden="false" name="cx27_lo" vbProcedure="false">In!$D$118</definedName>
    <definedName function="false" hidden="false" name="cx28" vbProcedure="false">In!$E$119</definedName>
    <definedName function="false" hidden="false" name="cx28_hi" vbProcedure="false">In!$F$119</definedName>
    <definedName function="false" hidden="false" name="cx28_lo" vbProcedure="false">In!$D$119</definedName>
    <definedName function="false" hidden="false" name="cx29" vbProcedure="false">In!$E$120</definedName>
    <definedName function="false" hidden="false" name="cx29_hi" vbProcedure="false">In!$F$120</definedName>
    <definedName function="false" hidden="false" name="cx29_lo" vbProcedure="false">In!$D$120</definedName>
    <definedName function="false" hidden="false" name="da26" vbProcedure="false">In!$E$122</definedName>
    <definedName function="false" hidden="false" name="el_o" vbProcedure="false">In!$E$97</definedName>
    <definedName function="false" hidden="false" name="el_o_hi" vbProcedure="false">In!$F$97</definedName>
    <definedName function="false" hidden="false" name="el_o_lo" vbProcedure="false">In!$D$97</definedName>
    <definedName function="false" hidden="false" name="fade_gA" vbProcedure="false">In!$E$170</definedName>
    <definedName function="false" hidden="false" name="fade_gB" vbProcedure="false">In!$E$171</definedName>
    <definedName function="false" hidden="false" name="fade_gC" vbProcedure="false">In!$E$172</definedName>
    <definedName function="false" hidden="false" name="fade_mA" vbProcedure="false">In!$E$173</definedName>
    <definedName function="false" hidden="false" name="fade_mB" vbProcedure="false">In!$E$174</definedName>
    <definedName function="false" hidden="false" name="fade_mC" vbProcedure="false">In!$E$175</definedName>
    <definedName function="false" hidden="false" name="fpe" vbProcedure="false">In!$E$156</definedName>
    <definedName function="false" hidden="false" name="fs_eps26" vbProcedure="false">In!$E$147</definedName>
    <definedName function="false" hidden="false" name="fs_eps26_hi" vbProcedure="false">In!$F$147</definedName>
    <definedName function="false" hidden="false" name="fs_eps26_lo" vbProcedure="false">In!$D$147</definedName>
    <definedName function="false" hidden="false" name="fs_eps27" vbProcedure="false">In!$E$148</definedName>
    <definedName function="false" hidden="false" name="fs_eps27_hi" vbProcedure="false">In!$F$148</definedName>
    <definedName function="false" hidden="false" name="fs_eps27_lo" vbProcedure="false">In!$D$148</definedName>
    <definedName function="false" hidden="false" name="fs_eps28" vbProcedure="false">In!$E$149</definedName>
    <definedName function="false" hidden="false" name="fs_eps28_hi" vbProcedure="false">In!$F$149</definedName>
    <definedName function="false" hidden="false" name="fs_eps28_lo" vbProcedure="false">In!$D$149</definedName>
    <definedName function="false" hidden="false" name="fs_rev27" vbProcedure="false">In!$E$150</definedName>
    <definedName function="false" hidden="false" name="fs_rev27_hi" vbProcedure="false">In!$F$150</definedName>
    <definedName function="false" hidden="false" name="fs_rev27_lo" vbProcedure="false">In!$D$150</definedName>
    <definedName function="false" hidden="false" name="fs_rev28" vbProcedure="false">In!$E$151</definedName>
    <definedName function="false" hidden="false" name="fs_rev28_hi" vbProcedure="false">In!$F$151</definedName>
    <definedName function="false" hidden="false" name="fs_rev28_lo" vbProcedure="false">In!$D$151</definedName>
    <definedName function="false" hidden="false" name="ft_abf" vbProcedure="false">In!$E$115</definedName>
    <definedName function="false" hidden="false" name="ft_abf_hi" vbProcedure="false">In!$F$115</definedName>
    <definedName function="false" hidden="false" name="ft_abf_lo" vbProcedure="false">In!$D$115</definedName>
    <definedName function="false" hidden="false" name="ft_bt" vbProcedure="false">In!$E$116</definedName>
    <definedName function="false" hidden="false" name="ft_bt_hi" vbProcedure="false">In!$F$116</definedName>
    <definedName function="false" hidden="false" name="ft_bt_lo" vbProcedure="false">In!$D$116</definedName>
    <definedName function="false" hidden="false" name="ft_lens" vbProcedure="false">In!$E$117</definedName>
    <definedName function="false" hidden="false" name="ft_lens_hi" vbProcedure="false">In!$F$117</definedName>
    <definedName function="false" hidden="false" name="ft_lens_lo" vbProcedure="false">In!$D$117</definedName>
    <definedName function="false" hidden="false" name="fx" vbProcedure="false">In!$E$160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In!$E$104</definedName>
    <definedName function="false" hidden="false" name="g_bt27_B" vbProcedure="false">In!$E$107</definedName>
    <definedName function="false" hidden="false" name="g_bt27_C" vbProcedure="false">In!$E$110</definedName>
    <definedName function="false" hidden="false" name="g_bt28_A" vbProcedure="false">In!$E$105</definedName>
    <definedName function="false" hidden="false" name="g_bt28_B" vbProcedure="false">In!$E$108</definedName>
    <definedName function="false" hidden="false" name="g_bt28_C" vbProcedure="false">In!$E$111</definedName>
    <definedName function="false" hidden="false" name="g_bt29_A" vbProcedure="false">In!$E$106</definedName>
    <definedName function="false" hidden="false" name="g_bt29_B" vbProcedure="false">In!$E$109</definedName>
    <definedName function="false" hidden="false" name="g_bt29_C" vbProcedure="false">In!$E$112</definedName>
    <definedName function="false" hidden="false" name="g_lens" vbProcedure="false">In!$E$113</definedName>
    <definedName function="false" hidden="false" name="g_lens_hi" vbProcedure="false">In!$F$113</definedName>
    <definedName function="false" hidden="false" name="g_lens_lo" vbProcedure="false">In!$D$113</definedName>
    <definedName function="false" hidden="false" name="g_mix" vbProcedure="false">In!$E$102</definedName>
    <definedName function="false" hidden="false" name="g_mix_hi" vbProcedure="false">In!$F$102</definedName>
    <definedName function="false" hidden="false" name="g_mix_lo" vbProcedure="false">In!$D$102</definedName>
    <definedName function="false" hidden="false" name="g_nai" vbProcedure="false">In!$E$98</definedName>
    <definedName function="false" hidden="false" name="g_nai_hi" vbProcedure="false">In!$F$98</definedName>
    <definedName function="false" hidden="false" name="g_nai_lo" vbProcedure="false">In!$D$98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In!$E$123</definedName>
    <definedName function="false" hidden="false" name="life_hi" vbProcedure="false">In!$F$123</definedName>
    <definedName function="false" hidden="false" name="life_lo" vbProcedure="false">In!$D$123</definedName>
    <definedName function="false" hidden="false" name="mx_abf" vbProcedure="false">In!$E$94</definedName>
    <definedName function="false" hidden="false" name="mx_abf_hi" vbProcedure="false">In!$F$94</definedName>
    <definedName function="false" hidden="false" name="mx_abf_lo" vbProcedure="false">In!$D$94</definedName>
    <definedName function="false" hidden="false" name="nci_sh" vbProcedure="false">In!$E$131</definedName>
    <definedName function="false" hidden="false" name="nim5" vbProcedure="false">In!$E$161</definedName>
    <definedName function="false" hidden="false" name="nm_lens" vbProcedure="false">In!$E$130</definedName>
    <definedName function="false" hidden="false" name="nm_lens_hi" vbProcedure="false">In!$F$130</definedName>
    <definedName function="false" hidden="false" name="nm_lens_lo" vbProcedure="false">In!$D$130</definedName>
    <definedName function="false" hidden="false" name="nonop27" vbProcedure="false">In!$E$125</definedName>
    <definedName function="false" hidden="false" name="nonop27_hi" vbProcedure="false">In!$F$125</definedName>
    <definedName function="false" hidden="false" name="nonop27_lo" vbProcedure="false">In!$D$125</definedName>
    <definedName function="false" hidden="false" name="nonop28" vbProcedure="false">In!$E$126</definedName>
    <definedName function="false" hidden="false" name="nonop28_hi" vbProcedure="false">In!$F$126</definedName>
    <definedName function="false" hidden="false" name="nonop28_lo" vbProcedure="false">In!$D$126</definedName>
    <definedName function="false" hidden="false" name="nonop29" vbProcedure="false">In!$E$127</definedName>
    <definedName function="false" hidden="false" name="nonop29_hi" vbProcedure="false">In!$F$127</definedName>
    <definedName function="false" hidden="false" name="nonop29_lo" vbProcedure="false">In!$D$127</definedName>
    <definedName function="false" hidden="false" name="np_nv_26" vbProcedure="false">In!$E$65</definedName>
    <definedName function="false" hidden="false" name="np_nv_27" vbProcedure="false">In!$E$69</definedName>
    <definedName function="false" hidden="false" name="np_nv_28" vbProcedure="false">In!$E$73</definedName>
    <definedName function="false" hidden="false" name="np_nv_29" vbProcedure="false">In!$E$77</definedName>
    <definedName function="false" hidden="false" name="np_ot_26" vbProcedure="false">In!$E$66</definedName>
    <definedName function="false" hidden="false" name="np_ot_27" vbProcedure="false">In!$E$70</definedName>
    <definedName function="false" hidden="false" name="np_ot_28" vbProcedure="false">In!$E$74</definedName>
    <definedName function="false" hidden="false" name="np_ot_29" vbProcedure="false">In!$E$78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In!$E$157</definedName>
    <definedName function="false" hidden="false" name="phi" vbProcedure="false">In!$E$124</definedName>
    <definedName function="false" hidden="false" name="phi_hi" vbProcedure="false">In!$F$124</definedName>
    <definedName function="false" hidden="false" name="phi_lo" vbProcedure="false">In!$D$124</definedName>
    <definedName function="false" hidden="false" name="px" vbProcedure="false">In!$E$155</definedName>
    <definedName function="false" hidden="false" name="q3_gm" vbProcedure="false">In!$E$134</definedName>
    <definedName function="false" hidden="false" name="q3_gm_hi" vbProcedure="false">In!$F$134</definedName>
    <definedName function="false" hidden="false" name="q3_gm_lo" vbProcedure="false">In!$D$134</definedName>
    <definedName function="false" hidden="false" name="q3_lens" vbProcedure="false">In!$E$141</definedName>
    <definedName function="false" hidden="false" name="q3_lens_hi" vbProcedure="false">In!$F$141</definedName>
    <definedName function="false" hidden="false" name="q3_lens_lo" vbProcedure="false">In!$D$141</definedName>
    <definedName function="false" hidden="false" name="q3_opx" vbProcedure="false">In!$E$135</definedName>
    <definedName function="false" hidden="false" name="q3_opx_hi" vbProcedure="false">In!$F$135</definedName>
    <definedName function="false" hidden="false" name="q3_opx_lo" vbProcedure="false">In!$D$135</definedName>
    <definedName function="false" hidden="false" name="q3_rev" vbProcedure="false">In!$E$133</definedName>
    <definedName function="false" hidden="false" name="q4_g" vbProcedure="false">In!$E$136</definedName>
    <definedName function="false" hidden="false" name="q4_gm" vbProcedure="false">In!$E$137</definedName>
    <definedName function="false" hidden="false" name="q4_gm_hi" vbProcedure="false">In!$F$137</definedName>
    <definedName function="false" hidden="false" name="q4_gm_lo" vbProcedure="false">In!$D$137</definedName>
    <definedName function="false" hidden="false" name="q4_g_hi" vbProcedure="false">In!$F$136</definedName>
    <definedName function="false" hidden="false" name="q4_g_lo" vbProcedure="false">In!$D$136</definedName>
    <definedName function="false" hidden="false" name="q4_lens" vbProcedure="false">In!$E$142</definedName>
    <definedName function="false" hidden="false" name="q4_lens_hi" vbProcedure="false">In!$F$142</definedName>
    <definedName function="false" hidden="false" name="q4_lens_lo" vbProcedure="false">In!$D$142</definedName>
    <definedName function="false" hidden="false" name="q4_opx" vbProcedure="false">In!$E$138</definedName>
    <definedName function="false" hidden="false" name="q4_opx_hi" vbProcedure="false">In!$F$138</definedName>
    <definedName function="false" hidden="false" name="q4_opx_lo" vbProcedure="false">In!$D$138</definedName>
    <definedName function="false" hidden="false" name="q_nonop" vbProcedure="false">In!$E$139</definedName>
    <definedName function="false" hidden="false" name="q_nonop_hi" vbProcedure="false">In!$F$139</definedName>
    <definedName function="false" hidden="false" name="q_nonop_lo" vbProcedure="false">In!$D$139</definedName>
    <definedName function="false" hidden="false" name="q_sh" vbProcedure="false">In!$E$143</definedName>
    <definedName function="false" hidden="false" name="q_tax" vbProcedure="false">In!$E$140</definedName>
    <definedName function="false" hidden="false" name="q_tax_hi" vbProcedure="false">In!$F$140</definedName>
    <definedName function="false" hidden="false" name="q_tax_lo" vbProcedure="false">In!$D$140</definedName>
    <definedName function="false" hidden="false" name="sh_cpu_26" vbProcedure="false">In!$E$89</definedName>
    <definedName function="false" hidden="false" name="sh_cpu_26_hi" vbProcedure="false">In!$F$89</definedName>
    <definedName function="false" hidden="false" name="sh_cpu_26_lo" vbProcedure="false">In!$D$89</definedName>
    <definedName function="false" hidden="false" name="sh_cpu_27" vbProcedure="false">In!$E$90</definedName>
    <definedName function="false" hidden="false" name="sh_cpu_27_hi" vbProcedure="false">In!$F$90</definedName>
    <definedName function="false" hidden="false" name="sh_cpu_27_lo" vbProcedure="false">In!$D$90</definedName>
    <definedName function="false" hidden="false" name="sh_cpu_28" vbProcedure="false">In!$E$91</definedName>
    <definedName function="false" hidden="false" name="sh_cpu_28_hi" vbProcedure="false">In!$F$91</definedName>
    <definedName function="false" hidden="false" name="sh_cpu_28_lo" vbProcedure="false">In!$D$91</definedName>
    <definedName function="false" hidden="false" name="sh_cpu_29" vbProcedure="false">In!$E$92</definedName>
    <definedName function="false" hidden="false" name="sh_cpu_29_hi" vbProcedure="false">In!$F$92</definedName>
    <definedName function="false" hidden="false" name="sh_cpu_29_lo" vbProcedure="false">In!$D$92</definedName>
    <definedName function="false" hidden="false" name="sh_g" vbProcedure="false">In!$E$129</definedName>
    <definedName function="false" hidden="false" name="sh_g_hi" vbProcedure="false">In!$F$129</definedName>
    <definedName function="false" hidden="false" name="sh_g_lo" vbProcedure="false">In!$D$129</definedName>
    <definedName function="false" hidden="false" name="sh_nv_26" vbProcedure="false">In!$E$79</definedName>
    <definedName function="false" hidden="false" name="sh_nv_26_hi" vbProcedure="false">In!$F$79</definedName>
    <definedName function="false" hidden="false" name="sh_nv_26_lo" vbProcedure="false">In!$D$79</definedName>
    <definedName function="false" hidden="false" name="sh_nv_27" vbProcedure="false">In!$E$80</definedName>
    <definedName function="false" hidden="false" name="sh_nv_27_hi" vbProcedure="false">In!$F$80</definedName>
    <definedName function="false" hidden="false" name="sh_nv_27_lo" vbProcedure="false">In!$D$80</definedName>
    <definedName function="false" hidden="false" name="sh_nv_28" vbProcedure="false">In!$E$81</definedName>
    <definedName function="false" hidden="false" name="sh_nv_28_hi" vbProcedure="false">In!$F$81</definedName>
    <definedName function="false" hidden="false" name="sh_nv_28_lo" vbProcedure="false">In!$D$81</definedName>
    <definedName function="false" hidden="false" name="sh_nv_29" vbProcedure="false">In!$E$82</definedName>
    <definedName function="false" hidden="false" name="sh_nv_29_hi" vbProcedure="false">In!$F$82</definedName>
    <definedName function="false" hidden="false" name="sh_nv_29_lo" vbProcedure="false">In!$D$82</definedName>
    <definedName function="false" hidden="false" name="sh_ot_26" vbProcedure="false">In!$E$83</definedName>
    <definedName function="false" hidden="false" name="sh_ot_26_hi" vbProcedure="false">In!$F$83</definedName>
    <definedName function="false" hidden="false" name="sh_ot_26_lo" vbProcedure="false">In!$D$83</definedName>
    <definedName function="false" hidden="false" name="sh_ot_27" vbProcedure="false">In!$E$84</definedName>
    <definedName function="false" hidden="false" name="sh_ot_27_hi" vbProcedure="false">In!$F$84</definedName>
    <definedName function="false" hidden="false" name="sh_ot_27_lo" vbProcedure="false">In!$D$84</definedName>
    <definedName function="false" hidden="false" name="sh_ot_28" vbProcedure="false">In!$E$85</definedName>
    <definedName function="false" hidden="false" name="sh_ot_28_hi" vbProcedure="false">In!$F$85</definedName>
    <definedName function="false" hidden="false" name="sh_ot_28_lo" vbProcedure="false">In!$D$85</definedName>
    <definedName function="false" hidden="false" name="sh_ot_29" vbProcedure="false">In!$E$86</definedName>
    <definedName function="false" hidden="false" name="sh_ot_29_hi" vbProcedure="false">In!$F$86</definedName>
    <definedName function="false" hidden="false" name="sh_ot_29_lo" vbProcedure="false">In!$D$86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In!$E$128</definedName>
    <definedName function="false" hidden="false" name="tax_hi" vbProcedure="false">In!$F$128</definedName>
    <definedName function="false" hidden="false" name="tax_lo" vbProcedure="false">In!$D$128</definedName>
    <definedName function="false" hidden="false" name="tp_g" vbProcedure="false">In!$E$167</definedName>
    <definedName function="false" hidden="false" name="tp_r" vbProcedure="false">In!$E$166</definedName>
    <definedName function="false" hidden="false" name="tp_roe" vbProcedure="false">In!$E$168</definedName>
    <definedName function="false" hidden="false" name="tp_wA" vbProcedure="false">In!$E$163</definedName>
    <definedName function="false" hidden="false" name="tp_wB" vbProcedure="false">In!$E$164</definedName>
    <definedName function="false" hidden="false" name="tp_wC" vbProcedure="false">In!$E$165</definedName>
    <definedName function="false" hidden="false" name="tp_w_dcf" vbProcedure="false">In!$E$169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In!$E$67</definedName>
    <definedName function="false" hidden="false" name="un_nv_28" vbProcedure="false">In!$E$71</definedName>
    <definedName function="false" hidden="false" name="un_nv_29" vbProcedure="false">In!$E$75</definedName>
    <definedName function="false" hidden="false" name="un_ot_26" vbProcedure="false">In!$E$64</definedName>
    <definedName function="false" hidden="false" name="un_ot_27" vbProcedure="false">In!$E$68</definedName>
    <definedName function="false" hidden="false" name="un_ot_28" vbProcedure="false">In!$E$72</definedName>
    <definedName function="false" hidden="false" name="un_ot_29" vbProcedure="false">In!$E$76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cpu" vbProcedure="false">In!$E$88</definedName>
    <definedName function="false" hidden="false" name="v_cpu_hi" vbProcedure="false">In!$F$88</definedName>
    <definedName function="false" hidden="false" name="v_cpu_lo" vbProcedure="false">In!$D$88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<sst xmlns="http://schemas.openxmlformats.org/spreadsheetml/2006/main" count="6378" uniqueCount="1175">
  <si>
    <r>
      <rPr>
        <b val="true"/>
        <sz val="11"/>
        <rFont val="Noto Sans CJK SC"/>
        <family val="2"/>
      </rPr>
      <t xml:space="preserve">景碩（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3189.TW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載板第二梯隊；樣板＝</t>
    </r>
    <r>
      <rPr>
        <b val="true"/>
        <sz val="11"/>
        <rFont val="Cambria"/>
        <family val="0"/>
        <charset val="1"/>
      </rPr>
      <t xml:space="preserve">nanya_pcb/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</si>
  <si>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，南電份額讀 </t>
    </r>
    <r>
      <rPr>
        <sz val="11"/>
        <rFont val="Cambria"/>
        <family val="0"/>
        <charset val="1"/>
      </rPr>
      <t xml:space="preserve">nanya_pcb/dist</t>
    </r>
    <r>
      <rPr>
        <sz val="11"/>
        <rFont val="Noto Sans CJK SC"/>
        <family val="2"/>
      </rPr>
      <t xml:space="preserve">（本專案權威）；四家份額合計在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</si>
  <si>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模型命題：景碩的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NVIDIA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Grace→Vera</t>
    </r>
    <r>
      <rPr>
        <sz val="11"/>
        <rFont val="Noto Sans CJK SC"/>
        <family val="2"/>
      </rPr>
      <t xml:space="preserve">）載板（加速器顆數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景碩份額，公司目標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80–100%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加速器載板（與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、欣興、南電同口徑，份額個位數）＋其他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（伺服器與 </t>
    </r>
    <r>
      <rPr>
        <sz val="11"/>
        <rFont val="Cambria"/>
        <family val="0"/>
        <charset val="1"/>
      </rPr>
      <t xml:space="preserve">PC CPU</t>
    </r>
    <r>
      <rPr>
        <sz val="11"/>
        <rFont val="Noto Sans CJK SC"/>
        <family val="2"/>
      </rPr>
      <t xml:space="preserve">）；產能依公司規劃 </t>
    </r>
    <r>
      <rPr>
        <sz val="11"/>
        <rFont val="Cambria"/>
        <family val="0"/>
        <charset val="1"/>
      </rPr>
      <t xml:space="preserve">4,000→8,000 </t>
    </r>
    <r>
      <rPr>
        <sz val="11"/>
        <rFont val="Noto Sans CJK SC"/>
        <family val="2"/>
      </rPr>
      <t xml:space="preserve">萬顆／月（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年）。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與其他載板（約四成營收）以漲價為主；晶碩（隱形眼鏡）約 </t>
    </r>
    <r>
      <rPr>
        <sz val="11"/>
        <rFont val="Cambria"/>
        <family val="0"/>
        <charset val="1"/>
      </rPr>
      <t xml:space="preserve">15% </t>
    </r>
    <r>
      <rPr>
        <sz val="11"/>
        <rFont val="Noto Sans CJK SC"/>
        <family val="2"/>
      </rPr>
      <t xml:space="preserve">營收、約 </t>
    </r>
    <r>
      <rPr>
        <sz val="11"/>
        <rFont val="Cambria"/>
        <family val="0"/>
        <charset val="1"/>
      </rPr>
      <t xml:space="preserve">69% </t>
    </r>
    <r>
      <rPr>
        <sz val="11"/>
        <rFont val="Noto Sans CJK SC"/>
        <family val="2"/>
      </rPr>
      <t xml:space="preserve">淨利屬非控制權益。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</si>
  <si>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載板份額、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漲價與 </t>
    </r>
    <r>
      <rPr>
        <sz val="11"/>
        <rFont val="Cambria"/>
        <family val="0"/>
        <charset val="1"/>
      </rPr>
      <t xml:space="preserve">K6 </t>
    </r>
    <r>
      <rPr>
        <sz val="11"/>
        <rFont val="Noto Sans CJK SC"/>
        <family val="2"/>
      </rPr>
      <t xml:space="preserve">新產能，能不能讓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從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3.51 </t>
    </r>
    <r>
      <rPr>
        <sz val="11"/>
        <rFont val="Noto Sans CJK SC"/>
        <family val="2"/>
      </rPr>
      <t xml:space="preserve">元升到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二十多元；約 </t>
    </r>
    <r>
      <rPr>
        <sz val="11"/>
        <rFont val="Cambria"/>
        <family val="0"/>
        <charset val="1"/>
      </rPr>
      <t xml:space="preserve">986 </t>
    </r>
    <r>
      <rPr>
        <sz val="11"/>
        <rFont val="Noto Sans CJK SC"/>
        <family val="2"/>
      </rPr>
      <t xml:space="preserve">元的股價（近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166 </t>
    </r>
    <r>
      <rPr>
        <sz val="11"/>
        <rFont val="Noto Sans CJK SC"/>
        <family val="2"/>
      </rPr>
      <t xml:space="preserve">倍、前瞻 </t>
    </r>
    <r>
      <rPr>
        <sz val="11"/>
        <rFont val="Cambria"/>
        <family val="0"/>
        <charset val="1"/>
      </rPr>
      <t xml:space="preserve">P/E 45 </t>
    </r>
    <r>
      <rPr>
        <sz val="11"/>
        <rFont val="Noto Sans CJK SC"/>
        <family val="2"/>
      </rPr>
      <t xml:space="preserve">倍）隱含什麼路徑。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</si>
  <si>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：目標價 </t>
    </r>
    <r>
      <rPr>
        <sz val="11"/>
        <rFont val="Cambria"/>
        <family val="0"/>
        <charset val="1"/>
      </rPr>
      <t xml:space="preserve">NT$908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DCF 529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Comparable 1,287 </t>
    </r>
    <r>
      <rPr>
        <sz val="11"/>
        <rFont val="Noto Sans CJK SC"/>
        <family val="2"/>
      </rPr>
      <t xml:space="preserve">各半），比現價 </t>
    </r>
    <r>
      <rPr>
        <sz val="11"/>
        <rFont val="Cambria"/>
        <family val="0"/>
        <charset val="1"/>
      </rPr>
      <t xml:space="preserve">986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）低 </t>
    </r>
    <r>
      <rPr>
        <sz val="11"/>
        <rFont val="Cambria"/>
        <family val="0"/>
        <charset val="1"/>
      </rPr>
      <t xml:space="preserve">7.9%</t>
    </r>
    <r>
      <rPr>
        <sz val="11"/>
        <rFont val="Noto Sans CJK SC"/>
        <family val="2"/>
      </rPr>
      <t xml:space="preserve">，級距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（中立）；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單獨為 </t>
    </r>
    <r>
      <rPr>
        <sz val="11"/>
        <rFont val="Cambria"/>
        <family val="0"/>
        <charset val="1"/>
      </rPr>
      <t xml:space="preserve">+30.5%</t>
    </r>
    <r>
      <rPr>
        <sz val="11"/>
        <rFont val="Noto Sans CJK SC"/>
        <family val="2"/>
      </rPr>
      <t xml:space="preserve">，市場共識目標價 </t>
    </r>
    <r>
      <rPr>
        <sz val="11"/>
        <rFont val="Cambria"/>
        <family val="0"/>
        <charset val="1"/>
      </rPr>
      <t xml:space="preserve">1,092</t>
    </r>
    <r>
      <rPr>
        <sz val="11"/>
        <rFont val="Noto Sans CJK SC"/>
        <family val="2"/>
      </rPr>
      <t xml:space="preserve">。兩法差距來自 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年資本支出合計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K6 </t>
    </r>
    <r>
      <rPr>
        <sz val="11"/>
        <rFont val="Noto Sans CJK SC"/>
        <family val="2"/>
      </rPr>
      <t xml:space="preserve">新廠與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擴產），情境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每股股東現金流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10.37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26.21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）；本模型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30.44 </t>
    </r>
    <r>
      <rPr>
        <sz val="11"/>
        <rFont val="Noto Sans CJK SC"/>
        <family val="2"/>
      </rPr>
      <t xml:space="preserve">比共識前瞻 </t>
    </r>
    <r>
      <rPr>
        <sz val="11"/>
        <rFont val="Cambria"/>
        <family val="0"/>
        <charset val="1"/>
      </rPr>
      <t xml:space="preserve">EPS 22.06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38%</t>
    </r>
    <r>
      <rPr>
        <sz val="11"/>
        <rFont val="Noto Sans CJK SC"/>
        <family val="2"/>
      </rPr>
      <t xml:space="preserve">（期間差約一年），共識目標價隱含 </t>
    </r>
    <r>
      <rPr>
        <sz val="11"/>
        <rFont val="Cambria"/>
        <family val="0"/>
        <charset val="1"/>
      </rPr>
      <t xml:space="preserve">49.5 </t>
    </r>
    <r>
      <rPr>
        <sz val="11"/>
        <rFont val="Noto Sans CJK SC"/>
        <family val="2"/>
      </rPr>
      <t xml:space="preserve">倍、比同業中位數 </t>
    </r>
    <r>
      <rPr>
        <sz val="11"/>
        <rFont val="Cambria"/>
        <family val="0"/>
        <charset val="1"/>
      </rPr>
      <t xml:space="preserve">42.3 </t>
    </r>
    <r>
      <rPr>
        <sz val="11"/>
        <rFont val="Noto Sans CJK SC"/>
        <family val="2"/>
      </rPr>
      <t xml:space="preserve">倍高 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</si>
  <si>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FY2027–28 ABF </t>
    </r>
    <r>
      <rPr>
        <sz val="11"/>
        <rFont val="Noto Sans CJK SC"/>
        <family val="2"/>
      </rPr>
      <t xml:space="preserve">需求滿足率約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（產能受限），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由價格與產能決定、而非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份額：漲價年度化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22%</t>
    </r>
    <r>
      <rPr>
        <sz val="11"/>
        <rFont val="Noto Sans CJK SC"/>
        <family val="2"/>
      </rPr>
      <t xml:space="preserve">（基準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）使 </t>
    </r>
    <r>
      <rPr>
        <sz val="11"/>
        <rFont val="Cambria"/>
        <family val="0"/>
        <charset val="1"/>
      </rPr>
      <t xml:space="preserve">FY2027 EPS −11.4%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+11.4%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溢價取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低／高值使 </t>
    </r>
    <r>
      <rPr>
        <sz val="11"/>
        <rFont val="Cambria"/>
        <family val="0"/>
        <charset val="1"/>
      </rPr>
      <t xml:space="preserve">FY2028 EPS −15.2%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+15.7%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產能低值 −</t>
    </r>
    <r>
      <rPr>
        <sz val="11"/>
        <rFont val="Cambria"/>
        <family val="0"/>
        <charset val="1"/>
      </rPr>
      <t xml:space="preserve">13.2%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或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份額高低對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的影響都在 </t>
    </r>
    <r>
      <rPr>
        <sz val="11"/>
        <rFont val="Cambria"/>
        <family val="0"/>
        <charset val="1"/>
      </rPr>
      <t xml:space="preserve">0.3% </t>
    </r>
    <r>
      <rPr>
        <sz val="11"/>
        <rFont val="Noto Sans CJK SC"/>
        <family val="2"/>
      </rPr>
      <t xml:space="preserve">以內。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</si>
  <si>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：份額說法與上游衝突：券商稱景碩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80–100%</t>
    </r>
    <r>
      <rPr>
        <sz val="11"/>
        <rFont val="Noto Sans CJK SC"/>
        <family val="2"/>
      </rPr>
      <t xml:space="preserve">，但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份額已合計約 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，本模型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取 </t>
    </r>
    <r>
      <rPr>
        <sz val="11"/>
        <rFont val="Cambria"/>
        <family val="0"/>
        <charset val="1"/>
      </rPr>
      <t xml:space="preserve">2%→6%</t>
    </r>
    <r>
      <rPr>
        <sz val="11"/>
        <rFont val="Noto Sans CJK SC"/>
        <family val="2"/>
      </rPr>
      <t xml:space="preserve">。下一個檢驗點是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估 </t>
    </r>
    <r>
      <rPr>
        <sz val="11"/>
        <rFont val="Cambria"/>
        <family val="0"/>
        <charset val="1"/>
      </rPr>
      <t xml:space="preserve">2026-11-06</t>
    </r>
    <r>
      <rPr>
        <sz val="11"/>
        <rFont val="Noto Sans CJK SC"/>
        <family val="2"/>
      </rPr>
      <t xml:space="preserve">）：本模型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4.30</t>
    </r>
    <r>
      <rPr>
        <sz val="11"/>
        <rFont val="Noto Sans CJK SC"/>
        <family val="2"/>
      </rPr>
      <t xml:space="preserve">（永豐 </t>
    </r>
    <r>
      <rPr>
        <sz val="11"/>
        <rFont val="Cambria"/>
        <family val="0"/>
        <charset val="1"/>
      </rPr>
      <t xml:space="preserve">4.29</t>
    </r>
    <r>
      <rPr>
        <sz val="11"/>
        <rFont val="Noto Sans CJK SC"/>
        <family val="2"/>
      </rPr>
      <t xml:space="preserve">、美系毛利率 </t>
    </r>
    <r>
      <rPr>
        <sz val="11"/>
        <rFont val="Cambria"/>
        <family val="0"/>
        <charset val="1"/>
      </rPr>
      <t xml:space="preserve">27.8%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EPS 13.69 </t>
    </r>
    <r>
      <rPr>
        <sz val="11"/>
        <rFont val="Noto Sans CJK SC"/>
        <family val="2"/>
      </rPr>
      <t xml:space="preserve">比主串共識 </t>
    </r>
    <r>
      <rPr>
        <sz val="11"/>
        <rFont val="Cambria"/>
        <family val="0"/>
        <charset val="1"/>
      </rPr>
      <t xml:space="preserve">10.42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</si>
  <si>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</si>
  <si>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</si>
  <si>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景碩份額（</t>
    </r>
    <r>
      <rPr>
        <sz val="11"/>
        <rFont val="Cambria"/>
        <family val="0"/>
        <charset val="1"/>
      </rPr>
      <t xml:space="preserve">GPU 2%→6%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3%→6%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CPU 35%→70–75%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載板金額＝</t>
    </r>
    <r>
      <rPr>
        <sz val="11"/>
        <rFont val="Cambria"/>
        <family val="0"/>
        <charset val="1"/>
      </rPr>
      <t xml:space="preserve">GPU × 0.3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</si>
  <si>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25%</t>
    </r>
    <r>
      <rPr>
        <sz val="11"/>
        <rFont val="Noto Sans CJK SC"/>
        <family val="2"/>
      </rPr>
      <t xml:space="preserve">）− 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</t>
    </r>
    <r>
      <rPr>
        <sz val="11"/>
        <rFont val="Noto Sans CJK SC"/>
        <family val="2"/>
      </rPr>
      <t xml:space="preserve">量 </t>
    </r>
    <r>
      <rPr>
        <sz val="11"/>
        <rFont val="Cambria"/>
        <family val="0"/>
        <charset val="1"/>
      </rPr>
      <t xml:space="preserve">+6%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1.85</t>
    </r>
    <r>
      <rPr>
        <sz val="11"/>
        <rFont val="Noto Sans CJK SC"/>
        <family val="2"/>
      </rPr>
      <t xml:space="preserve">（公司規劃，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與其他載板年增依情境（</t>
    </r>
    <r>
      <rPr>
        <sz val="11"/>
        <rFont val="Cambria"/>
        <family val="0"/>
        <charset val="1"/>
      </rPr>
      <t xml:space="preserve">A 28%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）；晶碩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</si>
  <si>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）＋晶碩增量（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160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；非控制權益＝晶碩營收 </t>
    </r>
    <r>
      <rPr>
        <sz val="11"/>
        <rFont val="Cambria"/>
        <family val="0"/>
        <charset val="1"/>
      </rPr>
      <t xml:space="preserve">× 25% × 68.8%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5.27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</si>
  <si>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1.17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2.57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145.4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</si>
  <si>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</si>
  <si>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</si>
  <si>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</si>
  <si>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拆分，產品組合取媒體與法說摘要、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占比取高盛轉述；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、欣興、南電模型的份額合計（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）衝突，本模型取剩餘空間（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列高值）；</t>
    </r>
    <r>
      <rPr>
        <sz val="11"/>
        <rFont val="Cambria"/>
        <family val="0"/>
        <charset val="1"/>
      </rPr>
      <t xml:space="preserve">(3) Vera CPU </t>
    </r>
    <r>
      <rPr>
        <sz val="11"/>
        <rFont val="Noto Sans CJK SC"/>
        <family val="2"/>
      </rPr>
      <t xml:space="preserve">份額與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載板金額比為公司說法與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客戶贊助設備的金額與會計處理未知，資本支出可能高估；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晶碩持股比例由非控制權益推得（約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），未取得原文；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2023–24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900 </t>
    </r>
    <r>
      <rPr>
        <sz val="11"/>
        <rFont val="Noto Sans CJK SC"/>
        <family val="2"/>
      </rPr>
      <t xml:space="preserve">倍、</t>
    </r>
    <r>
      <rPr>
        <sz val="11"/>
        <rFont val="Cambria"/>
        <family val="0"/>
        <charset val="1"/>
      </rPr>
      <t xml:space="preserve">2019 </t>
    </r>
    <r>
      <rPr>
        <sz val="11"/>
        <rFont val="Noto Sans CJK SC"/>
        <family val="2"/>
      </rPr>
      <t xml:space="preserve">年虧損不計；</t>
    </r>
    <r>
      <rPr>
        <sz val="11"/>
        <rFont val="Cambria"/>
        <family val="0"/>
        <charset val="1"/>
      </rPr>
      <t xml:space="preserve">(8)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，主串提供的共識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口徑未查證；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</si>
  <si>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</si>
  <si>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</si>
  <si>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</si>
  <si>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</si>
  <si>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</si>
  <si>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</si>
  <si>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</si>
  <si>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</si>
  <si>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</si>
  <si>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</si>
  <si>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</si>
  <si>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</si>
  <si>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</si>
  <si>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</si>
  <si>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</si>
  <si>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</si>
  <si>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</si>
  <si>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</si>
  <si>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</si>
  <si>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</si>
  <si>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</si>
  <si>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</si>
  <si>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</si>
  <si>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</si>
  <si>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</si>
  <si>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</si>
  <si>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</si>
  <si>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</si>
  <si>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</si>
  <si>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</si>
  <si>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</si>
  <si>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</si>
  <si>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</si>
  <si>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</si>
  <si>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</si>
  <si>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</si>
  <si>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</si>
  <si>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</si>
  <si>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</si>
  <si>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</si>
  <si>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</si>
  <si>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</si>
  <si>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</si>
  <si>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</si>
  <si>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</si>
  <si>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</si>
  <si>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</si>
  <si>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</si>
  <si>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</si>
  <si>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</si>
  <si>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</si>
  <si>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</si>
  <si>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</si>
  <si>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</si>
  <si>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</si>
  <si>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</si>
  <si>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</si>
  <si>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</si>
  <si>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</si>
  <si>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</si>
  <si>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</si>
  <si>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</si>
  <si>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</si>
  <si>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</si>
  <si>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</si>
  <si>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</si>
  <si>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</si>
  <si>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</si>
  <si>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</si>
  <si>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</si>
  <si>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</si>
  <si>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</si>
  <si>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</si>
  <si>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</si>
  <si>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</si>
  <si>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</si>
  <si>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</si>
  <si>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</si>
  <si>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</si>
  <si>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</si>
  <si>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</si>
  <si>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</si>
  <si>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</si>
  <si>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</si>
  <si>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</si>
  <si>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</si>
  <si>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</si>
  <si>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</si>
  <si>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</si>
  <si>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</si>
  <si>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</si>
  <si>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</si>
  <si>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</si>
  <si>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</si>
  <si>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</si>
  <si>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</si>
  <si>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</si>
  <si>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</si>
  <si>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</si>
  <si>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</si>
  <si>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</si>
  <si>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</si>
  <si>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</si>
  <si>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</si>
  <si>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</si>
  <si>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</si>
  <si>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</si>
  <si>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</si>
  <si>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</si>
  <si>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</si>
  <si>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</si>
  <si>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</si>
  <si>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</si>
  <si>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</si>
  <si>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</si>
  <si>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</si>
  <si>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</si>
  <si>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</si>
  <si>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</si>
  <si>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</si>
  <si>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</si>
  <si>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</si>
  <si>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</si>
  <si>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</si>
  <si>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</si>
  <si>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</si>
  <si>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</si>
  <si>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</si>
  <si>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</si>
  <si>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</si>
  <si>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</si>
  <si>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</si>
  <si>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</si>
  <si>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</si>
  <si>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</si>
  <si>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</si>
  <si>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</si>
  <si>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</si>
  <si>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</si>
  <si>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</si>
  <si>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</si>
  <si>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</si>
  <si>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</si>
  <si>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</si>
  <si>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</si>
  <si>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</si>
  <si>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</si>
  <si>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</si>
  <si>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</si>
  <si>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</si>
  <si>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</si>
  <si>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</si>
  <si>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</si>
  <si>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</si>
  <si>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</si>
  <si>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、欣興、南電一致；三者數字唯讀取自各自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</si>
  <si>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</si>
  <si>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</si>
  <si>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</si>
  <si>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</si>
  <si>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</si>
  <si>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</si>
  <si>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</si>
  <si>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</si>
  <si>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</si>
  <si>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</si>
  <si>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</si>
  <si>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</si>
  <si>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</si>
  <si>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模型；欣興、南電模型同值）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</si>
  <si>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</si>
  <si>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</si>
  <si>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</si>
  <si>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</si>
  <si>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</si>
  <si>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</si>
  <si>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</si>
  <si>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</si>
  <si>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</si>
  <si>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</si>
  <si>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</si>
  <si>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</si>
  <si>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</si>
  <si>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</si>
  <si>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</si>
  <si>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</si>
  <si>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</si>
  <si>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</si>
  <si>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</si>
  <si>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</si>
  <si>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</si>
  <si>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</si>
  <si>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</si>
  <si>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</si>
  <si>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</si>
  <si>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</si>
  <si>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（欣興、南電模型同值）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</si>
  <si>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</si>
  <si>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與欣興、南電模型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</si>
  <si>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</si>
  <si>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</si>
  <si>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</si>
  <si>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</si>
  <si>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</si>
  <si>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</si>
  <si>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</si>
  <si>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</si>
  <si>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</si>
  <si>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</si>
  <si>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</si>
  <si>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In!E75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</si>
  <si>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</si>
  <si>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</si>
  <si>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</si>
  <si>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</si>
  <si>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</si>
  <si>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</si>
  <si>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</si>
  <si>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</si>
  <si>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</si>
  <si>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</si>
  <si>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</si>
  <si>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In!E76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</si>
  <si>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</si>
  <si>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</si>
  <si>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</si>
  <si>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</si>
  <si>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</si>
  <si>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</si>
  <si>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</si>
  <si>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</si>
  <si>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</si>
  <si>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t xml:space="preserve">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</si>
  <si>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</si>
  <si>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In!E77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</si>
  <si>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</si>
  <si>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</si>
  <si>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</si>
  <si>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</si>
  <si>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</si>
  <si>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</si>
  <si>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</si>
  <si>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</si>
  <si>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In!E74</t>
    </r>
  </si>
  <si>
    <t xml:space="preserve">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</si>
  <si>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</si>
  <si>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In!E78</t>
    </r>
  </si>
  <si>
    <t xml:space="preserve">sh_nv_26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</si>
  <si>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</si>
  <si>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</si>
  <si>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</si>
  <si>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sh_nv_27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</si>
  <si>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</si>
  <si>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</si>
  <si>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</si>
  <si>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</si>
  <si>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</si>
  <si>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</si>
  <si>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</si>
  <si>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</si>
  <si>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</si>
  <si>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</si>
  <si>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</si>
  <si>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</si>
  <si>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</si>
  <si>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</si>
  <si>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</si>
  <si>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</si>
  <si>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</si>
  <si>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cpu_r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</si>
  <si>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</si>
  <si>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機櫃：每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系統用 </t>
    </r>
    <r>
      <rPr>
        <sz val="11"/>
        <color theme="1"/>
        <rFont val="Calibri"/>
        <family val="2"/>
        <charset val="1"/>
      </rPr>
      <t xml:space="preserve">x86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</si>
  <si>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機櫃與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出貨比例：未找到</t>
    </r>
  </si>
  <si>
    <t xml:space="preserve">v_cpu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</si>
  <si>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</t>
    </r>
  </si>
  <si>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為單晶片（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核），封裝面積小於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</si>
  <si>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t xml:space="preserve">sh_cpu_26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</si>
  <si>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</si>
  <si>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份額、稼動率）：美系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供應份額由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</si>
  <si>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年平均（上半年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起跳）</t>
    </r>
  </si>
  <si>
    <t xml:space="preserve">sh_cpu_27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</si>
  <si>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</si>
  <si>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法說重點）：公司法說表達目標拿下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份額；經濟日報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80–100%</t>
    </r>
  </si>
  <si>
    <t xml:space="preserve">公司與券商說法，基準取下緣以下</t>
  </si>
  <si>
    <t xml:space="preserve">sh_cpu_28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</si>
  <si>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</si>
  <si>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年後第二供應商（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）可能回補，基準略降</t>
    </r>
  </si>
  <si>
    <t xml:space="preserve">sh_cpu_29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</si>
  <si>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</si>
  <si>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</si>
  <si>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</si>
  <si>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</si>
  <si>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</si>
  <si>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2025-08-19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2Q25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漲幅大於 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法說重點））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</si>
  <si>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</si>
  <si>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</t>
    </r>
    <r>
      <rPr>
        <sz val="11"/>
        <color theme="1"/>
        <rFont val="Noto Sans CJK SC"/>
        <family val="2"/>
      </rPr>
      <t xml:space="preserve">（加速器、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</si>
  <si>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相關約占總營收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</si>
  <si>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Calibri"/>
        <family val="2"/>
        <charset val="1"/>
      </rPr>
      <t xml:space="preserve">10% ÷ ABF 42%≈24%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</si>
  <si>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</si>
  <si>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</si>
  <si>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</si>
  <si>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載板（校準殘差）；隨交換器市場成長但低於等比例（單價另由溢價計）</t>
    </r>
  </si>
  <si>
    <t xml:space="preserve">與南電模型同值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</si>
  <si>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</si>
  <si>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）年增（量）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</si>
  <si>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）：景碩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覆晶載板市占長期約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</si>
  <si>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代理帶動一般伺服器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需求延伸到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</si>
  <si>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</si>
  <si>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</si>
  <si>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</si>
  <si>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</si>
  <si>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</si>
  <si>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</si>
  <si>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同上（年底值；年平均約為前後年底的中點）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</si>
  <si>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</si>
  <si>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</si>
  <si>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</si>
  <si>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</si>
  <si>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</si>
  <si>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載板面積大、層數高；組合往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移動</t>
    </r>
  </si>
  <si>
    <t xml:space="preserve">與欣興、南電模型同值</t>
  </si>
  <si>
    <t xml:space="preserve">carry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</si>
  <si>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</si>
  <si>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漲幅由 </t>
    </r>
    <r>
      <rPr>
        <sz val="11"/>
        <color theme="1"/>
        <rFont val="Calibri"/>
        <family val="2"/>
        <charset val="1"/>
      </rPr>
      <t xml:space="preserve">5–10%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5–10%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</si>
  <si>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平均每季漲約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</si>
  <si>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</si>
  <si>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</si>
  <si>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每季漲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需求逾五成、光模組為成長動能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</si>
  <si>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漲價幅度大於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，帶動組合改善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</si>
  <si>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</si>
  <si>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</si>
  <si>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</si>
  <si>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</si>
  <si>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</si>
  <si>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</si>
  <si>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</si>
  <si>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</si>
  <si>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</si>
  <si>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</si>
  <si>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</si>
  <si>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</si>
  <si>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</si>
  <si>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</si>
  <si>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</si>
  <si>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</si>
  <si>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g_lens</t>
  </si>
  <si>
    <t xml:space="preserve">晶碩（隱形眼鏡）營收年增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</si>
  <si>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40.0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70.4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</si>
  <si>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三情境相同（與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</si>
  <si>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</si>
  <si>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</si>
  <si>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</si>
  <si>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（組合與稼動率）</t>
    </r>
  </si>
  <si>
    <t xml:space="preserve">ft_bt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</si>
  <si>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</si>
  <si>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成長以漲價為主（漲價幾乎全數落在毛利）；量增部分毛利率較低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</si>
  <si>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</t>
    </r>
  </si>
  <si>
    <t xml:space="preserve">ft_lens</t>
  </si>
  <si>
    <t xml:space="preserve">晶碩營收增量的現金毛利率</t>
  </si>
  <si>
    <t xml:space="preserve">晶碩毛利率：未找到（本串未取得）</t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</si>
  <si>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</si>
  <si>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</si>
  <si>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NT$B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</si>
  <si>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等新專案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億（三年，廠房）＋原三年設備計畫 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</si>
  <si>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法說重點）：新廠設備由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家核心客戶直接贊助（若屬實，景碩帳上資本支出偏低值）；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）：原計畫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億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</si>
  <si>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</si>
  <si>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</si>
  <si>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</si>
  <si>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</si>
  <si>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</si>
  <si>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</si>
  <si>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35.2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 13.6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21.6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</si>
  <si>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月新增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億專案（三年）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</si>
  <si>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</si>
  <si>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</si>
  <si>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1Q26 19.74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20.46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</si>
  <si>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，延續季增）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</si>
  <si>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</si>
  <si>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</si>
  <si>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</si>
  <si>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載板設備與廠房混合；與欣興、南電模型同值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</si>
  <si>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</si>
  <si>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</si>
  <si>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</si>
  <si>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14.59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15.82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</si>
  <si>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</si>
  <si>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</si>
  <si>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0.74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推得；現增後利息支出下降）</t>
    </r>
  </si>
  <si>
    <r>
      <rPr>
        <sz val="11"/>
        <color theme="1"/>
        <rFont val="Noto Sans CJK SC"/>
        <family val="2"/>
      </rPr>
      <t xml:space="preserve">利息收入、匯兌（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</si>
  <si>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</si>
  <si>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</si>
  <si>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</si>
  <si>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</si>
  <si>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</si>
  <si>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</si>
  <si>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3.70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30.87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</si>
  <si>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1H26 6.9%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，獲利升高後投資抵減占比下降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</si>
  <si>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</si>
  <si>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</si>
  <si>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5.2691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萬股，每股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</si>
  <si>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Noto Sans CJK SC"/>
        <family val="2"/>
      </rPr>
      <t xml:space="preserve">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</si>
  <si>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t xml:space="preserve">nm_lens</t>
  </si>
  <si>
    <t xml:space="preserve">晶碩淨利率（非控制權益推算用）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</si>
  <si>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10.17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40.01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25.4%</t>
    </r>
  </si>
  <si>
    <r>
      <rPr>
        <sz val="11"/>
        <color theme="1"/>
        <rFont val="Calibri"/>
        <family val="2"/>
        <charset val="1"/>
      </rPr>
      <t xml:space="preserve">FY2025 16.28 ÷ 70.39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23.1%</t>
    </r>
  </si>
  <si>
    <t xml:space="preserve">nci_sh</t>
  </si>
  <si>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晶碩淨利（景碩對晶碩的有效持股約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</si>
  <si>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季損益表（公司財報轉載）：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</si>
  <si>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晶碩淨利 </t>
    </r>
    <r>
      <rPr>
        <sz val="11"/>
        <color theme="1"/>
        <rFont val="Calibri"/>
        <family val="2"/>
        <charset val="1"/>
      </rPr>
      <t xml:space="preserve">4.72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5.44 </t>
    </r>
    <r>
      <rPr>
        <sz val="11"/>
        <color theme="1"/>
        <rFont val="Noto Sans CJK SC"/>
        <family val="2"/>
      </rPr>
      <t xml:space="preserve">億；持股比例原文：未找到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</si>
  <si>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</si>
  <si>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</si>
  <si>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</si>
  <si>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</si>
  <si>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</si>
  <si>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45.49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</si>
  <si>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</si>
  <si>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</si>
  <si>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；永豐 </t>
    </r>
    <r>
      <rPr>
        <sz val="11"/>
        <color theme="1"/>
        <rFont val="Calibri"/>
        <family val="2"/>
        <charset val="1"/>
      </rPr>
      <t xml:space="preserve">3Q26 EPS 4.29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</si>
  <si>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</si>
  <si>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</si>
  <si>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</si>
  <si>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1.459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1.582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</si>
  <si>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</si>
  <si>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</si>
  <si>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各季增約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</si>
  <si>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</si>
  <si>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</si>
  <si>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</si>
  <si>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33%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</si>
  <si>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29.3%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</si>
  <si>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</si>
  <si>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</si>
  <si>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</si>
  <si>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</si>
  <si>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0.074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</si>
  <si>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</si>
  <si>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</si>
  <si>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1.90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27.49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</si>
  <si>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FY2025 12.0%</t>
  </si>
  <si>
    <t xml:space="preserve">q3_lens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</si>
  <si>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</si>
  <si>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2Q26 2.115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1.886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</si>
  <si>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月營收：未找到</t>
    </r>
  </si>
  <si>
    <t xml:space="preserve">q4_lens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</si>
  <si>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</si>
  <si>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4Q25 1.930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</si>
  <si>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</si>
  <si>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</si>
  <si>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</si>
  <si>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526.91M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</si>
  <si>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</si>
  <si>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</si>
  <si>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</si>
  <si>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</si>
  <si>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</si>
  <si>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主串提供（補位排序表）；原始口徑本串未查證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</si>
  <si>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9.73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</si>
  <si>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</si>
  <si>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</si>
  <si>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</si>
  <si>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</si>
  <si>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</si>
  <si>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</si>
  <si>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9.33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</si>
  <si>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</si>
  <si>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</si>
  <si>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18.45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</si>
  <si>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</si>
  <si>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</si>
  <si>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36.45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</si>
  <si>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</si>
  <si>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</si>
  <si>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</si>
  <si>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</si>
  <si>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</si>
  <si>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</si>
  <si>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</si>
  <si>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</si>
  <si>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</si>
  <si>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</si>
  <si>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</si>
  <si>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</si>
  <si>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</si>
  <si>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14:39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</si>
  <si>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986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</si>
  <si>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</si>
  <si>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</si>
  <si>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</si>
  <si>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</si>
  <si>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</si>
  <si>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</si>
  <si>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5.93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</si>
  <si>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</si>
  <si>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986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</si>
  <si>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</si>
  <si>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</si>
  <si>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</si>
  <si>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</si>
  <si>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預估））；高盛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</si>
  <si>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</si>
  <si>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</si>
  <si>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</si>
  <si>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Calibri"/>
        <family val="2"/>
        <charset val="1"/>
      </rPr>
      <t xml:space="preserve">Siliconomics SIF_fx_twd</t>
    </r>
    <r>
      <rPr>
        <sz val="11"/>
        <color theme="1"/>
        <rFont val="Noto Sans CJK SC"/>
        <family val="2"/>
      </rPr>
      <t xml:space="preserve">（全庫共用；</t>
    </r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</si>
  <si>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</si>
  <si>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</si>
  <si>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）：營收與歸屬母公司淨利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</si>
  <si>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</si>
  <si>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</si>
  <si>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</si>
  <si>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</si>
  <si>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</si>
  <si>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</si>
  <si>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</si>
  <si>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</si>
  <si>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</si>
  <si>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</si>
  <si>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</si>
  <si>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</si>
  <si>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</si>
  <si>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</si>
  <si>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</si>
  <si>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</si>
  <si>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</si>
  <si>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</si>
  <si>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</si>
  <si>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3.00%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6.69%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</si>
  <si>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</si>
  <si>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</si>
  <si>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</si>
  <si>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</si>
  <si>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</si>
  <si>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</si>
  <si>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</si>
  <si>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</si>
  <si>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</si>
  <si>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</si>
  <si>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</si>
  <si>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</si>
  <si>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</si>
  <si>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</si>
  <si>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</si>
  <si>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</si>
  <si>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</si>
  <si>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</si>
  <si>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</si>
  <si>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</si>
  <si>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</si>
  <si>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</si>
  <si>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</si>
  <si>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</si>
  <si>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</si>
  <si>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</si>
  <si>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</si>
  <si>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</si>
  <si>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</si>
  <si>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</si>
  <si>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</si>
  <si>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</si>
  <si>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</si>
  <si>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</si>
  <si>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393.51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</si>
  <si>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</si>
  <si>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</si>
  <si>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26.09%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同；經濟日報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</si>
  <si>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</si>
  <si>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</si>
  <si>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</si>
  <si>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</si>
  <si>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</si>
  <si>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</si>
  <si>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</si>
  <si>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13.43%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</t>
    </r>
  </si>
  <si>
    <t xml:space="preserve">營業外淨額</t>
  </si>
  <si>
    <t xml:space="preserve">稅前利益 − 營業利益</t>
  </si>
  <si>
    <t xml:space="preserve">稅前利益</t>
  </si>
  <si>
    <t xml:space="preserve">所得稅</t>
  </si>
  <si>
    <t xml:space="preserve">合併淨利（含非控制權益）</t>
  </si>
  <si>
    <t xml:space="preserve">稅前 − 所得稅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</si>
  <si>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27.17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8.76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16.83 </t>
    </r>
    <r>
      <rPr>
        <sz val="11"/>
        <color theme="1"/>
        <rFont val="Noto Sans CJK SC"/>
        <family val="2"/>
      </rPr>
      <t xml:space="preserve">億</t>
    </r>
  </si>
  <si>
    <t xml:space="preserve">非控制權益（主要為晶碩）</t>
  </si>
  <si>
    <r>
      <rPr>
        <sz val="11"/>
        <color theme="1"/>
        <rFont val="Noto Sans CJK SC"/>
        <family val="2"/>
      </rPr>
      <t xml:space="preserve">合併淨利 − 歸屬母公司淨利；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</si>
  <si>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11.21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3.73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</si>
  <si>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</si>
  <si>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</si>
  <si>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</si>
  <si>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</si>
  <si>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萬股（每股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</si>
  <si>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</si>
  <si>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 3.74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、經濟日報同）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</si>
  <si>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</si>
  <si>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</si>
  <si>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71.08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</si>
  <si>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</si>
  <si>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</t>
    </r>
  </si>
  <si>
    <t xml:space="preserve">晶碩營收（合併於景碩）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</si>
  <si>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</t>
    </r>
  </si>
  <si>
    <r>
      <rPr>
        <sz val="11"/>
        <color theme="1"/>
        <rFont val="Calibri"/>
        <family val="2"/>
        <charset val="1"/>
      </rPr>
      <t xml:space="preserve">FY2025 70.39 </t>
    </r>
    <r>
      <rPr>
        <sz val="11"/>
        <color theme="1"/>
        <rFont val="Noto Sans CJK SC"/>
        <family val="2"/>
      </rPr>
      <t xml:space="preserve">億（優分析同）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</si>
  <si>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節占比；晶碩取實績＋假設）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</si>
  <si>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</si>
  <si>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與其他載板（含類載板）</t>
    </r>
  </si>
  <si>
    <t xml:space="preserve">晶碩（隱形眼鏡）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</si>
  <si>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</si>
  <si>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38.141 − 3Q26</t>
    </r>
    <r>
      <rPr>
        <sz val="11"/>
        <color theme="1"/>
        <rFont val="Noto Sans CJK SC"/>
        <family val="2"/>
      </rPr>
      <t xml:space="preserve">）（應為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</si>
  <si>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</si>
  <si>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</si>
  <si>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</si>
  <si>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4.29 − 1</t>
    </r>
  </si>
  <si>
    <r>
      <rPr>
        <sz val="11"/>
        <color theme="1"/>
        <rFont val="Calibri"/>
        <family val="2"/>
        <charset val="1"/>
      </rPr>
      <t xml:space="preserve">4Q26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5.39 − 1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</si>
  <si>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</si>
  <si>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景碩在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）＋南電（</t>
    </r>
    <r>
      <rPr>
        <sz val="11"/>
        <color theme="1"/>
        <rFont val="Calibri"/>
        <family val="2"/>
        <charset val="1"/>
      </rPr>
      <t xml:space="preserve">nanya_pcb/dist</t>
    </r>
    <r>
      <rPr>
        <sz val="11"/>
        <color theme="1"/>
        <rFont val="Noto Sans CJK SC"/>
        <family val="2"/>
      </rPr>
      <t xml:space="preserve">）＋景碩，其餘為三星電機、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</si>
  <si>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</si>
  <si>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</si>
  <si>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</si>
  <si>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</si>
  <si>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</si>
  <si>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</si>
  <si>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</si>
  <si>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</si>
  <si>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</si>
  <si>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</si>
  <si>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</si>
  <si>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</si>
  <si>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</si>
  <si>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（券商稱 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，與上游合計衝突）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</si>
  <si>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</si>
  <si>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</si>
  <si>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</si>
  <si>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</si>
  <si>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</si>
  <si>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南電模型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</si>
  <si>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</si>
  <si>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</si>
  <si>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</si>
  <si>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</si>
  <si>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與欣興、南電模型同算法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</si>
  <si>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</si>
  <si>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</si>
  <si>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</si>
  <si>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</si>
  <si>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</si>
  <si>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公司與券商說法（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）；其餘主要為 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</si>
  <si>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</si>
  <si>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</si>
  <si>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</t>
    </r>
  </si>
  <si>
    <t xml:space="preserve">US$M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</si>
  <si>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載板營收（含網通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</si>
  <si>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</si>
  <si>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</si>
  <si>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</si>
  <si>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、欣興、南電模型相同係數）</t>
    </r>
  </si>
  <si>
    <r>
      <rPr>
        <b val="true"/>
        <sz val="11"/>
        <rFont val="Noto Sans CJK SC"/>
        <family val="2"/>
      </rPr>
      <t xml:space="preserve">讀法：景碩的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曝險以 </t>
    </r>
    <r>
      <rPr>
        <b val="true"/>
        <sz val="11"/>
        <rFont val="Cambria"/>
        <family val="0"/>
        <charset val="1"/>
      </rPr>
      <t xml:space="preserve">NVIDIA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Grace→Vera</t>
    </r>
    <r>
      <rPr>
        <b val="true"/>
        <sz val="11"/>
        <rFont val="Noto Sans CJK SC"/>
        <family val="2"/>
      </rPr>
      <t xml:space="preserve">）載板為主，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加速器載板份額小；券商稱 </t>
    </r>
    <r>
      <rPr>
        <b val="true"/>
        <sz val="11"/>
        <rFont val="Cambria"/>
        <family val="0"/>
        <charset val="1"/>
      </rPr>
      <t xml:space="preserve">Rubin GPU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15–20%</t>
    </r>
    <r>
      <rPr>
        <b val="true"/>
        <sz val="11"/>
        <rFont val="Noto Sans CJK SC"/>
        <family val="2"/>
      </rPr>
      <t xml:space="preserve">，但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、欣興、南電模型的份額已合計 </t>
    </r>
    <r>
      <rPr>
        <b val="true"/>
        <sz val="11"/>
        <rFont val="Cambria"/>
        <family val="0"/>
        <charset val="1"/>
      </rPr>
      <t xml:space="preserve">94–97%</t>
    </r>
    <r>
      <rPr>
        <b val="true"/>
        <sz val="11"/>
        <rFont val="Noto Sans CJK SC"/>
        <family val="2"/>
      </rPr>
      <t xml:space="preserve">，本模型取剩餘空間，兩者不能同時成立（見 </t>
    </r>
    <r>
      <rPr>
        <b val="true"/>
        <sz val="11"/>
        <rFont val="Cambria"/>
        <family val="0"/>
        <charset val="1"/>
      </rPr>
      <t xml:space="preserve">README</t>
    </r>
    <r>
      <rPr>
        <b val="true"/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</si>
  <si>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景碩損益（十億新台幣；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</si>
  <si>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</si>
  <si>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</si>
  <si>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</si>
  <si>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</si>
  <si>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</si>
  <si>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</si>
  <si>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</si>
  <si>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</si>
  <si>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</si>
  <si>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</si>
  <si>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</si>
  <si>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</si>
  <si>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</si>
  <si>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</si>
  <si>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</si>
  <si>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</si>
  <si>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</si>
  <si>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</si>
  <si>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</si>
  <si>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</si>
  <si>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</si>
  <si>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</si>
  <si>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</si>
  <si>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</si>
  <si>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</si>
  <si>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</si>
  <si>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加速器與 </t>
    </r>
    <r>
      <rPr>
        <b val="true"/>
        <sz val="11"/>
        <rFont val="Cambria"/>
        <family val="0"/>
        <charset val="1"/>
      </rPr>
      <t xml:space="preserve">NVIDIA CPU </t>
    </r>
    <r>
      <rPr>
        <b val="true"/>
        <sz val="11"/>
        <rFont val="Noto Sans CJK SC"/>
        <family val="2"/>
      </rPr>
      <t xml:space="preserve">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</si>
  <si>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</si>
  <si>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</si>
  <si>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</si>
  <si>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</si>
  <si>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</si>
  <si>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</si>
  <si>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</si>
  <si>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</si>
  <si>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</si>
  <si>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</si>
  <si>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</si>
  <si>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</si>
  <si>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</si>
  <si>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</si>
  <si>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</si>
  <si>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</si>
  <si>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</si>
  <si>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</si>
  <si>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 ＋ </t>
    </r>
    <r>
      <rPr>
        <sz val="11"/>
        <color theme="1"/>
        <rFont val="Calibri"/>
        <family val="2"/>
        <charset val="1"/>
      </rPr>
      <t xml:space="preserve">CPU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v_cpu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</si>
  <si>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載板營收（新台幣）</t>
    </r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</si>
  <si>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</si>
  <si>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</si>
  <si>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約占總營收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</si>
  <si>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</si>
  <si>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</si>
  <si>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；含漲價年度化）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</si>
  <si>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漲價為全面性（非只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），故非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也乘漲價年度化；不乘全市場溢價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</si>
  <si>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</si>
  <si>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</si>
  <si>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85–95%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</si>
  <si>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</si>
  <si>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</si>
  <si>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</si>
  <si>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</si>
  <si>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</si>
  <si>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</si>
  <si>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成長以漲價為主；記憶體占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</si>
  <si>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無關；三情境相同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</si>
  <si>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</si>
  <si>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檢查：分部合計（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與其他＋晶碩）−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</si>
  <si>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</si>
  <si>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</si>
  <si>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</si>
  <si>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（公司口徑）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</si>
  <si>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</si>
  <si>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</si>
  <si>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</si>
  <si>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</si>
  <si>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</si>
  <si>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</si>
  <si>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／（溢價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漲價年度化））＋ 非 </t>
    </r>
    <r>
      <rPr>
        <sz val="11"/>
        <color theme="1"/>
        <rFont val="Calibri"/>
        <family val="2"/>
        <charset val="1"/>
      </rPr>
      <t xml:space="preserve">AI ABF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／漲價年度化），乘滿足率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</si>
  <si>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現金毛利增量 ＋ 晶碩現金毛利增量 ＋ 溢價 − 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</si>
  <si>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</si>
  <si>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非控制權益 ＝ 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</si>
  <si>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Noto Sans CJK SC"/>
        <family val="2"/>
      </rPr>
      <t xml:space="preserve">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nci_sh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</si>
  <si>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</si>
  <si>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</si>
  <si>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</si>
  <si>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</si>
  <si>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</si>
  <si>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</si>
  <si>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不含營運資金變動；折舊與資本支出為合併數（含晶碩），淨利為歸屬母公司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</si>
  <si>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</si>
  <si>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</si>
  <si>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</si>
  <si>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</si>
  <si>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</si>
  <si>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</si>
  <si>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</si>
  <si>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</si>
  <si>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</si>
  <si>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</si>
  <si>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</si>
  <si>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</si>
  <si>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</si>
  <si>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</si>
  <si>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</si>
  <si>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</si>
  <si>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</si>
  <si>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</si>
  <si>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</si>
  <si>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</si>
  <si>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</si>
  <si>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</si>
  <si>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</si>
  <si>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</si>
  <si>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</si>
  <si>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</si>
  <si>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取自本頁各情境推導區塊的「股東現金流」列（歸屬母公司淨利＋合併折舊 − 合併資本支出；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起資本支出率收斂到穩態更新）；不進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</si>
  <si>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</si>
  <si>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循環位置：景碩不是設備股，不套設備市場見頂年；以本模型營收最高的會計年度為見頂年（比照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</si>
  <si>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</si>
  <si>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</si>
  <si>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</si>
  <si>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</si>
  <si>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</si>
  <si>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</si>
  <si>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</si>
  <si>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</si>
  <si>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</si>
  <si>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</si>
  <si>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</si>
  <si>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</si>
  <si>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</si>
  <si>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</si>
  <si>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方法：景碩資本密集且模型有資本支出與折舊，改用每股（淨利＋折舊－資本支出）（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</si>
  <si>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</si>
  <si>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</si>
  <si>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</si>
  <si>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</si>
  <si>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</si>
  <si>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</si>
  <si>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</si>
  <si>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</si>
  <si>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（遠低於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4% </t>
    </r>
    <r>
      <rPr>
        <sz val="11"/>
        <color theme="1"/>
        <rFont val="Noto Sans CJK SC"/>
        <family val="2"/>
      </rPr>
      <t xml:space="preserve">所需）→ 再投資率上限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</si>
  <si>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</si>
  <si>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</si>
  <si>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</si>
  <si>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</si>
  <si>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</si>
  <si>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</si>
  <si>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</si>
  <si>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</si>
  <si>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</si>
  <si>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</si>
  <si>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</si>
  <si>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</si>
  <si>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</si>
  <si>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</si>
  <si>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</si>
  <si>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</si>
  <si>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</si>
  <si>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</si>
  <si>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</si>
  <si>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</si>
  <si>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</si>
  <si>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</si>
  <si>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</si>
  <si>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</si>
  <si>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</si>
  <si>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</si>
  <si>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</si>
  <si>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</si>
  <si>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</si>
  <si>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</si>
  <si>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</si>
  <si>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</si>
  <si>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</si>
  <si>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</si>
  <si>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</si>
  <si>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</si>
  <si>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</si>
  <si>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</si>
  <si>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</si>
  <si>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</si>
  <si>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</si>
  <si>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</si>
  <si>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</si>
  <si>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</si>
  <si>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</si>
  <si>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</si>
  <si>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</si>
  <si>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</si>
  <si>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</si>
  <si>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</si>
  <si>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；景碩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年新廠（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）與設備資本支出合計約 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億，折舊與資本支出含晶碩（淨利只計歸屬母公司），現金流偏低估約晶碩非控制部分；客戶贊助設備若屬實，資本支出偏高估。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短缺溢價期，倍數偏高；景碩含晶碩（隱形眼鏡）未另估。情境對應：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</si>
  <si>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</si>
  <si>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</si>
  <si>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</si>
  <si>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</si>
  <si>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</si>
  <si>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</si>
  <si>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</si>
  <si>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</si>
  <si>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</si>
  <si>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</si>
  <si>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</si>
  <si>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</si>
  <si>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</si>
  <si>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</si>
  <si>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</si>
  <si>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</si>
  <si>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</si>
  <si>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</si>
  <si>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</si>
  <si>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</si>
  <si>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</si>
  <si>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</si>
  <si>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</si>
  <si>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</si>
  <si>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</si>
  <si>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</si>
  <si>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</si>
  <si>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</si>
  <si>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</si>
  <si>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</si>
  <si>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</si>
  <si>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</si>
  <si>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</si>
  <si>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</si>
  <si>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漲價延續、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新產能如期開出」。本版未做先驗，無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</si>
  <si>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</si>
  <si>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</si>
  <si>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</si>
  <si>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</si>
  <si>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</si>
  <si>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</si>
  <si>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</si>
  <si>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</si>
  <si>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</si>
  <si>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</si>
  <si>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</si>
  <si>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</si>
  <si>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</si>
  <si>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</si>
  <si>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</si>
  <si>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</si>
  <si>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</si>
  <si>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</si>
  <si>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依循環位置取分位，兩個來源分別取分位再平均。景碩的落後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0.11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倍，高峰年（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</si>
  <si>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</si>
  <si>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</si>
  <si>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</si>
  <si>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</si>
  <si>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2019 EPS </t>
    </r>
    <r>
      <rPr>
        <sz val="11"/>
        <color theme="1"/>
        <rFont val="Noto Sans CJK SC"/>
        <family val="2"/>
      </rPr>
      <t xml:space="preserve">為負不計，共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</si>
  <si>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</si>
  <si>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</si>
  <si>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</si>
  <si>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</si>
  <si>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</si>
  <si>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</si>
  <si>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</si>
  <si>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</si>
  <si>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</si>
  <si>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</si>
  <si>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</si>
  <si>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</si>
  <si>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</si>
  <si>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</si>
  <si>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</si>
  <si>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</si>
  <si>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</si>
  <si>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</si>
  <si>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</si>
  <si>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</si>
  <si>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</si>
  <si>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</si>
  <si>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</si>
  <si>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</si>
  <si>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月券商數字取自媒體轉載（永豐、玉山、美系）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</si>
  <si>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</si>
  <si>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</si>
  <si>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</si>
  <si>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</si>
  <si>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</si>
  <si>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</si>
  <si>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</si>
  <si>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</si>
  <si>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</si>
  <si>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10.42</t>
    </r>
    <r>
      <rPr>
        <sz val="11"/>
        <color theme="1"/>
        <rFont val="Noto Sans CJK SC"/>
        <family val="2"/>
      </rPr>
      <t xml:space="preserve">（主串補位排序表）</t>
    </r>
  </si>
  <si>
    <t xml:space="preserve">主串提供</t>
  </si>
  <si>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12.93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10.6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9.73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</si>
  <si>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</si>
  <si>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旺得富（永豐）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</si>
  <si>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26.47</t>
    </r>
    <r>
      <rPr>
        <sz val="11"/>
        <color theme="1"/>
        <rFont val="Noto Sans CJK SC"/>
        <family val="2"/>
      </rPr>
      <t xml:space="preserve">（主串補位排序表）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</si>
  <si>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）</t>
    </r>
  </si>
  <si>
    <t xml:space="preserve">旺得富、經濟日報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</si>
  <si>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</si>
  <si>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</si>
  <si>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</si>
  <si>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34.39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</si>
  <si>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</si>
  <si>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</si>
  <si>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</si>
  <si>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</si>
  <si>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</si>
  <si>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</si>
  <si>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</si>
  <si>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</si>
  <si>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</si>
  <si>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</si>
  <si>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</si>
  <si>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</si>
  <si>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</si>
  <si>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</si>
  <si>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美系 </t>
    </r>
    <r>
      <rPr>
        <sz val="11"/>
        <color theme="1"/>
        <rFont val="Calibri"/>
        <family val="2"/>
        <charset val="1"/>
      </rPr>
      <t xml:space="preserve">29.3%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</si>
  <si>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高盛「每年約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」推算（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</si>
  <si>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（高盛）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</si>
  <si>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10pt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</si>
  <si>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</si>
  <si>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</si>
  <si>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</si>
  <si>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可能短缺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</si>
  <si>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</si>
  <si>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</si>
  <si>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</si>
  <si>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</si>
  <si>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</si>
  <si>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</si>
  <si>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</si>
  <si>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</si>
  <si>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</si>
  <si>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</si>
  <si>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</si>
  <si>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FY2026–FY2028 </t>
    </r>
    <r>
      <rPr>
        <sz val="11"/>
        <color theme="1"/>
        <rFont val="Noto Sans CJK SC"/>
        <family val="2"/>
      </rPr>
      <t xml:space="preserve">資本支出合計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擴產計畫 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</si>
  <si>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</si>
  <si>
    <t xml:space="preserve">模型含晶碩；計畫期間與年度未完全對齊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</si>
  <si>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</si>
  <si>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</si>
  <si>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</si>
  <si>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</si>
  <si>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</si>
  <si>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</si>
  <si>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</si>
  <si>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</si>
  <si>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</si>
  <si>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</si>
  <si>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</si>
  <si>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</si>
  <si>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</si>
  <si>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</si>
  <si>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</si>
  <si>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</si>
  <si>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</si>
  <si>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</si>
  <si>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</si>
  <si>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</si>
  <si>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</si>
  <si>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</si>
  <si>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</si>
  <si>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</si>
  <si>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</si>
  <si>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</si>
  <si>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</si>
  <si>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</si>
  <si>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</si>
  <si>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</si>
  <si>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</si>
  <si>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</si>
  <si>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</si>
  <si>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</si>
  <si>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</si>
  <si>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</si>
  <si>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</si>
  <si>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</si>
  <si>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</si>
  <si>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</si>
  <si>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</si>
  <si>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</si>
  <si>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</si>
  <si>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</si>
  <si>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</si>
  <si>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低</t>
    </r>
  </si>
  <si>
    <t xml:space="preserve">1%→2%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</si>
  <si>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高（券商說法）</t>
    </r>
  </si>
  <si>
    <t xml:space="preserve">10%→15%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</si>
  <si>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低</t>
    </r>
  </si>
  <si>
    <t xml:space="preserve">50%→45%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</si>
  <si>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高</t>
    </r>
  </si>
  <si>
    <t xml:space="preserve">90%→100%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</si>
  <si>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</si>
  <si>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2%→3%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</si>
  <si>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</si>
  <si>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</si>
  <si>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</si>
  <si>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0.30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</si>
  <si>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</si>
  <si>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</si>
  <si>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</si>
  <si>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</si>
  <si>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</si>
  <si>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</si>
  <si>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</si>
  <si>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晶碩年增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</si>
  <si>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</si>
  <si>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</si>
  <si>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</si>
  <si>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</si>
  <si>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</si>
  <si>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</si>
  <si>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</si>
  <si>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</si>
  <si>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</si>
  <si>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</si>
  <si>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</si>
  <si>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</si>
  <si>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</si>
  <si>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</si>
  <si>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</si>
  <si>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</si>
  <si>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</si>
  <si>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</si>
  <si>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</si>
  <si>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</si>
  <si>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</si>
  <si>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</si>
  <si>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</si>
  <si>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</si>
  <si>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</si>
  <si>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</si>
  <si>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</si>
  <si>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</si>
  <si>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</si>
  <si>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</si>
  <si>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</si>
  <si>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</si>
  <si>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</si>
  <si>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</si>
  <si>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</si>
  <si>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</si>
  <si>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</si>
  <si>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</si>
  <si>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</si>
  <si>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</si>
  <si>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</si>
  <si>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</si>
  <si>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高（券商說法）（情境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</si>
  <si>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</si>
  <si>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</si>
  <si>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</si>
  <si>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</si>
  <si>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0.20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</si>
  <si>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</si>
  <si>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</si>
  <si>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</si>
  <si>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</si>
  <si>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案例區塊：晶碩年增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</si>
  <si>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</si>
  <si>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位）、下次財報日估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</si>
  <si>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</si>
  <si>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年度與季損益表（營收、毛利、營業利益、稅前、所得稅、非控制權益、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</si>
  <si>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https://stockanalysis.com/quote/tpe/3189/financials/income-statement/?p=quarterly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</si>
  <si>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季現金流量表（折舊攤提、資本支出、現金增資 </t>
    </r>
    <r>
      <rPr>
        <sz val="11"/>
        <color theme="1"/>
        <rFont val="Calibri"/>
        <family val="2"/>
        <charset val="1"/>
      </rPr>
      <t xml:space="preserve">101.59 </t>
    </r>
    <r>
      <rPr>
        <sz val="11"/>
        <color theme="1"/>
        <rFont val="Noto Sans CJK SC"/>
        <family val="2"/>
      </rPr>
      <t xml:space="preserve">億）</t>
    </r>
  </si>
  <si>
    <t xml:space="preserve">https://stockanalysis.com/quote/tpe/3189/financials/cash-flow-statement/?p=quarterly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</si>
  <si>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FY2021–25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</si>
  <si>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</si>
  <si>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）季損益表（營收、淨利）</t>
    </r>
  </si>
  <si>
    <t xml:space="preserve">https://stockanalysis.com/quote/tpe/6491/financials/?p=quarterly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</si>
  <si>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月營收、現價核對）</t>
    </r>
  </si>
  <si>
    <t xml:space="preserve">https://www.nstock.tw/%E6%99%AF%E7%A2%A9%E5%81%9A%E4%BB%80%E9%BA%BC.html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</si>
  <si>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</si>
  <si>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https://finance.technews.tw/2026/10/06/kinsus-3189-202609-financial-report/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</si>
  <si>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億）</t>
    </r>
  </si>
  <si>
    <t xml:space="preserve">https://www.ctee.com.tw/news/20260806701841-430503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</si>
  <si>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2026-08-04 </t>
    </r>
    <r>
      <rPr>
        <sz val="11"/>
        <color theme="1"/>
        <rFont val="Noto Sans CJK SC"/>
        <family val="2"/>
      </rPr>
      <t xml:space="preserve">高盛（目標價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Vera CPU 100%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占營收、毛利率、客戶贊助設備、產能倍增）</t>
    </r>
  </si>
  <si>
    <t xml:space="preserve">https://finance.technews.tw/2026/08/04/vera-cpu/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</si>
  <si>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4,000→8,000 </t>
    </r>
    <r>
      <rPr>
        <sz val="11"/>
        <color theme="1"/>
        <rFont val="Noto Sans CJK SC"/>
        <family val="2"/>
      </rPr>
      <t xml:space="preserve">萬顆）</t>
    </r>
  </si>
  <si>
    <t xml:space="preserve">https://money.udn.com/money/story/5607/9676971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</si>
  <si>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CPU 80–100%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記憶體逾五成）</t>
    </r>
  </si>
  <si>
    <t xml:space="preserve">https://money.udn.com/money/amp/story/5607/9757810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</si>
  <si>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</si>
  <si>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</si>
  <si>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券商（媒體）：旺得富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</si>
  <si>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https://wantrich.chinatimes.com/news/20261014900438-420101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</si>
  <si>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10%→50%</t>
    </r>
    <r>
      <rPr>
        <sz val="11"/>
        <color theme="1"/>
        <rFont val="Noto Sans CJK SC"/>
        <family val="2"/>
      </rPr>
      <t xml:space="preserve">、稼動率）</t>
    </r>
  </si>
  <si>
    <t xml:space="preserve">https://money.udn.com/money/amp/story/5607/9459664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</si>
  <si>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 </t>
    </r>
    <r>
      <rPr>
        <sz val="11"/>
        <color theme="1"/>
        <rFont val="Calibri"/>
        <family val="2"/>
        <charset val="1"/>
      </rPr>
      <t xml:space="preserve">ABF 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億）</t>
    </r>
  </si>
  <si>
    <t xml:space="preserve">https://tw.stock.yahoo.com/news/ai-%E8%A8%98%E6%86%B6%E9%AB%94%E9%9C%80%E6%B1%82%E6%8E%A8%E5%8B%95-%E6%99%AF%E7%A2%A9q1%E6%B7%A1%E5%AD%A3%E6%9C%89%E6%92%90-042600728.html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</si>
  <si>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法說摘要（應用別、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、晶碩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</si>
  <si>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https://blog.fugle.tw/post/earnings-call-3189-2025-08-19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</si>
  <si>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（引述券商；現增、份額、資本支出）</t>
    </r>
  </si>
  <si>
    <t xml:space="preserve">https://brodoginvestment.substack.com/p/3db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</si>
  <si>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2026-06-20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</si>
  <si>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https://news.cnyes.com/news/id/6505998</t>
  </si>
  <si>
    <r>
      <rPr>
        <sz val="11"/>
        <color theme="1"/>
        <rFont val="Noto Sans CJK SC"/>
        <family val="2"/>
      </rPr>
      <t xml:space="preserve">媒體：優分析（晶碩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70.39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</si>
  <si>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https://uanalyze.com.tw/articles/8838744153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</si>
  <si>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</si>
  <si>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https://www.digrin.com/stocks/detail/3189.TW/price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</si>
  <si>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</si>
  <si>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https://www.wantgoo.com/stock/3189/profitability/dividend-payout-ratio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</si>
  <si>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</si>
  <si>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</si>
  <si>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主串提供：共識 </t>
    </r>
    <r>
      <rPr>
        <sz val="11"/>
        <color theme="1"/>
        <rFont val="Calibri"/>
        <family val="2"/>
        <charset val="1"/>
      </rPr>
      <t xml:space="preserve">EPS FY2026 10.42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26.47</t>
    </r>
    <r>
      <rPr>
        <sz val="11"/>
        <color theme="1"/>
        <rFont val="Noto Sans CJK SC"/>
        <family val="2"/>
      </rPr>
      <t xml:space="preserve">（補位排序表，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；原始口徑本串未查證）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</si>
  <si>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</si>
  <si>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ibiden/dist/20261028_Ibiden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unimicron/dist/20261028_</t>
    </r>
    <r>
      <rPr>
        <sz val="11"/>
        <color theme="1"/>
        <rFont val="Noto Sans CJK SC"/>
        <family val="2"/>
      </rPr>
      <t xml:space="preserve">欣興個股模型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nanya_pcb/dist/20261028_</t>
    </r>
    <r>
      <rPr>
        <sz val="11"/>
        <color theme="1"/>
        <rFont val="Noto Sans CJK SC"/>
        <family val="2"/>
      </rPr>
      <t xml:space="preserve">南電個股模型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</si>
  <si>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載板拆分；份額量化；晶碩持股比例原文與毛利率；晶碩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營收；折舊會計年限；客戶贊助設備的金額與會計處理；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</si>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</sst>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0" t="str">
        <f aca="false">"投資建議："&amp;Val!B49&amp;"（依上檔空間固定規則；加權目標價上檔空間 "&amp;TEXT(Val!B42,"0.0%")&amp;"，級距 "&amp;Val!B48&amp;"）"</f>
        <v>投資建議：中立（依上檔空間固定規則；加權目標價上檔空間 -8.1%，級距 0%～−25%）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3" t="s">
        <v>18</v>
      </c>
    </row>
    <row r="3" customFormat="false" ht="17.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</row>
    <row r="4" customFormat="false" ht="17.15" hidden="false" customHeight="false" outlineLevel="0" collapsed="false">
      <c r="A4" s="5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3" t="s">
        <v>31</v>
      </c>
      <c r="E5" s="6" t="n">
        <v>5.4</v>
      </c>
      <c r="G5" s="7" t="s">
        <v>32</v>
      </c>
      <c r="H5" s="7" t="s">
        <v>33</v>
      </c>
      <c r="I5" s="3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3" t="s">
        <v>31</v>
      </c>
      <c r="E6" s="6" t="n">
        <v>2.4</v>
      </c>
      <c r="G6" s="7" t="s">
        <v>32</v>
      </c>
      <c r="H6" s="7" t="s">
        <v>37</v>
      </c>
      <c r="I6" s="3" t="s">
        <v>34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3" t="s">
        <v>31</v>
      </c>
      <c r="E7" s="6" t="n">
        <v>0.5</v>
      </c>
      <c r="G7" s="7" t="s">
        <v>32</v>
      </c>
      <c r="H7" s="7" t="s">
        <v>40</v>
      </c>
      <c r="I7" s="3" t="s">
        <v>34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43</v>
      </c>
      <c r="E8" s="6" t="n">
        <v>-0.5</v>
      </c>
      <c r="G8" s="7" t="s">
        <v>32</v>
      </c>
      <c r="H8" s="7" t="s">
        <v>44</v>
      </c>
      <c r="I8" s="3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3" t="s">
        <v>31</v>
      </c>
      <c r="E9" s="6" t="n">
        <v>1.7</v>
      </c>
      <c r="G9" s="7" t="s">
        <v>32</v>
      </c>
      <c r="H9" s="7" t="s">
        <v>48</v>
      </c>
      <c r="I9" s="3" t="s">
        <v>34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3" t="s">
        <v>31</v>
      </c>
      <c r="E10" s="6" t="n">
        <v>7</v>
      </c>
      <c r="G10" s="7" t="s">
        <v>32</v>
      </c>
      <c r="H10" s="7" t="s">
        <v>51</v>
      </c>
      <c r="I10" s="3" t="s">
        <v>34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3" t="s">
        <v>31</v>
      </c>
      <c r="E11" s="6" t="n">
        <v>7</v>
      </c>
      <c r="G11" s="7" t="s">
        <v>32</v>
      </c>
      <c r="H11" s="7" t="s">
        <v>54</v>
      </c>
      <c r="I11" s="3" t="s">
        <v>34</v>
      </c>
    </row>
    <row r="12" customFormat="false" ht="17.15" hidden="false" customHeight="false" outlineLevel="0" collapsed="false">
      <c r="A12" s="0" t="s">
        <v>55</v>
      </c>
      <c r="B12" s="0" t="s">
        <v>56</v>
      </c>
      <c r="C12" s="0" t="s">
        <v>43</v>
      </c>
      <c r="E12" s="6" t="n">
        <v>0.15</v>
      </c>
      <c r="G12" s="7" t="s">
        <v>32</v>
      </c>
      <c r="H12" s="7" t="s">
        <v>57</v>
      </c>
      <c r="I12" s="3" t="s">
        <v>45</v>
      </c>
    </row>
    <row r="13" customFormat="false" ht="17.15" hidden="false" customHeight="false" outlineLevel="0" collapsed="false">
      <c r="A13" s="0" t="s">
        <v>58</v>
      </c>
      <c r="B13" s="0" t="s">
        <v>59</v>
      </c>
      <c r="C13" s="3" t="s">
        <v>31</v>
      </c>
      <c r="E13" s="6" t="n">
        <v>0</v>
      </c>
      <c r="G13" s="7" t="s">
        <v>32</v>
      </c>
      <c r="H13" s="7" t="s">
        <v>60</v>
      </c>
      <c r="I13" s="3" t="s">
        <v>34</v>
      </c>
    </row>
    <row r="14" customFormat="false" ht="17.15" hidden="false" customHeight="false" outlineLevel="0" collapsed="false">
      <c r="A14" s="0" t="s">
        <v>61</v>
      </c>
      <c r="B14" s="0" t="s">
        <v>62</v>
      </c>
      <c r="C14" s="3" t="s">
        <v>31</v>
      </c>
      <c r="E14" s="6" t="n">
        <v>0.3</v>
      </c>
      <c r="G14" s="7" t="s">
        <v>32</v>
      </c>
      <c r="H14" s="7" t="s">
        <v>63</v>
      </c>
      <c r="I14" s="3" t="s">
        <v>34</v>
      </c>
    </row>
    <row r="15" customFormat="false" ht="17.15" hidden="false" customHeight="false" outlineLevel="0" collapsed="false">
      <c r="A15" s="0" t="s">
        <v>64</v>
      </c>
      <c r="B15" s="0" t="s">
        <v>65</v>
      </c>
      <c r="C15" s="3" t="s">
        <v>31</v>
      </c>
      <c r="E15" s="6" t="n">
        <v>2</v>
      </c>
      <c r="G15" s="7" t="s">
        <v>32</v>
      </c>
      <c r="H15" s="7" t="s">
        <v>66</v>
      </c>
      <c r="I15" s="3" t="s">
        <v>34</v>
      </c>
    </row>
    <row r="16" customFormat="false" ht="17.15" hidden="false" customHeight="false" outlineLevel="0" collapsed="false">
      <c r="A16" s="0" t="s">
        <v>67</v>
      </c>
      <c r="B16" s="0" t="s">
        <v>68</v>
      </c>
      <c r="C16" s="0" t="s">
        <v>43</v>
      </c>
      <c r="E16" s="6" t="n">
        <v>0.15</v>
      </c>
      <c r="G16" s="7" t="s">
        <v>32</v>
      </c>
      <c r="H16" s="7" t="s">
        <v>69</v>
      </c>
      <c r="I16" s="3" t="s">
        <v>45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3" t="s">
        <v>31</v>
      </c>
      <c r="E17" s="6" t="n">
        <v>0.5</v>
      </c>
      <c r="G17" s="7" t="s">
        <v>32</v>
      </c>
      <c r="H17" s="7" t="s">
        <v>72</v>
      </c>
      <c r="I17" s="3" t="s">
        <v>34</v>
      </c>
    </row>
    <row r="18" customFormat="false" ht="17.15" hidden="false" customHeight="false" outlineLevel="0" collapsed="false">
      <c r="A18" s="0" t="s">
        <v>73</v>
      </c>
      <c r="B18" s="0" t="s">
        <v>74</v>
      </c>
      <c r="C18" s="3" t="s">
        <v>31</v>
      </c>
      <c r="E18" s="6" t="n">
        <v>0</v>
      </c>
      <c r="G18" s="7" t="s">
        <v>32</v>
      </c>
      <c r="H18" s="7" t="s">
        <v>75</v>
      </c>
      <c r="I18" s="3" t="s">
        <v>34</v>
      </c>
    </row>
    <row r="19" customFormat="false" ht="17.15" hidden="false" customHeight="false" outlineLevel="0" collapsed="false">
      <c r="A19" s="0" t="s">
        <v>76</v>
      </c>
      <c r="B19" s="0" t="s">
        <v>77</v>
      </c>
      <c r="C19" s="3" t="s">
        <v>31</v>
      </c>
      <c r="E19" s="6" t="n">
        <v>0</v>
      </c>
      <c r="G19" s="7" t="s">
        <v>32</v>
      </c>
      <c r="H19" s="7" t="s">
        <v>78</v>
      </c>
      <c r="I19" s="3" t="s">
        <v>34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43</v>
      </c>
      <c r="E20" s="6" t="n">
        <v>0</v>
      </c>
      <c r="G20" s="7" t="s">
        <v>32</v>
      </c>
      <c r="H20" s="7" t="s">
        <v>81</v>
      </c>
      <c r="I20" s="3" t="s">
        <v>45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3" t="s">
        <v>31</v>
      </c>
      <c r="E21" s="6" t="n">
        <v>0.75</v>
      </c>
      <c r="G21" s="7" t="s">
        <v>32</v>
      </c>
      <c r="H21" s="7" t="s">
        <v>84</v>
      </c>
      <c r="I21" s="3" t="s">
        <v>34</v>
      </c>
    </row>
    <row r="22" customFormat="false" ht="17.15" hidden="false" customHeight="false" outlineLevel="0" collapsed="false">
      <c r="A22" s="0" t="s">
        <v>85</v>
      </c>
      <c r="B22" s="0" t="s">
        <v>86</v>
      </c>
      <c r="C22" s="3" t="s">
        <v>31</v>
      </c>
      <c r="E22" s="6" t="n">
        <v>1.5</v>
      </c>
      <c r="G22" s="7" t="s">
        <v>32</v>
      </c>
      <c r="H22" s="7" t="s">
        <v>87</v>
      </c>
      <c r="I22" s="3" t="s">
        <v>34</v>
      </c>
    </row>
    <row r="23" customFormat="false" ht="17.15" hidden="false" customHeight="false" outlineLevel="0" collapsed="false">
      <c r="A23" s="0" t="s">
        <v>88</v>
      </c>
      <c r="B23" s="0" t="s">
        <v>89</v>
      </c>
      <c r="C23" s="3" t="s">
        <v>31</v>
      </c>
      <c r="E23" s="6" t="n">
        <v>2</v>
      </c>
      <c r="G23" s="7" t="s">
        <v>32</v>
      </c>
      <c r="H23" s="7" t="s">
        <v>90</v>
      </c>
      <c r="I23" s="3" t="s">
        <v>34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43</v>
      </c>
      <c r="E24" s="6" t="n">
        <v>0.15</v>
      </c>
      <c r="G24" s="7" t="s">
        <v>32</v>
      </c>
      <c r="H24" s="7" t="s">
        <v>93</v>
      </c>
      <c r="I24" s="3" t="s">
        <v>45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3" t="s">
        <v>31</v>
      </c>
      <c r="E25" s="6" t="n">
        <v>3.85</v>
      </c>
      <c r="G25" s="7" t="s">
        <v>32</v>
      </c>
      <c r="H25" s="7" t="s">
        <v>96</v>
      </c>
      <c r="I25" s="3" t="s">
        <v>34</v>
      </c>
    </row>
    <row r="26" customFormat="false" ht="17.15" hidden="false" customHeight="false" outlineLevel="0" collapsed="false">
      <c r="A26" s="0" t="s">
        <v>97</v>
      </c>
      <c r="B26" s="0" t="s">
        <v>98</v>
      </c>
      <c r="C26" s="3" t="s">
        <v>31</v>
      </c>
      <c r="E26" s="6" t="n">
        <v>5.5</v>
      </c>
      <c r="G26" s="7" t="s">
        <v>32</v>
      </c>
      <c r="H26" s="7" t="s">
        <v>99</v>
      </c>
      <c r="I26" s="3" t="s">
        <v>34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3" t="s">
        <v>31</v>
      </c>
      <c r="E27" s="6" t="n">
        <v>7</v>
      </c>
      <c r="G27" s="7" t="s">
        <v>32</v>
      </c>
      <c r="H27" s="7" t="s">
        <v>102</v>
      </c>
      <c r="I27" s="3" t="s">
        <v>34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43</v>
      </c>
      <c r="E28" s="6" t="n">
        <v>0.15</v>
      </c>
      <c r="G28" s="7" t="s">
        <v>32</v>
      </c>
      <c r="H28" s="7" t="s">
        <v>105</v>
      </c>
      <c r="I28" s="3" t="s">
        <v>45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3" t="s">
        <v>31</v>
      </c>
      <c r="E29" s="6" t="n">
        <v>2</v>
      </c>
      <c r="G29" s="7" t="s">
        <v>32</v>
      </c>
      <c r="H29" s="7" t="s">
        <v>108</v>
      </c>
      <c r="I29" s="3" t="s">
        <v>34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3" t="s">
        <v>31</v>
      </c>
      <c r="E30" s="6" t="n">
        <v>2.5</v>
      </c>
      <c r="G30" s="7" t="s">
        <v>32</v>
      </c>
      <c r="H30" s="7" t="s">
        <v>111</v>
      </c>
      <c r="I30" s="3" t="s">
        <v>34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3" t="s">
        <v>31</v>
      </c>
      <c r="E31" s="6" t="n">
        <v>3</v>
      </c>
      <c r="G31" s="7" t="s">
        <v>32</v>
      </c>
      <c r="H31" s="7" t="s">
        <v>114</v>
      </c>
      <c r="I31" s="3" t="s">
        <v>34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43</v>
      </c>
      <c r="E32" s="6" t="n">
        <v>0.15</v>
      </c>
      <c r="G32" s="7" t="s">
        <v>32</v>
      </c>
      <c r="H32" s="7" t="s">
        <v>117</v>
      </c>
      <c r="I32" s="3" t="s">
        <v>45</v>
      </c>
    </row>
    <row r="33" customFormat="false" ht="17.15" hidden="false" customHeight="false" outlineLevel="0" collapsed="false">
      <c r="A33" s="0" t="s">
        <v>118</v>
      </c>
      <c r="B33" s="3" t="s">
        <v>119</v>
      </c>
      <c r="C33" s="3" t="s">
        <v>31</v>
      </c>
      <c r="E33" s="6" t="n">
        <v>1</v>
      </c>
      <c r="G33" s="7" t="s">
        <v>32</v>
      </c>
      <c r="H33" s="7" t="s">
        <v>120</v>
      </c>
      <c r="I33" s="3" t="s">
        <v>34</v>
      </c>
    </row>
    <row r="34" customFormat="false" ht="17.15" hidden="false" customHeight="false" outlineLevel="0" collapsed="false">
      <c r="A34" s="0" t="s">
        <v>121</v>
      </c>
      <c r="B34" s="3" t="s">
        <v>122</v>
      </c>
      <c r="C34" s="3" t="s">
        <v>31</v>
      </c>
      <c r="E34" s="6" t="n">
        <v>4.5</v>
      </c>
      <c r="G34" s="7" t="s">
        <v>32</v>
      </c>
      <c r="H34" s="7" t="s">
        <v>123</v>
      </c>
      <c r="I34" s="3" t="s">
        <v>34</v>
      </c>
    </row>
    <row r="35" customFormat="false" ht="17.15" hidden="false" customHeight="false" outlineLevel="0" collapsed="false">
      <c r="A35" s="0" t="s">
        <v>124</v>
      </c>
      <c r="B35" s="3" t="s">
        <v>125</v>
      </c>
      <c r="C35" s="3" t="s">
        <v>31</v>
      </c>
      <c r="E35" s="6" t="n">
        <v>5</v>
      </c>
      <c r="G35" s="7" t="s">
        <v>32</v>
      </c>
      <c r="H35" s="7" t="s">
        <v>126</v>
      </c>
      <c r="I35" s="3" t="s">
        <v>34</v>
      </c>
    </row>
    <row r="36" customFormat="false" ht="17.15" hidden="false" customHeight="false" outlineLevel="0" collapsed="false">
      <c r="A36" s="0" t="s">
        <v>127</v>
      </c>
      <c r="B36" s="3" t="s">
        <v>128</v>
      </c>
      <c r="C36" s="0" t="s">
        <v>43</v>
      </c>
      <c r="E36" s="6" t="n">
        <v>0.15</v>
      </c>
      <c r="G36" s="7" t="s">
        <v>32</v>
      </c>
      <c r="H36" s="7" t="s">
        <v>129</v>
      </c>
      <c r="I36" s="3" t="s">
        <v>45</v>
      </c>
    </row>
    <row r="37" customFormat="false" ht="17.15" hidden="false" customHeight="false" outlineLevel="0" collapsed="false">
      <c r="A37" s="0" t="s">
        <v>130</v>
      </c>
      <c r="B37" s="0" t="s">
        <v>131</v>
      </c>
      <c r="C37" s="0" t="s">
        <v>132</v>
      </c>
      <c r="E37" s="6" t="n">
        <v>781.872916666666</v>
      </c>
      <c r="G37" s="7" t="s">
        <v>32</v>
      </c>
      <c r="H37" s="7" t="s">
        <v>133</v>
      </c>
      <c r="I37" s="7" t="s">
        <v>134</v>
      </c>
    </row>
    <row r="38" customFormat="false" ht="17.15" hidden="false" customHeight="false" outlineLevel="0" collapsed="false">
      <c r="A38" s="0" t="s">
        <v>135</v>
      </c>
      <c r="B38" s="0" t="s">
        <v>136</v>
      </c>
      <c r="C38" s="0" t="s">
        <v>132</v>
      </c>
      <c r="E38" s="6" t="n">
        <v>1565.35</v>
      </c>
      <c r="G38" s="7" t="s">
        <v>32</v>
      </c>
      <c r="H38" s="7" t="s">
        <v>133</v>
      </c>
      <c r="I38" s="3" t="s">
        <v>45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132</v>
      </c>
      <c r="E39" s="6" t="n">
        <v>1984.26388888889</v>
      </c>
      <c r="G39" s="7" t="s">
        <v>32</v>
      </c>
      <c r="H39" s="7" t="s">
        <v>133</v>
      </c>
      <c r="I39" s="3" t="s">
        <v>45</v>
      </c>
    </row>
    <row r="40" customFormat="false" ht="17.15" hidden="false" customHeight="false" outlineLevel="0" collapsed="false">
      <c r="A40" s="0" t="s">
        <v>139</v>
      </c>
      <c r="B40" s="0" t="s">
        <v>140</v>
      </c>
      <c r="C40" s="0" t="s">
        <v>132</v>
      </c>
      <c r="E40" s="6" t="n">
        <v>2260.39027777778</v>
      </c>
      <c r="G40" s="7" t="s">
        <v>32</v>
      </c>
      <c r="H40" s="7" t="s">
        <v>133</v>
      </c>
      <c r="I40" s="3" t="s">
        <v>45</v>
      </c>
    </row>
    <row r="41" customFormat="false" ht="17.15" hidden="false" customHeight="false" outlineLevel="0" collapsed="false">
      <c r="A41" s="0" t="s">
        <v>141</v>
      </c>
      <c r="B41" s="3" t="s">
        <v>142</v>
      </c>
      <c r="C41" s="0" t="s">
        <v>132</v>
      </c>
      <c r="E41" s="6" t="n">
        <v>50.348</v>
      </c>
      <c r="G41" s="7" t="s">
        <v>32</v>
      </c>
      <c r="H41" s="7" t="s">
        <v>143</v>
      </c>
      <c r="I41" s="3" t="s">
        <v>144</v>
      </c>
    </row>
    <row r="42" customFormat="false" ht="17.15" hidden="false" customHeight="false" outlineLevel="0" collapsed="false">
      <c r="A42" s="0" t="s">
        <v>145</v>
      </c>
      <c r="B42" s="3" t="s">
        <v>146</v>
      </c>
      <c r="C42" s="0" t="s">
        <v>132</v>
      </c>
      <c r="E42" s="6" t="n">
        <v>98.5007</v>
      </c>
      <c r="G42" s="7" t="s">
        <v>32</v>
      </c>
      <c r="H42" s="7" t="s">
        <v>143</v>
      </c>
      <c r="I42" s="3" t="s">
        <v>45</v>
      </c>
    </row>
    <row r="43" customFormat="false" ht="17.15" hidden="false" customHeight="false" outlineLevel="0" collapsed="false">
      <c r="A43" s="0" t="s">
        <v>147</v>
      </c>
      <c r="B43" s="3" t="s">
        <v>148</v>
      </c>
      <c r="C43" s="0" t="s">
        <v>132</v>
      </c>
      <c r="E43" s="6" t="n">
        <v>113.9885</v>
      </c>
      <c r="G43" s="7" t="s">
        <v>32</v>
      </c>
      <c r="H43" s="7" t="s">
        <v>143</v>
      </c>
      <c r="I43" s="3" t="s">
        <v>45</v>
      </c>
    </row>
    <row r="44" customFormat="false" ht="17.15" hidden="false" customHeight="false" outlineLevel="0" collapsed="false">
      <c r="A44" s="0" t="s">
        <v>149</v>
      </c>
      <c r="B44" s="3" t="s">
        <v>150</v>
      </c>
      <c r="C44" s="0" t="s">
        <v>132</v>
      </c>
      <c r="E44" s="6" t="n">
        <v>129.72795</v>
      </c>
      <c r="G44" s="7" t="s">
        <v>32</v>
      </c>
      <c r="H44" s="7" t="s">
        <v>143</v>
      </c>
      <c r="I44" s="3" t="s">
        <v>45</v>
      </c>
    </row>
    <row r="45" customFormat="false" ht="17.15" hidden="false" customHeight="false" outlineLevel="0" collapsed="false">
      <c r="A45" s="0" t="s">
        <v>151</v>
      </c>
      <c r="B45" s="3" t="s">
        <v>152</v>
      </c>
      <c r="C45" s="0" t="s">
        <v>153</v>
      </c>
      <c r="E45" s="6" t="n">
        <v>1</v>
      </c>
      <c r="G45" s="7" t="s">
        <v>154</v>
      </c>
      <c r="H45" s="7" t="s">
        <v>155</v>
      </c>
      <c r="I45" s="7" t="s">
        <v>156</v>
      </c>
    </row>
    <row r="46" customFormat="false" ht="17.15" hidden="false" customHeight="false" outlineLevel="0" collapsed="false">
      <c r="A46" s="0" t="s">
        <v>157</v>
      </c>
      <c r="B46" s="3" t="s">
        <v>158</v>
      </c>
      <c r="C46" s="0" t="s">
        <v>153</v>
      </c>
      <c r="E46" s="6" t="n">
        <v>1</v>
      </c>
      <c r="G46" s="7" t="s">
        <v>154</v>
      </c>
      <c r="H46" s="7" t="s">
        <v>159</v>
      </c>
      <c r="I46" s="3" t="s">
        <v>45</v>
      </c>
    </row>
    <row r="47" customFormat="false" ht="17.15" hidden="false" customHeight="false" outlineLevel="0" collapsed="false">
      <c r="A47" s="0" t="s">
        <v>160</v>
      </c>
      <c r="B47" s="3" t="s">
        <v>161</v>
      </c>
      <c r="C47" s="0" t="s">
        <v>153</v>
      </c>
      <c r="E47" s="6" t="n">
        <v>0.8</v>
      </c>
      <c r="G47" s="7" t="s">
        <v>154</v>
      </c>
      <c r="H47" s="7" t="s">
        <v>162</v>
      </c>
      <c r="I47" s="3" t="s">
        <v>45</v>
      </c>
    </row>
    <row r="48" customFormat="false" ht="17.15" hidden="false" customHeight="false" outlineLevel="0" collapsed="false">
      <c r="A48" s="0" t="s">
        <v>163</v>
      </c>
      <c r="B48" s="3" t="s">
        <v>164</v>
      </c>
      <c r="C48" s="0" t="s">
        <v>153</v>
      </c>
      <c r="E48" s="6" t="n">
        <v>0.85</v>
      </c>
      <c r="G48" s="7" t="s">
        <v>154</v>
      </c>
      <c r="H48" s="7" t="s">
        <v>165</v>
      </c>
      <c r="I48" s="3" t="s">
        <v>45</v>
      </c>
    </row>
    <row r="49" customFormat="false" ht="17.15" hidden="false" customHeight="false" outlineLevel="0" collapsed="false">
      <c r="A49" s="0" t="s">
        <v>166</v>
      </c>
      <c r="B49" s="3" t="s">
        <v>167</v>
      </c>
      <c r="C49" s="0" t="s">
        <v>153</v>
      </c>
      <c r="E49" s="6" t="n">
        <v>0.6</v>
      </c>
      <c r="G49" s="7" t="s">
        <v>154</v>
      </c>
      <c r="H49" s="7" t="s">
        <v>168</v>
      </c>
      <c r="I49" s="3" t="s">
        <v>45</v>
      </c>
    </row>
    <row r="50" customFormat="false" ht="17.15" hidden="false" customHeight="false" outlineLevel="0" collapsed="false">
      <c r="A50" s="0" t="s">
        <v>169</v>
      </c>
      <c r="B50" s="3" t="s">
        <v>170</v>
      </c>
      <c r="C50" s="0" t="s">
        <v>153</v>
      </c>
      <c r="E50" s="6" t="n">
        <v>0.6</v>
      </c>
      <c r="G50" s="7" t="s">
        <v>154</v>
      </c>
      <c r="H50" s="7" t="s">
        <v>171</v>
      </c>
      <c r="I50" s="3" t="s">
        <v>45</v>
      </c>
    </row>
    <row r="51" customFormat="false" ht="17.15" hidden="false" customHeight="false" outlineLevel="0" collapsed="false">
      <c r="A51" s="5" t="s">
        <v>172</v>
      </c>
    </row>
    <row r="52" customFormat="false" ht="17.15" hidden="false" customHeight="false" outlineLevel="0" collapsed="false">
      <c r="A52" s="0" t="s">
        <v>173</v>
      </c>
      <c r="B52" s="0" t="s">
        <v>174</v>
      </c>
      <c r="C52" s="0" t="s">
        <v>175</v>
      </c>
      <c r="E52" s="6" t="n">
        <v>215.308596</v>
      </c>
      <c r="G52" s="7" t="s">
        <v>32</v>
      </c>
      <c r="H52" s="7" t="s">
        <v>176</v>
      </c>
      <c r="I52" s="7" t="s">
        <v>177</v>
      </c>
    </row>
    <row r="53" customFormat="false" ht="17.15" hidden="false" customHeight="false" outlineLevel="0" collapsed="false">
      <c r="A53" s="0" t="s">
        <v>178</v>
      </c>
      <c r="B53" s="3" t="s">
        <v>179</v>
      </c>
      <c r="C53" s="0" t="s">
        <v>43</v>
      </c>
      <c r="D53" s="6" t="n">
        <v>0.1</v>
      </c>
      <c r="E53" s="6" t="n">
        <v>0.18</v>
      </c>
      <c r="F53" s="6" t="n">
        <v>0.22</v>
      </c>
      <c r="G53" s="7" t="s">
        <v>180</v>
      </c>
      <c r="H53" s="7" t="s">
        <v>181</v>
      </c>
      <c r="I53" s="7" t="s">
        <v>182</v>
      </c>
    </row>
    <row r="54" customFormat="false" ht="17.15" hidden="false" customHeight="false" outlineLevel="0" collapsed="false">
      <c r="A54" s="0" t="s">
        <v>183</v>
      </c>
      <c r="B54" s="0" t="s">
        <v>184</v>
      </c>
      <c r="C54" s="0" t="s">
        <v>153</v>
      </c>
      <c r="D54" s="6" t="n">
        <v>0.95</v>
      </c>
      <c r="E54" s="6" t="n">
        <v>1</v>
      </c>
      <c r="F54" s="6" t="n">
        <v>1.05</v>
      </c>
      <c r="G54" s="7" t="s">
        <v>154</v>
      </c>
      <c r="H54" s="7" t="s">
        <v>185</v>
      </c>
      <c r="I54" s="3" t="s">
        <v>186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0" t="s">
        <v>153</v>
      </c>
      <c r="E55" s="6" t="n">
        <v>0.95</v>
      </c>
      <c r="G55" s="7" t="s">
        <v>154</v>
      </c>
      <c r="H55" s="7" t="s">
        <v>189</v>
      </c>
      <c r="I55" s="7" t="s">
        <v>190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153</v>
      </c>
      <c r="D56" s="6" t="n">
        <v>0.85</v>
      </c>
      <c r="E56" s="6" t="n">
        <v>0.95</v>
      </c>
      <c r="F56" s="6" t="n">
        <v>1.05</v>
      </c>
      <c r="G56" s="7" t="s">
        <v>154</v>
      </c>
      <c r="H56" s="7" t="s">
        <v>193</v>
      </c>
      <c r="I56" s="3" t="s">
        <v>45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153</v>
      </c>
      <c r="E57" s="6" t="n">
        <v>0.88</v>
      </c>
      <c r="G57" s="7" t="s">
        <v>154</v>
      </c>
      <c r="H57" s="7" t="s">
        <v>196</v>
      </c>
      <c r="I57" s="7" t="s">
        <v>190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153</v>
      </c>
      <c r="D58" s="6" t="n">
        <v>0.75</v>
      </c>
      <c r="E58" s="6" t="n">
        <v>0.9</v>
      </c>
      <c r="F58" s="6" t="n">
        <v>1</v>
      </c>
      <c r="G58" s="7" t="s">
        <v>154</v>
      </c>
      <c r="H58" s="7" t="s">
        <v>199</v>
      </c>
      <c r="I58" s="3" t="s">
        <v>45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153</v>
      </c>
      <c r="E59" s="6" t="n">
        <v>0.85</v>
      </c>
      <c r="G59" s="7" t="s">
        <v>154</v>
      </c>
      <c r="H59" s="7" t="s">
        <v>202</v>
      </c>
      <c r="I59" s="7" t="s">
        <v>190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43</v>
      </c>
      <c r="D60" s="6" t="n">
        <v>0.7</v>
      </c>
      <c r="E60" s="6" t="n">
        <v>0.7</v>
      </c>
      <c r="F60" s="6" t="n">
        <v>0.8</v>
      </c>
      <c r="G60" s="7" t="s">
        <v>205</v>
      </c>
      <c r="H60" s="7" t="s">
        <v>206</v>
      </c>
      <c r="I60" s="7" t="s">
        <v>207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153</v>
      </c>
      <c r="D61" s="6" t="n">
        <v>0.2</v>
      </c>
      <c r="E61" s="6" t="n">
        <v>0.4</v>
      </c>
      <c r="F61" s="6" t="n">
        <v>0.6</v>
      </c>
      <c r="G61" s="7" t="s">
        <v>154</v>
      </c>
      <c r="H61" s="7" t="s">
        <v>210</v>
      </c>
      <c r="I61" s="7" t="s">
        <v>211</v>
      </c>
    </row>
    <row r="62" customFormat="false" ht="17.15" hidden="false" customHeight="false" outlineLevel="0" collapsed="false">
      <c r="A62" s="0" t="s">
        <v>212</v>
      </c>
      <c r="B62" s="3" t="s">
        <v>213</v>
      </c>
      <c r="C62" s="0" t="s">
        <v>153</v>
      </c>
      <c r="D62" s="6" t="n">
        <v>0.6</v>
      </c>
      <c r="E62" s="6" t="n">
        <v>0.8</v>
      </c>
      <c r="F62" s="6" t="n">
        <v>1</v>
      </c>
      <c r="G62" s="7" t="s">
        <v>154</v>
      </c>
      <c r="H62" s="7" t="s">
        <v>214</v>
      </c>
      <c r="I62" s="3" t="s">
        <v>215</v>
      </c>
    </row>
    <row r="63" customFormat="false" ht="17.15" hidden="false" customHeight="false" outlineLevel="0" collapsed="false">
      <c r="A63" s="0" t="s">
        <v>216</v>
      </c>
      <c r="B63" s="3" t="s">
        <v>217</v>
      </c>
      <c r="C63" s="0" t="s">
        <v>43</v>
      </c>
      <c r="E63" s="6" t="n">
        <v>0.25</v>
      </c>
      <c r="G63" s="7" t="s">
        <v>154</v>
      </c>
      <c r="H63" s="7" t="s">
        <v>218</v>
      </c>
      <c r="I63" s="7" t="s">
        <v>190</v>
      </c>
    </row>
    <row r="64" customFormat="false" ht="17.15" hidden="false" customHeight="false" outlineLevel="0" collapsed="false">
      <c r="A64" s="0" t="s">
        <v>219</v>
      </c>
      <c r="B64" s="3" t="s">
        <v>220</v>
      </c>
      <c r="C64" s="0" t="s">
        <v>43</v>
      </c>
      <c r="E64" s="6" t="n">
        <v>0.3</v>
      </c>
      <c r="G64" s="7" t="s">
        <v>154</v>
      </c>
      <c r="H64" s="7" t="s">
        <v>221</v>
      </c>
      <c r="I64" s="3" t="s">
        <v>45</v>
      </c>
    </row>
    <row r="65" customFormat="false" ht="17.15" hidden="false" customHeight="false" outlineLevel="0" collapsed="false">
      <c r="A65" s="0" t="s">
        <v>222</v>
      </c>
      <c r="B65" s="3" t="s">
        <v>223</v>
      </c>
      <c r="C65" s="0" t="s">
        <v>43</v>
      </c>
      <c r="E65" s="6" t="n">
        <v>0.02</v>
      </c>
      <c r="G65" s="7" t="s">
        <v>154</v>
      </c>
      <c r="H65" s="7" t="s">
        <v>224</v>
      </c>
      <c r="I65" s="3" t="s">
        <v>45</v>
      </c>
    </row>
    <row r="66" customFormat="false" ht="17.15" hidden="false" customHeight="false" outlineLevel="0" collapsed="false">
      <c r="A66" s="0" t="s">
        <v>225</v>
      </c>
      <c r="B66" s="3" t="s">
        <v>226</v>
      </c>
      <c r="C66" s="0" t="s">
        <v>43</v>
      </c>
      <c r="E66" s="6" t="n">
        <v>0.05</v>
      </c>
      <c r="G66" s="7" t="s">
        <v>154</v>
      </c>
      <c r="H66" s="7" t="s">
        <v>227</v>
      </c>
      <c r="I66" s="3" t="s">
        <v>45</v>
      </c>
    </row>
    <row r="67" customFormat="false" ht="17.15" hidden="false" customHeight="false" outlineLevel="0" collapsed="false">
      <c r="A67" s="0" t="s">
        <v>228</v>
      </c>
      <c r="B67" s="3" t="s">
        <v>229</v>
      </c>
      <c r="C67" s="0" t="s">
        <v>43</v>
      </c>
      <c r="E67" s="6" t="n">
        <v>0.27</v>
      </c>
      <c r="G67" s="7" t="s">
        <v>154</v>
      </c>
      <c r="H67" s="7" t="s">
        <v>230</v>
      </c>
      <c r="I67" s="7" t="s">
        <v>190</v>
      </c>
    </row>
    <row r="68" customFormat="false" ht="17.15" hidden="false" customHeight="false" outlineLevel="0" collapsed="false">
      <c r="A68" s="0" t="s">
        <v>231</v>
      </c>
      <c r="B68" s="3" t="s">
        <v>232</v>
      </c>
      <c r="C68" s="0" t="s">
        <v>43</v>
      </c>
      <c r="E68" s="6" t="n">
        <v>0.31</v>
      </c>
      <c r="G68" s="7" t="s">
        <v>154</v>
      </c>
      <c r="H68" s="7" t="s">
        <v>233</v>
      </c>
      <c r="I68" s="3" t="s">
        <v>45</v>
      </c>
    </row>
    <row r="69" customFormat="false" ht="17.15" hidden="false" customHeight="false" outlineLevel="0" collapsed="false">
      <c r="A69" s="0" t="s">
        <v>234</v>
      </c>
      <c r="B69" s="3" t="s">
        <v>235</v>
      </c>
      <c r="C69" s="0" t="s">
        <v>43</v>
      </c>
      <c r="E69" s="6" t="n">
        <v>0.03</v>
      </c>
      <c r="G69" s="7" t="s">
        <v>154</v>
      </c>
      <c r="H69" s="7" t="s">
        <v>236</v>
      </c>
      <c r="I69" s="3" t="s">
        <v>45</v>
      </c>
    </row>
    <row r="70" customFormat="false" ht="17.15" hidden="false" customHeight="false" outlineLevel="0" collapsed="false">
      <c r="A70" s="0" t="s">
        <v>237</v>
      </c>
      <c r="B70" s="3" t="s">
        <v>238</v>
      </c>
      <c r="C70" s="0" t="s">
        <v>43</v>
      </c>
      <c r="E70" s="6" t="n">
        <v>0.06</v>
      </c>
      <c r="G70" s="7" t="s">
        <v>154</v>
      </c>
      <c r="H70" s="7" t="s">
        <v>239</v>
      </c>
      <c r="I70" s="3" t="s">
        <v>45</v>
      </c>
    </row>
    <row r="71" customFormat="false" ht="17.15" hidden="false" customHeight="false" outlineLevel="0" collapsed="false">
      <c r="A71" s="0" t="s">
        <v>240</v>
      </c>
      <c r="B71" s="3" t="s">
        <v>241</v>
      </c>
      <c r="C71" s="0" t="s">
        <v>43</v>
      </c>
      <c r="E71" s="6" t="n">
        <v>0.29</v>
      </c>
      <c r="G71" s="7" t="s">
        <v>154</v>
      </c>
      <c r="H71" s="7" t="s">
        <v>242</v>
      </c>
      <c r="I71" s="7" t="s">
        <v>190</v>
      </c>
    </row>
    <row r="72" customFormat="false" ht="17.15" hidden="false" customHeight="false" outlineLevel="0" collapsed="false">
      <c r="A72" s="0" t="s">
        <v>243</v>
      </c>
      <c r="B72" s="3" t="s">
        <v>244</v>
      </c>
      <c r="C72" s="0" t="s">
        <v>43</v>
      </c>
      <c r="E72" s="6" t="n">
        <v>0.32</v>
      </c>
      <c r="G72" s="7" t="s">
        <v>154</v>
      </c>
      <c r="H72" s="7" t="s">
        <v>245</v>
      </c>
      <c r="I72" s="3" t="s">
        <v>45</v>
      </c>
    </row>
    <row r="73" customFormat="false" ht="17.15" hidden="false" customHeight="false" outlineLevel="0" collapsed="false">
      <c r="A73" s="0" t="s">
        <v>246</v>
      </c>
      <c r="B73" s="3" t="s">
        <v>247</v>
      </c>
      <c r="C73" s="0" t="s">
        <v>43</v>
      </c>
      <c r="E73" s="6" t="n">
        <v>0.04</v>
      </c>
      <c r="G73" s="7" t="s">
        <v>154</v>
      </c>
      <c r="H73" s="7" t="s">
        <v>248</v>
      </c>
      <c r="I73" s="3" t="s">
        <v>45</v>
      </c>
    </row>
    <row r="74" customFormat="false" ht="17.15" hidden="false" customHeight="false" outlineLevel="0" collapsed="false">
      <c r="A74" s="0" t="s">
        <v>249</v>
      </c>
      <c r="B74" s="3" t="s">
        <v>250</v>
      </c>
      <c r="C74" s="0" t="s">
        <v>43</v>
      </c>
      <c r="E74" s="6" t="n">
        <v>0.07</v>
      </c>
      <c r="G74" s="7" t="s">
        <v>154</v>
      </c>
      <c r="H74" s="7" t="s">
        <v>251</v>
      </c>
      <c r="I74" s="3" t="s">
        <v>45</v>
      </c>
    </row>
    <row r="75" customFormat="false" ht="17.15" hidden="false" customHeight="false" outlineLevel="0" collapsed="false">
      <c r="A75" s="0" t="s">
        <v>252</v>
      </c>
      <c r="B75" s="3" t="s">
        <v>253</v>
      </c>
      <c r="C75" s="0" t="s">
        <v>43</v>
      </c>
      <c r="E75" s="6" t="n">
        <v>0.3</v>
      </c>
      <c r="G75" s="7" t="s">
        <v>154</v>
      </c>
      <c r="H75" s="7" t="s">
        <v>254</v>
      </c>
      <c r="I75" s="7" t="s">
        <v>190</v>
      </c>
    </row>
    <row r="76" customFormat="false" ht="17.15" hidden="false" customHeight="false" outlineLevel="0" collapsed="false">
      <c r="A76" s="0" t="s">
        <v>255</v>
      </c>
      <c r="B76" s="3" t="s">
        <v>256</v>
      </c>
      <c r="C76" s="0" t="s">
        <v>43</v>
      </c>
      <c r="E76" s="6" t="n">
        <v>0.33</v>
      </c>
      <c r="G76" s="7" t="s">
        <v>154</v>
      </c>
      <c r="H76" s="7" t="s">
        <v>257</v>
      </c>
      <c r="I76" s="3" t="s">
        <v>45</v>
      </c>
    </row>
    <row r="77" customFormat="false" ht="17.15" hidden="false" customHeight="false" outlineLevel="0" collapsed="false">
      <c r="A77" s="0" t="s">
        <v>258</v>
      </c>
      <c r="B77" s="3" t="s">
        <v>259</v>
      </c>
      <c r="C77" s="0" t="s">
        <v>43</v>
      </c>
      <c r="E77" s="6" t="n">
        <v>0.04</v>
      </c>
      <c r="G77" s="7" t="s">
        <v>154</v>
      </c>
      <c r="H77" s="7" t="s">
        <v>260</v>
      </c>
      <c r="I77" s="3" t="s">
        <v>45</v>
      </c>
    </row>
    <row r="78" customFormat="false" ht="17.15" hidden="false" customHeight="false" outlineLevel="0" collapsed="false">
      <c r="A78" s="0" t="s">
        <v>261</v>
      </c>
      <c r="B78" s="3" t="s">
        <v>262</v>
      </c>
      <c r="C78" s="0" t="s">
        <v>43</v>
      </c>
      <c r="E78" s="6" t="n">
        <v>0.07</v>
      </c>
      <c r="G78" s="7" t="s">
        <v>154</v>
      </c>
      <c r="H78" s="7" t="s">
        <v>263</v>
      </c>
      <c r="I78" s="3" t="s">
        <v>45</v>
      </c>
    </row>
    <row r="79" customFormat="false" ht="17.15" hidden="false" customHeight="false" outlineLevel="0" collapsed="false">
      <c r="A79" s="0" t="s">
        <v>264</v>
      </c>
      <c r="B79" s="3" t="s">
        <v>265</v>
      </c>
      <c r="C79" s="0" t="s">
        <v>43</v>
      </c>
      <c r="D79" s="6" t="n">
        <v>0.01</v>
      </c>
      <c r="E79" s="6" t="n">
        <v>0.02</v>
      </c>
      <c r="F79" s="6" t="n">
        <v>0.05</v>
      </c>
      <c r="G79" s="7" t="s">
        <v>154</v>
      </c>
      <c r="H79" s="7" t="s">
        <v>266</v>
      </c>
      <c r="I79" s="7" t="s">
        <v>267</v>
      </c>
    </row>
    <row r="80" customFormat="false" ht="17.15" hidden="false" customHeight="false" outlineLevel="0" collapsed="false">
      <c r="A80" s="0" t="s">
        <v>268</v>
      </c>
      <c r="B80" s="3" t="s">
        <v>269</v>
      </c>
      <c r="C80" s="0" t="s">
        <v>43</v>
      </c>
      <c r="D80" s="6" t="n">
        <v>0.01</v>
      </c>
      <c r="E80" s="6" t="n">
        <v>0.03</v>
      </c>
      <c r="F80" s="6" t="n">
        <v>0.1</v>
      </c>
      <c r="G80" s="7" t="s">
        <v>154</v>
      </c>
      <c r="H80" s="3" t="s">
        <v>270</v>
      </c>
      <c r="I80" s="7" t="s">
        <v>271</v>
      </c>
    </row>
    <row r="81" customFormat="false" ht="17.15" hidden="false" customHeight="false" outlineLevel="0" collapsed="false">
      <c r="A81" s="0" t="s">
        <v>272</v>
      </c>
      <c r="B81" s="3" t="s">
        <v>273</v>
      </c>
      <c r="C81" s="0" t="s">
        <v>43</v>
      </c>
      <c r="D81" s="6" t="n">
        <v>0.02</v>
      </c>
      <c r="E81" s="6" t="n">
        <v>0.05</v>
      </c>
      <c r="F81" s="6" t="n">
        <v>0.15</v>
      </c>
      <c r="G81" s="7" t="s">
        <v>154</v>
      </c>
      <c r="H81" s="3" t="s">
        <v>270</v>
      </c>
      <c r="I81" s="7" t="s">
        <v>271</v>
      </c>
    </row>
    <row r="82" customFormat="false" ht="17.15" hidden="false" customHeight="false" outlineLevel="0" collapsed="false">
      <c r="A82" s="0" t="s">
        <v>274</v>
      </c>
      <c r="B82" s="3" t="s">
        <v>275</v>
      </c>
      <c r="C82" s="0" t="s">
        <v>43</v>
      </c>
      <c r="D82" s="6" t="n">
        <v>0.02</v>
      </c>
      <c r="E82" s="6" t="n">
        <v>0.06</v>
      </c>
      <c r="F82" s="6" t="n">
        <v>0.15</v>
      </c>
      <c r="G82" s="7" t="s">
        <v>154</v>
      </c>
      <c r="H82" s="3" t="s">
        <v>270</v>
      </c>
      <c r="I82" s="7" t="s">
        <v>271</v>
      </c>
    </row>
    <row r="83" customFormat="false" ht="17.15" hidden="false" customHeight="false" outlineLevel="0" collapsed="false">
      <c r="A83" s="0" t="s">
        <v>276</v>
      </c>
      <c r="B83" s="3" t="s">
        <v>277</v>
      </c>
      <c r="C83" s="0" t="s">
        <v>43</v>
      </c>
      <c r="D83" s="6" t="n">
        <v>0.02</v>
      </c>
      <c r="E83" s="6" t="n">
        <v>0.03</v>
      </c>
      <c r="F83" s="6" t="n">
        <v>0.05</v>
      </c>
      <c r="G83" s="7" t="s">
        <v>154</v>
      </c>
      <c r="H83" s="7" t="s">
        <v>278</v>
      </c>
      <c r="I83" s="3" t="s">
        <v>279</v>
      </c>
    </row>
    <row r="84" customFormat="false" ht="17.15" hidden="false" customHeight="false" outlineLevel="0" collapsed="false">
      <c r="A84" s="0" t="s">
        <v>280</v>
      </c>
      <c r="B84" s="3" t="s">
        <v>281</v>
      </c>
      <c r="C84" s="0" t="s">
        <v>43</v>
      </c>
      <c r="D84" s="6" t="n">
        <v>0.02</v>
      </c>
      <c r="E84" s="6" t="n">
        <v>0.05</v>
      </c>
      <c r="F84" s="6" t="n">
        <v>0.08</v>
      </c>
      <c r="G84" s="7" t="s">
        <v>154</v>
      </c>
      <c r="H84" s="3" t="s">
        <v>45</v>
      </c>
      <c r="I84" s="7" t="s">
        <v>271</v>
      </c>
    </row>
    <row r="85" customFormat="false" ht="17.15" hidden="false" customHeight="false" outlineLevel="0" collapsed="false">
      <c r="A85" s="0" t="s">
        <v>282</v>
      </c>
      <c r="B85" s="3" t="s">
        <v>283</v>
      </c>
      <c r="C85" s="0" t="s">
        <v>43</v>
      </c>
      <c r="D85" s="6" t="n">
        <v>0.03</v>
      </c>
      <c r="E85" s="6" t="n">
        <v>0.06</v>
      </c>
      <c r="F85" s="6" t="n">
        <v>0.1</v>
      </c>
      <c r="G85" s="7" t="s">
        <v>154</v>
      </c>
      <c r="H85" s="3" t="s">
        <v>45</v>
      </c>
      <c r="I85" s="7" t="s">
        <v>271</v>
      </c>
    </row>
    <row r="86" customFormat="false" ht="17.15" hidden="false" customHeight="false" outlineLevel="0" collapsed="false">
      <c r="A86" s="0" t="s">
        <v>284</v>
      </c>
      <c r="B86" s="3" t="s">
        <v>285</v>
      </c>
      <c r="C86" s="0" t="s">
        <v>43</v>
      </c>
      <c r="D86" s="6" t="n">
        <v>0.03</v>
      </c>
      <c r="E86" s="6" t="n">
        <v>0.06</v>
      </c>
      <c r="F86" s="6" t="n">
        <v>0.1</v>
      </c>
      <c r="G86" s="7" t="s">
        <v>154</v>
      </c>
      <c r="H86" s="3" t="s">
        <v>45</v>
      </c>
      <c r="I86" s="7" t="s">
        <v>271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153</v>
      </c>
      <c r="D87" s="6" t="n">
        <v>0.3</v>
      </c>
      <c r="E87" s="6" t="n">
        <v>0.4</v>
      </c>
      <c r="F87" s="6" t="n">
        <v>0.5</v>
      </c>
      <c r="G87" s="7" t="s">
        <v>180</v>
      </c>
      <c r="H87" s="7" t="s">
        <v>288</v>
      </c>
      <c r="I87" s="7" t="s">
        <v>289</v>
      </c>
    </row>
    <row r="88" customFormat="false" ht="17.15" hidden="false" customHeight="false" outlineLevel="0" collapsed="false">
      <c r="A88" s="0" t="s">
        <v>290</v>
      </c>
      <c r="B88" s="3" t="s">
        <v>291</v>
      </c>
      <c r="C88" s="0" t="s">
        <v>153</v>
      </c>
      <c r="D88" s="6" t="n">
        <v>0.2</v>
      </c>
      <c r="E88" s="6" t="n">
        <v>0.3</v>
      </c>
      <c r="F88" s="6" t="n">
        <v>0.45</v>
      </c>
      <c r="G88" s="7" t="s">
        <v>154</v>
      </c>
      <c r="H88" s="7" t="s">
        <v>292</v>
      </c>
      <c r="I88" s="7" t="s">
        <v>271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43</v>
      </c>
      <c r="D89" s="6" t="n">
        <v>0.25</v>
      </c>
      <c r="E89" s="6" t="n">
        <v>0.35</v>
      </c>
      <c r="F89" s="6" t="n">
        <v>0.5</v>
      </c>
      <c r="G89" s="7" t="s">
        <v>205</v>
      </c>
      <c r="H89" s="3" t="s">
        <v>295</v>
      </c>
      <c r="I89" s="3" t="s">
        <v>296</v>
      </c>
    </row>
    <row r="90" customFormat="false" ht="17.15" hidden="false" customHeight="false" outlineLevel="0" collapsed="false">
      <c r="A90" s="0" t="s">
        <v>297</v>
      </c>
      <c r="B90" s="3" t="s">
        <v>298</v>
      </c>
      <c r="C90" s="0" t="s">
        <v>43</v>
      </c>
      <c r="D90" s="6" t="n">
        <v>0.5</v>
      </c>
      <c r="E90" s="6" t="n">
        <v>0.7</v>
      </c>
      <c r="F90" s="6" t="n">
        <v>0.9</v>
      </c>
      <c r="G90" s="7" t="s">
        <v>205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301</v>
      </c>
      <c r="B91" s="3" t="s">
        <v>302</v>
      </c>
      <c r="C91" s="0" t="s">
        <v>43</v>
      </c>
      <c r="D91" s="6" t="n">
        <v>0.5</v>
      </c>
      <c r="E91" s="6" t="n">
        <v>0.75</v>
      </c>
      <c r="F91" s="6" t="n">
        <v>1</v>
      </c>
      <c r="G91" s="7" t="s">
        <v>154</v>
      </c>
      <c r="H91" s="3" t="s">
        <v>303</v>
      </c>
      <c r="I91" s="7" t="s">
        <v>271</v>
      </c>
    </row>
    <row r="92" customFormat="false" ht="17.15" hidden="false" customHeight="false" outlineLevel="0" collapsed="false">
      <c r="A92" s="0" t="s">
        <v>304</v>
      </c>
      <c r="B92" s="3" t="s">
        <v>305</v>
      </c>
      <c r="C92" s="0" t="s">
        <v>43</v>
      </c>
      <c r="D92" s="6" t="n">
        <v>0.45</v>
      </c>
      <c r="E92" s="6" t="n">
        <v>0.7</v>
      </c>
      <c r="F92" s="6" t="n">
        <v>1</v>
      </c>
      <c r="G92" s="7" t="s">
        <v>154</v>
      </c>
      <c r="H92" s="3" t="s">
        <v>303</v>
      </c>
      <c r="I92" s="7" t="s">
        <v>271</v>
      </c>
    </row>
    <row r="93" customFormat="false" ht="17.15" hidden="false" customHeight="false" outlineLevel="0" collapsed="false">
      <c r="A93" s="5" t="s">
        <v>306</v>
      </c>
    </row>
    <row r="94" customFormat="false" ht="17.15" hidden="false" customHeight="false" outlineLevel="0" collapsed="false">
      <c r="A94" s="0" t="s">
        <v>307</v>
      </c>
      <c r="B94" s="0" t="s">
        <v>308</v>
      </c>
      <c r="C94" s="0" t="s">
        <v>43</v>
      </c>
      <c r="D94" s="6" t="n">
        <v>0.36</v>
      </c>
      <c r="E94" s="6" t="n">
        <v>0.42</v>
      </c>
      <c r="F94" s="6" t="n">
        <v>0.46</v>
      </c>
      <c r="G94" s="7" t="s">
        <v>205</v>
      </c>
      <c r="H94" s="7" t="s">
        <v>309</v>
      </c>
      <c r="I94" s="3" t="s">
        <v>310</v>
      </c>
    </row>
    <row r="95" customFormat="false" ht="17.15" hidden="false" customHeight="false" outlineLevel="0" collapsed="false">
      <c r="A95" s="0" t="s">
        <v>311</v>
      </c>
      <c r="B95" s="0" t="s">
        <v>312</v>
      </c>
      <c r="C95" s="0" t="s">
        <v>43</v>
      </c>
      <c r="D95" s="6" t="n">
        <v>0.18</v>
      </c>
      <c r="E95" s="6" t="n">
        <v>0.25</v>
      </c>
      <c r="F95" s="6" t="n">
        <v>0.32</v>
      </c>
      <c r="G95" s="7" t="s">
        <v>205</v>
      </c>
      <c r="H95" s="7" t="s">
        <v>313</v>
      </c>
      <c r="I95" s="7" t="s">
        <v>314</v>
      </c>
    </row>
    <row r="96" customFormat="false" ht="17.15" hidden="false" customHeight="false" outlineLevel="0" collapsed="false">
      <c r="A96" s="5" t="s">
        <v>315</v>
      </c>
    </row>
    <row r="97" customFormat="false" ht="17.15" hidden="false" customHeight="false" outlineLevel="0" collapsed="false">
      <c r="A97" s="0" t="s">
        <v>316</v>
      </c>
      <c r="B97" s="3" t="s">
        <v>317</v>
      </c>
      <c r="C97" s="0" t="s">
        <v>153</v>
      </c>
      <c r="D97" s="6" t="n">
        <v>0.3</v>
      </c>
      <c r="E97" s="6" t="n">
        <v>0.5</v>
      </c>
      <c r="F97" s="6" t="n">
        <v>0.8</v>
      </c>
      <c r="G97" s="7" t="s">
        <v>154</v>
      </c>
      <c r="H97" s="3" t="s">
        <v>318</v>
      </c>
      <c r="I97" s="3" t="s">
        <v>319</v>
      </c>
    </row>
    <row r="98" customFormat="false" ht="17.15" hidden="false" customHeight="false" outlineLevel="0" collapsed="false">
      <c r="A98" s="0" t="s">
        <v>320</v>
      </c>
      <c r="B98" s="3" t="s">
        <v>321</v>
      </c>
      <c r="C98" s="0" t="s">
        <v>43</v>
      </c>
      <c r="D98" s="6" t="n">
        <v>0.02</v>
      </c>
      <c r="E98" s="6" t="n">
        <v>0.06</v>
      </c>
      <c r="F98" s="6" t="n">
        <v>0.1</v>
      </c>
      <c r="G98" s="7" t="s">
        <v>154</v>
      </c>
      <c r="H98" s="7" t="s">
        <v>322</v>
      </c>
      <c r="I98" s="3" t="s">
        <v>323</v>
      </c>
    </row>
    <row r="99" customFormat="false" ht="17.15" hidden="false" customHeight="false" outlineLevel="0" collapsed="false">
      <c r="A99" s="0" t="s">
        <v>324</v>
      </c>
      <c r="B99" s="0" t="s">
        <v>325</v>
      </c>
      <c r="C99" s="0" t="s">
        <v>153</v>
      </c>
      <c r="D99" s="6" t="n">
        <v>1.1</v>
      </c>
      <c r="E99" s="6" t="n">
        <v>1.2</v>
      </c>
      <c r="F99" s="6" t="n">
        <v>1.25</v>
      </c>
      <c r="G99" s="7" t="s">
        <v>205</v>
      </c>
      <c r="H99" s="3" t="s">
        <v>326</v>
      </c>
      <c r="I99" s="3" t="s">
        <v>327</v>
      </c>
    </row>
    <row r="100" customFormat="false" ht="17.15" hidden="false" customHeight="false" outlineLevel="0" collapsed="false">
      <c r="A100" s="0" t="s">
        <v>328</v>
      </c>
      <c r="B100" s="0" t="s">
        <v>329</v>
      </c>
      <c r="C100" s="0" t="s">
        <v>153</v>
      </c>
      <c r="D100" s="6" t="n">
        <v>1.3</v>
      </c>
      <c r="E100" s="6" t="n">
        <v>1.5</v>
      </c>
      <c r="F100" s="6" t="n">
        <v>1.62</v>
      </c>
      <c r="G100" s="7" t="s">
        <v>154</v>
      </c>
      <c r="H100" s="3" t="s">
        <v>330</v>
      </c>
      <c r="I100" s="7" t="s">
        <v>331</v>
      </c>
    </row>
    <row r="101" customFormat="false" ht="17.15" hidden="false" customHeight="false" outlineLevel="0" collapsed="false">
      <c r="A101" s="0" t="s">
        <v>332</v>
      </c>
      <c r="B101" s="0" t="s">
        <v>333</v>
      </c>
      <c r="C101" s="0" t="s">
        <v>153</v>
      </c>
      <c r="D101" s="6" t="n">
        <v>1.55</v>
      </c>
      <c r="E101" s="6" t="n">
        <v>1.85</v>
      </c>
      <c r="F101" s="6" t="n">
        <v>2</v>
      </c>
      <c r="G101" s="7" t="s">
        <v>154</v>
      </c>
      <c r="H101" s="3" t="s">
        <v>330</v>
      </c>
      <c r="I101" s="7" t="s">
        <v>271</v>
      </c>
    </row>
    <row r="102" customFormat="false" ht="17.15" hidden="false" customHeight="false" outlineLevel="0" collapsed="false">
      <c r="A102" s="0" t="s">
        <v>334</v>
      </c>
      <c r="B102" s="3" t="s">
        <v>335</v>
      </c>
      <c r="C102" s="0" t="s">
        <v>43</v>
      </c>
      <c r="D102" s="6" t="n">
        <v>0</v>
      </c>
      <c r="E102" s="6" t="n">
        <v>0.05</v>
      </c>
      <c r="F102" s="6" t="n">
        <v>0.08</v>
      </c>
      <c r="G102" s="7" t="s">
        <v>154</v>
      </c>
      <c r="H102" s="7" t="s">
        <v>336</v>
      </c>
      <c r="I102" s="3" t="s">
        <v>337</v>
      </c>
    </row>
    <row r="103" customFormat="false" ht="17.15" hidden="false" customHeight="false" outlineLevel="0" collapsed="false">
      <c r="A103" s="0" t="s">
        <v>338</v>
      </c>
      <c r="B103" s="0" t="s">
        <v>339</v>
      </c>
      <c r="C103" s="0" t="s">
        <v>43</v>
      </c>
      <c r="D103" s="6" t="n">
        <v>0.08</v>
      </c>
      <c r="E103" s="6" t="n">
        <v>0.15</v>
      </c>
      <c r="F103" s="6" t="n">
        <v>0.22</v>
      </c>
      <c r="G103" s="7" t="s">
        <v>154</v>
      </c>
      <c r="H103" s="3" t="s">
        <v>340</v>
      </c>
      <c r="I103" s="7" t="s">
        <v>341</v>
      </c>
    </row>
    <row r="104" customFormat="false" ht="17.15" hidden="false" customHeight="false" outlineLevel="0" collapsed="false">
      <c r="A104" s="0" t="s">
        <v>342</v>
      </c>
      <c r="B104" s="0" t="s">
        <v>343</v>
      </c>
      <c r="C104" s="0" t="s">
        <v>43</v>
      </c>
      <c r="E104" s="6" t="n">
        <v>0.28</v>
      </c>
      <c r="G104" s="7" t="s">
        <v>154</v>
      </c>
      <c r="H104" s="3" t="s">
        <v>344</v>
      </c>
      <c r="I104" s="3" t="s">
        <v>345</v>
      </c>
    </row>
    <row r="105" customFormat="false" ht="17.15" hidden="false" customHeight="false" outlineLevel="0" collapsed="false">
      <c r="A105" s="0" t="s">
        <v>346</v>
      </c>
      <c r="B105" s="0" t="s">
        <v>347</v>
      </c>
      <c r="C105" s="0" t="s">
        <v>43</v>
      </c>
      <c r="E105" s="6" t="n">
        <v>0.1</v>
      </c>
      <c r="G105" s="7" t="s">
        <v>154</v>
      </c>
      <c r="H105" s="3" t="s">
        <v>45</v>
      </c>
      <c r="I105" s="7" t="s">
        <v>271</v>
      </c>
    </row>
    <row r="106" customFormat="false" ht="17.15" hidden="false" customHeight="false" outlineLevel="0" collapsed="false">
      <c r="A106" s="0" t="s">
        <v>348</v>
      </c>
      <c r="B106" s="0" t="s">
        <v>349</v>
      </c>
      <c r="C106" s="0" t="s">
        <v>43</v>
      </c>
      <c r="E106" s="6" t="n">
        <v>0.05</v>
      </c>
      <c r="G106" s="7" t="s">
        <v>154</v>
      </c>
      <c r="H106" s="3" t="s">
        <v>45</v>
      </c>
      <c r="I106" s="7" t="s">
        <v>271</v>
      </c>
    </row>
    <row r="107" customFormat="false" ht="17.15" hidden="false" customHeight="false" outlineLevel="0" collapsed="false">
      <c r="A107" s="0" t="s">
        <v>350</v>
      </c>
      <c r="B107" s="0" t="s">
        <v>351</v>
      </c>
      <c r="C107" s="0" t="s">
        <v>43</v>
      </c>
      <c r="E107" s="6" t="n">
        <v>0.2</v>
      </c>
      <c r="G107" s="7" t="s">
        <v>154</v>
      </c>
      <c r="H107" s="3" t="s">
        <v>45</v>
      </c>
      <c r="I107" s="7" t="s">
        <v>271</v>
      </c>
    </row>
    <row r="108" customFormat="false" ht="17.15" hidden="false" customHeight="false" outlineLevel="0" collapsed="false">
      <c r="A108" s="0" t="s">
        <v>352</v>
      </c>
      <c r="B108" s="0" t="s">
        <v>353</v>
      </c>
      <c r="C108" s="0" t="s">
        <v>43</v>
      </c>
      <c r="E108" s="6" t="n">
        <v>0.05</v>
      </c>
      <c r="G108" s="7" t="s">
        <v>154</v>
      </c>
      <c r="H108" s="3" t="s">
        <v>45</v>
      </c>
      <c r="I108" s="7" t="s">
        <v>271</v>
      </c>
    </row>
    <row r="109" customFormat="false" ht="17.15" hidden="false" customHeight="false" outlineLevel="0" collapsed="false">
      <c r="A109" s="0" t="s">
        <v>354</v>
      </c>
      <c r="B109" s="0" t="s">
        <v>355</v>
      </c>
      <c r="C109" s="0" t="s">
        <v>43</v>
      </c>
      <c r="E109" s="6" t="n">
        <v>0.03</v>
      </c>
      <c r="G109" s="7" t="s">
        <v>154</v>
      </c>
      <c r="H109" s="3" t="s">
        <v>45</v>
      </c>
      <c r="I109" s="7" t="s">
        <v>271</v>
      </c>
    </row>
    <row r="110" customFormat="false" ht="17.15" hidden="false" customHeight="false" outlineLevel="0" collapsed="false">
      <c r="A110" s="0" t="s">
        <v>356</v>
      </c>
      <c r="B110" s="0" t="s">
        <v>357</v>
      </c>
      <c r="C110" s="0" t="s">
        <v>43</v>
      </c>
      <c r="E110" s="6" t="n">
        <v>0.12</v>
      </c>
      <c r="G110" s="7" t="s">
        <v>154</v>
      </c>
      <c r="H110" s="3" t="s">
        <v>45</v>
      </c>
      <c r="I110" s="7" t="s">
        <v>271</v>
      </c>
    </row>
    <row r="111" customFormat="false" ht="17.15" hidden="false" customHeight="false" outlineLevel="0" collapsed="false">
      <c r="A111" s="0" t="s">
        <v>358</v>
      </c>
      <c r="B111" s="0" t="s">
        <v>359</v>
      </c>
      <c r="C111" s="0" t="s">
        <v>43</v>
      </c>
      <c r="E111" s="6" t="n">
        <v>0</v>
      </c>
      <c r="G111" s="7" t="s">
        <v>154</v>
      </c>
      <c r="H111" s="3" t="s">
        <v>45</v>
      </c>
      <c r="I111" s="7" t="s">
        <v>271</v>
      </c>
    </row>
    <row r="112" customFormat="false" ht="17.15" hidden="false" customHeight="false" outlineLevel="0" collapsed="false">
      <c r="A112" s="0" t="s">
        <v>360</v>
      </c>
      <c r="B112" s="0" t="s">
        <v>361</v>
      </c>
      <c r="C112" s="0" t="s">
        <v>43</v>
      </c>
      <c r="E112" s="6" t="n">
        <v>-0.03</v>
      </c>
      <c r="G112" s="7" t="s">
        <v>154</v>
      </c>
      <c r="H112" s="3" t="s">
        <v>45</v>
      </c>
      <c r="I112" s="7" t="s">
        <v>271</v>
      </c>
    </row>
    <row r="113" customFormat="false" ht="17.15" hidden="false" customHeight="false" outlineLevel="0" collapsed="false">
      <c r="A113" s="0" t="s">
        <v>362</v>
      </c>
      <c r="B113" s="3" t="s">
        <v>363</v>
      </c>
      <c r="C113" s="0" t="s">
        <v>43</v>
      </c>
      <c r="D113" s="6" t="n">
        <v>0.03</v>
      </c>
      <c r="E113" s="6" t="n">
        <v>0.1</v>
      </c>
      <c r="F113" s="6" t="n">
        <v>0.15</v>
      </c>
      <c r="G113" s="7" t="s">
        <v>32</v>
      </c>
      <c r="H113" s="7" t="s">
        <v>364</v>
      </c>
      <c r="I113" s="3" t="s">
        <v>365</v>
      </c>
    </row>
    <row r="114" customFormat="false" ht="17.15" hidden="false" customHeight="false" outlineLevel="0" collapsed="false">
      <c r="A114" s="5" t="s">
        <v>366</v>
      </c>
    </row>
    <row r="115" customFormat="false" ht="17.15" hidden="false" customHeight="false" outlineLevel="0" collapsed="false">
      <c r="A115" s="0" t="s">
        <v>367</v>
      </c>
      <c r="B115" s="0" t="s">
        <v>368</v>
      </c>
      <c r="C115" s="0" t="s">
        <v>43</v>
      </c>
      <c r="D115" s="6" t="n">
        <v>0.4</v>
      </c>
      <c r="E115" s="6" t="n">
        <v>0.5</v>
      </c>
      <c r="F115" s="6" t="n">
        <v>0.6</v>
      </c>
      <c r="G115" s="7" t="s">
        <v>154</v>
      </c>
      <c r="H115" s="3" t="s">
        <v>337</v>
      </c>
      <c r="I115" s="7" t="s">
        <v>369</v>
      </c>
    </row>
    <row r="116" customFormat="false" ht="17.15" hidden="false" customHeight="false" outlineLevel="0" collapsed="false">
      <c r="A116" s="0" t="s">
        <v>370</v>
      </c>
      <c r="B116" s="0" t="s">
        <v>371</v>
      </c>
      <c r="C116" s="0" t="s">
        <v>43</v>
      </c>
      <c r="D116" s="6" t="n">
        <v>0.3</v>
      </c>
      <c r="E116" s="6" t="n">
        <v>0.45</v>
      </c>
      <c r="F116" s="6" t="n">
        <v>0.6</v>
      </c>
      <c r="G116" s="7" t="s">
        <v>154</v>
      </c>
      <c r="H116" s="7" t="s">
        <v>372</v>
      </c>
      <c r="I116" s="3" t="s">
        <v>373</v>
      </c>
    </row>
    <row r="117" customFormat="false" ht="15" hidden="false" customHeight="false" outlineLevel="0" collapsed="false">
      <c r="A117" s="0" t="s">
        <v>374</v>
      </c>
      <c r="B117" s="3" t="s">
        <v>375</v>
      </c>
      <c r="C117" s="0" t="s">
        <v>43</v>
      </c>
      <c r="D117" s="6" t="n">
        <v>0.35</v>
      </c>
      <c r="E117" s="6" t="n">
        <v>0.45</v>
      </c>
      <c r="F117" s="6" t="n">
        <v>0.55</v>
      </c>
      <c r="G117" s="7" t="s">
        <v>154</v>
      </c>
      <c r="H117" s="3" t="s">
        <v>376</v>
      </c>
      <c r="I117" s="7" t="s">
        <v>271</v>
      </c>
    </row>
    <row r="118" customFormat="false" ht="17.15" hidden="false" customHeight="false" outlineLevel="0" collapsed="false">
      <c r="A118" s="0" t="s">
        <v>377</v>
      </c>
      <c r="B118" s="3" t="s">
        <v>378</v>
      </c>
      <c r="C118" s="0" t="s">
        <v>379</v>
      </c>
      <c r="D118" s="6" t="n">
        <v>10</v>
      </c>
      <c r="E118" s="6" t="n">
        <v>17</v>
      </c>
      <c r="F118" s="6" t="n">
        <v>22</v>
      </c>
      <c r="G118" s="7" t="s">
        <v>154</v>
      </c>
      <c r="H118" s="3" t="s">
        <v>380</v>
      </c>
      <c r="I118" s="7" t="s">
        <v>381</v>
      </c>
    </row>
    <row r="119" customFormat="false" ht="17.15" hidden="false" customHeight="false" outlineLevel="0" collapsed="false">
      <c r="A119" s="0" t="s">
        <v>382</v>
      </c>
      <c r="B119" s="3" t="s">
        <v>383</v>
      </c>
      <c r="C119" s="0" t="s">
        <v>379</v>
      </c>
      <c r="D119" s="6" t="n">
        <v>9</v>
      </c>
      <c r="E119" s="6" t="n">
        <v>16</v>
      </c>
      <c r="F119" s="6" t="n">
        <v>22</v>
      </c>
      <c r="G119" s="7" t="s">
        <v>154</v>
      </c>
      <c r="H119" s="3" t="s">
        <v>45</v>
      </c>
      <c r="I119" s="7" t="s">
        <v>271</v>
      </c>
    </row>
    <row r="120" customFormat="false" ht="17.15" hidden="false" customHeight="false" outlineLevel="0" collapsed="false">
      <c r="A120" s="0" t="s">
        <v>384</v>
      </c>
      <c r="B120" s="3" t="s">
        <v>385</v>
      </c>
      <c r="C120" s="0" t="s">
        <v>379</v>
      </c>
      <c r="D120" s="6" t="n">
        <v>7</v>
      </c>
      <c r="E120" s="6" t="n">
        <v>12</v>
      </c>
      <c r="F120" s="6" t="n">
        <v>16</v>
      </c>
      <c r="G120" s="7" t="s">
        <v>154</v>
      </c>
      <c r="H120" s="3" t="s">
        <v>45</v>
      </c>
      <c r="I120" s="7" t="s">
        <v>271</v>
      </c>
    </row>
    <row r="121" customFormat="false" ht="17.15" hidden="false" customHeight="false" outlineLevel="0" collapsed="false">
      <c r="A121" s="0" t="s">
        <v>386</v>
      </c>
      <c r="B121" s="0" t="s">
        <v>387</v>
      </c>
      <c r="C121" s="0" t="s">
        <v>379</v>
      </c>
      <c r="D121" s="6" t="n">
        <v>8</v>
      </c>
      <c r="E121" s="6" t="n">
        <v>11</v>
      </c>
      <c r="F121" s="6" t="n">
        <v>13</v>
      </c>
      <c r="G121" s="7" t="s">
        <v>154</v>
      </c>
      <c r="H121" s="7" t="s">
        <v>388</v>
      </c>
      <c r="I121" s="7" t="s">
        <v>389</v>
      </c>
    </row>
    <row r="122" customFormat="false" ht="17.15" hidden="false" customHeight="false" outlineLevel="0" collapsed="false">
      <c r="A122" s="0" t="s">
        <v>390</v>
      </c>
      <c r="B122" s="0" t="s">
        <v>391</v>
      </c>
      <c r="C122" s="0" t="s">
        <v>379</v>
      </c>
      <c r="E122" s="0" t="n">
        <f aca="false">1.974+2.046+2*2.15</f>
        <v>8.32</v>
      </c>
      <c r="G122" s="0" t="s">
        <v>32</v>
      </c>
      <c r="H122" s="0" t="s">
        <v>392</v>
      </c>
      <c r="I122" s="3" t="s">
        <v>393</v>
      </c>
    </row>
    <row r="123" customFormat="false" ht="15" hidden="false" customHeight="false" outlineLevel="0" collapsed="false">
      <c r="A123" s="0" t="s">
        <v>394</v>
      </c>
      <c r="B123" s="3" t="s">
        <v>395</v>
      </c>
      <c r="C123" s="3" t="s">
        <v>396</v>
      </c>
      <c r="D123" s="6" t="n">
        <v>6</v>
      </c>
      <c r="E123" s="6" t="n">
        <v>8</v>
      </c>
      <c r="F123" s="6" t="n">
        <v>10</v>
      </c>
      <c r="G123" s="7" t="s">
        <v>154</v>
      </c>
      <c r="H123" s="3" t="s">
        <v>397</v>
      </c>
      <c r="I123" s="3" t="s">
        <v>398</v>
      </c>
    </row>
    <row r="124" customFormat="false" ht="17.15" hidden="false" customHeight="false" outlineLevel="0" collapsed="false">
      <c r="A124" s="0" t="s">
        <v>399</v>
      </c>
      <c r="B124" s="3" t="s">
        <v>400</v>
      </c>
      <c r="C124" s="0" t="s">
        <v>153</v>
      </c>
      <c r="D124" s="6" t="n">
        <v>0.3</v>
      </c>
      <c r="E124" s="6" t="n">
        <v>0.6</v>
      </c>
      <c r="F124" s="6" t="n">
        <v>1</v>
      </c>
      <c r="G124" s="7" t="s">
        <v>154</v>
      </c>
      <c r="H124" s="7" t="s">
        <v>401</v>
      </c>
      <c r="I124" s="7" t="s">
        <v>271</v>
      </c>
    </row>
    <row r="125" customFormat="false" ht="17.15" hidden="false" customHeight="false" outlineLevel="0" collapsed="false">
      <c r="A125" s="0" t="s">
        <v>402</v>
      </c>
      <c r="B125" s="3" t="s">
        <v>403</v>
      </c>
      <c r="C125" s="0" t="s">
        <v>379</v>
      </c>
      <c r="D125" s="6" t="n">
        <v>0</v>
      </c>
      <c r="E125" s="6" t="n">
        <v>0.4</v>
      </c>
      <c r="F125" s="6" t="n">
        <v>0.8</v>
      </c>
      <c r="G125" s="7" t="s">
        <v>154</v>
      </c>
      <c r="H125" s="7" t="s">
        <v>404</v>
      </c>
      <c r="I125" s="3" t="s">
        <v>405</v>
      </c>
    </row>
    <row r="126" customFormat="false" ht="17.15" hidden="false" customHeight="false" outlineLevel="0" collapsed="false">
      <c r="A126" s="0" t="s">
        <v>406</v>
      </c>
      <c r="B126" s="3" t="s">
        <v>407</v>
      </c>
      <c r="C126" s="0" t="s">
        <v>379</v>
      </c>
      <c r="D126" s="6" t="n">
        <v>0</v>
      </c>
      <c r="E126" s="6" t="n">
        <v>0.4</v>
      </c>
      <c r="F126" s="6" t="n">
        <v>0.8</v>
      </c>
      <c r="G126" s="7" t="s">
        <v>154</v>
      </c>
      <c r="H126" s="3" t="s">
        <v>45</v>
      </c>
      <c r="I126" s="7" t="s">
        <v>271</v>
      </c>
    </row>
    <row r="127" customFormat="false" ht="17.15" hidden="false" customHeight="false" outlineLevel="0" collapsed="false">
      <c r="A127" s="0" t="s">
        <v>408</v>
      </c>
      <c r="B127" s="3" t="s">
        <v>409</v>
      </c>
      <c r="C127" s="0" t="s">
        <v>379</v>
      </c>
      <c r="D127" s="6" t="n">
        <v>0</v>
      </c>
      <c r="E127" s="6" t="n">
        <v>0.4</v>
      </c>
      <c r="F127" s="6" t="n">
        <v>0.8</v>
      </c>
      <c r="G127" s="7" t="s">
        <v>154</v>
      </c>
      <c r="H127" s="3" t="s">
        <v>45</v>
      </c>
      <c r="I127" s="7" t="s">
        <v>271</v>
      </c>
    </row>
    <row r="128" customFormat="false" ht="17.15" hidden="false" customHeight="false" outlineLevel="0" collapsed="false">
      <c r="A128" s="0" t="s">
        <v>410</v>
      </c>
      <c r="B128" s="3" t="s">
        <v>411</v>
      </c>
      <c r="C128" s="0" t="s">
        <v>43</v>
      </c>
      <c r="D128" s="6" t="n">
        <v>0.08</v>
      </c>
      <c r="E128" s="6" t="n">
        <v>0.12</v>
      </c>
      <c r="F128" s="6" t="n">
        <v>0.2</v>
      </c>
      <c r="G128" s="7" t="s">
        <v>154</v>
      </c>
      <c r="H128" s="7" t="s">
        <v>412</v>
      </c>
      <c r="I128" s="7" t="s">
        <v>413</v>
      </c>
    </row>
    <row r="129" customFormat="false" ht="17.15" hidden="false" customHeight="false" outlineLevel="0" collapsed="false">
      <c r="A129" s="0" t="s">
        <v>414</v>
      </c>
      <c r="B129" s="3" t="s">
        <v>415</v>
      </c>
      <c r="C129" s="0" t="s">
        <v>43</v>
      </c>
      <c r="D129" s="6" t="n">
        <v>0</v>
      </c>
      <c r="E129" s="6" t="n">
        <v>0</v>
      </c>
      <c r="F129" s="6" t="n">
        <v>0.01</v>
      </c>
      <c r="G129" s="7" t="s">
        <v>154</v>
      </c>
      <c r="H129" s="3" t="s">
        <v>416</v>
      </c>
      <c r="I129" s="3" t="s">
        <v>417</v>
      </c>
    </row>
    <row r="130" customFormat="false" ht="17.15" hidden="false" customHeight="false" outlineLevel="0" collapsed="false">
      <c r="A130" s="0" t="s">
        <v>418</v>
      </c>
      <c r="B130" s="3" t="s">
        <v>419</v>
      </c>
      <c r="C130" s="0" t="s">
        <v>43</v>
      </c>
      <c r="D130" s="6" t="n">
        <v>0.21</v>
      </c>
      <c r="E130" s="6" t="n">
        <v>0.25</v>
      </c>
      <c r="F130" s="6" t="n">
        <v>0.27</v>
      </c>
      <c r="G130" s="7" t="s">
        <v>32</v>
      </c>
      <c r="H130" s="7" t="s">
        <v>420</v>
      </c>
      <c r="I130" s="7" t="s">
        <v>421</v>
      </c>
    </row>
    <row r="131" customFormat="false" ht="17.15" hidden="false" customHeight="false" outlineLevel="0" collapsed="false">
      <c r="A131" s="0" t="s">
        <v>422</v>
      </c>
      <c r="B131" s="3" t="s">
        <v>423</v>
      </c>
      <c r="C131" s="0" t="s">
        <v>43</v>
      </c>
      <c r="E131" s="0" t="n">
        <f aca="false">(0.32657+0.37289)/(0.47228+0.54425)</f>
        <v>0.688085939421365</v>
      </c>
      <c r="G131" s="0" t="s">
        <v>32</v>
      </c>
      <c r="H131" s="0" t="s">
        <v>424</v>
      </c>
      <c r="I131" s="0" t="s">
        <v>425</v>
      </c>
    </row>
    <row r="132" customFormat="false" ht="17.15" hidden="false" customHeight="false" outlineLevel="0" collapsed="false">
      <c r="A132" s="5" t="s">
        <v>426</v>
      </c>
    </row>
    <row r="133" customFormat="false" ht="17.15" hidden="false" customHeight="false" outlineLevel="0" collapsed="false">
      <c r="A133" s="0" t="s">
        <v>427</v>
      </c>
      <c r="B133" s="0" t="s">
        <v>428</v>
      </c>
      <c r="C133" s="0" t="s">
        <v>379</v>
      </c>
      <c r="E133" s="0" t="n">
        <f aca="false">38.141-11.105-12.496</f>
        <v>14.54</v>
      </c>
      <c r="G133" s="0" t="s">
        <v>429</v>
      </c>
      <c r="H133" s="0" t="s">
        <v>430</v>
      </c>
      <c r="I133" s="3" t="s">
        <v>431</v>
      </c>
    </row>
    <row r="134" customFormat="false" ht="17.15" hidden="false" customHeight="false" outlineLevel="0" collapsed="false">
      <c r="A134" s="0" t="s">
        <v>432</v>
      </c>
      <c r="B134" s="0" t="s">
        <v>433</v>
      </c>
      <c r="C134" s="0" t="s">
        <v>43</v>
      </c>
      <c r="D134" s="6" t="n">
        <v>0.278</v>
      </c>
      <c r="E134" s="6" t="n">
        <v>0.31</v>
      </c>
      <c r="F134" s="6" t="n">
        <v>0.33</v>
      </c>
      <c r="G134" s="7" t="s">
        <v>154</v>
      </c>
      <c r="H134" s="3" t="s">
        <v>434</v>
      </c>
      <c r="I134" s="3" t="s">
        <v>435</v>
      </c>
    </row>
    <row r="135" customFormat="false" ht="17.15" hidden="false" customHeight="false" outlineLevel="0" collapsed="false">
      <c r="A135" s="0" t="s">
        <v>436</v>
      </c>
      <c r="B135" s="0" t="s">
        <v>437</v>
      </c>
      <c r="C135" s="0" t="s">
        <v>379</v>
      </c>
      <c r="D135" s="6" t="n">
        <v>1.6</v>
      </c>
      <c r="E135" s="6" t="n">
        <v>1.7</v>
      </c>
      <c r="F135" s="6" t="n">
        <v>1.8</v>
      </c>
      <c r="G135" s="7" t="s">
        <v>154</v>
      </c>
      <c r="H135" s="7" t="s">
        <v>438</v>
      </c>
      <c r="I135" s="7" t="s">
        <v>271</v>
      </c>
    </row>
    <row r="136" customFormat="false" ht="17.15" hidden="false" customHeight="false" outlineLevel="0" collapsed="false">
      <c r="A136" s="0" t="s">
        <v>439</v>
      </c>
      <c r="B136" s="0" t="s">
        <v>440</v>
      </c>
      <c r="C136" s="0" t="s">
        <v>43</v>
      </c>
      <c r="D136" s="6" t="n">
        <v>0.08</v>
      </c>
      <c r="E136" s="6" t="n">
        <v>0.12</v>
      </c>
      <c r="F136" s="6" t="n">
        <v>0.19</v>
      </c>
      <c r="G136" s="7" t="s">
        <v>154</v>
      </c>
      <c r="H136" s="7" t="s">
        <v>441</v>
      </c>
      <c r="I136" s="3" t="s">
        <v>442</v>
      </c>
    </row>
    <row r="137" customFormat="false" ht="17.15" hidden="false" customHeight="false" outlineLevel="0" collapsed="false">
      <c r="A137" s="0" t="s">
        <v>443</v>
      </c>
      <c r="B137" s="0" t="s">
        <v>444</v>
      </c>
      <c r="C137" s="0" t="s">
        <v>43</v>
      </c>
      <c r="D137" s="6" t="n">
        <v>0.293</v>
      </c>
      <c r="E137" s="6" t="n">
        <v>0.32</v>
      </c>
      <c r="F137" s="6" t="n">
        <v>0.33</v>
      </c>
      <c r="G137" s="7" t="s">
        <v>154</v>
      </c>
      <c r="H137" s="3" t="s">
        <v>445</v>
      </c>
      <c r="I137" s="3" t="s">
        <v>446</v>
      </c>
    </row>
    <row r="138" customFormat="false" ht="17.15" hidden="false" customHeight="false" outlineLevel="0" collapsed="false">
      <c r="A138" s="0" t="s">
        <v>447</v>
      </c>
      <c r="B138" s="0" t="s">
        <v>448</v>
      </c>
      <c r="C138" s="0" t="s">
        <v>379</v>
      </c>
      <c r="D138" s="6" t="n">
        <v>1.7</v>
      </c>
      <c r="E138" s="6" t="n">
        <v>1.8</v>
      </c>
      <c r="F138" s="6" t="n">
        <v>1.95</v>
      </c>
      <c r="G138" s="7" t="s">
        <v>154</v>
      </c>
      <c r="H138" s="3" t="s">
        <v>45</v>
      </c>
      <c r="I138" s="7" t="s">
        <v>271</v>
      </c>
    </row>
    <row r="139" customFormat="false" ht="17.15" hidden="false" customHeight="false" outlineLevel="0" collapsed="false">
      <c r="A139" s="0" t="s">
        <v>449</v>
      </c>
      <c r="B139" s="0" t="s">
        <v>450</v>
      </c>
      <c r="C139" s="0" t="s">
        <v>379</v>
      </c>
      <c r="D139" s="6" t="n">
        <v>0</v>
      </c>
      <c r="E139" s="6" t="n">
        <v>0.1</v>
      </c>
      <c r="F139" s="6" t="n">
        <v>0.2</v>
      </c>
      <c r="G139" s="7" t="s">
        <v>154</v>
      </c>
      <c r="H139" s="7" t="s">
        <v>451</v>
      </c>
      <c r="I139" s="7" t="s">
        <v>271</v>
      </c>
    </row>
    <row r="140" customFormat="false" ht="17.15" hidden="false" customHeight="false" outlineLevel="0" collapsed="false">
      <c r="A140" s="0" t="s">
        <v>452</v>
      </c>
      <c r="B140" s="0" t="s">
        <v>453</v>
      </c>
      <c r="C140" s="0" t="s">
        <v>43</v>
      </c>
      <c r="D140" s="6" t="n">
        <v>0.06</v>
      </c>
      <c r="E140" s="6" t="n">
        <v>0.09</v>
      </c>
      <c r="F140" s="6" t="n">
        <v>0.12</v>
      </c>
      <c r="G140" s="7" t="s">
        <v>32</v>
      </c>
      <c r="H140" s="7" t="s">
        <v>454</v>
      </c>
      <c r="I140" s="7" t="s">
        <v>455</v>
      </c>
    </row>
    <row r="141" customFormat="false" ht="17.15" hidden="false" customHeight="false" outlineLevel="0" collapsed="false">
      <c r="A141" s="0" t="s">
        <v>456</v>
      </c>
      <c r="B141" s="0" t="s">
        <v>457</v>
      </c>
      <c r="C141" s="0" t="s">
        <v>379</v>
      </c>
      <c r="D141" s="6" t="n">
        <v>2.1</v>
      </c>
      <c r="E141" s="6" t="n">
        <v>2.2</v>
      </c>
      <c r="F141" s="6" t="n">
        <v>2.3</v>
      </c>
      <c r="G141" s="7" t="s">
        <v>154</v>
      </c>
      <c r="H141" s="7" t="s">
        <v>458</v>
      </c>
      <c r="I141" s="7" t="s">
        <v>459</v>
      </c>
    </row>
    <row r="142" customFormat="false" ht="17.15" hidden="false" customHeight="false" outlineLevel="0" collapsed="false">
      <c r="A142" s="0" t="s">
        <v>460</v>
      </c>
      <c r="B142" s="0" t="s">
        <v>461</v>
      </c>
      <c r="C142" s="0" t="s">
        <v>379</v>
      </c>
      <c r="D142" s="6" t="n">
        <v>2</v>
      </c>
      <c r="E142" s="6" t="n">
        <v>2.1</v>
      </c>
      <c r="F142" s="6" t="n">
        <v>2.25</v>
      </c>
      <c r="G142" s="7" t="s">
        <v>154</v>
      </c>
      <c r="H142" s="7" t="s">
        <v>462</v>
      </c>
      <c r="I142" s="7" t="s">
        <v>271</v>
      </c>
    </row>
    <row r="143" customFormat="false" ht="17.15" hidden="false" customHeight="false" outlineLevel="0" collapsed="false">
      <c r="A143" s="0" t="s">
        <v>463</v>
      </c>
      <c r="B143" s="0" t="s">
        <v>464</v>
      </c>
      <c r="C143" s="3" t="s">
        <v>465</v>
      </c>
      <c r="E143" s="6" t="n">
        <v>0.52691</v>
      </c>
      <c r="G143" s="7" t="s">
        <v>205</v>
      </c>
      <c r="H143" s="7" t="s">
        <v>466</v>
      </c>
      <c r="I143" s="7" t="s">
        <v>467</v>
      </c>
    </row>
    <row r="144" customFormat="false" ht="17.15" hidden="false" customHeight="false" outlineLevel="0" collapsed="false">
      <c r="A144" s="5" t="s">
        <v>468</v>
      </c>
    </row>
    <row r="145" customFormat="false" ht="17.15" hidden="false" customHeight="false" outlineLevel="0" collapsed="false">
      <c r="A145" s="0" t="s">
        <v>469</v>
      </c>
      <c r="B145" s="3" t="s">
        <v>470</v>
      </c>
      <c r="C145" s="0" t="s">
        <v>471</v>
      </c>
      <c r="E145" s="6" t="n">
        <v>10.42</v>
      </c>
      <c r="G145" s="7" t="s">
        <v>32</v>
      </c>
      <c r="H145" s="3" t="s">
        <v>472</v>
      </c>
      <c r="I145" s="3" t="s">
        <v>473</v>
      </c>
    </row>
    <row r="146" customFormat="false" ht="17.15" hidden="false" customHeight="false" outlineLevel="0" collapsed="false">
      <c r="A146" s="0" t="s">
        <v>474</v>
      </c>
      <c r="B146" s="3" t="s">
        <v>475</v>
      </c>
      <c r="C146" s="0" t="s">
        <v>471</v>
      </c>
      <c r="E146" s="6" t="n">
        <v>26.47</v>
      </c>
      <c r="G146" s="7" t="s">
        <v>32</v>
      </c>
      <c r="H146" s="3" t="s">
        <v>472</v>
      </c>
      <c r="I146" s="3" t="s">
        <v>476</v>
      </c>
    </row>
    <row r="147" customFormat="false" ht="17.15" hidden="false" customHeight="false" outlineLevel="0" collapsed="false">
      <c r="A147" s="0" t="s">
        <v>477</v>
      </c>
      <c r="B147" s="0" t="s">
        <v>478</v>
      </c>
      <c r="C147" s="0" t="s">
        <v>471</v>
      </c>
      <c r="D147" s="6" t="n">
        <v>7.75</v>
      </c>
      <c r="E147" s="6" t="n">
        <v>9.73</v>
      </c>
      <c r="F147" s="6" t="n">
        <v>13.6</v>
      </c>
      <c r="G147" s="7" t="s">
        <v>205</v>
      </c>
      <c r="H147" s="3" t="s">
        <v>479</v>
      </c>
      <c r="I147" s="3" t="s">
        <v>480</v>
      </c>
    </row>
    <row r="148" customFormat="false" ht="17.15" hidden="false" customHeight="false" outlineLevel="0" collapsed="false">
      <c r="A148" s="0" t="s">
        <v>481</v>
      </c>
      <c r="B148" s="0" t="s">
        <v>482</v>
      </c>
      <c r="C148" s="0" t="s">
        <v>471</v>
      </c>
      <c r="D148" s="6" t="n">
        <v>13.39</v>
      </c>
      <c r="E148" s="6" t="n">
        <v>19.93</v>
      </c>
      <c r="F148" s="6" t="n">
        <v>33.58</v>
      </c>
      <c r="G148" s="7" t="s">
        <v>205</v>
      </c>
      <c r="H148" s="3" t="s">
        <v>479</v>
      </c>
      <c r="I148" s="3" t="s">
        <v>483</v>
      </c>
    </row>
    <row r="149" customFormat="false" ht="17.15" hidden="false" customHeight="false" outlineLevel="0" collapsed="false">
      <c r="A149" s="0" t="s">
        <v>484</v>
      </c>
      <c r="B149" s="0" t="s">
        <v>485</v>
      </c>
      <c r="C149" s="0" t="s">
        <v>471</v>
      </c>
      <c r="D149" s="6" t="n">
        <v>18.87</v>
      </c>
      <c r="E149" s="6" t="n">
        <v>34.39</v>
      </c>
      <c r="F149" s="6" t="n">
        <v>49.15</v>
      </c>
      <c r="G149" s="7" t="s">
        <v>205</v>
      </c>
      <c r="H149" s="3" t="s">
        <v>479</v>
      </c>
      <c r="I149" s="3" t="s">
        <v>486</v>
      </c>
    </row>
    <row r="150" customFormat="false" ht="17.15" hidden="false" customHeight="false" outlineLevel="0" collapsed="false">
      <c r="A150" s="0" t="s">
        <v>487</v>
      </c>
      <c r="B150" s="0" t="s">
        <v>488</v>
      </c>
      <c r="C150" s="0" t="s">
        <v>379</v>
      </c>
      <c r="D150" s="6" t="n">
        <v>61.862</v>
      </c>
      <c r="E150" s="6" t="n">
        <v>70.348</v>
      </c>
      <c r="F150" s="6" t="n">
        <v>87.849</v>
      </c>
      <c r="G150" s="7" t="s">
        <v>205</v>
      </c>
      <c r="H150" s="3" t="s">
        <v>479</v>
      </c>
      <c r="I150" s="7" t="s">
        <v>271</v>
      </c>
    </row>
    <row r="151" customFormat="false" ht="17.15" hidden="false" customHeight="false" outlineLevel="0" collapsed="false">
      <c r="A151" s="0" t="s">
        <v>489</v>
      </c>
      <c r="B151" s="0" t="s">
        <v>490</v>
      </c>
      <c r="C151" s="0" t="s">
        <v>379</v>
      </c>
      <c r="D151" s="6" t="n">
        <v>79.292</v>
      </c>
      <c r="E151" s="6" t="n">
        <v>93.549</v>
      </c>
      <c r="F151" s="6" t="n">
        <v>114.962</v>
      </c>
      <c r="G151" s="7" t="s">
        <v>205</v>
      </c>
      <c r="H151" s="3" t="s">
        <v>479</v>
      </c>
      <c r="I151" s="7" t="s">
        <v>271</v>
      </c>
    </row>
    <row r="152" customFormat="false" ht="17.15" hidden="false" customHeight="false" outlineLevel="0" collapsed="false">
      <c r="A152" s="0" t="s">
        <v>491</v>
      </c>
      <c r="B152" s="3" t="s">
        <v>492</v>
      </c>
      <c r="C152" s="0" t="s">
        <v>471</v>
      </c>
      <c r="D152" s="6" t="n">
        <v>27.3</v>
      </c>
      <c r="E152" s="7" t="n">
        <f aca="false">AVERAGE(36.03,42.41,27.3)</f>
        <v>35.2466666666667</v>
      </c>
      <c r="F152" s="6" t="n">
        <v>42.41</v>
      </c>
      <c r="G152" s="7" t="s">
        <v>205</v>
      </c>
      <c r="H152" s="3" t="s">
        <v>493</v>
      </c>
      <c r="I152" s="3" t="s">
        <v>494</v>
      </c>
    </row>
    <row r="153" customFormat="false" ht="17.15" hidden="false" customHeight="false" outlineLevel="0" collapsed="false">
      <c r="A153" s="0" t="s">
        <v>495</v>
      </c>
      <c r="B153" s="3" t="s">
        <v>496</v>
      </c>
      <c r="C153" s="0" t="s">
        <v>471</v>
      </c>
      <c r="D153" s="6" t="n">
        <v>51.5</v>
      </c>
      <c r="E153" s="7" t="n">
        <f aca="false">AVERAGE(62.22,89.75,51.5)</f>
        <v>67.8233333333333</v>
      </c>
      <c r="F153" s="6" t="n">
        <v>89.75</v>
      </c>
      <c r="G153" s="7" t="s">
        <v>205</v>
      </c>
      <c r="H153" s="3" t="s">
        <v>493</v>
      </c>
      <c r="I153" s="3" t="s">
        <v>494</v>
      </c>
    </row>
    <row r="154" customFormat="false" ht="17.15" hidden="false" customHeight="false" outlineLevel="0" collapsed="false">
      <c r="A154" s="5" t="s">
        <v>497</v>
      </c>
    </row>
    <row r="155" customFormat="false" ht="17.15" hidden="false" customHeight="false" outlineLevel="0" collapsed="false">
      <c r="A155" s="0" t="s">
        <v>498</v>
      </c>
      <c r="B155" s="3" t="s">
        <v>499</v>
      </c>
      <c r="C155" s="0" t="s">
        <v>471</v>
      </c>
      <c r="E155" s="6" t="n">
        <v>986</v>
      </c>
      <c r="G155" s="7" t="s">
        <v>205</v>
      </c>
      <c r="H155" s="7" t="s">
        <v>500</v>
      </c>
      <c r="I155" s="7" t="s">
        <v>501</v>
      </c>
    </row>
    <row r="156" customFormat="false" ht="17.15" hidden="false" customHeight="false" outlineLevel="0" collapsed="false">
      <c r="A156" s="0" t="s">
        <v>502</v>
      </c>
      <c r="B156" s="3" t="s">
        <v>503</v>
      </c>
      <c r="C156" s="0" t="s">
        <v>153</v>
      </c>
      <c r="E156" s="6" t="n">
        <v>44.7</v>
      </c>
      <c r="G156" s="7" t="s">
        <v>205</v>
      </c>
      <c r="H156" s="7" t="s">
        <v>504</v>
      </c>
      <c r="I156" s="3" t="s">
        <v>505</v>
      </c>
    </row>
    <row r="157" customFormat="false" ht="17.15" hidden="false" customHeight="false" outlineLevel="0" collapsed="false">
      <c r="A157" s="0" t="s">
        <v>506</v>
      </c>
      <c r="B157" s="3" t="s">
        <v>507</v>
      </c>
      <c r="C157" s="0" t="s">
        <v>153</v>
      </c>
      <c r="E157" s="6" t="n">
        <v>166.14</v>
      </c>
      <c r="G157" s="7" t="s">
        <v>205</v>
      </c>
      <c r="H157" s="7" t="s">
        <v>504</v>
      </c>
      <c r="I157" s="3" t="s">
        <v>508</v>
      </c>
    </row>
    <row r="158" customFormat="false" ht="17.15" hidden="false" customHeight="false" outlineLevel="0" collapsed="false">
      <c r="A158" s="0" t="s">
        <v>509</v>
      </c>
      <c r="B158" s="3" t="s">
        <v>510</v>
      </c>
      <c r="C158" s="0" t="s">
        <v>471</v>
      </c>
      <c r="E158" s="0" t="n">
        <f aca="false">986/fpe</f>
        <v>22.0581655480984</v>
      </c>
      <c r="G158" s="0" t="s">
        <v>32</v>
      </c>
      <c r="H158" s="0" t="s">
        <v>504</v>
      </c>
      <c r="I158" s="3" t="s">
        <v>511</v>
      </c>
    </row>
    <row r="159" customFormat="false" ht="17.15" hidden="false" customHeight="false" outlineLevel="0" collapsed="false">
      <c r="A159" s="0" t="s">
        <v>512</v>
      </c>
      <c r="B159" s="3" t="s">
        <v>513</v>
      </c>
      <c r="C159" s="0" t="s">
        <v>471</v>
      </c>
      <c r="E159" s="6" t="n">
        <v>1092.15</v>
      </c>
      <c r="G159" s="7" t="s">
        <v>205</v>
      </c>
      <c r="H159" s="7" t="s">
        <v>514</v>
      </c>
      <c r="I159" s="7" t="s">
        <v>515</v>
      </c>
    </row>
    <row r="160" customFormat="false" ht="17.15" hidden="false" customHeight="false" outlineLevel="0" collapsed="false">
      <c r="A160" s="0" t="s">
        <v>516</v>
      </c>
      <c r="B160" s="3" t="s">
        <v>517</v>
      </c>
      <c r="C160" s="0" t="s">
        <v>518</v>
      </c>
      <c r="E160" s="6" t="n">
        <v>32</v>
      </c>
      <c r="G160" s="7" t="s">
        <v>154</v>
      </c>
      <c r="H160" s="7" t="s">
        <v>519</v>
      </c>
      <c r="I160" s="7" t="s">
        <v>271</v>
      </c>
    </row>
    <row r="161" customFormat="false" ht="17.15" hidden="false" customHeight="false" outlineLevel="0" collapsed="false">
      <c r="A161" s="0" t="s">
        <v>520</v>
      </c>
      <c r="B161" s="3" t="s">
        <v>521</v>
      </c>
      <c r="C161" s="0" t="s">
        <v>43</v>
      </c>
      <c r="E161" s="0" t="n">
        <f aca="false">AVERAGE(3.859/33.336,6.977/42.441,0.04752/26.832,0.04889/30.535,1.596/39.351)</f>
        <v>0.0648167697334147</v>
      </c>
      <c r="G161" s="0" t="s">
        <v>32</v>
      </c>
      <c r="H161" s="0" t="s">
        <v>522</v>
      </c>
      <c r="I161" s="3" t="s">
        <v>523</v>
      </c>
    </row>
    <row r="162" customFormat="false" ht="17.15" hidden="false" customHeight="false" outlineLevel="0" collapsed="false">
      <c r="A162" s="5" t="s">
        <v>524</v>
      </c>
    </row>
    <row r="163" customFormat="false" ht="17.15" hidden="false" customHeight="false" outlineLevel="0" collapsed="false">
      <c r="A163" s="8" t="s">
        <v>525</v>
      </c>
      <c r="B163" s="9" t="s">
        <v>526</v>
      </c>
      <c r="C163" s="8" t="s">
        <v>43</v>
      </c>
      <c r="D163" s="8"/>
      <c r="E163" s="10" t="n">
        <v>0.3</v>
      </c>
      <c r="F163" s="8"/>
      <c r="G163" s="8" t="s">
        <v>154</v>
      </c>
      <c r="H163" s="8" t="s">
        <v>527</v>
      </c>
      <c r="I163" s="9" t="s">
        <v>528</v>
      </c>
    </row>
    <row r="164" customFormat="false" ht="17.15" hidden="false" customHeight="false" outlineLevel="0" collapsed="false">
      <c r="A164" s="8" t="s">
        <v>529</v>
      </c>
      <c r="B164" s="9" t="s">
        <v>530</v>
      </c>
      <c r="C164" s="8" t="s">
        <v>43</v>
      </c>
      <c r="D164" s="8"/>
      <c r="E164" s="10" t="n">
        <v>0.5</v>
      </c>
      <c r="F164" s="8"/>
      <c r="G164" s="8" t="s">
        <v>154</v>
      </c>
      <c r="H164" s="8" t="s">
        <v>527</v>
      </c>
      <c r="I164" s="9" t="s">
        <v>528</v>
      </c>
    </row>
    <row r="165" customFormat="false" ht="17.15" hidden="false" customHeight="false" outlineLevel="0" collapsed="false">
      <c r="A165" s="8" t="s">
        <v>531</v>
      </c>
      <c r="B165" s="9" t="s">
        <v>532</v>
      </c>
      <c r="C165" s="8" t="s">
        <v>43</v>
      </c>
      <c r="D165" s="8"/>
      <c r="E165" s="10" t="n">
        <v>0.2</v>
      </c>
      <c r="F165" s="8"/>
      <c r="G165" s="8" t="s">
        <v>154</v>
      </c>
      <c r="H165" s="8" t="s">
        <v>527</v>
      </c>
      <c r="I165" s="9" t="s">
        <v>528</v>
      </c>
    </row>
    <row r="166" customFormat="false" ht="17.15" hidden="false" customHeight="false" outlineLevel="0" collapsed="false">
      <c r="A166" s="8" t="s">
        <v>533</v>
      </c>
      <c r="B166" s="9" t="s">
        <v>534</v>
      </c>
      <c r="C166" s="8" t="s">
        <v>43</v>
      </c>
      <c r="D166" s="8"/>
      <c r="E166" s="10" t="n">
        <v>0.1</v>
      </c>
      <c r="F166" s="8"/>
      <c r="G166" s="8" t="s">
        <v>154</v>
      </c>
      <c r="H166" s="8" t="s">
        <v>535</v>
      </c>
      <c r="I166" s="8" t="s">
        <v>271</v>
      </c>
    </row>
    <row r="167" customFormat="false" ht="17.15" hidden="false" customHeight="false" outlineLevel="0" collapsed="false">
      <c r="A167" s="8" t="s">
        <v>536</v>
      </c>
      <c r="B167" s="9" t="s">
        <v>537</v>
      </c>
      <c r="C167" s="8" t="s">
        <v>43</v>
      </c>
      <c r="D167" s="8"/>
      <c r="E167" s="10" t="n">
        <v>0.04</v>
      </c>
      <c r="F167" s="8"/>
      <c r="G167" s="8" t="s">
        <v>154</v>
      </c>
      <c r="H167" s="8" t="s">
        <v>538</v>
      </c>
      <c r="I167" s="9" t="s">
        <v>539</v>
      </c>
    </row>
    <row r="168" customFormat="false" ht="17.15" hidden="false" customHeight="false" outlineLevel="0" collapsed="false">
      <c r="A168" s="8" t="s">
        <v>540</v>
      </c>
      <c r="B168" s="8" t="s">
        <v>541</v>
      </c>
      <c r="C168" s="8" t="s">
        <v>43</v>
      </c>
      <c r="D168" s="8"/>
      <c r="E168" s="8" t="n">
        <f aca="false">AVERAGE(0.03,0.0337,0.0669)</f>
        <v>0.0435333333333333</v>
      </c>
      <c r="F168" s="8"/>
      <c r="G168" s="8" t="s">
        <v>32</v>
      </c>
      <c r="H168" s="8" t="s">
        <v>542</v>
      </c>
      <c r="I168" s="9" t="s">
        <v>543</v>
      </c>
    </row>
    <row r="169" customFormat="false" ht="17.15" hidden="false" customHeight="false" outlineLevel="0" collapsed="false">
      <c r="A169" s="8" t="s">
        <v>544</v>
      </c>
      <c r="B169" s="9" t="s">
        <v>545</v>
      </c>
      <c r="C169" s="8" t="s">
        <v>43</v>
      </c>
      <c r="D169" s="8"/>
      <c r="E169" s="10" t="n">
        <v>0.5</v>
      </c>
      <c r="F169" s="8"/>
      <c r="G169" s="8" t="s">
        <v>154</v>
      </c>
      <c r="H169" s="8" t="s">
        <v>546</v>
      </c>
      <c r="I169" s="8" t="s">
        <v>271</v>
      </c>
    </row>
    <row r="170" customFormat="false" ht="17.15" hidden="false" customHeight="false" outlineLevel="0" collapsed="false">
      <c r="A170" s="8" t="s">
        <v>547</v>
      </c>
      <c r="B170" s="9" t="s">
        <v>548</v>
      </c>
      <c r="C170" s="8" t="s">
        <v>43</v>
      </c>
      <c r="D170" s="8"/>
      <c r="E170" s="8" t="n">
        <f aca="false">tp_g+0.02</f>
        <v>0.06</v>
      </c>
      <c r="F170" s="8"/>
      <c r="G170" s="8" t="s">
        <v>154</v>
      </c>
      <c r="H170" s="9" t="s">
        <v>549</v>
      </c>
      <c r="I170" s="8" t="s">
        <v>550</v>
      </c>
    </row>
    <row r="171" customFormat="false" ht="17.15" hidden="false" customHeight="false" outlineLevel="0" collapsed="false">
      <c r="A171" s="8" t="s">
        <v>551</v>
      </c>
      <c r="B171" s="9" t="s">
        <v>552</v>
      </c>
      <c r="C171" s="8" t="s">
        <v>43</v>
      </c>
      <c r="D171" s="8"/>
      <c r="E171" s="8" t="n">
        <f aca="false">tp_g</f>
        <v>0.04</v>
      </c>
      <c r="F171" s="8"/>
      <c r="G171" s="8" t="s">
        <v>154</v>
      </c>
      <c r="H171" s="9" t="s">
        <v>45</v>
      </c>
      <c r="I171" s="8" t="s">
        <v>271</v>
      </c>
    </row>
    <row r="172" customFormat="false" ht="17.15" hidden="false" customHeight="false" outlineLevel="0" collapsed="false">
      <c r="A172" s="8" t="s">
        <v>553</v>
      </c>
      <c r="B172" s="9" t="s">
        <v>554</v>
      </c>
      <c r="C172" s="8" t="s">
        <v>43</v>
      </c>
      <c r="D172" s="8"/>
      <c r="E172" s="8" t="n">
        <f aca="false">tp_g-0.02</f>
        <v>0.02</v>
      </c>
      <c r="F172" s="8"/>
      <c r="G172" s="8" t="s">
        <v>154</v>
      </c>
      <c r="H172" s="9" t="s">
        <v>45</v>
      </c>
      <c r="I172" s="8" t="s">
        <v>271</v>
      </c>
    </row>
    <row r="173" customFormat="false" ht="17.15" hidden="false" customHeight="false" outlineLevel="0" collapsed="false">
      <c r="A173" s="8" t="s">
        <v>555</v>
      </c>
      <c r="B173" s="9" t="s">
        <v>556</v>
      </c>
      <c r="C173" s="8" t="s">
        <v>43</v>
      </c>
      <c r="D173" s="8"/>
      <c r="E173" s="11" t="n">
        <f aca="false">PL!G14</f>
        <v>0.220976529687452</v>
      </c>
      <c r="F173" s="8"/>
      <c r="G173" s="8" t="s">
        <v>32</v>
      </c>
      <c r="H173" s="8" t="s">
        <v>557</v>
      </c>
      <c r="I173" s="8" t="s">
        <v>271</v>
      </c>
    </row>
    <row r="174" customFormat="false" ht="17.15" hidden="false" customHeight="false" outlineLevel="0" collapsed="false">
      <c r="A174" s="8" t="s">
        <v>558</v>
      </c>
      <c r="B174" s="9" t="s">
        <v>559</v>
      </c>
      <c r="C174" s="8" t="s">
        <v>43</v>
      </c>
      <c r="D174" s="8"/>
      <c r="E174" s="12" t="n">
        <f aca="false">(PL!G28+PL!G28*0.8)/2</f>
        <v>0.192959818667361</v>
      </c>
      <c r="F174" s="8"/>
      <c r="G174" s="8" t="s">
        <v>154</v>
      </c>
      <c r="H174" s="9" t="s">
        <v>560</v>
      </c>
      <c r="I174" s="9" t="s">
        <v>561</v>
      </c>
    </row>
    <row r="175" customFormat="false" ht="17.15" hidden="false" customHeight="false" outlineLevel="0" collapsed="false">
      <c r="A175" s="8" t="s">
        <v>562</v>
      </c>
      <c r="B175" s="9" t="s">
        <v>563</v>
      </c>
      <c r="C175" s="8" t="s">
        <v>43</v>
      </c>
      <c r="D175" s="8"/>
      <c r="E175" s="12" t="n">
        <f aca="false">PL!G42*0.8</f>
        <v>0.150707547458546</v>
      </c>
      <c r="F175" s="8"/>
      <c r="G175" s="8" t="s">
        <v>154</v>
      </c>
      <c r="H175" s="9" t="s">
        <v>564</v>
      </c>
      <c r="I175" s="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565</v>
      </c>
    </row>
    <row r="2" customFormat="false" ht="17.15" hidden="false" customHeight="false" outlineLevel="0" collapsed="false">
      <c r="A2" s="0" t="s">
        <v>566</v>
      </c>
    </row>
    <row r="3" customFormat="false" ht="17.15" hidden="false" customHeight="false" outlineLevel="0" collapsed="false">
      <c r="A3" s="4" t="s">
        <v>20</v>
      </c>
      <c r="B3" s="13" t="s">
        <v>567</v>
      </c>
      <c r="C3" s="13" t="s">
        <v>568</v>
      </c>
      <c r="D3" s="13" t="s">
        <v>569</v>
      </c>
      <c r="E3" s="13" t="s">
        <v>570</v>
      </c>
      <c r="F3" s="13" t="s">
        <v>571</v>
      </c>
      <c r="G3" s="13" t="s">
        <v>572</v>
      </c>
      <c r="H3" s="4" t="s">
        <v>25</v>
      </c>
      <c r="I3" s="4" t="s">
        <v>573</v>
      </c>
      <c r="J3" s="4" t="s">
        <v>27</v>
      </c>
    </row>
    <row r="4" customFormat="false" ht="17.15" hidden="false" customHeight="false" outlineLevel="0" collapsed="false">
      <c r="A4" s="3" t="s">
        <v>574</v>
      </c>
      <c r="B4" s="14" t="n">
        <v>39.351</v>
      </c>
      <c r="C4" s="14" t="n">
        <v>11.105</v>
      </c>
      <c r="D4" s="14" t="n">
        <v>12.496</v>
      </c>
      <c r="E4" s="15" t="n">
        <f aca="false">q3_rev</f>
        <v>14.54</v>
      </c>
      <c r="F4" s="15" t="n">
        <f aca="false">E4*(1+q4_g)</f>
        <v>16.2848</v>
      </c>
      <c r="G4" s="15" t="n">
        <f aca="false">SUM(C4:F4)</f>
        <v>54.4258</v>
      </c>
      <c r="H4" s="7" t="s">
        <v>575</v>
      </c>
      <c r="I4" s="7" t="s">
        <v>576</v>
      </c>
      <c r="J4" s="7" t="s">
        <v>577</v>
      </c>
    </row>
    <row r="5" customFormat="false" ht="17.15" hidden="false" customHeight="false" outlineLevel="0" collapsed="false">
      <c r="A5" s="3" t="s">
        <v>578</v>
      </c>
      <c r="B5" s="14" t="n">
        <v>8.314</v>
      </c>
      <c r="C5" s="14" t="n">
        <v>2.349</v>
      </c>
      <c r="D5" s="14" t="n">
        <v>3.261</v>
      </c>
      <c r="E5" s="15" t="n">
        <f aca="false">E4*q3_gm</f>
        <v>4.5074</v>
      </c>
      <c r="F5" s="15" t="n">
        <f aca="false">F4*q4_gm</f>
        <v>5.211136</v>
      </c>
      <c r="G5" s="15" t="n">
        <f aca="false">SUM(C5:F5)</f>
        <v>15.328536</v>
      </c>
      <c r="H5" s="7" t="s">
        <v>579</v>
      </c>
      <c r="I5" s="7" t="s">
        <v>576</v>
      </c>
      <c r="J5" s="7" t="s">
        <v>580</v>
      </c>
    </row>
    <row r="6" customFormat="false" ht="17.15" hidden="false" customHeight="false" outlineLevel="0" collapsed="false">
      <c r="A6" s="3" t="s">
        <v>581</v>
      </c>
      <c r="B6" s="16" t="n">
        <f aca="false">B5/B4</f>
        <v>0.211277985311682</v>
      </c>
      <c r="C6" s="16" t="n">
        <f aca="false">C5/C4</f>
        <v>0.211526339486718</v>
      </c>
      <c r="D6" s="16" t="n">
        <f aca="false">D5/D4</f>
        <v>0.260963508322663</v>
      </c>
      <c r="E6" s="16" t="n">
        <f aca="false">E5/E4</f>
        <v>0.31</v>
      </c>
      <c r="F6" s="16" t="n">
        <f aca="false">F5/F4</f>
        <v>0.32</v>
      </c>
      <c r="G6" s="16" t="n">
        <f aca="false">G5/G4</f>
        <v>0.281640986443929</v>
      </c>
      <c r="H6" s="7" t="s">
        <v>32</v>
      </c>
      <c r="I6" s="7" t="s">
        <v>271</v>
      </c>
      <c r="J6" s="7" t="s">
        <v>582</v>
      </c>
    </row>
    <row r="7" customFormat="false" ht="17.15" hidden="false" customHeight="false" outlineLevel="0" collapsed="false">
      <c r="A7" s="3" t="s">
        <v>583</v>
      </c>
      <c r="B7" s="15" t="n">
        <f aca="false">B5-B8</f>
        <v>5.644</v>
      </c>
      <c r="C7" s="15" t="n">
        <f aca="false">C5-C8</f>
        <v>1.45836</v>
      </c>
      <c r="D7" s="15" t="n">
        <f aca="false">D5-D8</f>
        <v>1.582</v>
      </c>
      <c r="E7" s="15" t="n">
        <f aca="false">q3_opx</f>
        <v>1.7</v>
      </c>
      <c r="F7" s="15" t="n">
        <f aca="false">q4_opx</f>
        <v>1.8</v>
      </c>
      <c r="G7" s="15" t="n">
        <f aca="false">SUM(C7:F7)</f>
        <v>6.54036</v>
      </c>
      <c r="H7" s="7" t="s">
        <v>584</v>
      </c>
      <c r="I7" s="3" t="s">
        <v>585</v>
      </c>
      <c r="J7" s="7" t="s">
        <v>271</v>
      </c>
    </row>
    <row r="8" customFormat="false" ht="17.15" hidden="false" customHeight="false" outlineLevel="0" collapsed="false">
      <c r="A8" s="3" t="s">
        <v>586</v>
      </c>
      <c r="B8" s="14" t="n">
        <v>2.67</v>
      </c>
      <c r="C8" s="14" t="n">
        <v>0.89064</v>
      </c>
      <c r="D8" s="14" t="n">
        <v>1.679</v>
      </c>
      <c r="E8" s="15" t="n">
        <f aca="false">E5-E7</f>
        <v>2.8074</v>
      </c>
      <c r="F8" s="15" t="n">
        <f aca="false">F5-F7</f>
        <v>3.411136</v>
      </c>
      <c r="G8" s="15" t="n">
        <f aca="false">SUM(C8:F8)</f>
        <v>8.788176</v>
      </c>
      <c r="H8" s="7" t="s">
        <v>587</v>
      </c>
      <c r="I8" s="7" t="s">
        <v>576</v>
      </c>
      <c r="J8" s="7" t="s">
        <v>588</v>
      </c>
    </row>
    <row r="9" customFormat="false" ht="17.15" hidden="false" customHeight="false" outlineLevel="0" collapsed="false">
      <c r="A9" s="3" t="s">
        <v>589</v>
      </c>
      <c r="B9" s="15" t="n">
        <f aca="false">B10-B8</f>
        <v>0.417</v>
      </c>
      <c r="C9" s="15" t="n">
        <f aca="false">C10-C8</f>
        <v>0.07382</v>
      </c>
      <c r="D9" s="15" t="n">
        <f aca="false">D10-D8</f>
        <v>0.105</v>
      </c>
      <c r="E9" s="15" t="n">
        <f aca="false">q_nonop</f>
        <v>0.1</v>
      </c>
      <c r="F9" s="15" t="n">
        <f aca="false">q_nonop</f>
        <v>0.1</v>
      </c>
      <c r="G9" s="15" t="n">
        <f aca="false">SUM(C9:F9)</f>
        <v>0.37882</v>
      </c>
      <c r="H9" s="7" t="s">
        <v>584</v>
      </c>
      <c r="I9" s="3" t="s">
        <v>590</v>
      </c>
      <c r="J9" s="7" t="s">
        <v>271</v>
      </c>
    </row>
    <row r="10" customFormat="false" ht="17.15" hidden="false" customHeight="false" outlineLevel="0" collapsed="false">
      <c r="A10" s="3" t="s">
        <v>591</v>
      </c>
      <c r="B10" s="14" t="n">
        <v>3.087</v>
      </c>
      <c r="C10" s="14" t="n">
        <v>0.96446</v>
      </c>
      <c r="D10" s="14" t="n">
        <v>1.784</v>
      </c>
      <c r="E10" s="15" t="n">
        <f aca="false">E8+E9</f>
        <v>2.9074</v>
      </c>
      <c r="F10" s="15" t="n">
        <f aca="false">F8+F9</f>
        <v>3.511136</v>
      </c>
      <c r="G10" s="15" t="n">
        <f aca="false">SUM(C10:F10)</f>
        <v>9.166996</v>
      </c>
      <c r="H10" s="7" t="s">
        <v>587</v>
      </c>
      <c r="I10" s="7" t="s">
        <v>576</v>
      </c>
      <c r="J10" s="7" t="s">
        <v>271</v>
      </c>
    </row>
    <row r="11" customFormat="false" ht="17.15" hidden="false" customHeight="false" outlineLevel="0" collapsed="false">
      <c r="A11" s="3" t="s">
        <v>592</v>
      </c>
      <c r="B11" s="14" t="n">
        <v>0.36988</v>
      </c>
      <c r="C11" s="14" t="n">
        <v>0.08866</v>
      </c>
      <c r="D11" s="14" t="n">
        <v>0.10087</v>
      </c>
      <c r="E11" s="15" t="n">
        <f aca="false">E10*q_tax</f>
        <v>0.261666</v>
      </c>
      <c r="F11" s="15" t="n">
        <f aca="false">F10*q_tax</f>
        <v>0.31600224</v>
      </c>
      <c r="G11" s="15" t="n">
        <f aca="false">SUM(C11:F11)</f>
        <v>0.76719824</v>
      </c>
      <c r="H11" s="7" t="s">
        <v>579</v>
      </c>
      <c r="I11" s="7" t="s">
        <v>576</v>
      </c>
      <c r="J11" s="7" t="s">
        <v>271</v>
      </c>
    </row>
    <row r="12" customFormat="false" ht="17.15" hidden="false" customHeight="false" outlineLevel="0" collapsed="false">
      <c r="A12" s="3" t="s">
        <v>593</v>
      </c>
      <c r="B12" s="15" t="n">
        <f aca="false">B10-B11</f>
        <v>2.71712</v>
      </c>
      <c r="C12" s="15" t="n">
        <f aca="false">C10-C11</f>
        <v>0.8758</v>
      </c>
      <c r="D12" s="15" t="n">
        <f aca="false">D10-D11</f>
        <v>1.68313</v>
      </c>
      <c r="E12" s="15" t="n">
        <f aca="false">E10-E11</f>
        <v>2.645734</v>
      </c>
      <c r="F12" s="15" t="n">
        <f aca="false">F10-F11</f>
        <v>3.19513376</v>
      </c>
      <c r="G12" s="15" t="n">
        <f aca="false">SUM(C12:F12)</f>
        <v>8.39979776</v>
      </c>
      <c r="H12" s="7" t="s">
        <v>32</v>
      </c>
      <c r="I12" s="3" t="s">
        <v>594</v>
      </c>
      <c r="J12" s="7" t="s">
        <v>595</v>
      </c>
    </row>
    <row r="13" customFormat="false" ht="17.15" hidden="false" customHeight="false" outlineLevel="0" collapsed="false">
      <c r="A13" s="3" t="s">
        <v>596</v>
      </c>
      <c r="B13" s="15" t="n">
        <f aca="false">B12-B14</f>
        <v>1.12112</v>
      </c>
      <c r="C13" s="15" t="n">
        <f aca="false">C12-C14</f>
        <v>0.32657</v>
      </c>
      <c r="D13" s="15" t="n">
        <f aca="false">D12-D14</f>
        <v>0.37213</v>
      </c>
      <c r="E13" s="15" t="n">
        <f aca="false">E19*nm_lens*nci_sh</f>
        <v>0.378447266681751</v>
      </c>
      <c r="F13" s="15" t="n">
        <f aca="false">F19*nm_lens*nci_sh</f>
        <v>0.361245118196217</v>
      </c>
      <c r="G13" s="15" t="n">
        <f aca="false">SUM(C13:F13)</f>
        <v>1.43839238487797</v>
      </c>
      <c r="H13" s="7" t="s">
        <v>32</v>
      </c>
      <c r="I13" s="3" t="s">
        <v>597</v>
      </c>
      <c r="J13" s="7" t="s">
        <v>598</v>
      </c>
    </row>
    <row r="14" customFormat="false" ht="17.15" hidden="false" customHeight="false" outlineLevel="0" collapsed="false">
      <c r="A14" s="3" t="s">
        <v>599</v>
      </c>
      <c r="B14" s="14" t="n">
        <v>1.596</v>
      </c>
      <c r="C14" s="14" t="n">
        <v>0.54923</v>
      </c>
      <c r="D14" s="14" t="n">
        <v>1.311</v>
      </c>
      <c r="E14" s="15" t="n">
        <f aca="false">E12-E13</f>
        <v>2.26728673331825</v>
      </c>
      <c r="F14" s="15" t="n">
        <f aca="false">F12-F13</f>
        <v>2.83388864180378</v>
      </c>
      <c r="G14" s="15" t="n">
        <f aca="false">SUM(C14:F14)</f>
        <v>6.96140537512203</v>
      </c>
      <c r="H14" s="7" t="s">
        <v>587</v>
      </c>
      <c r="I14" s="7" t="s">
        <v>576</v>
      </c>
      <c r="J14" s="3" t="s">
        <v>600</v>
      </c>
    </row>
    <row r="15" customFormat="false" ht="17.15" hidden="false" customHeight="false" outlineLevel="0" collapsed="false">
      <c r="A15" s="3" t="s">
        <v>601</v>
      </c>
      <c r="B15" s="15" t="n">
        <f aca="false">B14/B16</f>
        <v>0.454700854700855</v>
      </c>
      <c r="C15" s="15" t="n">
        <f aca="false">C14/C16</f>
        <v>0.46942735042735</v>
      </c>
      <c r="D15" s="15" t="n">
        <f aca="false">D14/D16</f>
        <v>0.51011673151751</v>
      </c>
      <c r="E15" s="15" t="n">
        <f aca="false">q_sh</f>
        <v>0.52691</v>
      </c>
      <c r="F15" s="15" t="n">
        <f aca="false">q_sh</f>
        <v>0.52691</v>
      </c>
      <c r="G15" s="15" t="n">
        <f aca="false">AVERAGE(C15:F15)</f>
        <v>0.508341020486215</v>
      </c>
      <c r="H15" s="7" t="s">
        <v>32</v>
      </c>
      <c r="I15" s="3" t="s">
        <v>602</v>
      </c>
      <c r="J15" s="7" t="s">
        <v>603</v>
      </c>
    </row>
    <row r="16" customFormat="false" ht="17.15" hidden="false" customHeight="false" outlineLevel="0" collapsed="false">
      <c r="A16" s="0" t="s">
        <v>604</v>
      </c>
      <c r="B16" s="17" t="n">
        <v>3.51</v>
      </c>
      <c r="C16" s="17" t="n">
        <v>1.17</v>
      </c>
      <c r="D16" s="17" t="n">
        <v>2.57</v>
      </c>
      <c r="E16" s="18" t="n">
        <f aca="false">E14/E15</f>
        <v>4.30298672129633</v>
      </c>
      <c r="F16" s="18" t="n">
        <f aca="false">F14/F15</f>
        <v>5.37831630032412</v>
      </c>
      <c r="G16" s="18" t="n">
        <f aca="false">G14/G15</f>
        <v>13.6943608612652</v>
      </c>
      <c r="H16" s="7" t="s">
        <v>587</v>
      </c>
      <c r="I16" s="7" t="s">
        <v>576</v>
      </c>
      <c r="J16" s="7" t="s">
        <v>605</v>
      </c>
    </row>
    <row r="17" customFormat="false" ht="17.15" hidden="false" customHeight="false" outlineLevel="0" collapsed="false">
      <c r="A17" s="3" t="s">
        <v>606</v>
      </c>
      <c r="B17" s="15" t="n">
        <f aca="false">1.709+1.772+1.787+1.89</f>
        <v>7.158</v>
      </c>
      <c r="G17" s="15" t="n">
        <f aca="false">da26</f>
        <v>8.32</v>
      </c>
      <c r="H17" s="7" t="s">
        <v>587</v>
      </c>
      <c r="I17" s="7" t="s">
        <v>607</v>
      </c>
      <c r="J17" s="7" t="s">
        <v>608</v>
      </c>
    </row>
    <row r="18" customFormat="false" ht="17.15" hidden="false" customHeight="false" outlineLevel="0" collapsed="false">
      <c r="A18" s="3" t="s">
        <v>609</v>
      </c>
      <c r="B18" s="15" t="n">
        <f aca="false">2.368+1.277+1.08+1.391</f>
        <v>6.116</v>
      </c>
      <c r="G18" s="15" t="n">
        <f aca="false">capex26</f>
        <v>11</v>
      </c>
      <c r="H18" s="7" t="s">
        <v>579</v>
      </c>
      <c r="I18" s="7" t="s">
        <v>610</v>
      </c>
      <c r="J18" s="7" t="s">
        <v>271</v>
      </c>
    </row>
    <row r="19" customFormat="false" ht="17.15" hidden="false" customHeight="false" outlineLevel="0" collapsed="false">
      <c r="A19" s="3" t="s">
        <v>611</v>
      </c>
      <c r="B19" s="14" t="n">
        <v>7.039</v>
      </c>
      <c r="C19" s="14" t="n">
        <v>1.886</v>
      </c>
      <c r="D19" s="14" t="n">
        <v>2.115</v>
      </c>
      <c r="E19" s="15" t="n">
        <f aca="false">q3_lens</f>
        <v>2.2</v>
      </c>
      <c r="F19" s="15" t="n">
        <f aca="false">q4_lens</f>
        <v>2.1</v>
      </c>
      <c r="G19" s="15" t="n">
        <f aca="false">SUM(C19:F19)</f>
        <v>8.301</v>
      </c>
      <c r="H19" s="7" t="s">
        <v>579</v>
      </c>
      <c r="I19" s="7" t="s">
        <v>612</v>
      </c>
      <c r="J19" s="7" t="s">
        <v>613</v>
      </c>
    </row>
    <row r="21" customFormat="false" ht="17.15" hidden="false" customHeight="false" outlineLevel="0" collapsed="false">
      <c r="A21" s="5" t="s">
        <v>614</v>
      </c>
    </row>
    <row r="22" customFormat="false" ht="17.15" hidden="false" customHeight="false" outlineLevel="0" collapsed="false">
      <c r="A22" s="0" t="s">
        <v>615</v>
      </c>
      <c r="G22" s="15" t="n">
        <f aca="false">G4*mx_abf</f>
        <v>22.858836</v>
      </c>
      <c r="H22" s="7" t="s">
        <v>32</v>
      </c>
    </row>
    <row r="23" customFormat="false" ht="17.15" hidden="false" customHeight="false" outlineLevel="0" collapsed="false">
      <c r="A23" s="0" t="s">
        <v>616</v>
      </c>
      <c r="G23" s="15" t="n">
        <f aca="false">G4-G22-G24</f>
        <v>23.265964</v>
      </c>
      <c r="H23" s="7" t="s">
        <v>32</v>
      </c>
    </row>
    <row r="24" customFormat="false" ht="15" hidden="false" customHeight="false" outlineLevel="0" collapsed="false">
      <c r="A24" s="3" t="s">
        <v>617</v>
      </c>
      <c r="G24" s="15" t="n">
        <f aca="false">G19</f>
        <v>8.301</v>
      </c>
      <c r="H24" s="7" t="s">
        <v>32</v>
      </c>
    </row>
    <row r="26" customFormat="false" ht="15" hidden="false" customHeight="false" outlineLevel="0" collapsed="false">
      <c r="A26" s="1" t="s">
        <v>618</v>
      </c>
    </row>
    <row r="27" customFormat="false" ht="17.15" hidden="false" customHeight="false" outlineLevel="0" collapsed="false">
      <c r="A27" s="0" t="s">
        <v>619</v>
      </c>
      <c r="B27" s="19" t="n">
        <f aca="false">C4+D4-(38.141-q3_rev)</f>
        <v>0</v>
      </c>
    </row>
    <row r="28" customFormat="false" ht="17.15" hidden="false" customHeight="false" outlineLevel="0" collapsed="false">
      <c r="A28" s="0" t="s">
        <v>620</v>
      </c>
      <c r="B28" s="20" t="n">
        <f aca="false">G4/B4-1</f>
        <v>0.383085563263958</v>
      </c>
    </row>
    <row r="29" customFormat="false" ht="17.15" hidden="false" customHeight="false" outlineLevel="0" collapsed="false">
      <c r="A29" s="0" t="s">
        <v>621</v>
      </c>
      <c r="B29" s="20" t="n">
        <f aca="false">G14/G12</f>
        <v>0.828758688485618</v>
      </c>
    </row>
    <row r="30" customFormat="false" ht="17.15" hidden="false" customHeight="false" outlineLevel="0" collapsed="false">
      <c r="A30" s="0" t="s">
        <v>622</v>
      </c>
      <c r="B30" s="20" t="n">
        <f aca="false">G16/13.21-1</f>
        <v>0.0366662271964566</v>
      </c>
    </row>
    <row r="31" customFormat="false" ht="17.15" hidden="false" customHeight="false" outlineLevel="0" collapsed="false">
      <c r="A31" s="0" t="s">
        <v>623</v>
      </c>
      <c r="B31" s="20" t="n">
        <f aca="false">E16/4.29-1</f>
        <v>0.00302720776138155</v>
      </c>
    </row>
    <row r="32" customFormat="false" ht="17.15" hidden="false" customHeight="false" outlineLevel="0" collapsed="false">
      <c r="A32" s="0" t="s">
        <v>624</v>
      </c>
      <c r="B32" s="20" t="n">
        <f aca="false">F16/5.39-1</f>
        <v>-0.00216766227752852</v>
      </c>
    </row>
    <row r="33" customFormat="false" ht="17.15" hidden="false" customHeight="false" outlineLevel="0" collapsed="false">
      <c r="A33" s="0" t="s">
        <v>625</v>
      </c>
      <c r="B33" s="18" t="n">
        <f aca="false">F4*4/G4</f>
        <v>1.19684414377005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626</v>
      </c>
    </row>
    <row r="3" customFormat="false" ht="15" hidden="false" customHeight="false" outlineLevel="0" collapsed="false">
      <c r="A3" s="4" t="s">
        <v>20</v>
      </c>
      <c r="B3" s="4" t="s">
        <v>21</v>
      </c>
      <c r="C3" s="13" t="s">
        <v>627</v>
      </c>
      <c r="D3" s="13" t="s">
        <v>628</v>
      </c>
      <c r="E3" s="13" t="s">
        <v>629</v>
      </c>
      <c r="F3" s="13" t="s">
        <v>630</v>
      </c>
      <c r="G3" s="4" t="s">
        <v>631</v>
      </c>
    </row>
    <row r="4" customFormat="false" ht="17.15" hidden="false" customHeight="false" outlineLevel="0" collapsed="false">
      <c r="A4" s="0" t="s">
        <v>632</v>
      </c>
      <c r="B4" s="3" t="s">
        <v>31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633</v>
      </c>
    </row>
    <row r="5" customFormat="false" ht="17.15" hidden="false" customHeight="false" outlineLevel="0" collapsed="false">
      <c r="A5" s="3" t="s">
        <v>634</v>
      </c>
      <c r="B5" s="3" t="s">
        <v>31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0" t="s">
        <v>635</v>
      </c>
      <c r="B6" s="3" t="s">
        <v>31</v>
      </c>
      <c r="C6" s="21" t="n">
        <f aca="false">PL!D65</f>
        <v>3.04</v>
      </c>
      <c r="D6" s="21" t="n">
        <f aca="false">PL!E65</f>
        <v>3.88</v>
      </c>
      <c r="E6" s="21" t="n">
        <f aca="false">PL!F65</f>
        <v>3.8</v>
      </c>
      <c r="F6" s="21" t="n">
        <f aca="false">PL!G65</f>
        <v>4.24</v>
      </c>
      <c r="G6" s="7" t="s">
        <v>636</v>
      </c>
    </row>
    <row r="7" customFormat="false" ht="17.15" hidden="false" customHeight="false" outlineLevel="0" collapsed="false">
      <c r="A7" s="3" t="s">
        <v>637</v>
      </c>
      <c r="B7" s="0" t="s">
        <v>175</v>
      </c>
      <c r="C7" s="22" t="n">
        <f aca="false">PL!D69</f>
        <v>215.308596</v>
      </c>
      <c r="D7" s="22" t="n">
        <f aca="false">PL!E69</f>
        <v>254.06414328</v>
      </c>
      <c r="E7" s="22" t="n">
        <f aca="false">PL!F69</f>
        <v>284.80590461688</v>
      </c>
      <c r="F7" s="22" t="n">
        <f aca="false">PL!G69</f>
        <v>318.383021792765</v>
      </c>
      <c r="G7" s="7" t="s">
        <v>638</v>
      </c>
    </row>
    <row r="8" customFormat="false" ht="17.15" hidden="false" customHeight="false" outlineLevel="0" collapsed="false">
      <c r="A8" s="3" t="s">
        <v>639</v>
      </c>
      <c r="B8" s="0" t="s">
        <v>43</v>
      </c>
      <c r="C8" s="20" t="n">
        <f aca="false">PL!D70</f>
        <v>0.02</v>
      </c>
      <c r="D8" s="20" t="n">
        <f aca="false">PL!E70</f>
        <v>0.03</v>
      </c>
      <c r="E8" s="20" t="n">
        <f aca="false">PL!F70</f>
        <v>0.05</v>
      </c>
      <c r="F8" s="20" t="n">
        <f aca="false">PL!G70</f>
        <v>0.06</v>
      </c>
      <c r="G8" s="7" t="s">
        <v>640</v>
      </c>
    </row>
    <row r="9" customFormat="false" ht="17.15" hidden="false" customHeight="false" outlineLevel="0" collapsed="false">
      <c r="A9" s="0" t="s">
        <v>641</v>
      </c>
      <c r="B9" s="0" t="s">
        <v>43</v>
      </c>
      <c r="C9" s="20" t="n">
        <f aca="false">ib_sh26*1</f>
        <v>0.7</v>
      </c>
      <c r="D9" s="20" t="n">
        <f aca="false">ib_sh26*ibrel_27</f>
        <v>0.665</v>
      </c>
      <c r="E9" s="20" t="n">
        <f aca="false">ib_sh26*ibrel_28</f>
        <v>0.616</v>
      </c>
      <c r="F9" s="20" t="n">
        <f aca="false">ib_sh26*ibrel_29</f>
        <v>0.595</v>
      </c>
      <c r="G9" s="7" t="s">
        <v>642</v>
      </c>
    </row>
    <row r="10" customFormat="false" ht="17.15" hidden="false" customHeight="false" outlineLevel="0" collapsed="false">
      <c r="A10" s="3" t="s">
        <v>643</v>
      </c>
      <c r="B10" s="0" t="s">
        <v>43</v>
      </c>
      <c r="C10" s="20" t="n">
        <f aca="false">un_nv_26</f>
        <v>0.25</v>
      </c>
      <c r="D10" s="20" t="n">
        <f aca="false">un_nv_27</f>
        <v>0.27</v>
      </c>
      <c r="E10" s="20" t="n">
        <f aca="false">un_nv_28</f>
        <v>0.29</v>
      </c>
      <c r="F10" s="20" t="n">
        <f aca="false">un_nv_29</f>
        <v>0.3</v>
      </c>
      <c r="G10" s="3" t="s">
        <v>644</v>
      </c>
    </row>
    <row r="11" customFormat="false" ht="17.15" hidden="false" customHeight="false" outlineLevel="0" collapsed="false">
      <c r="A11" s="3" t="s">
        <v>645</v>
      </c>
      <c r="B11" s="0" t="s">
        <v>43</v>
      </c>
      <c r="C11" s="20" t="n">
        <f aca="false">np_nv_26</f>
        <v>0.02</v>
      </c>
      <c r="D11" s="20" t="n">
        <f aca="false">np_nv_27</f>
        <v>0.03</v>
      </c>
      <c r="E11" s="20" t="n">
        <f aca="false">np_nv_28</f>
        <v>0.04</v>
      </c>
      <c r="F11" s="20" t="n">
        <f aca="false">np_nv_29</f>
        <v>0.04</v>
      </c>
      <c r="G11" s="3" t="s">
        <v>646</v>
      </c>
    </row>
    <row r="12" customFormat="false" ht="17.15" hidden="false" customHeight="false" outlineLevel="0" collapsed="false">
      <c r="A12" s="3" t="s">
        <v>647</v>
      </c>
      <c r="B12" s="0" t="s">
        <v>43</v>
      </c>
      <c r="C12" s="20" t="n">
        <f aca="false">C8+C9+C10+C11</f>
        <v>0.99</v>
      </c>
      <c r="D12" s="20" t="n">
        <f aca="false">D8+D9+D10+D11</f>
        <v>0.995</v>
      </c>
      <c r="E12" s="20" t="n">
        <f aca="false">E8+E9+E10+E11</f>
        <v>0.996</v>
      </c>
      <c r="F12" s="20" t="n">
        <f aca="false">F8+F9+F10+F11</f>
        <v>0.995</v>
      </c>
      <c r="G12" s="3" t="s">
        <v>648</v>
      </c>
    </row>
    <row r="13" customFormat="false" ht="17.15" hidden="false" customHeight="false" outlineLevel="0" collapsed="false">
      <c r="A13" s="3" t="s">
        <v>649</v>
      </c>
      <c r="B13" s="0" t="s">
        <v>43</v>
      </c>
      <c r="C13" s="20" t="n">
        <f aca="false">PL!D71</f>
        <v>0.03</v>
      </c>
      <c r="D13" s="20" t="n">
        <f aca="false">PL!E71</f>
        <v>0.05</v>
      </c>
      <c r="E13" s="20" t="n">
        <f aca="false">PL!F71</f>
        <v>0.06</v>
      </c>
      <c r="F13" s="20" t="n">
        <f aca="false">PL!G71</f>
        <v>0.06</v>
      </c>
      <c r="G13" s="7" t="s">
        <v>154</v>
      </c>
    </row>
    <row r="14" customFormat="false" ht="17.15" hidden="false" customHeight="false" outlineLevel="0" collapsed="false">
      <c r="A14" s="0" t="s">
        <v>650</v>
      </c>
      <c r="B14" s="0" t="s">
        <v>43</v>
      </c>
      <c r="C14" s="20" t="n">
        <f aca="false">ib_w_ot*1/v_ot</f>
        <v>0.5</v>
      </c>
      <c r="D14" s="20" t="n">
        <f aca="false">ib_w_ot*ibrel_27/v_ot</f>
        <v>0.475</v>
      </c>
      <c r="E14" s="20" t="n">
        <f aca="false">ib_w_ot*ibrel_28/v_ot</f>
        <v>0.44</v>
      </c>
      <c r="F14" s="20" t="n">
        <f aca="false">ib_w_ot*ibrel_29/v_ot</f>
        <v>0.425</v>
      </c>
      <c r="G14" s="3" t="s">
        <v>651</v>
      </c>
    </row>
    <row r="15" customFormat="false" ht="17.15" hidden="false" customHeight="false" outlineLevel="0" collapsed="false">
      <c r="A15" s="3" t="s">
        <v>652</v>
      </c>
      <c r="B15" s="0" t="s">
        <v>43</v>
      </c>
      <c r="C15" s="20" t="n">
        <f aca="false">un_ot_26</f>
        <v>0.3</v>
      </c>
      <c r="D15" s="20" t="n">
        <f aca="false">un_ot_27</f>
        <v>0.31</v>
      </c>
      <c r="E15" s="20" t="n">
        <f aca="false">un_ot_28</f>
        <v>0.32</v>
      </c>
      <c r="F15" s="20" t="n">
        <f aca="false">un_ot_29</f>
        <v>0.33</v>
      </c>
      <c r="G15" s="3" t="s">
        <v>644</v>
      </c>
    </row>
    <row r="16" customFormat="false" ht="17.15" hidden="false" customHeight="false" outlineLevel="0" collapsed="false">
      <c r="A16" s="3" t="s">
        <v>653</v>
      </c>
      <c r="B16" s="0" t="s">
        <v>43</v>
      </c>
      <c r="C16" s="20" t="n">
        <f aca="false">np_ot_26</f>
        <v>0.05</v>
      </c>
      <c r="D16" s="20" t="n">
        <f aca="false">np_ot_27</f>
        <v>0.06</v>
      </c>
      <c r="E16" s="20" t="n">
        <f aca="false">np_ot_28</f>
        <v>0.07</v>
      </c>
      <c r="F16" s="20" t="n">
        <f aca="false">np_ot_29</f>
        <v>0.07</v>
      </c>
      <c r="G16" s="3" t="s">
        <v>646</v>
      </c>
    </row>
    <row r="17" customFormat="false" ht="17.15" hidden="false" customHeight="false" outlineLevel="0" collapsed="false">
      <c r="A17" s="3" t="s">
        <v>654</v>
      </c>
      <c r="B17" s="0" t="s">
        <v>43</v>
      </c>
      <c r="C17" s="20" t="n">
        <f aca="false">C13+C14+C15+C16</f>
        <v>0.88</v>
      </c>
      <c r="D17" s="20" t="n">
        <f aca="false">D13+D14+D15+D16</f>
        <v>0.895</v>
      </c>
      <c r="E17" s="20" t="n">
        <f aca="false">E13+E14+E15+E16</f>
        <v>0.89</v>
      </c>
      <c r="F17" s="20" t="n">
        <f aca="false">F13+F14+F15+F16</f>
        <v>0.885</v>
      </c>
      <c r="G17" s="3" t="s">
        <v>655</v>
      </c>
    </row>
    <row r="18" customFormat="false" ht="17.15" hidden="false" customHeight="false" outlineLevel="0" collapsed="false">
      <c r="A18" s="3" t="s">
        <v>656</v>
      </c>
      <c r="B18" s="0" t="s">
        <v>43</v>
      </c>
      <c r="C18" s="20" t="n">
        <f aca="false">PL!D72</f>
        <v>0.35</v>
      </c>
      <c r="D18" s="20" t="n">
        <f aca="false">PL!E72</f>
        <v>0.7</v>
      </c>
      <c r="E18" s="20" t="n">
        <f aca="false">PL!F72</f>
        <v>0.75</v>
      </c>
      <c r="F18" s="20" t="n">
        <f aca="false">PL!G72</f>
        <v>0.7</v>
      </c>
      <c r="G18" s="3" t="s">
        <v>657</v>
      </c>
    </row>
    <row r="19" customFormat="false" ht="17.15" hidden="false" customHeight="false" outlineLevel="0" collapsed="false">
      <c r="A19" s="3" t="s">
        <v>658</v>
      </c>
      <c r="B19" s="0" t="s">
        <v>175</v>
      </c>
      <c r="C19" s="23" t="n">
        <f aca="false">PL!D69*(PL!D70+cpu_r*v_cpu*PL!D72)*PL!D68</f>
        <v>13.349132952</v>
      </c>
      <c r="D19" s="23" t="n">
        <f aca="false">PL!E69*(PL!E70+cpu_r*v_cpu*PL!E72)*PL!E68</f>
        <v>33.307809184008</v>
      </c>
      <c r="E19" s="23" t="n">
        <f aca="false">PL!F69*(PL!F70+cpu_r*v_cpu*PL!F72)*PL!F68</f>
        <v>45.8537506433177</v>
      </c>
      <c r="F19" s="23" t="n">
        <f aca="false">PL!G69*(PL!G70+cpu_r*v_cpu*PL!G72)*PL!G68</f>
        <v>52.7242284088818</v>
      </c>
      <c r="G19" s="7" t="s">
        <v>659</v>
      </c>
    </row>
    <row r="20" customFormat="false" ht="17.15" hidden="false" customHeight="false" outlineLevel="0" collapsed="false">
      <c r="A20" s="3" t="s">
        <v>660</v>
      </c>
      <c r="B20" s="0" t="s">
        <v>661</v>
      </c>
      <c r="C20" s="22" t="n">
        <f aca="false">PL!D73</f>
        <v>140.7256983456</v>
      </c>
      <c r="D20" s="22" t="n">
        <f aca="false">PL!E73</f>
        <v>486.703057357198</v>
      </c>
      <c r="E20" s="22" t="n">
        <f aca="false">PL!F73</f>
        <v>702.872492003998</v>
      </c>
      <c r="F20" s="22" t="n">
        <f aca="false">PL!G73</f>
        <v>902.463042932027</v>
      </c>
    </row>
    <row r="21" customFormat="false" ht="17.15" hidden="false" customHeight="false" outlineLevel="0" collapsed="false">
      <c r="A21" s="3" t="s">
        <v>662</v>
      </c>
      <c r="B21" s="0" t="s">
        <v>379</v>
      </c>
      <c r="C21" s="23" t="n">
        <f aca="false">PL!D83</f>
        <v>5.714709</v>
      </c>
      <c r="D21" s="23" t="n">
        <f aca="false">PL!E83</f>
        <v>15.1062669325995</v>
      </c>
      <c r="E21" s="23" t="n">
        <f aca="false">PL!F83</f>
        <v>21.6818267247979</v>
      </c>
      <c r="F21" s="23" t="n">
        <f aca="false">PL!G83</f>
        <v>28.7864362720566</v>
      </c>
    </row>
    <row r="22" customFormat="false" ht="17.15" hidden="false" customHeight="false" outlineLevel="0" collapsed="false">
      <c r="A22" s="3" t="s">
        <v>663</v>
      </c>
      <c r="B22" s="0" t="s">
        <v>43</v>
      </c>
      <c r="C22" s="24" t="n">
        <f aca="false">PL!D83/fx/itc_26</f>
        <v>0.000228406244088047</v>
      </c>
      <c r="D22" s="24" t="n">
        <f aca="false">PL!E83/fx/itc_27</f>
        <v>0.000301575265367958</v>
      </c>
      <c r="E22" s="24" t="n">
        <f aca="false">PL!F83/fx/itc_28</f>
        <v>0.000341465209816089</v>
      </c>
      <c r="F22" s="24" t="n">
        <f aca="false">PL!G83/fx/itc_29</f>
        <v>0.000397973811135904</v>
      </c>
      <c r="G22" s="7" t="s">
        <v>664</v>
      </c>
    </row>
    <row r="23" customFormat="false" ht="17.15" hidden="false" customHeight="false" outlineLevel="0" collapsed="false">
      <c r="A23" s="3" t="s">
        <v>665</v>
      </c>
      <c r="B23" s="0" t="s">
        <v>661</v>
      </c>
      <c r="C23" s="22" t="n">
        <f aca="false">PL!D83/fx/itc_26*37.59*1000</f>
        <v>8.5857907152697</v>
      </c>
      <c r="D23" s="22" t="n">
        <f aca="false">PL!E83/fx/itc_27*37.59*1000</f>
        <v>11.3362142251815</v>
      </c>
      <c r="E23" s="22" t="n">
        <f aca="false">PL!F83/fx/itc_28*37.59*1000</f>
        <v>12.8356772369868</v>
      </c>
      <c r="F23" s="22" t="n">
        <f aca="false">PL!G83/fx/itc_29*37.59*1000</f>
        <v>14.9598355605986</v>
      </c>
      <c r="G23" s="7" t="s">
        <v>666</v>
      </c>
    </row>
    <row r="25" customFormat="false" ht="17.15" hidden="false" customHeight="false" outlineLevel="0" collapsed="false">
      <c r="A25" s="1" t="s">
        <v>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668</v>
      </c>
    </row>
    <row r="2" customFormat="false" ht="17.15" hidden="false" customHeight="false" outlineLevel="0" collapsed="false">
      <c r="A2" s="3" t="s">
        <v>669</v>
      </c>
    </row>
    <row r="3" customFormat="false" ht="17.15" hidden="false" customHeight="false" outlineLevel="0" collapsed="false">
      <c r="A3" s="4" t="s">
        <v>670</v>
      </c>
      <c r="B3" s="4" t="s">
        <v>21</v>
      </c>
      <c r="C3" s="13" t="s">
        <v>567</v>
      </c>
      <c r="D3" s="13" t="s">
        <v>671</v>
      </c>
      <c r="E3" s="13" t="s">
        <v>672</v>
      </c>
      <c r="F3" s="13" t="s">
        <v>673</v>
      </c>
      <c r="G3" s="13" t="s">
        <v>674</v>
      </c>
      <c r="H3" s="13" t="s">
        <v>675</v>
      </c>
      <c r="I3" s="13" t="s">
        <v>676</v>
      </c>
      <c r="J3" s="13" t="s">
        <v>677</v>
      </c>
      <c r="K3" s="4" t="s">
        <v>631</v>
      </c>
    </row>
    <row r="4" customFormat="false" ht="17.15" hidden="false" customHeight="false" outlineLevel="0" collapsed="false">
      <c r="A4" s="1" t="s">
        <v>678</v>
      </c>
    </row>
    <row r="5" customFormat="false" ht="15" hidden="false" customHeight="false" outlineLevel="0" collapsed="false">
      <c r="A5" s="3" t="s">
        <v>574</v>
      </c>
      <c r="B5" s="0" t="s">
        <v>379</v>
      </c>
      <c r="C5" s="23" t="n">
        <f aca="false">C88</f>
        <v>39.351</v>
      </c>
      <c r="D5" s="23" t="n">
        <f aca="false">D88</f>
        <v>54.4258</v>
      </c>
      <c r="E5" s="23" t="n">
        <f aca="false">E88</f>
        <v>72.033987284</v>
      </c>
      <c r="F5" s="23" t="n">
        <f aca="false">F88</f>
        <v>84.1022463502375</v>
      </c>
      <c r="G5" s="23" t="n">
        <f aca="false">G88</f>
        <v>96.1130701345114</v>
      </c>
      <c r="H5" s="25" t="n">
        <f aca="false">H88</f>
        <v>107.186075216063</v>
      </c>
      <c r="I5" s="25" t="n">
        <f aca="false">I88</f>
        <v>116.576010002736</v>
      </c>
      <c r="J5" s="25" t="n">
        <f aca="false">J88</f>
        <v>123.5705706029</v>
      </c>
    </row>
    <row r="6" customFormat="false" ht="15" hidden="false" customHeight="false" outlineLevel="0" collapsed="false">
      <c r="A6" s="3" t="s">
        <v>679</v>
      </c>
      <c r="B6" s="0" t="s">
        <v>43</v>
      </c>
      <c r="D6" s="20" t="n">
        <f aca="false">D90</f>
        <v>0.383085563263958</v>
      </c>
      <c r="E6" s="20" t="n">
        <f aca="false">E90</f>
        <v>0.323526476119781</v>
      </c>
      <c r="F6" s="20" t="n">
        <f aca="false">F90</f>
        <v>0.167535624796909</v>
      </c>
      <c r="G6" s="20" t="n">
        <f aca="false">G90</f>
        <v>0.142812163830389</v>
      </c>
      <c r="H6" s="26" t="n">
        <f aca="false">H90</f>
        <v>0.115208109220259</v>
      </c>
      <c r="I6" s="26" t="n">
        <f aca="false">I90</f>
        <v>0.0876040546101297</v>
      </c>
      <c r="J6" s="26" t="n">
        <f aca="false">J90</f>
        <v>0.06</v>
      </c>
    </row>
    <row r="7" customFormat="false" ht="17.15" hidden="false" customHeight="false" outlineLevel="0" collapsed="false">
      <c r="A7" s="0" t="s">
        <v>680</v>
      </c>
      <c r="B7" s="0" t="s">
        <v>379</v>
      </c>
      <c r="D7" s="23" t="n">
        <f aca="false">D81</f>
        <v>22.858836</v>
      </c>
      <c r="E7" s="23" t="n">
        <f aca="false">E81</f>
        <v>33.122453364</v>
      </c>
      <c r="F7" s="23" t="n">
        <f aca="false">F81</f>
        <v>41.2995590382375</v>
      </c>
      <c r="G7" s="23" t="n">
        <f aca="false">G81</f>
        <v>50.6680379569114</v>
      </c>
    </row>
    <row r="8" customFormat="false" ht="17.15" hidden="false" customHeight="false" outlineLevel="0" collapsed="false">
      <c r="A8" s="0" t="s">
        <v>681</v>
      </c>
      <c r="B8" s="0" t="s">
        <v>379</v>
      </c>
      <c r="D8" s="23" t="n">
        <f aca="false">D83</f>
        <v>5.714709</v>
      </c>
      <c r="E8" s="23" t="n">
        <f aca="false">E83</f>
        <v>15.1062669325995</v>
      </c>
      <c r="F8" s="23" t="n">
        <f aca="false">F83</f>
        <v>21.6818267247979</v>
      </c>
      <c r="G8" s="23" t="n">
        <f aca="false">G83</f>
        <v>28.7864362720566</v>
      </c>
    </row>
    <row r="9" customFormat="false" ht="17.15" hidden="false" customHeight="false" outlineLevel="0" collapsed="false">
      <c r="A9" s="0" t="s">
        <v>682</v>
      </c>
      <c r="B9" s="0" t="s">
        <v>43</v>
      </c>
      <c r="D9" s="20" t="n">
        <f aca="false">D82</f>
        <v>1</v>
      </c>
      <c r="E9" s="20" t="n">
        <f aca="false">E82</f>
        <v>0.862072490215205</v>
      </c>
      <c r="F9" s="20" t="n">
        <f aca="false">F82</f>
        <v>0.885571962422065</v>
      </c>
      <c r="G9" s="20" t="n">
        <f aca="false">G82</f>
        <v>0.931854907830698</v>
      </c>
    </row>
    <row r="10" customFormat="false" ht="15" hidden="false" customHeight="false" outlineLevel="0" collapsed="false">
      <c r="A10" s="3" t="s">
        <v>581</v>
      </c>
      <c r="B10" s="0" t="s">
        <v>43</v>
      </c>
      <c r="C10" s="16" t="n">
        <f aca="false">C99</f>
        <v>0.211277985311682</v>
      </c>
      <c r="D10" s="16" t="n">
        <f aca="false">D99</f>
        <v>0.281640986443929</v>
      </c>
      <c r="E10" s="16" t="n">
        <f aca="false">E99</f>
        <v>0.3552567629931</v>
      </c>
      <c r="F10" s="16" t="n">
        <f aca="false">F99</f>
        <v>0.361751881679993</v>
      </c>
      <c r="G10" s="16" t="n">
        <f aca="false">G99</f>
        <v>0.366507868252124</v>
      </c>
    </row>
    <row r="11" customFormat="false" ht="15" hidden="false" customHeight="false" outlineLevel="0" collapsed="false">
      <c r="A11" s="3" t="s">
        <v>683</v>
      </c>
      <c r="B11" s="0" t="s">
        <v>379</v>
      </c>
      <c r="C11" s="23" t="n">
        <f aca="false">C95</f>
        <v>7.158</v>
      </c>
      <c r="D11" s="23" t="n">
        <f aca="false">D95</f>
        <v>8.32</v>
      </c>
      <c r="E11" s="23" t="n">
        <f aca="false">E95</f>
        <v>8.655</v>
      </c>
      <c r="F11" s="23" t="n">
        <f aca="false">F95</f>
        <v>9.698125</v>
      </c>
      <c r="G11" s="23" t="n">
        <f aca="false">G95</f>
        <v>10.485859375</v>
      </c>
      <c r="H11" s="25" t="n">
        <f aca="false">H95</f>
        <v>11.6939154071433</v>
      </c>
      <c r="I11" s="25" t="n">
        <f aca="false">I95</f>
        <v>12.7183498110769</v>
      </c>
      <c r="J11" s="25" t="n">
        <f aca="false">J95</f>
        <v>13.4814507997415</v>
      </c>
    </row>
    <row r="12" customFormat="false" ht="15" hidden="false" customHeight="false" outlineLevel="0" collapsed="false">
      <c r="A12" s="3" t="s">
        <v>684</v>
      </c>
      <c r="B12" s="0" t="s">
        <v>43</v>
      </c>
      <c r="C12" s="16" t="n">
        <f aca="false">C102</f>
        <v>0.0678508805367081</v>
      </c>
      <c r="D12" s="16" t="n">
        <f aca="false">D102</f>
        <v>0.161470773052486</v>
      </c>
      <c r="E12" s="16" t="n">
        <f aca="false">E102</f>
        <v>0.246836445466854</v>
      </c>
      <c r="F12" s="16" t="n">
        <f aca="false">F102</f>
        <v>0.259554677265383</v>
      </c>
      <c r="G12" s="16" t="n">
        <f aca="false">G102</f>
        <v>0.269419116254033</v>
      </c>
    </row>
    <row r="13" customFormat="false" ht="15" hidden="false" customHeight="false" outlineLevel="0" collapsed="false">
      <c r="A13" s="3" t="s">
        <v>599</v>
      </c>
      <c r="B13" s="0" t="s">
        <v>379</v>
      </c>
      <c r="C13" s="23" t="n">
        <f aca="false">C108</f>
        <v>1.596</v>
      </c>
      <c r="D13" s="23" t="n">
        <f aca="false">D108</f>
        <v>6.96140537512203</v>
      </c>
      <c r="E13" s="23" t="n">
        <f aca="false">E108</f>
        <v>14.4281943887461</v>
      </c>
      <c r="F13" s="23" t="n">
        <f aca="false">F108</f>
        <v>17.8338157212832</v>
      </c>
      <c r="G13" s="23" t="n">
        <f aca="false">G108</f>
        <v>21.238732695931</v>
      </c>
      <c r="H13" s="25" t="n">
        <f aca="false">H108</f>
        <v>23.6856069320637</v>
      </c>
      <c r="I13" s="25" t="n">
        <f aca="false">I108</f>
        <v>25.7605621352142</v>
      </c>
      <c r="J13" s="25" t="n">
        <f aca="false">J108</f>
        <v>27.3061958633271</v>
      </c>
    </row>
    <row r="14" customFormat="false" ht="15" hidden="false" customHeight="false" outlineLevel="0" collapsed="false">
      <c r="A14" s="3" t="s">
        <v>685</v>
      </c>
      <c r="B14" s="0" t="s">
        <v>43</v>
      </c>
      <c r="C14" s="16" t="n">
        <f aca="false">C112</f>
        <v>0.0405580544331783</v>
      </c>
      <c r="D14" s="16" t="n">
        <f aca="false">D112</f>
        <v>0.127906349105057</v>
      </c>
      <c r="E14" s="16" t="n">
        <f aca="false">E112</f>
        <v>0.20029703939422</v>
      </c>
      <c r="F14" s="16" t="n">
        <f aca="false">F112</f>
        <v>0.212049219791534</v>
      </c>
      <c r="G14" s="16" t="n">
        <f aca="false">G112</f>
        <v>0.220976529687452</v>
      </c>
      <c r="H14" s="27" t="n">
        <f aca="false">H112</f>
        <v>0.220976529687452</v>
      </c>
      <c r="I14" s="27" t="n">
        <f aca="false">I112</f>
        <v>0.220976529687452</v>
      </c>
      <c r="J14" s="27" t="n">
        <f aca="false">J112</f>
        <v>0.220976529687452</v>
      </c>
    </row>
    <row r="15" customFormat="false" ht="15" hidden="false" customHeight="false" outlineLevel="0" collapsed="false">
      <c r="A15" s="0" t="s">
        <v>686</v>
      </c>
      <c r="B15" s="0" t="s">
        <v>471</v>
      </c>
      <c r="C15" s="18" t="n">
        <f aca="false">C110</f>
        <v>3.51</v>
      </c>
      <c r="D15" s="18" t="n">
        <f aca="false">D110</f>
        <v>13.6943608612652</v>
      </c>
      <c r="E15" s="18" t="n">
        <f aca="false">E110</f>
        <v>27.3826543218881</v>
      </c>
      <c r="F15" s="18" t="n">
        <f aca="false">F110</f>
        <v>33.8460376938817</v>
      </c>
      <c r="G15" s="18" t="n">
        <f aca="false">G110</f>
        <v>40.3080842950997</v>
      </c>
      <c r="H15" s="28" t="n">
        <f aca="false">H110</f>
        <v>44.9519024730289</v>
      </c>
      <c r="I15" s="28" t="n">
        <f aca="false">I110</f>
        <v>48.8898713921054</v>
      </c>
      <c r="J15" s="28" t="n">
        <f aca="false">J110</f>
        <v>51.8232636756317</v>
      </c>
    </row>
    <row r="16" customFormat="false" ht="17.15" hidden="false" customHeight="false" outlineLevel="0" collapsed="false">
      <c r="A16" s="0" t="s">
        <v>687</v>
      </c>
      <c r="B16" s="0" t="s">
        <v>43</v>
      </c>
      <c r="D16" s="20" t="n">
        <f aca="false">D111</f>
        <v>2.90152731090177</v>
      </c>
      <c r="E16" s="20" t="n">
        <f aca="false">E111</f>
        <v>0.999556941670828</v>
      </c>
      <c r="F16" s="20" t="n">
        <f aca="false">F111</f>
        <v>0.236039329716372</v>
      </c>
      <c r="G16" s="20" t="n">
        <f aca="false">G111</f>
        <v>0.190924759337076</v>
      </c>
      <c r="H16" s="26" t="n">
        <f aca="false">H111</f>
        <v>0.115208109220259</v>
      </c>
      <c r="I16" s="26" t="n">
        <f aca="false">I111</f>
        <v>0.0876040546101298</v>
      </c>
      <c r="J16" s="26" t="n">
        <f aca="false">J111</f>
        <v>0.0600000000000001</v>
      </c>
    </row>
    <row r="18" customFormat="false" ht="17.15" hidden="false" customHeight="false" outlineLevel="0" collapsed="false">
      <c r="A18" s="1" t="s">
        <v>688</v>
      </c>
    </row>
    <row r="19" customFormat="false" ht="15" hidden="false" customHeight="false" outlineLevel="0" collapsed="false">
      <c r="A19" s="3" t="s">
        <v>574</v>
      </c>
      <c r="B19" s="0" t="s">
        <v>379</v>
      </c>
      <c r="C19" s="23" t="n">
        <f aca="false">C146</f>
        <v>39.351</v>
      </c>
      <c r="D19" s="23" t="n">
        <f aca="false">D146</f>
        <v>54.4258</v>
      </c>
      <c r="E19" s="23" t="n">
        <f aca="false">E146</f>
        <v>70.172710164</v>
      </c>
      <c r="F19" s="23" t="n">
        <f aca="false">F146</f>
        <v>80.6588836782375</v>
      </c>
      <c r="G19" s="23" t="n">
        <f aca="false">G146</f>
        <v>90.982779915881</v>
      </c>
      <c r="H19" s="25" t="n">
        <f aca="false">H146</f>
        <v>99.9594159992298</v>
      </c>
      <c r="I19" s="25" t="n">
        <f aca="false">I146</f>
        <v>106.889753385877</v>
      </c>
      <c r="J19" s="25" t="n">
        <f aca="false">J146</f>
        <v>111.165343521312</v>
      </c>
    </row>
    <row r="20" customFormat="false" ht="15" hidden="false" customHeight="false" outlineLevel="0" collapsed="false">
      <c r="A20" s="3" t="s">
        <v>679</v>
      </c>
      <c r="B20" s="0" t="s">
        <v>43</v>
      </c>
      <c r="D20" s="20" t="n">
        <f aca="false">D148</f>
        <v>0.383085563263958</v>
      </c>
      <c r="E20" s="20" t="n">
        <f aca="false">E148</f>
        <v>0.289328042288767</v>
      </c>
      <c r="F20" s="20" t="n">
        <f aca="false">F148</f>
        <v>0.149433782587709</v>
      </c>
      <c r="G20" s="20" t="n">
        <f aca="false">G148</f>
        <v>0.127994534102744</v>
      </c>
      <c r="H20" s="26" t="n">
        <f aca="false">H148</f>
        <v>0.0986630227351628</v>
      </c>
      <c r="I20" s="26" t="n">
        <f aca="false">I148</f>
        <v>0.0693315113675814</v>
      </c>
      <c r="J20" s="26" t="n">
        <f aca="false">J148</f>
        <v>0.04</v>
      </c>
    </row>
    <row r="21" customFormat="false" ht="17.15" hidden="false" customHeight="false" outlineLevel="0" collapsed="false">
      <c r="A21" s="0" t="s">
        <v>680</v>
      </c>
      <c r="B21" s="0" t="s">
        <v>379</v>
      </c>
      <c r="D21" s="23" t="n">
        <f aca="false">D139</f>
        <v>22.858836</v>
      </c>
      <c r="E21" s="23" t="n">
        <f aca="false">E139</f>
        <v>33.122453364</v>
      </c>
      <c r="F21" s="23" t="n">
        <f aca="false">F139</f>
        <v>41.2995590382375</v>
      </c>
      <c r="G21" s="23" t="n">
        <f aca="false">G139</f>
        <v>49.739580836681</v>
      </c>
    </row>
    <row r="22" customFormat="false" ht="17.15" hidden="false" customHeight="false" outlineLevel="0" collapsed="false">
      <c r="A22" s="0" t="s">
        <v>681</v>
      </c>
      <c r="B22" s="0" t="s">
        <v>379</v>
      </c>
      <c r="D22" s="23" t="n">
        <f aca="false">D141</f>
        <v>5.714709</v>
      </c>
      <c r="E22" s="23" t="n">
        <f aca="false">E141</f>
        <v>15.1062669325995</v>
      </c>
      <c r="F22" s="23" t="n">
        <f aca="false">F141</f>
        <v>19.3803574508871</v>
      </c>
      <c r="G22" s="23" t="n">
        <f aca="false">G141</f>
        <v>26.2578118391942</v>
      </c>
    </row>
    <row r="23" customFormat="false" ht="17.15" hidden="false" customHeight="false" outlineLevel="0" collapsed="false">
      <c r="A23" s="0" t="s">
        <v>682</v>
      </c>
      <c r="B23" s="0" t="s">
        <v>43</v>
      </c>
      <c r="D23" s="20" t="n">
        <f aca="false">D140</f>
        <v>1</v>
      </c>
      <c r="E23" s="20" t="n">
        <f aca="false">E140</f>
        <v>0.862072490215205</v>
      </c>
      <c r="F23" s="20" t="n">
        <f aca="false">F140</f>
        <v>0.989463514655909</v>
      </c>
      <c r="G23" s="20" t="n">
        <f aca="false">G140</f>
        <v>1</v>
      </c>
    </row>
    <row r="24" customFormat="false" ht="15" hidden="false" customHeight="false" outlineLevel="0" collapsed="false">
      <c r="A24" s="3" t="s">
        <v>581</v>
      </c>
      <c r="B24" s="0" t="s">
        <v>43</v>
      </c>
      <c r="C24" s="16" t="n">
        <f aca="false">C157</f>
        <v>0.211277985311682</v>
      </c>
      <c r="D24" s="16" t="n">
        <f aca="false">D157</f>
        <v>0.281640986443929</v>
      </c>
      <c r="E24" s="16" t="n">
        <f aca="false">E157</f>
        <v>0.352743771562336</v>
      </c>
      <c r="F24" s="16" t="n">
        <f aca="false">F157</f>
        <v>0.358637468682121</v>
      </c>
      <c r="G24" s="16" t="n">
        <f aca="false">G157</f>
        <v>0.361966816584456</v>
      </c>
    </row>
    <row r="25" customFormat="false" ht="15" hidden="false" customHeight="false" outlineLevel="0" collapsed="false">
      <c r="A25" s="3" t="s">
        <v>683</v>
      </c>
      <c r="B25" s="0" t="s">
        <v>379</v>
      </c>
      <c r="C25" s="23" t="n">
        <f aca="false">C153</f>
        <v>7.158</v>
      </c>
      <c r="D25" s="23" t="n">
        <f aca="false">D153</f>
        <v>8.32</v>
      </c>
      <c r="E25" s="23" t="n">
        <f aca="false">E153</f>
        <v>8.655</v>
      </c>
      <c r="F25" s="23" t="n">
        <f aca="false">F153</f>
        <v>9.698125</v>
      </c>
      <c r="G25" s="23" t="n">
        <f aca="false">G153</f>
        <v>10.485859375</v>
      </c>
      <c r="H25" s="25" t="n">
        <f aca="false">H153</f>
        <v>11.5204259569133</v>
      </c>
      <c r="I25" s="25" t="n">
        <f aca="false">I153</f>
        <v>12.3191545001045</v>
      </c>
      <c r="J25" s="25" t="n">
        <f aca="false">J153</f>
        <v>12.8119206801086</v>
      </c>
    </row>
    <row r="26" customFormat="false" ht="15" hidden="false" customHeight="false" outlineLevel="0" collapsed="false">
      <c r="A26" s="3" t="s">
        <v>684</v>
      </c>
      <c r="B26" s="0" t="s">
        <v>43</v>
      </c>
      <c r="C26" s="16" t="n">
        <f aca="false">C160</f>
        <v>0.0678508805367081</v>
      </c>
      <c r="D26" s="16" t="n">
        <f aca="false">D160</f>
        <v>0.161470773052486</v>
      </c>
      <c r="E26" s="16" t="n">
        <f aca="false">E160</f>
        <v>0.243360142016614</v>
      </c>
      <c r="F26" s="16" t="n">
        <f aca="false">F160</f>
        <v>0.254942069207171</v>
      </c>
      <c r="G26" s="16" t="n">
        <f aca="false">G160</f>
        <v>0.262977980463539</v>
      </c>
    </row>
    <row r="27" customFormat="false" ht="15" hidden="false" customHeight="false" outlineLevel="0" collapsed="false">
      <c r="A27" s="3" t="s">
        <v>599</v>
      </c>
      <c r="B27" s="0" t="s">
        <v>379</v>
      </c>
      <c r="C27" s="23" t="n">
        <f aca="false">C166</f>
        <v>1.596</v>
      </c>
      <c r="D27" s="23" t="n">
        <f aca="false">D166</f>
        <v>6.96140537512203</v>
      </c>
      <c r="E27" s="23" t="n">
        <f aca="false">E166</f>
        <v>13.8092264454949</v>
      </c>
      <c r="F27" s="23" t="n">
        <f aca="false">F166</f>
        <v>16.7199216618871</v>
      </c>
      <c r="G27" s="23" t="n">
        <f aca="false">G166</f>
        <v>19.5066896826898</v>
      </c>
      <c r="H27" s="25" t="n">
        <f aca="false">H166</f>
        <v>20.7169026953295</v>
      </c>
      <c r="I27" s="25" t="n">
        <f aca="false">I166</f>
        <v>21.3893321503948</v>
      </c>
      <c r="J27" s="25" t="n">
        <f aca="false">J166</f>
        <v>21.4504445279674</v>
      </c>
    </row>
    <row r="28" customFormat="false" ht="15" hidden="false" customHeight="false" outlineLevel="0" collapsed="false">
      <c r="A28" s="3" t="s">
        <v>685</v>
      </c>
      <c r="B28" s="0" t="s">
        <v>43</v>
      </c>
      <c r="C28" s="16" t="n">
        <f aca="false">C170</f>
        <v>0.0405580544331783</v>
      </c>
      <c r="D28" s="16" t="n">
        <f aca="false">D170</f>
        <v>0.127906349105057</v>
      </c>
      <c r="E28" s="16" t="n">
        <f aca="false">E170</f>
        <v>0.196789128041678</v>
      </c>
      <c r="F28" s="16" t="n">
        <f aca="false">F170</f>
        <v>0.207291756337539</v>
      </c>
      <c r="G28" s="16" t="n">
        <f aca="false">G170</f>
        <v>0.21439979851929</v>
      </c>
      <c r="H28" s="27" t="n">
        <f aca="false">H170</f>
        <v>0.207253138568647</v>
      </c>
      <c r="I28" s="27" t="n">
        <f aca="false">I170</f>
        <v>0.200106478618004</v>
      </c>
      <c r="J28" s="27" t="n">
        <f aca="false">J170</f>
        <v>0.192959818667361</v>
      </c>
    </row>
    <row r="29" customFormat="false" ht="15" hidden="false" customHeight="false" outlineLevel="0" collapsed="false">
      <c r="A29" s="0" t="s">
        <v>686</v>
      </c>
      <c r="B29" s="0" t="s">
        <v>471</v>
      </c>
      <c r="C29" s="18" t="n">
        <f aca="false">C168</f>
        <v>3.51</v>
      </c>
      <c r="D29" s="18" t="n">
        <f aca="false">D168</f>
        <v>13.6943608612652</v>
      </c>
      <c r="E29" s="18" t="n">
        <f aca="false">E168</f>
        <v>26.2079414805089</v>
      </c>
      <c r="F29" s="18" t="n">
        <f aca="false">F168</f>
        <v>31.7320257005695</v>
      </c>
      <c r="G29" s="18" t="n">
        <f aca="false">G168</f>
        <v>37.0209137854469</v>
      </c>
      <c r="H29" s="28" t="n">
        <f aca="false">H168</f>
        <v>39.3177254091391</v>
      </c>
      <c r="I29" s="28" t="n">
        <f aca="false">I168</f>
        <v>40.5939005720044</v>
      </c>
      <c r="J29" s="28" t="n">
        <f aca="false">J168</f>
        <v>40.7098831450672</v>
      </c>
    </row>
    <row r="30" customFormat="false" ht="17.15" hidden="false" customHeight="false" outlineLevel="0" collapsed="false">
      <c r="A30" s="0" t="s">
        <v>687</v>
      </c>
      <c r="B30" s="0" t="s">
        <v>43</v>
      </c>
      <c r="D30" s="20" t="n">
        <f aca="false">D169</f>
        <v>2.90152731090177</v>
      </c>
      <c r="E30" s="20" t="n">
        <f aca="false">E169</f>
        <v>0.913776170061255</v>
      </c>
      <c r="F30" s="20" t="n">
        <f aca="false">F169</f>
        <v>0.210779019945881</v>
      </c>
      <c r="G30" s="20" t="n">
        <f aca="false">G169</f>
        <v>0.166673509431276</v>
      </c>
      <c r="H30" s="26" t="n">
        <f aca="false">H169</f>
        <v>0.0620409219773239</v>
      </c>
      <c r="I30" s="26" t="n">
        <f aca="false">I169</f>
        <v>0.0324580109755961</v>
      </c>
      <c r="J30" s="26" t="n">
        <f aca="false">J169</f>
        <v>0.00285714285714289</v>
      </c>
    </row>
    <row r="32" customFormat="false" ht="17.15" hidden="false" customHeight="false" outlineLevel="0" collapsed="false">
      <c r="A32" s="1" t="s">
        <v>689</v>
      </c>
    </row>
    <row r="33" customFormat="false" ht="15" hidden="false" customHeight="false" outlineLevel="0" collapsed="false">
      <c r="A33" s="3" t="s">
        <v>574</v>
      </c>
      <c r="B33" s="0" t="s">
        <v>379</v>
      </c>
      <c r="C33" s="23" t="n">
        <f aca="false">C204</f>
        <v>39.351</v>
      </c>
      <c r="D33" s="23" t="n">
        <f aca="false">D204</f>
        <v>54.4258</v>
      </c>
      <c r="E33" s="23" t="n">
        <f aca="false">E204</f>
        <v>68.311433044</v>
      </c>
      <c r="F33" s="23" t="n">
        <f aca="false">F204</f>
        <v>72.9447515220518</v>
      </c>
      <c r="G33" s="23" t="n">
        <f aca="false">G204</f>
        <v>78.3414692912239</v>
      </c>
      <c r="H33" s="25" t="n">
        <f aca="false">H204</f>
        <v>82.7277367926412</v>
      </c>
      <c r="I33" s="25" t="n">
        <f aca="false">I204</f>
        <v>85.8709394721702</v>
      </c>
      <c r="J33" s="25" t="n">
        <f aca="false">J204</f>
        <v>87.5883582616136</v>
      </c>
    </row>
    <row r="34" customFormat="false" ht="15" hidden="false" customHeight="false" outlineLevel="0" collapsed="false">
      <c r="A34" s="3" t="s">
        <v>679</v>
      </c>
      <c r="B34" s="0" t="s">
        <v>43</v>
      </c>
      <c r="D34" s="20" t="n">
        <f aca="false">D206</f>
        <v>0.383085563263958</v>
      </c>
      <c r="E34" s="20" t="n">
        <f aca="false">E206</f>
        <v>0.255129608457753</v>
      </c>
      <c r="F34" s="20" t="n">
        <f aca="false">F206</f>
        <v>0.0678263984751637</v>
      </c>
      <c r="G34" s="20" t="n">
        <f aca="false">G206</f>
        <v>0.0739836335934407</v>
      </c>
      <c r="H34" s="26" t="n">
        <f aca="false">H206</f>
        <v>0.0559890890622938</v>
      </c>
      <c r="I34" s="26" t="n">
        <f aca="false">I206</f>
        <v>0.0379945445311469</v>
      </c>
      <c r="J34" s="26" t="n">
        <f aca="false">J206</f>
        <v>0.02</v>
      </c>
    </row>
    <row r="35" customFormat="false" ht="17.15" hidden="false" customHeight="false" outlineLevel="0" collapsed="false">
      <c r="A35" s="0" t="s">
        <v>680</v>
      </c>
      <c r="B35" s="0" t="s">
        <v>379</v>
      </c>
      <c r="D35" s="23" t="n">
        <f aca="false">D197</f>
        <v>22.858836</v>
      </c>
      <c r="E35" s="23" t="n">
        <f aca="false">E197</f>
        <v>33.122453364</v>
      </c>
      <c r="F35" s="23" t="n">
        <f aca="false">F197</f>
        <v>36.8426618420518</v>
      </c>
      <c r="G35" s="23" t="n">
        <f aca="false">G197</f>
        <v>42.0166950016239</v>
      </c>
    </row>
    <row r="36" customFormat="false" ht="17.15" hidden="false" customHeight="false" outlineLevel="0" collapsed="false">
      <c r="A36" s="0" t="s">
        <v>681</v>
      </c>
      <c r="B36" s="0" t="s">
        <v>379</v>
      </c>
      <c r="D36" s="23" t="n">
        <f aca="false">D199</f>
        <v>5.714709</v>
      </c>
      <c r="E36" s="23" t="n">
        <f aca="false">E199</f>
        <v>15.1062669325995</v>
      </c>
      <c r="F36" s="23" t="n">
        <f aca="false">F199</f>
        <v>14.6900495802718</v>
      </c>
      <c r="G36" s="23" t="n">
        <f aca="false">G199</f>
        <v>18.5349260041371</v>
      </c>
    </row>
    <row r="37" customFormat="false" ht="17.15" hidden="false" customHeight="false" outlineLevel="0" collapsed="false">
      <c r="A37" s="0" t="s">
        <v>682</v>
      </c>
      <c r="B37" s="0" t="s">
        <v>43</v>
      </c>
      <c r="D37" s="20" t="n">
        <f aca="false">D198</f>
        <v>1</v>
      </c>
      <c r="E37" s="20" t="n">
        <f aca="false">E198</f>
        <v>0.862072490215205</v>
      </c>
      <c r="F37" s="20" t="n">
        <f aca="false">F198</f>
        <v>1</v>
      </c>
      <c r="G37" s="20" t="n">
        <f aca="false">G198</f>
        <v>1</v>
      </c>
    </row>
    <row r="38" customFormat="false" ht="15" hidden="false" customHeight="false" outlineLevel="0" collapsed="false">
      <c r="A38" s="3" t="s">
        <v>581</v>
      </c>
      <c r="B38" s="0" t="s">
        <v>43</v>
      </c>
      <c r="C38" s="16" t="n">
        <f aca="false">C215</f>
        <v>0.211277985311682</v>
      </c>
      <c r="D38" s="16" t="n">
        <f aca="false">D215</f>
        <v>0.281640986443929</v>
      </c>
      <c r="E38" s="16" t="n">
        <f aca="false">E215</f>
        <v>0.350093837507345</v>
      </c>
      <c r="F38" s="16" t="n">
        <f aca="false">F215</f>
        <v>0.343407243254954</v>
      </c>
      <c r="G38" s="16" t="n">
        <f aca="false">G215</f>
        <v>0.341165836993338</v>
      </c>
    </row>
    <row r="39" customFormat="false" ht="15" hidden="false" customHeight="false" outlineLevel="0" collapsed="false">
      <c r="A39" s="3" t="s">
        <v>683</v>
      </c>
      <c r="B39" s="0" t="s">
        <v>379</v>
      </c>
      <c r="C39" s="23" t="n">
        <f aca="false">C211</f>
        <v>7.158</v>
      </c>
      <c r="D39" s="23" t="n">
        <f aca="false">D211</f>
        <v>8.32</v>
      </c>
      <c r="E39" s="23" t="n">
        <f aca="false">E211</f>
        <v>8.655</v>
      </c>
      <c r="F39" s="23" t="n">
        <f aca="false">F211</f>
        <v>9.698125</v>
      </c>
      <c r="G39" s="23" t="n">
        <f aca="false">G211</f>
        <v>10.485859375</v>
      </c>
      <c r="H39" s="25" t="n">
        <f aca="false">H211</f>
        <v>11.0729530894416</v>
      </c>
      <c r="I39" s="25" t="n">
        <f aca="false">I211</f>
        <v>11.4936648986897</v>
      </c>
      <c r="J39" s="25" t="n">
        <f aca="false">J211</f>
        <v>11.7235381966634</v>
      </c>
    </row>
    <row r="40" customFormat="false" ht="15" hidden="false" customHeight="false" outlineLevel="0" collapsed="false">
      <c r="A40" s="3" t="s">
        <v>684</v>
      </c>
      <c r="B40" s="0" t="s">
        <v>43</v>
      </c>
      <c r="C40" s="16" t="n">
        <f aca="false">C218</f>
        <v>0.0678508805367081</v>
      </c>
      <c r="D40" s="16" t="n">
        <f aca="false">D218</f>
        <v>0.161470773052486</v>
      </c>
      <c r="E40" s="16" t="n">
        <f aca="false">E218</f>
        <v>0.239694401343766</v>
      </c>
      <c r="F40" s="16" t="n">
        <f aca="false">F218</f>
        <v>0.235812755970466</v>
      </c>
      <c r="G40" s="16" t="n">
        <f aca="false">G218</f>
        <v>0.236536099217107</v>
      </c>
    </row>
    <row r="41" customFormat="false" ht="15" hidden="false" customHeight="false" outlineLevel="0" collapsed="false">
      <c r="A41" s="3" t="s">
        <v>599</v>
      </c>
      <c r="B41" s="0" t="s">
        <v>379</v>
      </c>
      <c r="C41" s="23" t="n">
        <f aca="false">C224</f>
        <v>1.596</v>
      </c>
      <c r="D41" s="23" t="n">
        <f aca="false">D224</f>
        <v>6.96140537512203</v>
      </c>
      <c r="E41" s="23" t="n">
        <f aca="false">E224</f>
        <v>13.1902585022438</v>
      </c>
      <c r="F41" s="23" t="n">
        <f aca="false">F224</f>
        <v>13.7613266247975</v>
      </c>
      <c r="G41" s="23" t="n">
        <f aca="false">G224</f>
        <v>14.7583133764741</v>
      </c>
      <c r="H41" s="25" t="n">
        <f aca="false">H224</f>
        <v>14.5456433719509</v>
      </c>
      <c r="I41" s="25" t="n">
        <f aca="false">I224</f>
        <v>14.0198485762963</v>
      </c>
      <c r="J41" s="25" t="n">
        <f aca="false">J224</f>
        <v>13.2002266595282</v>
      </c>
    </row>
    <row r="42" customFormat="false" ht="15" hidden="false" customHeight="false" outlineLevel="0" collapsed="false">
      <c r="A42" s="3" t="s">
        <v>685</v>
      </c>
      <c r="B42" s="0" t="s">
        <v>43</v>
      </c>
      <c r="C42" s="16" t="n">
        <f aca="false">C228</f>
        <v>0.0405580544331783</v>
      </c>
      <c r="D42" s="16" t="n">
        <f aca="false">D228</f>
        <v>0.127906349105057</v>
      </c>
      <c r="E42" s="16" t="n">
        <f aca="false">E228</f>
        <v>0.19309005702966</v>
      </c>
      <c r="F42" s="16" t="n">
        <f aca="false">F228</f>
        <v>0.188654102422123</v>
      </c>
      <c r="G42" s="16" t="n">
        <f aca="false">G228</f>
        <v>0.188384434323182</v>
      </c>
      <c r="H42" s="27" t="n">
        <f aca="false">H228</f>
        <v>0.17582547203497</v>
      </c>
      <c r="I42" s="27" t="n">
        <f aca="false">I228</f>
        <v>0.163266509746758</v>
      </c>
      <c r="J42" s="27" t="n">
        <f aca="false">J228</f>
        <v>0.150707547458546</v>
      </c>
    </row>
    <row r="43" customFormat="false" ht="15" hidden="false" customHeight="false" outlineLevel="0" collapsed="false">
      <c r="A43" s="0" t="s">
        <v>686</v>
      </c>
      <c r="B43" s="0" t="s">
        <v>471</v>
      </c>
      <c r="C43" s="18" t="n">
        <f aca="false">C226</f>
        <v>3.51</v>
      </c>
      <c r="D43" s="18" t="n">
        <f aca="false">D226</f>
        <v>13.6943608612652</v>
      </c>
      <c r="E43" s="18" t="n">
        <f aca="false">E226</f>
        <v>25.0332286391296</v>
      </c>
      <c r="F43" s="18" t="n">
        <f aca="false">F226</f>
        <v>26.1170344552153</v>
      </c>
      <c r="G43" s="18" t="n">
        <f aca="false">G226</f>
        <v>28.0091730589174</v>
      </c>
      <c r="H43" s="28" t="n">
        <f aca="false">H226</f>
        <v>27.6055557342827</v>
      </c>
      <c r="I43" s="28" t="n">
        <f aca="false">I226</f>
        <v>26.6076722330119</v>
      </c>
      <c r="J43" s="28" t="n">
        <f aca="false">J226</f>
        <v>25.0521467793897</v>
      </c>
    </row>
    <row r="44" customFormat="false" ht="17.15" hidden="false" customHeight="false" outlineLevel="0" collapsed="false">
      <c r="A44" s="0" t="s">
        <v>687</v>
      </c>
      <c r="B44" s="0" t="s">
        <v>43</v>
      </c>
      <c r="D44" s="20" t="n">
        <f aca="false">D227</f>
        <v>2.90152731090177</v>
      </c>
      <c r="E44" s="20" t="n">
        <f aca="false">E227</f>
        <v>0.827995398451683</v>
      </c>
      <c r="F44" s="20" t="n">
        <f aca="false">F227</f>
        <v>0.0432946877012737</v>
      </c>
      <c r="G44" s="20" t="n">
        <f aca="false">G227</f>
        <v>0.0724484476576637</v>
      </c>
      <c r="H44" s="26" t="n">
        <f aca="false">H227</f>
        <v>-0.014410183541859</v>
      </c>
      <c r="I44" s="26" t="n">
        <f aca="false">I227</f>
        <v>-0.0361479229353635</v>
      </c>
      <c r="J44" s="26" t="n">
        <f aca="false">J227</f>
        <v>-0.0584615384615383</v>
      </c>
    </row>
    <row r="46" customFormat="false" ht="17.15" hidden="false" customHeight="false" outlineLevel="0" collapsed="false">
      <c r="A46" s="1" t="s">
        <v>690</v>
      </c>
    </row>
    <row r="47" customFormat="false" ht="17.15" hidden="false" customHeight="false" outlineLevel="0" collapsed="false">
      <c r="A47" s="3" t="s">
        <v>691</v>
      </c>
      <c r="D47" s="29" t="n">
        <f aca="false">ABS(D88-a26_rev)+ABS(D146-a26_rev)+ABS(D204-a26_rev)</f>
        <v>0</v>
      </c>
    </row>
    <row r="48" customFormat="false" ht="17.15" hidden="false" customHeight="false" outlineLevel="0" collapsed="false">
      <c r="A48" s="3" t="s">
        <v>692</v>
      </c>
      <c r="D48" s="29" t="n">
        <f aca="false">ABS(D110-a26_eps)+ABS(D168-a26_eps)+ABS(D226-a26_eps)</f>
        <v>0</v>
      </c>
    </row>
    <row r="49" customFormat="false" ht="17.15" hidden="false" customHeight="false" outlineLevel="0" collapsed="false">
      <c r="A49" s="3" t="s">
        <v>693</v>
      </c>
      <c r="D49" s="29" t="n">
        <f aca="false">IF(D77&gt;0,0,1)</f>
        <v>0</v>
      </c>
    </row>
    <row r="60" customFormat="false" ht="17.15" hidden="false" customHeight="false" outlineLevel="0" collapsed="false">
      <c r="A60" s="1" t="s">
        <v>694</v>
      </c>
    </row>
    <row r="61" customFormat="false" ht="17.15" hidden="false" customHeight="false" outlineLevel="0" collapsed="false">
      <c r="A61" s="4" t="s">
        <v>20</v>
      </c>
      <c r="B61" s="4" t="s">
        <v>21</v>
      </c>
      <c r="C61" s="13" t="s">
        <v>567</v>
      </c>
      <c r="D61" s="13" t="s">
        <v>671</v>
      </c>
      <c r="E61" s="13" t="s">
        <v>672</v>
      </c>
      <c r="F61" s="13" t="s">
        <v>673</v>
      </c>
      <c r="G61" s="13" t="s">
        <v>674</v>
      </c>
      <c r="H61" s="13" t="s">
        <v>675</v>
      </c>
      <c r="I61" s="13" t="s">
        <v>676</v>
      </c>
      <c r="J61" s="13" t="s">
        <v>677</v>
      </c>
      <c r="K61" s="4" t="s">
        <v>631</v>
      </c>
    </row>
    <row r="62" customFormat="false" ht="17.15" hidden="false" customHeight="false" outlineLevel="0" collapsed="false">
      <c r="A62" s="5" t="s">
        <v>695</v>
      </c>
    </row>
    <row r="63" customFormat="false" ht="17.15" hidden="false" customHeight="false" outlineLevel="0" collapsed="false">
      <c r="A63" s="0" t="s">
        <v>696</v>
      </c>
      <c r="B63" s="3" t="s">
        <v>31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697</v>
      </c>
    </row>
    <row r="64" customFormat="false" ht="17.15" hidden="false" customHeight="false" outlineLevel="0" collapsed="false">
      <c r="A64" s="3" t="s">
        <v>698</v>
      </c>
      <c r="B64" s="3" t="s">
        <v>31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699</v>
      </c>
    </row>
    <row r="65" customFormat="false" ht="17.15" hidden="false" customHeight="false" outlineLevel="0" collapsed="false">
      <c r="A65" s="0" t="s">
        <v>700</v>
      </c>
      <c r="B65" s="3" t="s">
        <v>31</v>
      </c>
      <c r="D65" s="21" t="n">
        <f aca="false">D63*cpu_r</f>
        <v>3.04</v>
      </c>
      <c r="E65" s="21" t="n">
        <f aca="false">E63*cpu_r</f>
        <v>3.88</v>
      </c>
      <c r="F65" s="21" t="n">
        <f aca="false">F63*cpu_r</f>
        <v>3.8</v>
      </c>
      <c r="G65" s="21" t="n">
        <f aca="false">G63*cpu_r</f>
        <v>4.24</v>
      </c>
      <c r="K65" s="7" t="s">
        <v>701</v>
      </c>
    </row>
    <row r="66" customFormat="false" ht="17.15" hidden="false" customHeight="false" outlineLevel="0" collapsed="false">
      <c r="A66" s="3" t="s">
        <v>702</v>
      </c>
      <c r="B66" s="0" t="s">
        <v>153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703</v>
      </c>
    </row>
    <row r="67" customFormat="false" ht="17.15" hidden="false" customHeight="false" outlineLevel="0" collapsed="false">
      <c r="A67" s="0" t="s">
        <v>704</v>
      </c>
      <c r="B67" s="0" t="s">
        <v>153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705</v>
      </c>
    </row>
    <row r="68" customFormat="false" ht="17.15" hidden="false" customHeight="false" outlineLevel="0" collapsed="false">
      <c r="A68" s="3" t="s">
        <v>706</v>
      </c>
      <c r="B68" s="0" t="s">
        <v>153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707</v>
      </c>
    </row>
    <row r="69" customFormat="false" ht="17.15" hidden="false" customHeight="false" outlineLevel="0" collapsed="false">
      <c r="A69" s="3" t="s">
        <v>708</v>
      </c>
      <c r="B69" s="0" t="s">
        <v>709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710</v>
      </c>
    </row>
    <row r="70" customFormat="false" ht="17.15" hidden="false" customHeight="false" outlineLevel="0" collapsed="false">
      <c r="A70" s="3" t="s">
        <v>711</v>
      </c>
      <c r="B70" s="0" t="s">
        <v>43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712</v>
      </c>
      <c r="B71" s="0" t="s">
        <v>43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713</v>
      </c>
      <c r="B72" s="0" t="s">
        <v>43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714</v>
      </c>
      <c r="B73" s="0" t="s">
        <v>661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486.703057357198</v>
      </c>
      <c r="F73" s="22" t="n">
        <f aca="false">(F63*F69*F70+F64*F69*v_ot*F71+F65*F69*v_cpu*F72)*F68</f>
        <v>702.872492003998</v>
      </c>
      <c r="G73" s="22" t="n">
        <f aca="false">(G63*G69*G70+G64*G69*v_ot*G71+G65*G69*v_cpu*G72)*G68</f>
        <v>902.463042932027</v>
      </c>
    </row>
    <row r="74" customFormat="false" ht="17.15" hidden="false" customHeight="false" outlineLevel="0" collapsed="false">
      <c r="A74" s="3" t="s">
        <v>715</v>
      </c>
      <c r="B74" s="0" t="s">
        <v>379</v>
      </c>
      <c r="D74" s="21" t="n">
        <f aca="false">D73*fx/1000</f>
        <v>4.5032223470592</v>
      </c>
      <c r="E74" s="21" t="n">
        <f aca="false">E73*fx/1000</f>
        <v>15.5744978354303</v>
      </c>
      <c r="F74" s="21" t="n">
        <f aca="false">F73*fx/1000</f>
        <v>22.4919197441279</v>
      </c>
      <c r="G74" s="21" t="n">
        <f aca="false">G73*fx/1000</f>
        <v>28.8788173738249</v>
      </c>
    </row>
    <row r="75" customFormat="false" ht="17.15" hidden="false" customHeight="false" outlineLevel="0" collapsed="false">
      <c r="A75" s="5" t="s">
        <v>716</v>
      </c>
    </row>
    <row r="76" customFormat="false" ht="17.15" hidden="false" customHeight="false" outlineLevel="0" collapsed="false">
      <c r="A76" s="0" t="s">
        <v>717</v>
      </c>
      <c r="B76" s="0" t="s">
        <v>379</v>
      </c>
      <c r="D76" s="21" t="n">
        <f aca="false">a26_abf*ai_abf</f>
        <v>5.714709</v>
      </c>
      <c r="K76" s="3" t="s">
        <v>718</v>
      </c>
    </row>
    <row r="77" customFormat="false" ht="17.15" hidden="false" customHeight="false" outlineLevel="0" collapsed="false">
      <c r="A77" s="3" t="s">
        <v>719</v>
      </c>
      <c r="B77" s="0" t="s">
        <v>379</v>
      </c>
      <c r="D77" s="21" t="n">
        <f aca="false">D76-D74</f>
        <v>1.2114866529408</v>
      </c>
      <c r="E77" s="21" t="n">
        <f aca="false">$D77*(swm_27/swm_26)^el_o*1*1*E67*E68</f>
        <v>1.94870016016792</v>
      </c>
      <c r="F77" s="21" t="n">
        <f aca="false">$D77*(swm_28/swm_26)^el_o*um28_A*1*F67*F68</f>
        <v>1.99149622299173</v>
      </c>
      <c r="G77" s="21" t="n">
        <f aca="false">$D77*(swm_29/swm_26)^el_o*um29_A*1*G67*G68</f>
        <v>2.01272596640355</v>
      </c>
      <c r="K77" s="7" t="s">
        <v>720</v>
      </c>
    </row>
    <row r="78" customFormat="false" ht="17.15" hidden="false" customHeight="false" outlineLevel="0" collapsed="false">
      <c r="A78" s="3" t="s">
        <v>721</v>
      </c>
      <c r="B78" s="0" t="s">
        <v>379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722</v>
      </c>
    </row>
    <row r="79" customFormat="false" ht="17.15" hidden="false" customHeight="false" outlineLevel="0" collapsed="false">
      <c r="A79" s="0" t="s">
        <v>723</v>
      </c>
      <c r="B79" s="0" t="s">
        <v>379</v>
      </c>
      <c r="D79" s="21" t="n">
        <f aca="false">D74+D77+D78</f>
        <v>22.858836</v>
      </c>
      <c r="E79" s="21" t="n">
        <f aca="false">E74+E77+E78</f>
        <v>38.4218888085982</v>
      </c>
      <c r="F79" s="21" t="n">
        <f aca="false">F74+F77+F78</f>
        <v>46.6360282288997</v>
      </c>
      <c r="G79" s="21" t="n">
        <f aca="false">G74+G77+G78</f>
        <v>54.3733123377152</v>
      </c>
    </row>
    <row r="80" customFormat="false" ht="17.15" hidden="false" customHeight="false" outlineLevel="0" collapsed="false">
      <c r="A80" s="0" t="s">
        <v>724</v>
      </c>
      <c r="B80" s="0" t="s">
        <v>379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725</v>
      </c>
    </row>
    <row r="81" customFormat="false" ht="17.15" hidden="false" customHeight="false" outlineLevel="0" collapsed="false">
      <c r="A81" s="0" t="s">
        <v>726</v>
      </c>
      <c r="B81" s="0" t="s">
        <v>379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50.6680379569114</v>
      </c>
    </row>
    <row r="82" customFormat="false" ht="17.15" hidden="false" customHeight="false" outlineLevel="0" collapsed="false">
      <c r="A82" s="3" t="s">
        <v>727</v>
      </c>
      <c r="B82" s="0" t="s">
        <v>43</v>
      </c>
      <c r="D82" s="20" t="n">
        <f aca="false">D81/D79</f>
        <v>1</v>
      </c>
      <c r="E82" s="20" t="n">
        <f aca="false">E81/E79</f>
        <v>0.862072490215205</v>
      </c>
      <c r="F82" s="20" t="n">
        <f aca="false">F81/F79</f>
        <v>0.885571962422065</v>
      </c>
      <c r="G82" s="20" t="n">
        <f aca="false">G81/G79</f>
        <v>0.931854907830698</v>
      </c>
    </row>
    <row r="83" customFormat="false" ht="17.15" hidden="false" customHeight="false" outlineLevel="0" collapsed="false">
      <c r="A83" s="0" t="s">
        <v>728</v>
      </c>
      <c r="B83" s="0" t="s">
        <v>379</v>
      </c>
      <c r="D83" s="21" t="n">
        <f aca="false">(D74+D77)*D82</f>
        <v>5.714709</v>
      </c>
      <c r="E83" s="21" t="n">
        <f aca="false">(E74+E77)*E82</f>
        <v>15.1062669325995</v>
      </c>
      <c r="F83" s="21" t="n">
        <f aca="false">(F74+F77)*F82</f>
        <v>21.6818267247979</v>
      </c>
      <c r="G83" s="21" t="n">
        <f aca="false">(G74+G77)*G82</f>
        <v>28.7864362720566</v>
      </c>
    </row>
    <row r="84" customFormat="false" ht="17.15" hidden="false" customHeight="false" outlineLevel="0" collapsed="false">
      <c r="A84" s="3" t="s">
        <v>729</v>
      </c>
      <c r="B84" s="0" t="s">
        <v>43</v>
      </c>
      <c r="D84" s="20" t="n">
        <f aca="false">D74/(D74+D77)</f>
        <v>0.788005539225042</v>
      </c>
      <c r="E84" s="20" t="n">
        <f aca="false">E74/(E74+E77)</f>
        <v>0.888793120944167</v>
      </c>
      <c r="F84" s="20" t="n">
        <f aca="false">F74/(F74+F77)</f>
        <v>0.918659380469366</v>
      </c>
      <c r="G84" s="20" t="n">
        <f aca="false">G74/(G74+G77)</f>
        <v>0.934845405934042</v>
      </c>
    </row>
    <row r="85" customFormat="false" ht="17.15" hidden="false" customHeight="false" outlineLevel="0" collapsed="false">
      <c r="A85" s="5" t="s">
        <v>730</v>
      </c>
    </row>
    <row r="86" customFormat="false" ht="17.15" hidden="false" customHeight="false" outlineLevel="0" collapsed="false">
      <c r="A86" s="0" t="s">
        <v>731</v>
      </c>
      <c r="B86" s="0" t="s">
        <v>379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732</v>
      </c>
    </row>
    <row r="87" customFormat="false" ht="17.15" hidden="false" customHeight="false" outlineLevel="0" collapsed="false">
      <c r="A87" s="3" t="s">
        <v>617</v>
      </c>
      <c r="B87" s="0" t="s">
        <v>379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733</v>
      </c>
    </row>
    <row r="88" customFormat="false" ht="17.15" hidden="false" customHeight="false" outlineLevel="0" collapsed="false">
      <c r="A88" s="3" t="s">
        <v>574</v>
      </c>
      <c r="B88" s="0" t="s">
        <v>379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96.1130701345114</v>
      </c>
      <c r="H88" s="25" t="n">
        <f aca="false">G88*(1+H90)</f>
        <v>107.186075216063</v>
      </c>
      <c r="I88" s="25" t="n">
        <f aca="false">H88*(1+I90)</f>
        <v>116.576010002736</v>
      </c>
      <c r="J88" s="25" t="n">
        <f aca="false">I88*(1+J90)</f>
        <v>123.5705706029</v>
      </c>
      <c r="K88" s="7" t="s">
        <v>734</v>
      </c>
    </row>
    <row r="89" customFormat="false" ht="17.15" hidden="false" customHeight="false" outlineLevel="0" collapsed="false">
      <c r="A89" s="3" t="s">
        <v>735</v>
      </c>
      <c r="B89" s="0" t="s">
        <v>379</v>
      </c>
      <c r="D89" s="19" t="n">
        <f aca="false">D81+D86+D87-D88</f>
        <v>0</v>
      </c>
      <c r="E89" s="19" t="n">
        <f aca="false">E81+E86+E87-E88</f>
        <v>0</v>
      </c>
      <c r="F89" s="19" t="n">
        <f aca="false">F81+F86+F87-F88</f>
        <v>0</v>
      </c>
      <c r="G89" s="19" t="n">
        <f aca="false">G81+G86+G87-G88</f>
        <v>0</v>
      </c>
    </row>
    <row r="90" customFormat="false" ht="15" hidden="false" customHeight="false" outlineLevel="0" collapsed="false">
      <c r="A90" s="3" t="s">
        <v>736</v>
      </c>
      <c r="B90" s="0" t="s">
        <v>43</v>
      </c>
      <c r="D90" s="20" t="n">
        <f aca="false">D88/C88-1</f>
        <v>0.383085563263958</v>
      </c>
      <c r="E90" s="20" t="n">
        <f aca="false">E88/D88-1</f>
        <v>0.323526476119781</v>
      </c>
      <c r="F90" s="20" t="n">
        <f aca="false">F88/E88-1</f>
        <v>0.167535624796909</v>
      </c>
      <c r="G90" s="20" t="n">
        <f aca="false">G88/F88-1</f>
        <v>0.142812163830389</v>
      </c>
      <c r="H90" s="26" t="n">
        <f aca="false">$G90+(fade_gA-$G90)*1/3</f>
        <v>0.115208109220259</v>
      </c>
      <c r="I90" s="26" t="n">
        <f aca="false">$G90+(fade_gA-$G90)*2/3</f>
        <v>0.0876040546101297</v>
      </c>
      <c r="J90" s="26" t="n">
        <f aca="false">$G90+(fade_gA-$G90)*3/3</f>
        <v>0.06</v>
      </c>
    </row>
    <row r="91" customFormat="false" ht="17.15" hidden="false" customHeight="false" outlineLevel="0" collapsed="false">
      <c r="A91" s="0" t="s">
        <v>737</v>
      </c>
      <c r="B91" s="0" t="s">
        <v>43</v>
      </c>
      <c r="D91" s="20" t="n">
        <f aca="false">D81/D88</f>
        <v>0.42</v>
      </c>
      <c r="E91" s="20" t="n">
        <f aca="false">E81/E88</f>
        <v>0.459817019893845</v>
      </c>
      <c r="F91" s="20" t="n">
        <f aca="false">F81/F88</f>
        <v>0.491063685341395</v>
      </c>
      <c r="G91" s="20" t="n">
        <f aca="false">G81/G88</f>
        <v>0.527171152539409</v>
      </c>
    </row>
    <row r="92" customFormat="false" ht="17.15" hidden="false" customHeight="false" outlineLevel="0" collapsed="false">
      <c r="A92" s="0" t="s">
        <v>738</v>
      </c>
      <c r="B92" s="0" t="s">
        <v>43</v>
      </c>
      <c r="D92" s="20" t="n">
        <f aca="false">D83/D88</f>
        <v>0.105</v>
      </c>
      <c r="E92" s="20" t="n">
        <f aca="false">E83/E88</f>
        <v>0.209710270140146</v>
      </c>
      <c r="F92" s="20" t="n">
        <f aca="false">F83/F88</f>
        <v>0.257803182028047</v>
      </c>
      <c r="G92" s="20" t="n">
        <f aca="false">G83/G88</f>
        <v>0.299505948897165</v>
      </c>
      <c r="K92" s="3" t="s">
        <v>739</v>
      </c>
    </row>
    <row r="93" customFormat="false" ht="17.15" hidden="false" customHeight="false" outlineLevel="0" collapsed="false">
      <c r="A93" s="5" t="s">
        <v>740</v>
      </c>
    </row>
    <row r="94" customFormat="false" ht="15" hidden="false" customHeight="false" outlineLevel="0" collapsed="false">
      <c r="A94" s="3" t="s">
        <v>741</v>
      </c>
      <c r="B94" s="0" t="s">
        <v>379</v>
      </c>
      <c r="C94" s="23" t="n">
        <f aca="false">a25_cx</f>
        <v>6.116</v>
      </c>
      <c r="D94" s="23" t="n">
        <f aca="false">capex26</f>
        <v>11</v>
      </c>
      <c r="E94" s="23" t="n">
        <f aca="false">cx27</f>
        <v>17</v>
      </c>
      <c r="F94" s="23" t="n">
        <f aca="false">cx28</f>
        <v>16</v>
      </c>
      <c r="G94" s="23" t="n">
        <f aca="false">cx29</f>
        <v>12</v>
      </c>
      <c r="H94" s="25" t="n">
        <f aca="false">H88*H113</f>
        <v>13.4817405534162</v>
      </c>
      <c r="I94" s="25" t="n">
        <f aca="false">I88*I113</f>
        <v>14.77073304233</v>
      </c>
      <c r="J94" s="25" t="n">
        <f aca="false">J88*J113</f>
        <v>15.7713906192965</v>
      </c>
    </row>
    <row r="95" customFormat="false" ht="17.15" hidden="false" customHeight="false" outlineLevel="0" collapsed="false">
      <c r="A95" s="3" t="s">
        <v>742</v>
      </c>
      <c r="B95" s="0" t="s">
        <v>379</v>
      </c>
      <c r="C95" s="23" t="n">
        <f aca="false">a25_da</f>
        <v>7.158</v>
      </c>
      <c r="D95" s="23" t="n">
        <f aca="false">da26</f>
        <v>8.32</v>
      </c>
      <c r="E95" s="23" t="n">
        <f aca="false">D95*(1-1/life)+D94/life</f>
        <v>8.655</v>
      </c>
      <c r="F95" s="23" t="n">
        <f aca="false">E95*(1-1/life)+E94/life</f>
        <v>9.698125</v>
      </c>
      <c r="G95" s="23" t="n">
        <f aca="false">F95*(1-1/life)+F94/life</f>
        <v>10.485859375</v>
      </c>
      <c r="H95" s="25" t="n">
        <f aca="false">H88*H96</f>
        <v>11.6939154071433</v>
      </c>
      <c r="I95" s="25" t="n">
        <f aca="false">I88*I96</f>
        <v>12.7183498110769</v>
      </c>
      <c r="J95" s="25" t="n">
        <f aca="false">J88*J96</f>
        <v>13.4814507997415</v>
      </c>
      <c r="K95" s="3" t="s">
        <v>743</v>
      </c>
    </row>
    <row r="96" customFormat="false" ht="17.15" hidden="false" customHeight="false" outlineLevel="0" collapsed="false">
      <c r="A96" s="3" t="s">
        <v>744</v>
      </c>
      <c r="B96" s="0" t="s">
        <v>43</v>
      </c>
      <c r="C96" s="20" t="n">
        <f aca="false">C95/C88</f>
        <v>0.181901349393916</v>
      </c>
      <c r="D96" s="20" t="n">
        <f aca="false">D95/D88</f>
        <v>0.152868676252807</v>
      </c>
      <c r="E96" s="20" t="n">
        <f aca="false">E95/E88</f>
        <v>0.120151616290196</v>
      </c>
      <c r="F96" s="20" t="n">
        <f aca="false">F95/F88</f>
        <v>0.115313507318376</v>
      </c>
      <c r="G96" s="20" t="n">
        <f aca="false">G95/G88</f>
        <v>0.109099203264706</v>
      </c>
      <c r="H96" s="26" t="n">
        <f aca="false">$G96</f>
        <v>0.109099203264706</v>
      </c>
      <c r="I96" s="26" t="n">
        <f aca="false">$G96</f>
        <v>0.109099203264706</v>
      </c>
      <c r="J96" s="26" t="n">
        <f aca="false">$G96</f>
        <v>0.109099203264706</v>
      </c>
    </row>
    <row r="97" customFormat="false" ht="17.15" hidden="false" customHeight="false" outlineLevel="0" collapsed="false">
      <c r="A97" s="0" t="s">
        <v>745</v>
      </c>
      <c r="B97" s="0" t="s">
        <v>379</v>
      </c>
      <c r="E97" s="21" t="n">
        <f aca="false">E82*((E74+E77)*(1-1/(E67*E68))+E78*(1-1/E68))</f>
        <v>4.320320004</v>
      </c>
      <c r="F97" s="21" t="n">
        <f aca="false">F82*((F74+F77)*(1-1/(F67*F68))+F78*(1-1/F68))</f>
        <v>4.39459572238805</v>
      </c>
      <c r="G97" s="21" t="n">
        <f aca="false">G82*((G74+G77)*(1-1/(G67*G68))+G78*(1-1/G68))</f>
        <v>3.827576325582</v>
      </c>
      <c r="K97" s="7" t="s">
        <v>746</v>
      </c>
    </row>
    <row r="98" customFormat="false" ht="17.15" hidden="false" customHeight="false" outlineLevel="0" collapsed="false">
      <c r="A98" s="3" t="s">
        <v>747</v>
      </c>
      <c r="B98" s="0" t="s">
        <v>379</v>
      </c>
      <c r="C98" s="21" t="n">
        <f aca="false">a25_gp</f>
        <v>8.314</v>
      </c>
      <c r="D98" s="21" t="n">
        <f aca="false">a26_gp</f>
        <v>15.328536</v>
      </c>
      <c r="E98" s="21" t="n">
        <f aca="false">$D98+ft_abf*(E81-E97-$D81)+ft_bt*(E86-$D86)+ft_lens*(E87-$D87)+E97-(E95-$D95)</f>
        <v>25.590561148</v>
      </c>
      <c r="F98" s="21" t="n">
        <f aca="false">$D98+ft_abf*(F81-F97-$D81)+ft_bt*(F86-$D86)+ft_lens*(F87-$D87)+F97-(F95-$D95)</f>
        <v>30.4241458707128</v>
      </c>
      <c r="G98" s="21" t="n">
        <f aca="false">$D98+ft_abf*(G81-G97-$D81)+ft_bt*(G86-$D86)+ft_lens*(G87-$D87)+G97-(G95-$D95)</f>
        <v>35.2261964461667</v>
      </c>
      <c r="K98" s="3" t="s">
        <v>748</v>
      </c>
    </row>
    <row r="99" customFormat="false" ht="15" hidden="false" customHeight="false" outlineLevel="0" collapsed="false">
      <c r="A99" s="3" t="s">
        <v>581</v>
      </c>
      <c r="B99" s="0" t="s">
        <v>43</v>
      </c>
      <c r="C99" s="16" t="n">
        <f aca="false">C98/C88</f>
        <v>0.211277985311682</v>
      </c>
      <c r="D99" s="16" t="n">
        <f aca="false">D98/D88</f>
        <v>0.281640986443929</v>
      </c>
      <c r="E99" s="16" t="n">
        <f aca="false">E98/E88</f>
        <v>0.3552567629931</v>
      </c>
      <c r="F99" s="16" t="n">
        <f aca="false">F98/F88</f>
        <v>0.361751881679993</v>
      </c>
      <c r="G99" s="16" t="n">
        <f aca="false">G98/G88</f>
        <v>0.366507868252124</v>
      </c>
    </row>
    <row r="100" customFormat="false" ht="15" hidden="false" customHeight="false" outlineLevel="0" collapsed="false">
      <c r="A100" s="3" t="s">
        <v>583</v>
      </c>
      <c r="B100" s="0" t="s">
        <v>379</v>
      </c>
      <c r="C100" s="21" t="n">
        <f aca="false">a25_opx</f>
        <v>5.644</v>
      </c>
      <c r="D100" s="21" t="n">
        <f aca="false">a26_opx</f>
        <v>6.54036</v>
      </c>
      <c r="E100" s="21" t="n">
        <f aca="false">D100*(1+phi*E90)</f>
        <v>7.80994777401287</v>
      </c>
      <c r="F100" s="21" t="n">
        <f aca="false">E100*(1+phi*F90)</f>
        <v>8.59501446198315</v>
      </c>
      <c r="G100" s="21" t="n">
        <f aca="false">F100*(1+phi*G90)</f>
        <v>9.33149803006473</v>
      </c>
    </row>
    <row r="101" customFormat="false" ht="15" hidden="false" customHeight="false" outlineLevel="0" collapsed="false">
      <c r="A101" s="3" t="s">
        <v>586</v>
      </c>
      <c r="B101" s="0" t="s">
        <v>379</v>
      </c>
      <c r="C101" s="21" t="n">
        <f aca="false">C98-C100</f>
        <v>2.67</v>
      </c>
      <c r="D101" s="21" t="n">
        <f aca="false">D98-D100</f>
        <v>8.788176</v>
      </c>
      <c r="E101" s="21" t="n">
        <f aca="false">E98-E100</f>
        <v>17.7806133739871</v>
      </c>
      <c r="F101" s="21" t="n">
        <f aca="false">F98-F100</f>
        <v>21.8291314087296</v>
      </c>
      <c r="G101" s="21" t="n">
        <f aca="false">G98-G100</f>
        <v>25.894698416102</v>
      </c>
    </row>
    <row r="102" customFormat="false" ht="15" hidden="false" customHeight="false" outlineLevel="0" collapsed="false">
      <c r="A102" s="3" t="s">
        <v>684</v>
      </c>
      <c r="B102" s="0" t="s">
        <v>43</v>
      </c>
      <c r="C102" s="16" t="n">
        <f aca="false">C101/C88</f>
        <v>0.0678508805367081</v>
      </c>
      <c r="D102" s="16" t="n">
        <f aca="false">D101/D88</f>
        <v>0.161470773052486</v>
      </c>
      <c r="E102" s="16" t="n">
        <f aca="false">E101/E88</f>
        <v>0.246836445466854</v>
      </c>
      <c r="F102" s="16" t="n">
        <f aca="false">F101/F88</f>
        <v>0.259554677265383</v>
      </c>
      <c r="G102" s="16" t="n">
        <f aca="false">G101/G88</f>
        <v>0.269419116254033</v>
      </c>
    </row>
    <row r="103" customFormat="false" ht="15" hidden="false" customHeight="false" outlineLevel="0" collapsed="false">
      <c r="A103" s="3" t="s">
        <v>589</v>
      </c>
      <c r="B103" s="0" t="s">
        <v>379</v>
      </c>
      <c r="C103" s="21" t="n">
        <f aca="false">a25_nonop</f>
        <v>0.417</v>
      </c>
      <c r="D103" s="21" t="n">
        <f aca="false">a26_nonop</f>
        <v>0.37882</v>
      </c>
      <c r="E103" s="21" t="n">
        <f aca="false">nonop27</f>
        <v>0.4</v>
      </c>
      <c r="F103" s="21" t="n">
        <f aca="false">nonop28</f>
        <v>0.4</v>
      </c>
      <c r="G103" s="21" t="n">
        <f aca="false">nonop29</f>
        <v>0.4</v>
      </c>
    </row>
    <row r="104" customFormat="false" ht="15" hidden="false" customHeight="false" outlineLevel="0" collapsed="false">
      <c r="A104" s="3" t="s">
        <v>591</v>
      </c>
      <c r="B104" s="0" t="s">
        <v>379</v>
      </c>
      <c r="C104" s="21" t="n">
        <f aca="false">C101+C103</f>
        <v>3.087</v>
      </c>
      <c r="D104" s="21" t="n">
        <f aca="false">D101+D103</f>
        <v>9.166996</v>
      </c>
      <c r="E104" s="21" t="n">
        <f aca="false">E101+E103</f>
        <v>18.1806133739871</v>
      </c>
      <c r="F104" s="21" t="n">
        <f aca="false">F101+F103</f>
        <v>22.2291314087296</v>
      </c>
      <c r="G104" s="21" t="n">
        <f aca="false">G101+G103</f>
        <v>26.294698416102</v>
      </c>
    </row>
    <row r="105" customFormat="false" ht="15" hidden="false" customHeight="false" outlineLevel="0" collapsed="false">
      <c r="A105" s="3" t="s">
        <v>592</v>
      </c>
      <c r="B105" s="0" t="s">
        <v>379</v>
      </c>
      <c r="E105" s="21" t="n">
        <f aca="false">E104*tax</f>
        <v>2.18167360487846</v>
      </c>
      <c r="F105" s="21" t="n">
        <f aca="false">F104*tax</f>
        <v>2.66749576904756</v>
      </c>
      <c r="G105" s="21" t="n">
        <f aca="false">G104*tax</f>
        <v>3.15536380993223</v>
      </c>
    </row>
    <row r="106" customFormat="false" ht="15" hidden="false" customHeight="false" outlineLevel="0" collapsed="false">
      <c r="A106" s="3" t="s">
        <v>593</v>
      </c>
      <c r="B106" s="0" t="s">
        <v>379</v>
      </c>
      <c r="C106" s="21" t="n">
        <f aca="false">a25_nic</f>
        <v>2.71712</v>
      </c>
      <c r="D106" s="21" t="n">
        <f aca="false">a26_nic</f>
        <v>8.39979776</v>
      </c>
      <c r="E106" s="21" t="n">
        <f aca="false">E104-E105</f>
        <v>15.9989397691087</v>
      </c>
      <c r="F106" s="21" t="n">
        <f aca="false">F104-F105</f>
        <v>19.5616356396821</v>
      </c>
      <c r="G106" s="21" t="n">
        <f aca="false">G104-G105</f>
        <v>23.1393346061697</v>
      </c>
    </row>
    <row r="107" customFormat="false" ht="17.15" hidden="false" customHeight="false" outlineLevel="0" collapsed="false">
      <c r="A107" s="3" t="s">
        <v>749</v>
      </c>
      <c r="B107" s="0" t="s">
        <v>379</v>
      </c>
      <c r="C107" s="21" t="n">
        <f aca="false">a25_nci</f>
        <v>1.12112</v>
      </c>
      <c r="D107" s="21" t="n">
        <f aca="false">a26_nci</f>
        <v>1.43839238487797</v>
      </c>
      <c r="E107" s="21" t="n">
        <f aca="false">E87*nm_lens*nci_sh</f>
        <v>1.57074538036261</v>
      </c>
      <c r="F107" s="21" t="n">
        <f aca="false">F87*nm_lens*nci_sh</f>
        <v>1.72781991839887</v>
      </c>
      <c r="G107" s="21" t="n">
        <f aca="false">G87*nm_lens*nci_sh</f>
        <v>1.90060191023875</v>
      </c>
      <c r="K107" s="3" t="s">
        <v>750</v>
      </c>
    </row>
    <row r="108" customFormat="false" ht="15" hidden="false" customHeight="false" outlineLevel="0" collapsed="false">
      <c r="A108" s="3" t="s">
        <v>599</v>
      </c>
      <c r="B108" s="0" t="s">
        <v>379</v>
      </c>
      <c r="C108" s="21" t="n">
        <f aca="false">a25_ni</f>
        <v>1.596</v>
      </c>
      <c r="D108" s="21" t="n">
        <f aca="false">a26_ni</f>
        <v>6.96140537512203</v>
      </c>
      <c r="E108" s="21" t="n">
        <f aca="false">E106-E107</f>
        <v>14.4281943887461</v>
      </c>
      <c r="F108" s="21" t="n">
        <f aca="false">F106-F107</f>
        <v>17.8338157212832</v>
      </c>
      <c r="G108" s="21" t="n">
        <f aca="false">G106-G107</f>
        <v>21.238732695931</v>
      </c>
      <c r="H108" s="30" t="n">
        <f aca="false">H88*H112</f>
        <v>23.6856069320637</v>
      </c>
      <c r="I108" s="30" t="n">
        <f aca="false">I88*I112</f>
        <v>25.7605621352142</v>
      </c>
      <c r="J108" s="30" t="n">
        <f aca="false">J88*J112</f>
        <v>27.3061958633271</v>
      </c>
    </row>
    <row r="109" customFormat="false" ht="15" hidden="false" customHeight="false" outlineLevel="0" collapsed="false">
      <c r="A109" s="3" t="s">
        <v>751</v>
      </c>
      <c r="B109" s="3" t="s">
        <v>465</v>
      </c>
      <c r="C109" s="29" t="n">
        <f aca="false">a25_sh</f>
        <v>0.454700854700855</v>
      </c>
      <c r="D109" s="29" t="n">
        <f aca="false">a26_sh</f>
        <v>0.508341020486215</v>
      </c>
      <c r="E109" s="29" t="n">
        <f aca="false">a26_shend*(1+sh_g)</f>
        <v>0.52691</v>
      </c>
      <c r="F109" s="29" t="n">
        <f aca="false">E109*(1+sh_g)</f>
        <v>0.52691</v>
      </c>
      <c r="G109" s="29" t="n">
        <f aca="false">F109*(1+sh_g)</f>
        <v>0.52691</v>
      </c>
      <c r="H109" s="31" t="n">
        <f aca="false">G109*(1+sh_g)</f>
        <v>0.52691</v>
      </c>
      <c r="I109" s="31" t="n">
        <f aca="false">H109*(1+sh_g)</f>
        <v>0.52691</v>
      </c>
      <c r="J109" s="31" t="n">
        <f aca="false">I109*(1+sh_g)</f>
        <v>0.52691</v>
      </c>
    </row>
    <row r="110" customFormat="false" ht="17.15" hidden="false" customHeight="false" outlineLevel="0" collapsed="false">
      <c r="A110" s="0" t="s">
        <v>604</v>
      </c>
      <c r="B110" s="0" t="s">
        <v>471</v>
      </c>
      <c r="C110" s="18" t="n">
        <f aca="false">C108/C109</f>
        <v>3.51</v>
      </c>
      <c r="D110" s="18" t="n">
        <f aca="false">D108/D109</f>
        <v>13.6943608612652</v>
      </c>
      <c r="E110" s="18" t="n">
        <f aca="false">E108/E109</f>
        <v>27.3826543218881</v>
      </c>
      <c r="F110" s="18" t="n">
        <f aca="false">F108/F109</f>
        <v>33.8460376938817</v>
      </c>
      <c r="G110" s="18" t="n">
        <f aca="false">G108/G109</f>
        <v>40.3080842950997</v>
      </c>
      <c r="H110" s="28" t="n">
        <f aca="false">H108/H109</f>
        <v>44.9519024730289</v>
      </c>
      <c r="I110" s="28" t="n">
        <f aca="false">I108/I109</f>
        <v>48.8898713921054</v>
      </c>
      <c r="J110" s="28" t="n">
        <f aca="false">J108/J109</f>
        <v>51.8232636756317</v>
      </c>
    </row>
    <row r="111" customFormat="false" ht="17.15" hidden="false" customHeight="false" outlineLevel="0" collapsed="false">
      <c r="A111" s="0" t="s">
        <v>752</v>
      </c>
      <c r="B111" s="0" t="s">
        <v>43</v>
      </c>
      <c r="D111" s="20" t="n">
        <f aca="false">D110/C110-1</f>
        <v>2.90152731090177</v>
      </c>
      <c r="E111" s="20" t="n">
        <f aca="false">E110/D110-1</f>
        <v>0.999556941670828</v>
      </c>
      <c r="F111" s="20" t="n">
        <f aca="false">F110/E110-1</f>
        <v>0.236039329716372</v>
      </c>
      <c r="G111" s="20" t="n">
        <f aca="false">G110/F110-1</f>
        <v>0.190924759337076</v>
      </c>
      <c r="H111" s="26" t="n">
        <f aca="false">H110/G110-1</f>
        <v>0.115208109220259</v>
      </c>
      <c r="I111" s="26" t="n">
        <f aca="false">I110/H110-1</f>
        <v>0.0876040546101298</v>
      </c>
      <c r="J111" s="26" t="n">
        <f aca="false">J110/I110-1</f>
        <v>0.0600000000000001</v>
      </c>
    </row>
    <row r="112" customFormat="false" ht="17.15" hidden="false" customHeight="false" outlineLevel="0" collapsed="false">
      <c r="A112" s="3" t="s">
        <v>753</v>
      </c>
      <c r="B112" s="0" t="s">
        <v>43</v>
      </c>
      <c r="C112" s="16" t="n">
        <f aca="false">C108/C88</f>
        <v>0.0405580544331783</v>
      </c>
      <c r="D112" s="16" t="n">
        <f aca="false">D108/D88</f>
        <v>0.127906349105057</v>
      </c>
      <c r="E112" s="16" t="n">
        <f aca="false">E108/E88</f>
        <v>0.20029703939422</v>
      </c>
      <c r="F112" s="16" t="n">
        <f aca="false">F108/F88</f>
        <v>0.212049219791534</v>
      </c>
      <c r="G112" s="16" t="n">
        <f aca="false">G108/G88</f>
        <v>0.220976529687452</v>
      </c>
      <c r="H112" s="27" t="n">
        <f aca="false">$G112+(fade_mA-$G112)*1/3</f>
        <v>0.220976529687452</v>
      </c>
      <c r="I112" s="27" t="n">
        <f aca="false">$G112+(fade_mA-$G112)*2/3</f>
        <v>0.220976529687452</v>
      </c>
      <c r="J112" s="27" t="n">
        <f aca="false">$G112+(fade_mA-$G112)*3/3</f>
        <v>0.220976529687452</v>
      </c>
    </row>
    <row r="113" customFormat="false" ht="17.15" hidden="false" customHeight="false" outlineLevel="0" collapsed="false">
      <c r="A113" s="3" t="s">
        <v>754</v>
      </c>
      <c r="B113" s="0" t="s">
        <v>43</v>
      </c>
      <c r="C113" s="20" t="n">
        <f aca="false">C94/C88</f>
        <v>0.155421717364235</v>
      </c>
      <c r="D113" s="20" t="n">
        <f aca="false">D94/D88</f>
        <v>0.202110028699624</v>
      </c>
      <c r="E113" s="20" t="n">
        <f aca="false">E94/E88</f>
        <v>0.235999708484498</v>
      </c>
      <c r="F113" s="20" t="n">
        <f aca="false">F94/F88</f>
        <v>0.190244621212247</v>
      </c>
      <c r="G113" s="20" t="n">
        <f aca="false">G94/G88</f>
        <v>0.124852946464054</v>
      </c>
      <c r="H113" s="26" t="n">
        <f aca="false">$G113+($G96*(1+tp_g)^(life/2)-$G113)*1/3</f>
        <v>0.125778843252168</v>
      </c>
      <c r="I113" s="26" t="n">
        <f aca="false">$G113+($G96*(1+tp_g)^(life/2)-$G113)*2/3</f>
        <v>0.126704740040282</v>
      </c>
      <c r="J113" s="26" t="n">
        <f aca="false">$G113+($G96*(1+tp_g)^(life/2)-$G113)*3/3</f>
        <v>0.127630636828396</v>
      </c>
      <c r="K113" s="7" t="s">
        <v>755</v>
      </c>
    </row>
    <row r="114" customFormat="false" ht="15" hidden="false" customHeight="false" outlineLevel="0" collapsed="false">
      <c r="A114" s="3" t="s">
        <v>756</v>
      </c>
      <c r="B114" s="0" t="s">
        <v>379</v>
      </c>
      <c r="D114" s="21" t="n">
        <f aca="false">D108+D95-D94</f>
        <v>4.28140537512203</v>
      </c>
      <c r="E114" s="21" t="n">
        <f aca="false">E108+E95-E94</f>
        <v>6.08319438874607</v>
      </c>
      <c r="F114" s="21" t="n">
        <f aca="false">F108+F95-F94</f>
        <v>11.5319407212832</v>
      </c>
      <c r="G114" s="21" t="n">
        <f aca="false">G108+G95-G94</f>
        <v>19.724592070931</v>
      </c>
      <c r="H114" s="30" t="n">
        <f aca="false">H108+H95-H94</f>
        <v>21.8977817857907</v>
      </c>
      <c r="I114" s="30" t="n">
        <f aca="false">I108+I95-I94</f>
        <v>23.7081789039611</v>
      </c>
      <c r="J114" s="30" t="n">
        <f aca="false">J108+J95-J94</f>
        <v>25.0162560437722</v>
      </c>
      <c r="K114" s="3" t="s">
        <v>757</v>
      </c>
    </row>
    <row r="115" customFormat="false" ht="15" hidden="false" customHeight="false" outlineLevel="0" collapsed="false">
      <c r="A115" s="3" t="s">
        <v>758</v>
      </c>
      <c r="B115" s="0" t="s">
        <v>471</v>
      </c>
      <c r="D115" s="18" t="n">
        <f aca="false">D114/D109</f>
        <v>8.42230943909854</v>
      </c>
      <c r="E115" s="18" t="n">
        <f aca="false">E114/E109</f>
        <v>11.5450349941092</v>
      </c>
      <c r="F115" s="18" t="n">
        <f aca="false">F114/F109</f>
        <v>21.8859781011619</v>
      </c>
      <c r="G115" s="18" t="n">
        <f aca="false">G114/G109</f>
        <v>37.4344614278168</v>
      </c>
      <c r="H115" s="28" t="n">
        <f aca="false">H114/H109</f>
        <v>41.5588654339275</v>
      </c>
      <c r="I115" s="28" t="n">
        <f aca="false">I114/I109</f>
        <v>44.9947408551008</v>
      </c>
      <c r="J115" s="28" t="n">
        <f aca="false">J114/J109</f>
        <v>47.4772846288212</v>
      </c>
    </row>
    <row r="118" customFormat="false" ht="17.15" hidden="false" customHeight="false" outlineLevel="0" collapsed="false">
      <c r="A118" s="1" t="s">
        <v>759</v>
      </c>
    </row>
    <row r="119" customFormat="false" ht="17.15" hidden="false" customHeight="false" outlineLevel="0" collapsed="false">
      <c r="A119" s="4" t="s">
        <v>20</v>
      </c>
      <c r="B119" s="4" t="s">
        <v>21</v>
      </c>
      <c r="C119" s="13" t="s">
        <v>567</v>
      </c>
      <c r="D119" s="13" t="s">
        <v>671</v>
      </c>
      <c r="E119" s="13" t="s">
        <v>672</v>
      </c>
      <c r="F119" s="13" t="s">
        <v>673</v>
      </c>
      <c r="G119" s="13" t="s">
        <v>674</v>
      </c>
      <c r="H119" s="13" t="s">
        <v>675</v>
      </c>
      <c r="I119" s="13" t="s">
        <v>676</v>
      </c>
      <c r="J119" s="13" t="s">
        <v>677</v>
      </c>
      <c r="K119" s="4" t="s">
        <v>631</v>
      </c>
    </row>
    <row r="120" customFormat="false" ht="17.15" hidden="false" customHeight="false" outlineLevel="0" collapsed="false">
      <c r="A120" s="5" t="s">
        <v>695</v>
      </c>
    </row>
    <row r="121" customFormat="false" ht="17.15" hidden="false" customHeight="false" outlineLevel="0" collapsed="false">
      <c r="A121" s="0" t="s">
        <v>696</v>
      </c>
      <c r="B121" s="3" t="s">
        <v>31</v>
      </c>
      <c r="D121" s="21" t="n">
        <f aca="false">(u_bw_26+u_rb_26+u_ru_26+u_hp_26)*1</f>
        <v>7.6</v>
      </c>
      <c r="E121" s="21" t="n">
        <f aca="false">(u_bw_27+u_rb_27+u_ru_27+u_hp_27)*1*1</f>
        <v>9.7</v>
      </c>
      <c r="F121" s="21" t="n">
        <f aca="false">(u_bw_28+u_rb_28+u_ru_28+u_hp_28)*um28_B*1</f>
        <v>7.6</v>
      </c>
      <c r="G121" s="21" t="n">
        <f aca="false">(u_bw_28*(1+g29_bw)+u_rb_28*(1+g29_rb)+u_ru_28*(1+g29_ru)+u_hp_28*(1+g29_hp))*um29_B*1</f>
        <v>9.01</v>
      </c>
      <c r="K121" s="7" t="s">
        <v>697</v>
      </c>
    </row>
    <row r="122" customFormat="false" ht="17.15" hidden="false" customHeight="false" outlineLevel="0" collapsed="false">
      <c r="A122" s="3" t="s">
        <v>698</v>
      </c>
      <c r="B122" s="3" t="s">
        <v>31</v>
      </c>
      <c r="D122" s="21" t="n">
        <f aca="false">(u_amd_26+u_tpu_26+u_trn_26+u_oth_26)*1</f>
        <v>7.6</v>
      </c>
      <c r="E122" s="21" t="n">
        <f aca="false">(u_amd_27+u_tpu_27+u_trn_27+u_oth_27)*1*1</f>
        <v>14</v>
      </c>
      <c r="F122" s="21" t="n">
        <f aca="false">(u_amd_28+u_tpu_28+u_trn_28+u_oth_28)*um28_B*1</f>
        <v>13.6</v>
      </c>
      <c r="G122" s="21" t="n">
        <f aca="false">(u_amd_28*(1+g29_amd)+u_tpu_28*(1+g29_tpu)+u_trn_28*(1+g29_trn)+u_oth_28*(1+g29_oth))*um29_B*1</f>
        <v>16.6175</v>
      </c>
      <c r="K122" s="7" t="s">
        <v>699</v>
      </c>
    </row>
    <row r="123" customFormat="false" ht="17.15" hidden="false" customHeight="false" outlineLevel="0" collapsed="false">
      <c r="A123" s="0" t="s">
        <v>700</v>
      </c>
      <c r="B123" s="3" t="s">
        <v>31</v>
      </c>
      <c r="D123" s="21" t="n">
        <f aca="false">D121*cpu_r</f>
        <v>3.04</v>
      </c>
      <c r="E123" s="21" t="n">
        <f aca="false">E121*cpu_r</f>
        <v>3.88</v>
      </c>
      <c r="F123" s="21" t="n">
        <f aca="false">F121*cpu_r</f>
        <v>3.04</v>
      </c>
      <c r="G123" s="21" t="n">
        <f aca="false">G121*cpu_r</f>
        <v>3.604</v>
      </c>
      <c r="K123" s="7" t="s">
        <v>701</v>
      </c>
    </row>
    <row r="124" customFormat="false" ht="17.15" hidden="false" customHeight="false" outlineLevel="0" collapsed="false">
      <c r="A124" s="3" t="s">
        <v>702</v>
      </c>
      <c r="B124" s="0" t="s">
        <v>153</v>
      </c>
      <c r="D124" s="19" t="n">
        <f aca="false">1</f>
        <v>1</v>
      </c>
      <c r="E124" s="19" t="n">
        <f aca="false">D124*(1+g_asp)</f>
        <v>1.18</v>
      </c>
      <c r="F124" s="19" t="n">
        <f aca="false">E124*(1+g_asp)</f>
        <v>1.3924</v>
      </c>
      <c r="G124" s="19" t="n">
        <f aca="false">F124*(1+g_asp)</f>
        <v>1.643032</v>
      </c>
      <c r="K124" s="7" t="s">
        <v>703</v>
      </c>
    </row>
    <row r="125" customFormat="false" ht="17.15" hidden="false" customHeight="false" outlineLevel="0" collapsed="false">
      <c r="A125" s="0" t="s">
        <v>704</v>
      </c>
      <c r="B125" s="0" t="s">
        <v>153</v>
      </c>
      <c r="D125" s="18" t="n">
        <f aca="false">1</f>
        <v>1</v>
      </c>
      <c r="E125" s="18" t="n">
        <f aca="false">ibpp_27</f>
        <v>1</v>
      </c>
      <c r="F125" s="18" t="n">
        <f aca="false">ibpp_28</f>
        <v>0.95</v>
      </c>
      <c r="G125" s="18" t="n">
        <f aca="false">ibpp_29</f>
        <v>0.9</v>
      </c>
      <c r="K125" s="7" t="s">
        <v>705</v>
      </c>
    </row>
    <row r="126" customFormat="false" ht="17.15" hidden="false" customHeight="false" outlineLevel="0" collapsed="false">
      <c r="A126" s="3" t="s">
        <v>706</v>
      </c>
      <c r="B126" s="0" t="s">
        <v>153</v>
      </c>
      <c r="D126" s="18" t="n">
        <f aca="false">1</f>
        <v>1</v>
      </c>
      <c r="E126" s="18" t="n">
        <f aca="false">1+carry</f>
        <v>1.15</v>
      </c>
      <c r="F126" s="18" t="n">
        <f aca="false">1+carry</f>
        <v>1.15</v>
      </c>
      <c r="G126" s="18" t="n">
        <f aca="false">1+carry</f>
        <v>1.15</v>
      </c>
      <c r="K126" s="7" t="s">
        <v>707</v>
      </c>
    </row>
    <row r="127" customFormat="false" ht="17.15" hidden="false" customHeight="false" outlineLevel="0" collapsed="false">
      <c r="A127" s="3" t="s">
        <v>708</v>
      </c>
      <c r="B127" s="0" t="s">
        <v>709</v>
      </c>
      <c r="D127" s="23" t="n">
        <f aca="false">v26*D124*D125</f>
        <v>215.308596</v>
      </c>
      <c r="E127" s="23" t="n">
        <f aca="false">v26*E124*E125</f>
        <v>254.06414328</v>
      </c>
      <c r="F127" s="23" t="n">
        <f aca="false">v26*F124*F125</f>
        <v>284.80590461688</v>
      </c>
      <c r="G127" s="23" t="n">
        <f aca="false">v26*G124*G125</f>
        <v>318.383021792765</v>
      </c>
      <c r="K127" s="7" t="s">
        <v>710</v>
      </c>
    </row>
    <row r="128" customFormat="false" ht="17.15" hidden="false" customHeight="false" outlineLevel="0" collapsed="false">
      <c r="A128" s="3" t="s">
        <v>711</v>
      </c>
      <c r="B128" s="0" t="s">
        <v>43</v>
      </c>
      <c r="D128" s="20" t="n">
        <f aca="false">sh_nv_26</f>
        <v>0.02</v>
      </c>
      <c r="E128" s="20" t="n">
        <f aca="false">sh_nv_27</f>
        <v>0.03</v>
      </c>
      <c r="F128" s="20" t="n">
        <f aca="false">sh_nv_28</f>
        <v>0.05</v>
      </c>
      <c r="G128" s="20" t="n">
        <f aca="false">sh_nv_29</f>
        <v>0.06</v>
      </c>
    </row>
    <row r="129" customFormat="false" ht="17.15" hidden="false" customHeight="false" outlineLevel="0" collapsed="false">
      <c r="A129" s="3" t="s">
        <v>712</v>
      </c>
      <c r="B129" s="0" t="s">
        <v>43</v>
      </c>
      <c r="D129" s="20" t="n">
        <f aca="false">sh_ot_26</f>
        <v>0.03</v>
      </c>
      <c r="E129" s="20" t="n">
        <f aca="false">sh_ot_27</f>
        <v>0.05</v>
      </c>
      <c r="F129" s="20" t="n">
        <f aca="false">sh_ot_28</f>
        <v>0.06</v>
      </c>
      <c r="G129" s="20" t="n">
        <f aca="false">sh_ot_29</f>
        <v>0.06</v>
      </c>
    </row>
    <row r="130" customFormat="false" ht="17.15" hidden="false" customHeight="false" outlineLevel="0" collapsed="false">
      <c r="A130" s="3" t="s">
        <v>713</v>
      </c>
      <c r="B130" s="0" t="s">
        <v>43</v>
      </c>
      <c r="D130" s="20" t="n">
        <f aca="false">sh_cpu_26</f>
        <v>0.35</v>
      </c>
      <c r="E130" s="20" t="n">
        <f aca="false">sh_cpu_27</f>
        <v>0.7</v>
      </c>
      <c r="F130" s="20" t="n">
        <f aca="false">sh_cpu_28</f>
        <v>0.75</v>
      </c>
      <c r="G130" s="20" t="n">
        <f aca="false">sh_cpu_29</f>
        <v>0.7</v>
      </c>
    </row>
    <row r="131" customFormat="false" ht="17.15" hidden="false" customHeight="false" outlineLevel="0" collapsed="false">
      <c r="A131" s="3" t="s">
        <v>714</v>
      </c>
      <c r="B131" s="0" t="s">
        <v>661</v>
      </c>
      <c r="D131" s="22" t="n">
        <f aca="false">(D121*D127*D128+D122*D127*v_ot*D129+D123*D127*v_cpu*D130)*D126</f>
        <v>140.7256983456</v>
      </c>
      <c r="E131" s="22" t="n">
        <f aca="false">(E121*E127*E128+E122*E127*v_ot*E129+E123*E127*v_cpu*E130)*E126</f>
        <v>486.703057357198</v>
      </c>
      <c r="F131" s="22" t="n">
        <f aca="false">(F121*F127*F128+F122*F127*v_ot*F129+F123*F127*v_cpu*F130)*F126</f>
        <v>562.297993603198</v>
      </c>
      <c r="G131" s="22" t="n">
        <f aca="false">(G121*G127*G128+G122*G127*v_ot*G129+G123*G127*v_cpu*G130)*G126</f>
        <v>767.093586492223</v>
      </c>
    </row>
    <row r="132" customFormat="false" ht="17.15" hidden="false" customHeight="false" outlineLevel="0" collapsed="false">
      <c r="A132" s="3" t="s">
        <v>715</v>
      </c>
      <c r="B132" s="0" t="s">
        <v>379</v>
      </c>
      <c r="D132" s="21" t="n">
        <f aca="false">D131*fx/1000</f>
        <v>4.5032223470592</v>
      </c>
      <c r="E132" s="21" t="n">
        <f aca="false">E131*fx/1000</f>
        <v>15.5744978354303</v>
      </c>
      <c r="F132" s="21" t="n">
        <f aca="false">F131*fx/1000</f>
        <v>17.9935357953024</v>
      </c>
      <c r="G132" s="21" t="n">
        <f aca="false">G131*fx/1000</f>
        <v>24.5469947677511</v>
      </c>
    </row>
    <row r="133" customFormat="false" ht="17.15" hidden="false" customHeight="false" outlineLevel="0" collapsed="false">
      <c r="A133" s="5" t="s">
        <v>716</v>
      </c>
    </row>
    <row r="134" customFormat="false" ht="17.15" hidden="false" customHeight="false" outlineLevel="0" collapsed="false">
      <c r="A134" s="0" t="s">
        <v>717</v>
      </c>
      <c r="B134" s="0" t="s">
        <v>379</v>
      </c>
      <c r="D134" s="21" t="n">
        <f aca="false">a26_abf*ai_abf</f>
        <v>5.714709</v>
      </c>
      <c r="K134" s="3" t="s">
        <v>718</v>
      </c>
    </row>
    <row r="135" customFormat="false" ht="17.15" hidden="false" customHeight="false" outlineLevel="0" collapsed="false">
      <c r="A135" s="3" t="s">
        <v>719</v>
      </c>
      <c r="B135" s="0" t="s">
        <v>379</v>
      </c>
      <c r="D135" s="21" t="n">
        <f aca="false">D134-D132</f>
        <v>1.2114866529408</v>
      </c>
      <c r="E135" s="21" t="n">
        <f aca="false">$D135*(swm_27/swm_26)^el_o*1*1*E125*E126</f>
        <v>1.94870016016792</v>
      </c>
      <c r="F135" s="21" t="n">
        <f aca="false">$D135*(swm_28/swm_26)^el_o*um28_B*1*F125*F126</f>
        <v>1.59319697839339</v>
      </c>
      <c r="G135" s="21" t="n">
        <f aca="false">$D135*(swm_29/swm_26)^el_o*um29_B*1*G125*G126</f>
        <v>1.71081707144302</v>
      </c>
      <c r="K135" s="7" t="s">
        <v>720</v>
      </c>
    </row>
    <row r="136" customFormat="false" ht="17.15" hidden="false" customHeight="false" outlineLevel="0" collapsed="false">
      <c r="A136" s="3" t="s">
        <v>721</v>
      </c>
      <c r="B136" s="0" t="s">
        <v>379</v>
      </c>
      <c r="D136" s="21" t="n">
        <f aca="false">a26_abf-D134</f>
        <v>17.144127</v>
      </c>
      <c r="E136" s="21" t="n">
        <f aca="false">$D136*(1+g_nai)^1*E126</f>
        <v>20.898690813</v>
      </c>
      <c r="F136" s="21" t="n">
        <f aca="false">$D136*(1+g_nai)^2*F126</f>
        <v>22.15261226178</v>
      </c>
      <c r="G136" s="21" t="n">
        <f aca="false">$D136*(1+g_nai)^3*G126</f>
        <v>23.4817689974868</v>
      </c>
      <c r="K136" s="3" t="s">
        <v>722</v>
      </c>
    </row>
    <row r="137" customFormat="false" ht="17.15" hidden="false" customHeight="false" outlineLevel="0" collapsed="false">
      <c r="A137" s="0" t="s">
        <v>723</v>
      </c>
      <c r="B137" s="0" t="s">
        <v>379</v>
      </c>
      <c r="D137" s="21" t="n">
        <f aca="false">D132+D135+D136</f>
        <v>22.858836</v>
      </c>
      <c r="E137" s="21" t="n">
        <f aca="false">E132+E135+E136</f>
        <v>38.4218888085982</v>
      </c>
      <c r="F137" s="21" t="n">
        <f aca="false">F132+F135+F136</f>
        <v>41.7393450354757</v>
      </c>
      <c r="G137" s="21" t="n">
        <f aca="false">G132+G135+G136</f>
        <v>49.739580836681</v>
      </c>
    </row>
    <row r="138" customFormat="false" ht="17.15" hidden="false" customHeight="false" outlineLevel="0" collapsed="false">
      <c r="A138" s="0" t="s">
        <v>724</v>
      </c>
      <c r="B138" s="0" t="s">
        <v>379</v>
      </c>
      <c r="D138" s="21" t="n">
        <f aca="false">a26_abf</f>
        <v>22.858836</v>
      </c>
      <c r="E138" s="21" t="n">
        <f aca="false">$D137*cap_27*(1+g_mix)^1*E125*E126</f>
        <v>33.122453364</v>
      </c>
      <c r="F138" s="21" t="n">
        <f aca="false">$D137*cap_28*(1+g_mix)^2*F125*F126</f>
        <v>41.2995590382375</v>
      </c>
      <c r="G138" s="21" t="n">
        <f aca="false">$D137*cap_29*(1+g_mix)^3*G125*G126</f>
        <v>50.6680379569114</v>
      </c>
      <c r="K138" s="7" t="s">
        <v>725</v>
      </c>
    </row>
    <row r="139" customFormat="false" ht="17.15" hidden="false" customHeight="false" outlineLevel="0" collapsed="false">
      <c r="A139" s="0" t="s">
        <v>726</v>
      </c>
      <c r="B139" s="0" t="s">
        <v>379</v>
      </c>
      <c r="D139" s="21" t="n">
        <f aca="false">a26_abf</f>
        <v>22.858836</v>
      </c>
      <c r="E139" s="21" t="n">
        <f aca="false">MIN(E137,E138)</f>
        <v>33.122453364</v>
      </c>
      <c r="F139" s="21" t="n">
        <f aca="false">MIN(F137,F138)</f>
        <v>41.2995590382375</v>
      </c>
      <c r="G139" s="21" t="n">
        <f aca="false">MIN(G137,G138)</f>
        <v>49.739580836681</v>
      </c>
    </row>
    <row r="140" customFormat="false" ht="17.15" hidden="false" customHeight="false" outlineLevel="0" collapsed="false">
      <c r="A140" s="3" t="s">
        <v>727</v>
      </c>
      <c r="B140" s="0" t="s">
        <v>43</v>
      </c>
      <c r="D140" s="20" t="n">
        <f aca="false">D139/D137</f>
        <v>1</v>
      </c>
      <c r="E140" s="20" t="n">
        <f aca="false">E139/E137</f>
        <v>0.862072490215205</v>
      </c>
      <c r="F140" s="20" t="n">
        <f aca="false">F139/F137</f>
        <v>0.989463514655909</v>
      </c>
      <c r="G140" s="20" t="n">
        <f aca="false">G139/G137</f>
        <v>1</v>
      </c>
    </row>
    <row r="141" customFormat="false" ht="17.15" hidden="false" customHeight="false" outlineLevel="0" collapsed="false">
      <c r="A141" s="0" t="s">
        <v>728</v>
      </c>
      <c r="B141" s="0" t="s">
        <v>379</v>
      </c>
      <c r="D141" s="21" t="n">
        <f aca="false">(D132+D135)*D140</f>
        <v>5.714709</v>
      </c>
      <c r="E141" s="21" t="n">
        <f aca="false">(E132+E135)*E140</f>
        <v>15.1062669325995</v>
      </c>
      <c r="F141" s="21" t="n">
        <f aca="false">(F132+F135)*F140</f>
        <v>19.3803574508871</v>
      </c>
      <c r="G141" s="21" t="n">
        <f aca="false">(G132+G135)*G140</f>
        <v>26.2578118391942</v>
      </c>
    </row>
    <row r="142" customFormat="false" ht="17.15" hidden="false" customHeight="false" outlineLevel="0" collapsed="false">
      <c r="A142" s="3" t="s">
        <v>729</v>
      </c>
      <c r="B142" s="0" t="s">
        <v>43</v>
      </c>
      <c r="D142" s="20" t="n">
        <f aca="false">D132/(D132+D135)</f>
        <v>0.788005539225042</v>
      </c>
      <c r="E142" s="20" t="n">
        <f aca="false">E132/(E132+E135)</f>
        <v>0.888793120944167</v>
      </c>
      <c r="F142" s="20" t="n">
        <f aca="false">F132/(F132+F135)</f>
        <v>0.918659380469366</v>
      </c>
      <c r="G142" s="20" t="n">
        <f aca="false">G132/(G132+G135)</f>
        <v>0.934845405934042</v>
      </c>
    </row>
    <row r="143" customFormat="false" ht="17.15" hidden="false" customHeight="false" outlineLevel="0" collapsed="false">
      <c r="A143" s="5" t="s">
        <v>730</v>
      </c>
    </row>
    <row r="144" customFormat="false" ht="17.15" hidden="false" customHeight="false" outlineLevel="0" collapsed="false">
      <c r="A144" s="0" t="s">
        <v>731</v>
      </c>
      <c r="B144" s="0" t="s">
        <v>379</v>
      </c>
      <c r="D144" s="21" t="n">
        <f aca="false">a26_bt</f>
        <v>23.265964</v>
      </c>
      <c r="E144" s="21" t="n">
        <f aca="false">D144*(1+g_bt27_B)</f>
        <v>27.9191568</v>
      </c>
      <c r="F144" s="21" t="n">
        <f aca="false">E144*(1+g_bt28_B)</f>
        <v>29.31511464</v>
      </c>
      <c r="G144" s="21" t="n">
        <f aca="false">F144*(1+g_bt29_B)</f>
        <v>30.1945680792</v>
      </c>
      <c r="K144" s="7" t="s">
        <v>732</v>
      </c>
    </row>
    <row r="145" customFormat="false" ht="17.15" hidden="false" customHeight="false" outlineLevel="0" collapsed="false">
      <c r="A145" s="3" t="s">
        <v>617</v>
      </c>
      <c r="B145" s="0" t="s">
        <v>379</v>
      </c>
      <c r="C145" s="21" t="n">
        <f aca="false">a25_lens</f>
        <v>7.039</v>
      </c>
      <c r="D145" s="21" t="n">
        <f aca="false">a26_lens</f>
        <v>8.301</v>
      </c>
      <c r="E145" s="21" t="n">
        <f aca="false">D145*(1+g_lens)</f>
        <v>9.1311</v>
      </c>
      <c r="F145" s="21" t="n">
        <f aca="false">E145*(1+g_lens)</f>
        <v>10.04421</v>
      </c>
      <c r="G145" s="21" t="n">
        <f aca="false">F145*(1+g_lens)</f>
        <v>11.048631</v>
      </c>
      <c r="K145" s="3" t="s">
        <v>733</v>
      </c>
    </row>
    <row r="146" customFormat="false" ht="17.15" hidden="false" customHeight="false" outlineLevel="0" collapsed="false">
      <c r="A146" s="3" t="s">
        <v>574</v>
      </c>
      <c r="B146" s="0" t="s">
        <v>379</v>
      </c>
      <c r="C146" s="23" t="n">
        <f aca="false">a25_rev</f>
        <v>39.351</v>
      </c>
      <c r="D146" s="23" t="n">
        <f aca="false">D139+D144+D145</f>
        <v>54.4258</v>
      </c>
      <c r="E146" s="23" t="n">
        <f aca="false">E139+E144+E145</f>
        <v>70.172710164</v>
      </c>
      <c r="F146" s="23" t="n">
        <f aca="false">F139+F144+F145</f>
        <v>80.6588836782375</v>
      </c>
      <c r="G146" s="23" t="n">
        <f aca="false">G139+G144+G145</f>
        <v>90.982779915881</v>
      </c>
      <c r="H146" s="25" t="n">
        <f aca="false">G146*(1+H148)</f>
        <v>99.9594159992298</v>
      </c>
      <c r="I146" s="25" t="n">
        <f aca="false">H146*(1+I148)</f>
        <v>106.889753385877</v>
      </c>
      <c r="J146" s="25" t="n">
        <f aca="false">I146*(1+J148)</f>
        <v>111.165343521312</v>
      </c>
      <c r="K146" s="7" t="s">
        <v>734</v>
      </c>
    </row>
    <row r="147" customFormat="false" ht="17.15" hidden="false" customHeight="false" outlineLevel="0" collapsed="false">
      <c r="A147" s="3" t="s">
        <v>735</v>
      </c>
      <c r="B147" s="0" t="s">
        <v>379</v>
      </c>
      <c r="D147" s="19" t="n">
        <f aca="false">D139+D144+D145-D146</f>
        <v>0</v>
      </c>
      <c r="E147" s="19" t="n">
        <f aca="false">E139+E144+E145-E146</f>
        <v>0</v>
      </c>
      <c r="F147" s="19" t="n">
        <f aca="false">F139+F144+F145-F146</f>
        <v>0</v>
      </c>
      <c r="G147" s="19" t="n">
        <f aca="false">G139+G144+G145-G146</f>
        <v>0</v>
      </c>
    </row>
    <row r="148" customFormat="false" ht="15" hidden="false" customHeight="false" outlineLevel="0" collapsed="false">
      <c r="A148" s="3" t="s">
        <v>736</v>
      </c>
      <c r="B148" s="0" t="s">
        <v>43</v>
      </c>
      <c r="D148" s="20" t="n">
        <f aca="false">D146/C146-1</f>
        <v>0.383085563263958</v>
      </c>
      <c r="E148" s="20" t="n">
        <f aca="false">E146/D146-1</f>
        <v>0.289328042288767</v>
      </c>
      <c r="F148" s="20" t="n">
        <f aca="false">F146/E146-1</f>
        <v>0.149433782587709</v>
      </c>
      <c r="G148" s="20" t="n">
        <f aca="false">G146/F146-1</f>
        <v>0.127994534102744</v>
      </c>
      <c r="H148" s="26" t="n">
        <f aca="false">$G148+(fade_gB-$G148)*1/3</f>
        <v>0.0986630227351628</v>
      </c>
      <c r="I148" s="26" t="n">
        <f aca="false">$G148+(fade_gB-$G148)*2/3</f>
        <v>0.0693315113675814</v>
      </c>
      <c r="J148" s="26" t="n">
        <f aca="false">$G148+(fade_gB-$G148)*3/3</f>
        <v>0.04</v>
      </c>
    </row>
    <row r="149" customFormat="false" ht="17.15" hidden="false" customHeight="false" outlineLevel="0" collapsed="false">
      <c r="A149" s="0" t="s">
        <v>737</v>
      </c>
      <c r="B149" s="0" t="s">
        <v>43</v>
      </c>
      <c r="D149" s="20" t="n">
        <f aca="false">D139/D146</f>
        <v>0.42</v>
      </c>
      <c r="E149" s="20" t="n">
        <f aca="false">E139/E146</f>
        <v>0.472013312391524</v>
      </c>
      <c r="F149" s="20" t="n">
        <f aca="false">F139/F146</f>
        <v>0.51202740671429</v>
      </c>
      <c r="G149" s="20" t="n">
        <f aca="false">G139/G146</f>
        <v>0.546692251903802</v>
      </c>
    </row>
    <row r="150" customFormat="false" ht="17.15" hidden="false" customHeight="false" outlineLevel="0" collapsed="false">
      <c r="A150" s="0" t="s">
        <v>738</v>
      </c>
      <c r="B150" s="0" t="s">
        <v>43</v>
      </c>
      <c r="D150" s="20" t="n">
        <f aca="false">D141/D146</f>
        <v>0.105</v>
      </c>
      <c r="E150" s="20" t="n">
        <f aca="false">E141/E146</f>
        <v>0.215272673626182</v>
      </c>
      <c r="F150" s="20" t="n">
        <f aca="false">F141/F146</f>
        <v>0.24027554767803</v>
      </c>
      <c r="G150" s="20" t="n">
        <f aca="false">G141/G146</f>
        <v>0.288601995492675</v>
      </c>
      <c r="K150" s="3" t="s">
        <v>739</v>
      </c>
    </row>
    <row r="151" customFormat="false" ht="17.15" hidden="false" customHeight="false" outlineLevel="0" collapsed="false">
      <c r="A151" s="5" t="s">
        <v>740</v>
      </c>
    </row>
    <row r="152" customFormat="false" ht="15" hidden="false" customHeight="false" outlineLevel="0" collapsed="false">
      <c r="A152" s="3" t="s">
        <v>741</v>
      </c>
      <c r="B152" s="0" t="s">
        <v>379</v>
      </c>
      <c r="C152" s="23" t="n">
        <f aca="false">a25_cx</f>
        <v>6.116</v>
      </c>
      <c r="D152" s="23" t="n">
        <f aca="false">capex26</f>
        <v>11</v>
      </c>
      <c r="E152" s="23" t="n">
        <f aca="false">cx27</f>
        <v>17</v>
      </c>
      <c r="F152" s="23" t="n">
        <f aca="false">cx28</f>
        <v>16</v>
      </c>
      <c r="G152" s="23" t="n">
        <f aca="false">cx29</f>
        <v>12</v>
      </c>
      <c r="H152" s="25" t="n">
        <f aca="false">H146*H171</f>
        <v>13.2817271553951</v>
      </c>
      <c r="I152" s="25" t="n">
        <f aca="false">I146*I171</f>
        <v>14.3071188582801</v>
      </c>
      <c r="J152" s="25" t="n">
        <f aca="false">J146*J171</f>
        <v>14.9881350776661</v>
      </c>
    </row>
    <row r="153" customFormat="false" ht="17.15" hidden="false" customHeight="false" outlineLevel="0" collapsed="false">
      <c r="A153" s="3" t="s">
        <v>742</v>
      </c>
      <c r="B153" s="0" t="s">
        <v>379</v>
      </c>
      <c r="C153" s="23" t="n">
        <f aca="false">a25_da</f>
        <v>7.158</v>
      </c>
      <c r="D153" s="23" t="n">
        <f aca="false">da26</f>
        <v>8.32</v>
      </c>
      <c r="E153" s="23" t="n">
        <f aca="false">D153*(1-1/life)+D152/life</f>
        <v>8.655</v>
      </c>
      <c r="F153" s="23" t="n">
        <f aca="false">E153*(1-1/life)+E152/life</f>
        <v>9.698125</v>
      </c>
      <c r="G153" s="23" t="n">
        <f aca="false">F153*(1-1/life)+F152/life</f>
        <v>10.485859375</v>
      </c>
      <c r="H153" s="25" t="n">
        <f aca="false">H146*H154</f>
        <v>11.5204259569133</v>
      </c>
      <c r="I153" s="25" t="n">
        <f aca="false">I146*I154</f>
        <v>12.3191545001045</v>
      </c>
      <c r="J153" s="25" t="n">
        <f aca="false">J146*J154</f>
        <v>12.8119206801086</v>
      </c>
      <c r="K153" s="3" t="s">
        <v>743</v>
      </c>
    </row>
    <row r="154" customFormat="false" ht="17.15" hidden="false" customHeight="false" outlineLevel="0" collapsed="false">
      <c r="A154" s="3" t="s">
        <v>744</v>
      </c>
      <c r="B154" s="0" t="s">
        <v>43</v>
      </c>
      <c r="C154" s="20" t="n">
        <f aca="false">C153/C146</f>
        <v>0.181901349393916</v>
      </c>
      <c r="D154" s="20" t="n">
        <f aca="false">D153/D146</f>
        <v>0.152868676252807</v>
      </c>
      <c r="E154" s="20" t="n">
        <f aca="false">E153/E146</f>
        <v>0.12333854542275</v>
      </c>
      <c r="F154" s="20" t="n">
        <f aca="false">F153/F146</f>
        <v>0.120236290880091</v>
      </c>
      <c r="G154" s="20" t="n">
        <f aca="false">G153/G146</f>
        <v>0.115251033049274</v>
      </c>
      <c r="H154" s="26" t="n">
        <f aca="false">$G154</f>
        <v>0.115251033049274</v>
      </c>
      <c r="I154" s="26" t="n">
        <f aca="false">$G154</f>
        <v>0.115251033049274</v>
      </c>
      <c r="J154" s="26" t="n">
        <f aca="false">$G154</f>
        <v>0.115251033049274</v>
      </c>
    </row>
    <row r="155" customFormat="false" ht="17.15" hidden="false" customHeight="false" outlineLevel="0" collapsed="false">
      <c r="A155" s="0" t="s">
        <v>745</v>
      </c>
      <c r="B155" s="0" t="s">
        <v>379</v>
      </c>
      <c r="E155" s="21" t="n">
        <f aca="false">E140*((E132+E135)*(1-1/(E125*E126))+E136*(1-1/E126))</f>
        <v>4.320320004</v>
      </c>
      <c r="F155" s="21" t="n">
        <f aca="false">F140*((F132+F135)*(1-1/(F125*F126))+F136*(1-1/F126))</f>
        <v>4.49992612394003</v>
      </c>
      <c r="G155" s="21" t="n">
        <f aca="false">G140*((G132+G135)*(1-1/(G125*G126))+G136*(1-1/G126))</f>
        <v>3.95078476235025</v>
      </c>
      <c r="K155" s="7" t="s">
        <v>746</v>
      </c>
    </row>
    <row r="156" customFormat="false" ht="17.15" hidden="false" customHeight="false" outlineLevel="0" collapsed="false">
      <c r="A156" s="3" t="s">
        <v>747</v>
      </c>
      <c r="B156" s="0" t="s">
        <v>379</v>
      </c>
      <c r="C156" s="21" t="n">
        <f aca="false">a25_gp</f>
        <v>8.314</v>
      </c>
      <c r="D156" s="21" t="n">
        <f aca="false">a26_gp</f>
        <v>15.328536</v>
      </c>
      <c r="E156" s="21" t="n">
        <f aca="false">$D156+ft_abf*(E139-E155-$D139)+ft_bt*(E144-$D144)+ft_lens*(E145-$D145)+E155-(E153-$D153)</f>
        <v>24.752986444</v>
      </c>
      <c r="F156" s="21" t="n">
        <f aca="false">$D156+ft_abf*(F139-F155-$D139)+ft_bt*(F144-$D144)+ft_lens*(F145-$D145)+F155-(F153-$D153)</f>
        <v>28.9272978690888</v>
      </c>
      <c r="G156" s="21" t="n">
        <f aca="false">$D156+ft_abf*(G139-G155-$D139)+ft_bt*(G144-$D144)+ft_lens*(G145-$D145)+G155-(G153-$D153)</f>
        <v>32.9327472101556</v>
      </c>
      <c r="K156" s="3" t="s">
        <v>748</v>
      </c>
    </row>
    <row r="157" customFormat="false" ht="15" hidden="false" customHeight="false" outlineLevel="0" collapsed="false">
      <c r="A157" s="3" t="s">
        <v>581</v>
      </c>
      <c r="B157" s="0" t="s">
        <v>43</v>
      </c>
      <c r="C157" s="16" t="n">
        <f aca="false">C156/C146</f>
        <v>0.211277985311682</v>
      </c>
      <c r="D157" s="16" t="n">
        <f aca="false">D156/D146</f>
        <v>0.281640986443929</v>
      </c>
      <c r="E157" s="16" t="n">
        <f aca="false">E156/E146</f>
        <v>0.352743771562336</v>
      </c>
      <c r="F157" s="16" t="n">
        <f aca="false">F156/F146</f>
        <v>0.358637468682121</v>
      </c>
      <c r="G157" s="16" t="n">
        <f aca="false">G156/G146</f>
        <v>0.361966816584456</v>
      </c>
    </row>
    <row r="158" customFormat="false" ht="15" hidden="false" customHeight="false" outlineLevel="0" collapsed="false">
      <c r="A158" s="3" t="s">
        <v>583</v>
      </c>
      <c r="B158" s="0" t="s">
        <v>379</v>
      </c>
      <c r="C158" s="21" t="n">
        <f aca="false">a25_opx</f>
        <v>5.644</v>
      </c>
      <c r="D158" s="21" t="n">
        <f aca="false">a26_opx</f>
        <v>6.54036</v>
      </c>
      <c r="E158" s="21" t="n">
        <f aca="false">D158*(1+phi*E148)</f>
        <v>7.67574573279826</v>
      </c>
      <c r="F158" s="21" t="n">
        <f aca="false">E158*(1+phi*F148)</f>
        <v>8.36395516421837</v>
      </c>
      <c r="G158" s="21" t="n">
        <f aca="false">F158*(1+phi*G148)</f>
        <v>9.00627949091859</v>
      </c>
    </row>
    <row r="159" customFormat="false" ht="15" hidden="false" customHeight="false" outlineLevel="0" collapsed="false">
      <c r="A159" s="3" t="s">
        <v>586</v>
      </c>
      <c r="B159" s="0" t="s">
        <v>379</v>
      </c>
      <c r="C159" s="21" t="n">
        <f aca="false">C156-C158</f>
        <v>2.67</v>
      </c>
      <c r="D159" s="21" t="n">
        <f aca="false">D156-D158</f>
        <v>8.788176</v>
      </c>
      <c r="E159" s="21" t="n">
        <f aca="false">E156-E158</f>
        <v>17.0772407112017</v>
      </c>
      <c r="F159" s="21" t="n">
        <f aca="false">F156-F158</f>
        <v>20.5633427048704</v>
      </c>
      <c r="G159" s="21" t="n">
        <f aca="false">G156-G158</f>
        <v>23.926467719237</v>
      </c>
    </row>
    <row r="160" customFormat="false" ht="15" hidden="false" customHeight="false" outlineLevel="0" collapsed="false">
      <c r="A160" s="3" t="s">
        <v>684</v>
      </c>
      <c r="B160" s="0" t="s">
        <v>43</v>
      </c>
      <c r="C160" s="16" t="n">
        <f aca="false">C159/C146</f>
        <v>0.0678508805367081</v>
      </c>
      <c r="D160" s="16" t="n">
        <f aca="false">D159/D146</f>
        <v>0.161470773052486</v>
      </c>
      <c r="E160" s="16" t="n">
        <f aca="false">E159/E146</f>
        <v>0.243360142016614</v>
      </c>
      <c r="F160" s="16" t="n">
        <f aca="false">F159/F146</f>
        <v>0.254942069207171</v>
      </c>
      <c r="G160" s="16" t="n">
        <f aca="false">G159/G146</f>
        <v>0.262977980463539</v>
      </c>
    </row>
    <row r="161" customFormat="false" ht="15" hidden="false" customHeight="false" outlineLevel="0" collapsed="false">
      <c r="A161" s="3" t="s">
        <v>589</v>
      </c>
      <c r="B161" s="0" t="s">
        <v>379</v>
      </c>
      <c r="C161" s="21" t="n">
        <f aca="false">a25_nonop</f>
        <v>0.417</v>
      </c>
      <c r="D161" s="21" t="n">
        <f aca="false">a26_nonop</f>
        <v>0.37882</v>
      </c>
      <c r="E161" s="21" t="n">
        <f aca="false">nonop27</f>
        <v>0.4</v>
      </c>
      <c r="F161" s="21" t="n">
        <f aca="false">nonop28</f>
        <v>0.4</v>
      </c>
      <c r="G161" s="21" t="n">
        <f aca="false">nonop29</f>
        <v>0.4</v>
      </c>
    </row>
    <row r="162" customFormat="false" ht="15" hidden="false" customHeight="false" outlineLevel="0" collapsed="false">
      <c r="A162" s="3" t="s">
        <v>591</v>
      </c>
      <c r="B162" s="0" t="s">
        <v>379</v>
      </c>
      <c r="C162" s="21" t="n">
        <f aca="false">C159+C161</f>
        <v>3.087</v>
      </c>
      <c r="D162" s="21" t="n">
        <f aca="false">D159+D161</f>
        <v>9.166996</v>
      </c>
      <c r="E162" s="21" t="n">
        <f aca="false">E159+E161</f>
        <v>17.4772407112017</v>
      </c>
      <c r="F162" s="21" t="n">
        <f aca="false">F159+F161</f>
        <v>20.9633427048704</v>
      </c>
      <c r="G162" s="21" t="n">
        <f aca="false">G159+G161</f>
        <v>24.326467719237</v>
      </c>
    </row>
    <row r="163" customFormat="false" ht="15" hidden="false" customHeight="false" outlineLevel="0" collapsed="false">
      <c r="A163" s="3" t="s">
        <v>592</v>
      </c>
      <c r="B163" s="0" t="s">
        <v>379</v>
      </c>
      <c r="E163" s="21" t="n">
        <f aca="false">E162*tax</f>
        <v>2.09726888534421</v>
      </c>
      <c r="F163" s="21" t="n">
        <f aca="false">F162*tax</f>
        <v>2.51560112458445</v>
      </c>
      <c r="G163" s="21" t="n">
        <f aca="false">G162*tax</f>
        <v>2.91917612630844</v>
      </c>
    </row>
    <row r="164" customFormat="false" ht="15" hidden="false" customHeight="false" outlineLevel="0" collapsed="false">
      <c r="A164" s="3" t="s">
        <v>593</v>
      </c>
      <c r="B164" s="0" t="s">
        <v>379</v>
      </c>
      <c r="C164" s="21" t="n">
        <f aca="false">a25_nic</f>
        <v>2.71712</v>
      </c>
      <c r="D164" s="21" t="n">
        <f aca="false">a26_nic</f>
        <v>8.39979776</v>
      </c>
      <c r="E164" s="21" t="n">
        <f aca="false">E162-E163</f>
        <v>15.3799718258575</v>
      </c>
      <c r="F164" s="21" t="n">
        <f aca="false">F162-F163</f>
        <v>18.447741580286</v>
      </c>
      <c r="G164" s="21" t="n">
        <f aca="false">G162-G163</f>
        <v>21.4072915929286</v>
      </c>
    </row>
    <row r="165" customFormat="false" ht="17.15" hidden="false" customHeight="false" outlineLevel="0" collapsed="false">
      <c r="A165" s="3" t="s">
        <v>749</v>
      </c>
      <c r="B165" s="0" t="s">
        <v>379</v>
      </c>
      <c r="C165" s="21" t="n">
        <f aca="false">a25_nci</f>
        <v>1.12112</v>
      </c>
      <c r="D165" s="21" t="n">
        <f aca="false">a26_nci</f>
        <v>1.43839238487797</v>
      </c>
      <c r="E165" s="21" t="n">
        <f aca="false">E145*nm_lens*nci_sh</f>
        <v>1.57074538036261</v>
      </c>
      <c r="F165" s="21" t="n">
        <f aca="false">F145*nm_lens*nci_sh</f>
        <v>1.72781991839887</v>
      </c>
      <c r="G165" s="21" t="n">
        <f aca="false">G145*nm_lens*nci_sh</f>
        <v>1.90060191023875</v>
      </c>
      <c r="K165" s="3" t="s">
        <v>750</v>
      </c>
    </row>
    <row r="166" customFormat="false" ht="15" hidden="false" customHeight="false" outlineLevel="0" collapsed="false">
      <c r="A166" s="3" t="s">
        <v>599</v>
      </c>
      <c r="B166" s="0" t="s">
        <v>379</v>
      </c>
      <c r="C166" s="21" t="n">
        <f aca="false">a25_ni</f>
        <v>1.596</v>
      </c>
      <c r="D166" s="21" t="n">
        <f aca="false">a26_ni</f>
        <v>6.96140537512203</v>
      </c>
      <c r="E166" s="21" t="n">
        <f aca="false">E164-E165</f>
        <v>13.8092264454949</v>
      </c>
      <c r="F166" s="21" t="n">
        <f aca="false">F164-F165</f>
        <v>16.7199216618871</v>
      </c>
      <c r="G166" s="21" t="n">
        <f aca="false">G164-G165</f>
        <v>19.5066896826898</v>
      </c>
      <c r="H166" s="30" t="n">
        <f aca="false">H146*H170</f>
        <v>20.7169026953295</v>
      </c>
      <c r="I166" s="30" t="n">
        <f aca="false">I146*I170</f>
        <v>21.3893321503948</v>
      </c>
      <c r="J166" s="30" t="n">
        <f aca="false">J146*J170</f>
        <v>21.4504445279674</v>
      </c>
    </row>
    <row r="167" customFormat="false" ht="15" hidden="false" customHeight="false" outlineLevel="0" collapsed="false">
      <c r="A167" s="3" t="s">
        <v>751</v>
      </c>
      <c r="B167" s="3" t="s">
        <v>465</v>
      </c>
      <c r="C167" s="29" t="n">
        <f aca="false">a25_sh</f>
        <v>0.454700854700855</v>
      </c>
      <c r="D167" s="29" t="n">
        <f aca="false">a26_sh</f>
        <v>0.508341020486215</v>
      </c>
      <c r="E167" s="29" t="n">
        <f aca="false">a26_shend*(1+sh_g)</f>
        <v>0.52691</v>
      </c>
      <c r="F167" s="29" t="n">
        <f aca="false">E167*(1+sh_g)</f>
        <v>0.52691</v>
      </c>
      <c r="G167" s="29" t="n">
        <f aca="false">F167*(1+sh_g)</f>
        <v>0.52691</v>
      </c>
      <c r="H167" s="31" t="n">
        <f aca="false">G167*(1+sh_g)</f>
        <v>0.52691</v>
      </c>
      <c r="I167" s="31" t="n">
        <f aca="false">H167*(1+sh_g)</f>
        <v>0.52691</v>
      </c>
      <c r="J167" s="31" t="n">
        <f aca="false">I167*(1+sh_g)</f>
        <v>0.52691</v>
      </c>
    </row>
    <row r="168" customFormat="false" ht="17.15" hidden="false" customHeight="false" outlineLevel="0" collapsed="false">
      <c r="A168" s="0" t="s">
        <v>604</v>
      </c>
      <c r="B168" s="0" t="s">
        <v>471</v>
      </c>
      <c r="C168" s="18" t="n">
        <f aca="false">C166/C167</f>
        <v>3.51</v>
      </c>
      <c r="D168" s="18" t="n">
        <f aca="false">D166/D167</f>
        <v>13.6943608612652</v>
      </c>
      <c r="E168" s="18" t="n">
        <f aca="false">E166/E167</f>
        <v>26.2079414805089</v>
      </c>
      <c r="F168" s="18" t="n">
        <f aca="false">F166/F167</f>
        <v>31.7320257005695</v>
      </c>
      <c r="G168" s="18" t="n">
        <f aca="false">G166/G167</f>
        <v>37.0209137854469</v>
      </c>
      <c r="H168" s="28" t="n">
        <f aca="false">H166/H167</f>
        <v>39.3177254091391</v>
      </c>
      <c r="I168" s="28" t="n">
        <f aca="false">I166/I167</f>
        <v>40.5939005720044</v>
      </c>
      <c r="J168" s="28" t="n">
        <f aca="false">J166/J167</f>
        <v>40.7098831450672</v>
      </c>
    </row>
    <row r="169" customFormat="false" ht="17.15" hidden="false" customHeight="false" outlineLevel="0" collapsed="false">
      <c r="A169" s="0" t="s">
        <v>752</v>
      </c>
      <c r="B169" s="0" t="s">
        <v>43</v>
      </c>
      <c r="D169" s="20" t="n">
        <f aca="false">D168/C168-1</f>
        <v>2.90152731090177</v>
      </c>
      <c r="E169" s="20" t="n">
        <f aca="false">E168/D168-1</f>
        <v>0.913776170061255</v>
      </c>
      <c r="F169" s="20" t="n">
        <f aca="false">F168/E168-1</f>
        <v>0.210779019945881</v>
      </c>
      <c r="G169" s="20" t="n">
        <f aca="false">G168/F168-1</f>
        <v>0.166673509431276</v>
      </c>
      <c r="H169" s="26" t="n">
        <f aca="false">H168/G168-1</f>
        <v>0.0620409219773239</v>
      </c>
      <c r="I169" s="26" t="n">
        <f aca="false">I168/H168-1</f>
        <v>0.0324580109755961</v>
      </c>
      <c r="J169" s="26" t="n">
        <f aca="false">J168/I168-1</f>
        <v>0.00285714285714289</v>
      </c>
    </row>
    <row r="170" customFormat="false" ht="17.15" hidden="false" customHeight="false" outlineLevel="0" collapsed="false">
      <c r="A170" s="3" t="s">
        <v>753</v>
      </c>
      <c r="B170" s="0" t="s">
        <v>43</v>
      </c>
      <c r="C170" s="16" t="n">
        <f aca="false">C166/C146</f>
        <v>0.0405580544331783</v>
      </c>
      <c r="D170" s="16" t="n">
        <f aca="false">D166/D146</f>
        <v>0.127906349105057</v>
      </c>
      <c r="E170" s="16" t="n">
        <f aca="false">E166/E146</f>
        <v>0.196789128041678</v>
      </c>
      <c r="F170" s="16" t="n">
        <f aca="false">F166/F146</f>
        <v>0.207291756337539</v>
      </c>
      <c r="G170" s="16" t="n">
        <f aca="false">G166/G146</f>
        <v>0.21439979851929</v>
      </c>
      <c r="H170" s="27" t="n">
        <f aca="false">$G170+(fade_mB-$G170)*1/3</f>
        <v>0.207253138568647</v>
      </c>
      <c r="I170" s="27" t="n">
        <f aca="false">$G170+(fade_mB-$G170)*2/3</f>
        <v>0.200106478618004</v>
      </c>
      <c r="J170" s="27" t="n">
        <f aca="false">$G170+(fade_mB-$G170)*3/3</f>
        <v>0.192959818667361</v>
      </c>
    </row>
    <row r="171" customFormat="false" ht="17.15" hidden="false" customHeight="false" outlineLevel="0" collapsed="false">
      <c r="A171" s="3" t="s">
        <v>754</v>
      </c>
      <c r="B171" s="0" t="s">
        <v>43</v>
      </c>
      <c r="C171" s="20" t="n">
        <f aca="false">C152/C146</f>
        <v>0.155421717364235</v>
      </c>
      <c r="D171" s="20" t="n">
        <f aca="false">D152/D146</f>
        <v>0.202110028699624</v>
      </c>
      <c r="E171" s="20" t="n">
        <f aca="false">E152/E146</f>
        <v>0.242259419085702</v>
      </c>
      <c r="F171" s="20" t="n">
        <f aca="false">F152/F146</f>
        <v>0.198366246473567</v>
      </c>
      <c r="G171" s="20" t="n">
        <f aca="false">G152/G146</f>
        <v>0.131893090220971</v>
      </c>
      <c r="H171" s="26" t="n">
        <f aca="false">$G171+($G154*(1+tp_g)^(life/2)-$G171)*1/3</f>
        <v>0.132871196001159</v>
      </c>
      <c r="I171" s="26" t="n">
        <f aca="false">$G171+($G154*(1+tp_g)^(life/2)-$G171)*2/3</f>
        <v>0.133849301781347</v>
      </c>
      <c r="J171" s="26" t="n">
        <f aca="false">$G171+($G154*(1+tp_g)^(life/2)-$G171)*3/3</f>
        <v>0.134827407561536</v>
      </c>
      <c r="K171" s="7" t="s">
        <v>755</v>
      </c>
    </row>
    <row r="172" customFormat="false" ht="15" hidden="false" customHeight="false" outlineLevel="0" collapsed="false">
      <c r="A172" s="3" t="s">
        <v>756</v>
      </c>
      <c r="B172" s="0" t="s">
        <v>379</v>
      </c>
      <c r="D172" s="21" t="n">
        <f aca="false">D166+D153-D152</f>
        <v>4.28140537512203</v>
      </c>
      <c r="E172" s="21" t="n">
        <f aca="false">E166+E153-E152</f>
        <v>5.46422644549492</v>
      </c>
      <c r="F172" s="21" t="n">
        <f aca="false">F166+F153-F152</f>
        <v>10.4180466618871</v>
      </c>
      <c r="G172" s="21" t="n">
        <f aca="false">G166+G153-G152</f>
        <v>17.9925490576898</v>
      </c>
      <c r="H172" s="30" t="n">
        <f aca="false">H166+H153-H152</f>
        <v>18.9556014968477</v>
      </c>
      <c r="I172" s="30" t="n">
        <f aca="false">I166+I153-I152</f>
        <v>19.4013677922192</v>
      </c>
      <c r="J172" s="30" t="n">
        <f aca="false">J166+J153-J152</f>
        <v>19.2742301304099</v>
      </c>
      <c r="K172" s="3" t="s">
        <v>757</v>
      </c>
    </row>
    <row r="173" customFormat="false" ht="15" hidden="false" customHeight="false" outlineLevel="0" collapsed="false">
      <c r="A173" s="3" t="s">
        <v>758</v>
      </c>
      <c r="B173" s="0" t="s">
        <v>471</v>
      </c>
      <c r="D173" s="18" t="n">
        <f aca="false">D172/D167</f>
        <v>8.42230943909854</v>
      </c>
      <c r="E173" s="18" t="n">
        <f aca="false">E172/E167</f>
        <v>10.3703221527299</v>
      </c>
      <c r="F173" s="18" t="n">
        <f aca="false">F172/F167</f>
        <v>19.7719661078497</v>
      </c>
      <c r="G173" s="18" t="n">
        <f aca="false">G172/G167</f>
        <v>34.1472909181641</v>
      </c>
      <c r="H173" s="28" t="n">
        <f aca="false">H172/H167</f>
        <v>35.9750270384843</v>
      </c>
      <c r="I173" s="28" t="n">
        <f aca="false">I172/I167</f>
        <v>36.8210278647572</v>
      </c>
      <c r="J173" s="28" t="n">
        <f aca="false">J172/J167</f>
        <v>36.5797387227608</v>
      </c>
    </row>
    <row r="176" customFormat="false" ht="17.15" hidden="false" customHeight="false" outlineLevel="0" collapsed="false">
      <c r="A176" s="1" t="s">
        <v>760</v>
      </c>
    </row>
    <row r="177" customFormat="false" ht="17.15" hidden="false" customHeight="false" outlineLevel="0" collapsed="false">
      <c r="A177" s="4" t="s">
        <v>20</v>
      </c>
      <c r="B177" s="4" t="s">
        <v>21</v>
      </c>
      <c r="C177" s="13" t="s">
        <v>567</v>
      </c>
      <c r="D177" s="13" t="s">
        <v>671</v>
      </c>
      <c r="E177" s="13" t="s">
        <v>672</v>
      </c>
      <c r="F177" s="13" t="s">
        <v>673</v>
      </c>
      <c r="G177" s="13" t="s">
        <v>674</v>
      </c>
      <c r="H177" s="13" t="s">
        <v>675</v>
      </c>
      <c r="I177" s="13" t="s">
        <v>676</v>
      </c>
      <c r="J177" s="13" t="s">
        <v>677</v>
      </c>
      <c r="K177" s="4" t="s">
        <v>631</v>
      </c>
    </row>
    <row r="178" customFormat="false" ht="17.15" hidden="false" customHeight="false" outlineLevel="0" collapsed="false">
      <c r="A178" s="5" t="s">
        <v>695</v>
      </c>
    </row>
    <row r="179" customFormat="false" ht="17.15" hidden="false" customHeight="false" outlineLevel="0" collapsed="false">
      <c r="A179" s="0" t="s">
        <v>696</v>
      </c>
      <c r="B179" s="3" t="s">
        <v>31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(u_bw_28+u_rb_28+u_ru_28+u_hp_28)*um28_C*1</f>
        <v>5.7</v>
      </c>
      <c r="G179" s="21" t="n">
        <f aca="false">(u_bw_28*(1+g29_bw)+u_rb_28*(1+g29_rb)+u_ru_28*(1+g29_ru)+u_hp_28*(1+g29_hp))*um29_C*1</f>
        <v>6.36</v>
      </c>
      <c r="K179" s="7" t="s">
        <v>697</v>
      </c>
    </row>
    <row r="180" customFormat="false" ht="17.15" hidden="false" customHeight="false" outlineLevel="0" collapsed="false">
      <c r="A180" s="3" t="s">
        <v>698</v>
      </c>
      <c r="B180" s="3" t="s">
        <v>31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(u_amd_28+u_tpu_28+u_trn_28+u_oth_28)*um28_C*1</f>
        <v>10.2</v>
      </c>
      <c r="G180" s="21" t="n">
        <f aca="false">(u_amd_28*(1+g29_amd)+u_tpu_28*(1+g29_tpu)+u_trn_28*(1+g29_trn)+u_oth_28*(1+g29_oth))*um29_C*1</f>
        <v>11.73</v>
      </c>
      <c r="K180" s="7" t="s">
        <v>699</v>
      </c>
    </row>
    <row r="181" customFormat="false" ht="17.15" hidden="false" customHeight="false" outlineLevel="0" collapsed="false">
      <c r="A181" s="0" t="s">
        <v>700</v>
      </c>
      <c r="B181" s="3" t="s">
        <v>31</v>
      </c>
      <c r="D181" s="21" t="n">
        <f aca="false">D179*cpu_r</f>
        <v>3.04</v>
      </c>
      <c r="E181" s="21" t="n">
        <f aca="false">E179*cpu_r</f>
        <v>3.88</v>
      </c>
      <c r="F181" s="21" t="n">
        <f aca="false">F179*cpu_r</f>
        <v>2.28</v>
      </c>
      <c r="G181" s="21" t="n">
        <f aca="false">G179*cpu_r</f>
        <v>2.544</v>
      </c>
      <c r="K181" s="7" t="s">
        <v>701</v>
      </c>
    </row>
    <row r="182" customFormat="false" ht="17.15" hidden="false" customHeight="false" outlineLevel="0" collapsed="false">
      <c r="A182" s="3" t="s">
        <v>702</v>
      </c>
      <c r="B182" s="0" t="s">
        <v>153</v>
      </c>
      <c r="D182" s="19" t="n">
        <f aca="false">1</f>
        <v>1</v>
      </c>
      <c r="E182" s="19" t="n">
        <f aca="false">D182*(1+g_asp)</f>
        <v>1.18</v>
      </c>
      <c r="F182" s="19" t="n">
        <f aca="false">E182*(1+g_asp)</f>
        <v>1.3924</v>
      </c>
      <c r="G182" s="19" t="n">
        <f aca="false">F182*(1+g_asp)</f>
        <v>1.643032</v>
      </c>
      <c r="K182" s="7" t="s">
        <v>703</v>
      </c>
    </row>
    <row r="183" customFormat="false" ht="17.15" hidden="false" customHeight="false" outlineLevel="0" collapsed="false">
      <c r="A183" s="0" t="s">
        <v>704</v>
      </c>
      <c r="B183" s="0" t="s">
        <v>153</v>
      </c>
      <c r="D183" s="18" t="n">
        <f aca="false">1</f>
        <v>1</v>
      </c>
      <c r="E183" s="18" t="n">
        <f aca="false">ibpp_27</f>
        <v>1</v>
      </c>
      <c r="F183" s="18" t="n">
        <f aca="false">ibpp_28</f>
        <v>0.95</v>
      </c>
      <c r="G183" s="18" t="n">
        <f aca="false">ibpp_29</f>
        <v>0.9</v>
      </c>
      <c r="K183" s="7" t="s">
        <v>705</v>
      </c>
    </row>
    <row r="184" customFormat="false" ht="17.15" hidden="false" customHeight="false" outlineLevel="0" collapsed="false">
      <c r="A184" s="3" t="s">
        <v>706</v>
      </c>
      <c r="B184" s="0" t="s">
        <v>153</v>
      </c>
      <c r="D184" s="18" t="n">
        <f aca="false">1</f>
        <v>1</v>
      </c>
      <c r="E184" s="18" t="n">
        <f aca="false">1+carry</f>
        <v>1.15</v>
      </c>
      <c r="F184" s="18" t="n">
        <f aca="false">1+carry</f>
        <v>1.15</v>
      </c>
      <c r="G184" s="18" t="n">
        <f aca="false">1+carry</f>
        <v>1.15</v>
      </c>
      <c r="K184" s="7" t="s">
        <v>707</v>
      </c>
    </row>
    <row r="185" customFormat="false" ht="17.15" hidden="false" customHeight="false" outlineLevel="0" collapsed="false">
      <c r="A185" s="3" t="s">
        <v>708</v>
      </c>
      <c r="B185" s="0" t="s">
        <v>709</v>
      </c>
      <c r="D185" s="23" t="n">
        <f aca="false">v26*D182*D183</f>
        <v>215.308596</v>
      </c>
      <c r="E185" s="23" t="n">
        <f aca="false">v26*E182*E183</f>
        <v>254.06414328</v>
      </c>
      <c r="F185" s="23" t="n">
        <f aca="false">v26*F182*F183</f>
        <v>284.80590461688</v>
      </c>
      <c r="G185" s="23" t="n">
        <f aca="false">v26*G182*G183</f>
        <v>318.383021792765</v>
      </c>
      <c r="K185" s="7" t="s">
        <v>710</v>
      </c>
    </row>
    <row r="186" customFormat="false" ht="17.15" hidden="false" customHeight="false" outlineLevel="0" collapsed="false">
      <c r="A186" s="3" t="s">
        <v>711</v>
      </c>
      <c r="B186" s="0" t="s">
        <v>43</v>
      </c>
      <c r="D186" s="20" t="n">
        <f aca="false">sh_nv_26</f>
        <v>0.02</v>
      </c>
      <c r="E186" s="20" t="n">
        <f aca="false">sh_nv_27</f>
        <v>0.03</v>
      </c>
      <c r="F186" s="20" t="n">
        <f aca="false">sh_nv_28</f>
        <v>0.05</v>
      </c>
      <c r="G186" s="20" t="n">
        <f aca="false">sh_nv_29</f>
        <v>0.06</v>
      </c>
    </row>
    <row r="187" customFormat="false" ht="17.15" hidden="false" customHeight="false" outlineLevel="0" collapsed="false">
      <c r="A187" s="3" t="s">
        <v>712</v>
      </c>
      <c r="B187" s="0" t="s">
        <v>43</v>
      </c>
      <c r="D187" s="20" t="n">
        <f aca="false">sh_ot_26</f>
        <v>0.03</v>
      </c>
      <c r="E187" s="20" t="n">
        <f aca="false">sh_ot_27</f>
        <v>0.05</v>
      </c>
      <c r="F187" s="20" t="n">
        <f aca="false">sh_ot_28</f>
        <v>0.06</v>
      </c>
      <c r="G187" s="20" t="n">
        <f aca="false">sh_ot_29</f>
        <v>0.06</v>
      </c>
    </row>
    <row r="188" customFormat="false" ht="17.15" hidden="false" customHeight="false" outlineLevel="0" collapsed="false">
      <c r="A188" s="3" t="s">
        <v>713</v>
      </c>
      <c r="B188" s="0" t="s">
        <v>43</v>
      </c>
      <c r="D188" s="20" t="n">
        <f aca="false">sh_cpu_26</f>
        <v>0.35</v>
      </c>
      <c r="E188" s="20" t="n">
        <f aca="false">sh_cpu_27</f>
        <v>0.7</v>
      </c>
      <c r="F188" s="20" t="n">
        <f aca="false">sh_cpu_28</f>
        <v>0.75</v>
      </c>
      <c r="G188" s="20" t="n">
        <f aca="false">sh_cpu_29</f>
        <v>0.7</v>
      </c>
    </row>
    <row r="189" customFormat="false" ht="17.15" hidden="false" customHeight="false" outlineLevel="0" collapsed="false">
      <c r="A189" s="3" t="s">
        <v>714</v>
      </c>
      <c r="B189" s="0" t="s">
        <v>661</v>
      </c>
      <c r="D189" s="22" t="n">
        <f aca="false">(D179*D185*D186+D180*D185*v_ot*D187+D181*D185*v_cpu*D188)*D184</f>
        <v>140.7256983456</v>
      </c>
      <c r="E189" s="22" t="n">
        <f aca="false">(E179*E185*E186+E180*E185*v_ot*E187+E181*E185*v_cpu*E188)*E184</f>
        <v>486.703057357198</v>
      </c>
      <c r="F189" s="22" t="n">
        <f aca="false">(F179*F185*F186+F180*F185*v_ot*F187+F181*F185*v_cpu*F188)*F184</f>
        <v>421.723495202399</v>
      </c>
      <c r="G189" s="22" t="n">
        <f aca="false">(G179*G185*G186+G180*G185*v_ot*G187+G181*G185*v_cpu*G188)*G184</f>
        <v>541.477825759216</v>
      </c>
    </row>
    <row r="190" customFormat="false" ht="17.15" hidden="false" customHeight="false" outlineLevel="0" collapsed="false">
      <c r="A190" s="3" t="s">
        <v>715</v>
      </c>
      <c r="B190" s="0" t="s">
        <v>379</v>
      </c>
      <c r="D190" s="21" t="n">
        <f aca="false">D189*fx/1000</f>
        <v>4.5032223470592</v>
      </c>
      <c r="E190" s="21" t="n">
        <f aca="false">E189*fx/1000</f>
        <v>15.5744978354303</v>
      </c>
      <c r="F190" s="21" t="n">
        <f aca="false">F189*fx/1000</f>
        <v>13.4951518464768</v>
      </c>
      <c r="G190" s="21" t="n">
        <f aca="false">G189*fx/1000</f>
        <v>17.3272904242949</v>
      </c>
    </row>
    <row r="191" customFormat="false" ht="17.15" hidden="false" customHeight="false" outlineLevel="0" collapsed="false">
      <c r="A191" s="5" t="s">
        <v>716</v>
      </c>
    </row>
    <row r="192" customFormat="false" ht="17.15" hidden="false" customHeight="false" outlineLevel="0" collapsed="false">
      <c r="A192" s="0" t="s">
        <v>717</v>
      </c>
      <c r="B192" s="0" t="s">
        <v>379</v>
      </c>
      <c r="D192" s="21" t="n">
        <f aca="false">a26_abf*ai_abf</f>
        <v>5.714709</v>
      </c>
      <c r="K192" s="3" t="s">
        <v>718</v>
      </c>
    </row>
    <row r="193" customFormat="false" ht="17.15" hidden="false" customHeight="false" outlineLevel="0" collapsed="false">
      <c r="A193" s="3" t="s">
        <v>719</v>
      </c>
      <c r="B193" s="0" t="s">
        <v>379</v>
      </c>
      <c r="D193" s="21" t="n">
        <f aca="false">D192-D190</f>
        <v>1.2114866529408</v>
      </c>
      <c r="E193" s="21" t="n">
        <f aca="false">$D193*(swm_27/swm_26)^el_o*1*1*E183*E184</f>
        <v>1.94870016016792</v>
      </c>
      <c r="F193" s="21" t="n">
        <f aca="false">$D193*(swm_28/swm_26)^el_o*um28_C*1*F183*F184</f>
        <v>1.19489773379504</v>
      </c>
      <c r="G193" s="21" t="n">
        <f aca="false">$D193*(swm_29/swm_26)^el_o*um29_C*1*G183*G184</f>
        <v>1.20763557984213</v>
      </c>
      <c r="K193" s="7" t="s">
        <v>720</v>
      </c>
    </row>
    <row r="194" customFormat="false" ht="17.15" hidden="false" customHeight="false" outlineLevel="0" collapsed="false">
      <c r="A194" s="3" t="s">
        <v>721</v>
      </c>
      <c r="B194" s="0" t="s">
        <v>379</v>
      </c>
      <c r="D194" s="21" t="n">
        <f aca="false">a26_abf-D192</f>
        <v>17.144127</v>
      </c>
      <c r="E194" s="21" t="n">
        <f aca="false">$D194*(1+g_nai)^1*E184</f>
        <v>20.898690813</v>
      </c>
      <c r="F194" s="21" t="n">
        <f aca="false">$D194*(1+g_nai)^2*F184</f>
        <v>22.15261226178</v>
      </c>
      <c r="G194" s="21" t="n">
        <f aca="false">$D194*(1+g_nai)^3*G184</f>
        <v>23.4817689974868</v>
      </c>
      <c r="K194" s="3" t="s">
        <v>722</v>
      </c>
    </row>
    <row r="195" customFormat="false" ht="17.15" hidden="false" customHeight="false" outlineLevel="0" collapsed="false">
      <c r="A195" s="0" t="s">
        <v>723</v>
      </c>
      <c r="B195" s="0" t="s">
        <v>379</v>
      </c>
      <c r="D195" s="21" t="n">
        <f aca="false">D190+D193+D194</f>
        <v>22.858836</v>
      </c>
      <c r="E195" s="21" t="n">
        <f aca="false">E190+E193+E194</f>
        <v>38.4218888085982</v>
      </c>
      <c r="F195" s="21" t="n">
        <f aca="false">F190+F193+F194</f>
        <v>36.8426618420518</v>
      </c>
      <c r="G195" s="21" t="n">
        <f aca="false">G190+G193+G194</f>
        <v>42.0166950016239</v>
      </c>
    </row>
    <row r="196" customFormat="false" ht="17.15" hidden="false" customHeight="false" outlineLevel="0" collapsed="false">
      <c r="A196" s="0" t="s">
        <v>724</v>
      </c>
      <c r="B196" s="0" t="s">
        <v>379</v>
      </c>
      <c r="D196" s="21" t="n">
        <f aca="false">a26_abf</f>
        <v>22.858836</v>
      </c>
      <c r="E196" s="21" t="n">
        <f aca="false">$D195*cap_27*(1+g_mix)^1*E183*E184</f>
        <v>33.122453364</v>
      </c>
      <c r="F196" s="21" t="n">
        <f aca="false">$D195*cap_28*(1+g_mix)^2*F183*F184</f>
        <v>41.2995590382375</v>
      </c>
      <c r="G196" s="21" t="n">
        <f aca="false">$D195*cap_29*(1+g_mix)^3*G183*G184</f>
        <v>50.6680379569114</v>
      </c>
      <c r="K196" s="7" t="s">
        <v>725</v>
      </c>
    </row>
    <row r="197" customFormat="false" ht="17.15" hidden="false" customHeight="false" outlineLevel="0" collapsed="false">
      <c r="A197" s="0" t="s">
        <v>726</v>
      </c>
      <c r="B197" s="0" t="s">
        <v>379</v>
      </c>
      <c r="D197" s="21" t="n">
        <f aca="false">a26_abf</f>
        <v>22.858836</v>
      </c>
      <c r="E197" s="21" t="n">
        <f aca="false">MIN(E195,E196)</f>
        <v>33.122453364</v>
      </c>
      <c r="F197" s="21" t="n">
        <f aca="false">MIN(F195,F196)</f>
        <v>36.8426618420518</v>
      </c>
      <c r="G197" s="21" t="n">
        <f aca="false">MIN(G195,G196)</f>
        <v>42.0166950016239</v>
      </c>
    </row>
    <row r="198" customFormat="false" ht="17.15" hidden="false" customHeight="false" outlineLevel="0" collapsed="false">
      <c r="A198" s="3" t="s">
        <v>727</v>
      </c>
      <c r="B198" s="0" t="s">
        <v>43</v>
      </c>
      <c r="D198" s="20" t="n">
        <f aca="false">D197/D195</f>
        <v>1</v>
      </c>
      <c r="E198" s="20" t="n">
        <f aca="false">E197/E195</f>
        <v>0.862072490215205</v>
      </c>
      <c r="F198" s="20" t="n">
        <f aca="false">F197/F195</f>
        <v>1</v>
      </c>
      <c r="G198" s="20" t="n">
        <f aca="false">G197/G195</f>
        <v>1</v>
      </c>
    </row>
    <row r="199" customFormat="false" ht="17.15" hidden="false" customHeight="false" outlineLevel="0" collapsed="false">
      <c r="A199" s="0" t="s">
        <v>728</v>
      </c>
      <c r="B199" s="0" t="s">
        <v>379</v>
      </c>
      <c r="D199" s="21" t="n">
        <f aca="false">(D190+D193)*D198</f>
        <v>5.714709</v>
      </c>
      <c r="E199" s="21" t="n">
        <f aca="false">(E190+E193)*E198</f>
        <v>15.1062669325995</v>
      </c>
      <c r="F199" s="21" t="n">
        <f aca="false">(F190+F193)*F198</f>
        <v>14.6900495802718</v>
      </c>
      <c r="G199" s="21" t="n">
        <f aca="false">(G190+G193)*G198</f>
        <v>18.5349260041371</v>
      </c>
    </row>
    <row r="200" customFormat="false" ht="17.15" hidden="false" customHeight="false" outlineLevel="0" collapsed="false">
      <c r="A200" s="3" t="s">
        <v>729</v>
      </c>
      <c r="B200" s="0" t="s">
        <v>43</v>
      </c>
      <c r="D200" s="20" t="n">
        <f aca="false">D190/(D190+D193)</f>
        <v>0.788005539225042</v>
      </c>
      <c r="E200" s="20" t="n">
        <f aca="false">E190/(E190+E193)</f>
        <v>0.888793120944167</v>
      </c>
      <c r="F200" s="20" t="n">
        <f aca="false">F190/(F190+F193)</f>
        <v>0.918659380469366</v>
      </c>
      <c r="G200" s="20" t="n">
        <f aca="false">G190/(G190+G193)</f>
        <v>0.934845405934041</v>
      </c>
    </row>
    <row r="201" customFormat="false" ht="17.15" hidden="false" customHeight="false" outlineLevel="0" collapsed="false">
      <c r="A201" s="5" t="s">
        <v>730</v>
      </c>
    </row>
    <row r="202" customFormat="false" ht="17.15" hidden="false" customHeight="false" outlineLevel="0" collapsed="false">
      <c r="A202" s="0" t="s">
        <v>731</v>
      </c>
      <c r="B202" s="0" t="s">
        <v>379</v>
      </c>
      <c r="D202" s="21" t="n">
        <f aca="false">a26_bt</f>
        <v>23.265964</v>
      </c>
      <c r="E202" s="21" t="n">
        <f aca="false">D202*(1+g_bt27_C)</f>
        <v>26.05787968</v>
      </c>
      <c r="F202" s="21" t="n">
        <f aca="false">E202*(1+g_bt28_C)</f>
        <v>26.05787968</v>
      </c>
      <c r="G202" s="21" t="n">
        <f aca="false">F202*(1+g_bt29_C)</f>
        <v>25.2761432896</v>
      </c>
      <c r="K202" s="7" t="s">
        <v>732</v>
      </c>
    </row>
    <row r="203" customFormat="false" ht="17.15" hidden="false" customHeight="false" outlineLevel="0" collapsed="false">
      <c r="A203" s="3" t="s">
        <v>617</v>
      </c>
      <c r="B203" s="0" t="s">
        <v>379</v>
      </c>
      <c r="C203" s="21" t="n">
        <f aca="false">a25_lens</f>
        <v>7.039</v>
      </c>
      <c r="D203" s="21" t="n">
        <f aca="false">a26_lens</f>
        <v>8.301</v>
      </c>
      <c r="E203" s="21" t="n">
        <f aca="false">D203*(1+g_lens)</f>
        <v>9.1311</v>
      </c>
      <c r="F203" s="21" t="n">
        <f aca="false">E203*(1+g_lens)</f>
        <v>10.04421</v>
      </c>
      <c r="G203" s="21" t="n">
        <f aca="false">F203*(1+g_lens)</f>
        <v>11.048631</v>
      </c>
      <c r="K203" s="3" t="s">
        <v>733</v>
      </c>
    </row>
    <row r="204" customFormat="false" ht="17.15" hidden="false" customHeight="false" outlineLevel="0" collapsed="false">
      <c r="A204" s="3" t="s">
        <v>574</v>
      </c>
      <c r="B204" s="0" t="s">
        <v>379</v>
      </c>
      <c r="C204" s="23" t="n">
        <f aca="false">a25_rev</f>
        <v>39.351</v>
      </c>
      <c r="D204" s="23" t="n">
        <f aca="false">D197+D202+D203</f>
        <v>54.4258</v>
      </c>
      <c r="E204" s="23" t="n">
        <f aca="false">E197+E202+E203</f>
        <v>68.311433044</v>
      </c>
      <c r="F204" s="23" t="n">
        <f aca="false">F197+F202+F203</f>
        <v>72.9447515220518</v>
      </c>
      <c r="G204" s="23" t="n">
        <f aca="false">G197+G202+G203</f>
        <v>78.3414692912239</v>
      </c>
      <c r="H204" s="25" t="n">
        <f aca="false">G204*(1+H206)</f>
        <v>82.7277367926412</v>
      </c>
      <c r="I204" s="25" t="n">
        <f aca="false">H204*(1+I206)</f>
        <v>85.8709394721702</v>
      </c>
      <c r="J204" s="25" t="n">
        <f aca="false">I204*(1+J206)</f>
        <v>87.5883582616136</v>
      </c>
      <c r="K204" s="7" t="s">
        <v>734</v>
      </c>
    </row>
    <row r="205" customFormat="false" ht="17.15" hidden="false" customHeight="false" outlineLevel="0" collapsed="false">
      <c r="A205" s="3" t="s">
        <v>735</v>
      </c>
      <c r="B205" s="0" t="s">
        <v>379</v>
      </c>
      <c r="D205" s="19" t="n">
        <f aca="false">D197+D202+D203-D204</f>
        <v>0</v>
      </c>
      <c r="E205" s="19" t="n">
        <f aca="false">E197+E202+E203-E204</f>
        <v>0</v>
      </c>
      <c r="F205" s="19" t="n">
        <f aca="false">F197+F202+F203-F204</f>
        <v>0</v>
      </c>
      <c r="G205" s="19" t="n">
        <f aca="false">G197+G202+G203-G204</f>
        <v>0</v>
      </c>
    </row>
    <row r="206" customFormat="false" ht="15" hidden="false" customHeight="false" outlineLevel="0" collapsed="false">
      <c r="A206" s="3" t="s">
        <v>736</v>
      </c>
      <c r="B206" s="0" t="s">
        <v>43</v>
      </c>
      <c r="D206" s="20" t="n">
        <f aca="false">D204/C204-1</f>
        <v>0.383085563263958</v>
      </c>
      <c r="E206" s="20" t="n">
        <f aca="false">E204/D204-1</f>
        <v>0.255129608457753</v>
      </c>
      <c r="F206" s="20" t="n">
        <f aca="false">F204/E204-1</f>
        <v>0.0678263984751637</v>
      </c>
      <c r="G206" s="20" t="n">
        <f aca="false">G204/F204-1</f>
        <v>0.0739836335934407</v>
      </c>
      <c r="H206" s="26" t="n">
        <f aca="false">$G206+(fade_gC-$G206)*1/3</f>
        <v>0.0559890890622938</v>
      </c>
      <c r="I206" s="26" t="n">
        <f aca="false">$G206+(fade_gC-$G206)*2/3</f>
        <v>0.0379945445311469</v>
      </c>
      <c r="J206" s="26" t="n">
        <f aca="false">$G206+(fade_gC-$G206)*3/3</f>
        <v>0.02</v>
      </c>
    </row>
    <row r="207" customFormat="false" ht="17.15" hidden="false" customHeight="false" outlineLevel="0" collapsed="false">
      <c r="A207" s="0" t="s">
        <v>737</v>
      </c>
      <c r="B207" s="0" t="s">
        <v>43</v>
      </c>
      <c r="D207" s="20" t="n">
        <f aca="false">D197/D204</f>
        <v>0.42</v>
      </c>
      <c r="E207" s="20" t="n">
        <f aca="false">E197/E204</f>
        <v>0.48487422804709</v>
      </c>
      <c r="F207" s="20" t="n">
        <f aca="false">F197/F204</f>
        <v>0.505076253922312</v>
      </c>
      <c r="G207" s="20" t="n">
        <f aca="false">G197/G204</f>
        <v>0.536327635692311</v>
      </c>
    </row>
    <row r="208" customFormat="false" ht="17.15" hidden="false" customHeight="false" outlineLevel="0" collapsed="false">
      <c r="A208" s="0" t="s">
        <v>738</v>
      </c>
      <c r="B208" s="0" t="s">
        <v>43</v>
      </c>
      <c r="D208" s="20" t="n">
        <f aca="false">D199/D204</f>
        <v>0.105</v>
      </c>
      <c r="E208" s="20" t="n">
        <f aca="false">E199/E204</f>
        <v>0.22113819399557</v>
      </c>
      <c r="F208" s="20" t="n">
        <f aca="false">F199/F204</f>
        <v>0.201385970529091</v>
      </c>
      <c r="G208" s="20" t="n">
        <f aca="false">G199/G204</f>
        <v>0.236591503476096</v>
      </c>
      <c r="K208" s="3" t="s">
        <v>739</v>
      </c>
    </row>
    <row r="209" customFormat="false" ht="17.15" hidden="false" customHeight="false" outlineLevel="0" collapsed="false">
      <c r="A209" s="5" t="s">
        <v>740</v>
      </c>
    </row>
    <row r="210" customFormat="false" ht="15" hidden="false" customHeight="false" outlineLevel="0" collapsed="false">
      <c r="A210" s="3" t="s">
        <v>741</v>
      </c>
      <c r="B210" s="0" t="s">
        <v>379</v>
      </c>
      <c r="C210" s="23" t="n">
        <f aca="false">a25_cx</f>
        <v>6.116</v>
      </c>
      <c r="D210" s="23" t="n">
        <f aca="false">capex26</f>
        <v>11</v>
      </c>
      <c r="E210" s="23" t="n">
        <f aca="false">cx27</f>
        <v>17</v>
      </c>
      <c r="F210" s="23" t="n">
        <f aca="false">cx28</f>
        <v>16</v>
      </c>
      <c r="G210" s="23" t="n">
        <f aca="false">cx29</f>
        <v>12</v>
      </c>
      <c r="H210" s="25" t="n">
        <f aca="false">H204*H229</f>
        <v>12.7658423645522</v>
      </c>
      <c r="I210" s="25" t="n">
        <f aca="false">I204*I229</f>
        <v>13.3484184991267</v>
      </c>
      <c r="J210" s="25" t="n">
        <f aca="false">J204*J229</f>
        <v>13.7148815128537</v>
      </c>
    </row>
    <row r="211" customFormat="false" ht="17.15" hidden="false" customHeight="false" outlineLevel="0" collapsed="false">
      <c r="A211" s="3" t="s">
        <v>742</v>
      </c>
      <c r="B211" s="0" t="s">
        <v>379</v>
      </c>
      <c r="C211" s="23" t="n">
        <f aca="false">a25_da</f>
        <v>7.158</v>
      </c>
      <c r="D211" s="23" t="n">
        <f aca="false">da26</f>
        <v>8.32</v>
      </c>
      <c r="E211" s="23" t="n">
        <f aca="false">D211*(1-1/life)+D210/life</f>
        <v>8.655</v>
      </c>
      <c r="F211" s="23" t="n">
        <f aca="false">E211*(1-1/life)+E210/life</f>
        <v>9.698125</v>
      </c>
      <c r="G211" s="23" t="n">
        <f aca="false">F211*(1-1/life)+F210/life</f>
        <v>10.485859375</v>
      </c>
      <c r="H211" s="25" t="n">
        <f aca="false">H204*H212</f>
        <v>11.0729530894416</v>
      </c>
      <c r="I211" s="25" t="n">
        <f aca="false">I204*I212</f>
        <v>11.4936648986897</v>
      </c>
      <c r="J211" s="25" t="n">
        <f aca="false">J204*J212</f>
        <v>11.7235381966634</v>
      </c>
      <c r="K211" s="3" t="s">
        <v>743</v>
      </c>
    </row>
    <row r="212" customFormat="false" ht="17.15" hidden="false" customHeight="false" outlineLevel="0" collapsed="false">
      <c r="A212" s="3" t="s">
        <v>744</v>
      </c>
      <c r="B212" s="0" t="s">
        <v>43</v>
      </c>
      <c r="C212" s="20" t="n">
        <f aca="false">C211/C204</f>
        <v>0.181901349393916</v>
      </c>
      <c r="D212" s="20" t="n">
        <f aca="false">D211/D204</f>
        <v>0.152868676252807</v>
      </c>
      <c r="E212" s="20" t="n">
        <f aca="false">E211/E204</f>
        <v>0.126699142651937</v>
      </c>
      <c r="F212" s="20" t="n">
        <f aca="false">F211/F204</f>
        <v>0.13295164898969</v>
      </c>
      <c r="G212" s="20" t="n">
        <f aca="false">G211/G204</f>
        <v>0.133848132666752</v>
      </c>
      <c r="H212" s="26" t="n">
        <f aca="false">$G212</f>
        <v>0.133848132666752</v>
      </c>
      <c r="I212" s="26" t="n">
        <f aca="false">$G212</f>
        <v>0.133848132666752</v>
      </c>
      <c r="J212" s="26" t="n">
        <f aca="false">$G212</f>
        <v>0.133848132666752</v>
      </c>
    </row>
    <row r="213" customFormat="false" ht="17.15" hidden="false" customHeight="false" outlineLevel="0" collapsed="false">
      <c r="A213" s="0" t="s">
        <v>745</v>
      </c>
      <c r="B213" s="0" t="s">
        <v>379</v>
      </c>
      <c r="E213" s="21" t="n">
        <f aca="false">E198*((E190+E193)*(1-1/(E183*E184))+E194*(1-1/E184))</f>
        <v>4.320320004</v>
      </c>
      <c r="F213" s="21" t="n">
        <f aca="false">F198*((F190+F193)*(1-1/(F183*F184))+F194*(1-1/F184))</f>
        <v>4.13325110615907</v>
      </c>
      <c r="G213" s="21" t="n">
        <f aca="false">G198*((G190+G193)*(1-1/(G183*G184))+G194*(1-1/G184))</f>
        <v>3.68962437179276</v>
      </c>
      <c r="K213" s="7" t="s">
        <v>746</v>
      </c>
    </row>
    <row r="214" customFormat="false" ht="17.15" hidden="false" customHeight="false" outlineLevel="0" collapsed="false">
      <c r="A214" s="3" t="s">
        <v>747</v>
      </c>
      <c r="B214" s="0" t="s">
        <v>379</v>
      </c>
      <c r="C214" s="21" t="n">
        <f aca="false">a25_gp</f>
        <v>8.314</v>
      </c>
      <c r="D214" s="21" t="n">
        <f aca="false">a26_gp</f>
        <v>15.328536</v>
      </c>
      <c r="E214" s="21" t="n">
        <f aca="false">$D214+ft_abf*(E197-E213-$D197)+ft_bt*(E202-$D202)+ft_lens*(E203-$D203)+E213-(E211-$D211)</f>
        <v>23.91541174</v>
      </c>
      <c r="F214" s="21" t="n">
        <f aca="false">$D214+ft_abf*(F197-F213-$D197)+ft_bt*(F202-$D202)+ft_lens*(F203-$D203)+F213-(F211-$D211)</f>
        <v>25.0497560301054</v>
      </c>
      <c r="G214" s="21" t="n">
        <f aca="false">$D214+ft_abf*(G197-G213-$D197)+ft_bt*(G202-$D202)+ft_lens*(G203-$D203)+G213-(G211-$D211)</f>
        <v>26.7274329420283</v>
      </c>
      <c r="K214" s="3" t="s">
        <v>748</v>
      </c>
    </row>
    <row r="215" customFormat="false" ht="15" hidden="false" customHeight="false" outlineLevel="0" collapsed="false">
      <c r="A215" s="3" t="s">
        <v>581</v>
      </c>
      <c r="B215" s="0" t="s">
        <v>43</v>
      </c>
      <c r="C215" s="16" t="n">
        <f aca="false">C214/C204</f>
        <v>0.211277985311682</v>
      </c>
      <c r="D215" s="16" t="n">
        <f aca="false">D214/D204</f>
        <v>0.281640986443929</v>
      </c>
      <c r="E215" s="16" t="n">
        <f aca="false">E214/E204</f>
        <v>0.350093837507345</v>
      </c>
      <c r="F215" s="16" t="n">
        <f aca="false">F214/F204</f>
        <v>0.343407243254954</v>
      </c>
      <c r="G215" s="16" t="n">
        <f aca="false">G214/G204</f>
        <v>0.341165836993338</v>
      </c>
    </row>
    <row r="216" customFormat="false" ht="15" hidden="false" customHeight="false" outlineLevel="0" collapsed="false">
      <c r="A216" s="3" t="s">
        <v>583</v>
      </c>
      <c r="B216" s="0" t="s">
        <v>379</v>
      </c>
      <c r="C216" s="21" t="n">
        <f aca="false">a25_opx</f>
        <v>5.644</v>
      </c>
      <c r="D216" s="21" t="n">
        <f aca="false">a26_opx</f>
        <v>6.54036</v>
      </c>
      <c r="E216" s="21" t="n">
        <f aca="false">D216*(1+phi*E206)</f>
        <v>7.54154369158365</v>
      </c>
      <c r="F216" s="21" t="n">
        <f aca="false">E216*(1+phi*F206)</f>
        <v>7.84845314010958</v>
      </c>
      <c r="G216" s="21" t="n">
        <f aca="false">F216*(1+phi*G206)</f>
        <v>8.19684738894547</v>
      </c>
    </row>
    <row r="217" customFormat="false" ht="15" hidden="false" customHeight="false" outlineLevel="0" collapsed="false">
      <c r="A217" s="3" t="s">
        <v>586</v>
      </c>
      <c r="B217" s="0" t="s">
        <v>379</v>
      </c>
      <c r="C217" s="21" t="n">
        <f aca="false">C214-C216</f>
        <v>2.67</v>
      </c>
      <c r="D217" s="21" t="n">
        <f aca="false">D214-D216</f>
        <v>8.788176</v>
      </c>
      <c r="E217" s="21" t="n">
        <f aca="false">E214-E216</f>
        <v>16.3738680484163</v>
      </c>
      <c r="F217" s="21" t="n">
        <f aca="false">F214-F216</f>
        <v>17.2013028899959</v>
      </c>
      <c r="G217" s="21" t="n">
        <f aca="false">G214-G216</f>
        <v>18.5305855530828</v>
      </c>
    </row>
    <row r="218" customFormat="false" ht="15" hidden="false" customHeight="false" outlineLevel="0" collapsed="false">
      <c r="A218" s="3" t="s">
        <v>684</v>
      </c>
      <c r="B218" s="0" t="s">
        <v>43</v>
      </c>
      <c r="C218" s="16" t="n">
        <f aca="false">C217/C204</f>
        <v>0.0678508805367081</v>
      </c>
      <c r="D218" s="16" t="n">
        <f aca="false">D217/D204</f>
        <v>0.161470773052486</v>
      </c>
      <c r="E218" s="16" t="n">
        <f aca="false">E217/E204</f>
        <v>0.239694401343766</v>
      </c>
      <c r="F218" s="16" t="n">
        <f aca="false">F217/F204</f>
        <v>0.235812755970466</v>
      </c>
      <c r="G218" s="16" t="n">
        <f aca="false">G217/G204</f>
        <v>0.236536099217107</v>
      </c>
    </row>
    <row r="219" customFormat="false" ht="15" hidden="false" customHeight="false" outlineLevel="0" collapsed="false">
      <c r="A219" s="3" t="s">
        <v>589</v>
      </c>
      <c r="B219" s="0" t="s">
        <v>379</v>
      </c>
      <c r="C219" s="21" t="n">
        <f aca="false">a25_nonop</f>
        <v>0.417</v>
      </c>
      <c r="D219" s="21" t="n">
        <f aca="false">a26_nonop</f>
        <v>0.37882</v>
      </c>
      <c r="E219" s="21" t="n">
        <f aca="false">nonop27</f>
        <v>0.4</v>
      </c>
      <c r="F219" s="21" t="n">
        <f aca="false">nonop28</f>
        <v>0.4</v>
      </c>
      <c r="G219" s="21" t="n">
        <f aca="false">nonop29</f>
        <v>0.4</v>
      </c>
    </row>
    <row r="220" customFormat="false" ht="15" hidden="false" customHeight="false" outlineLevel="0" collapsed="false">
      <c r="A220" s="3" t="s">
        <v>591</v>
      </c>
      <c r="B220" s="0" t="s">
        <v>379</v>
      </c>
      <c r="C220" s="21" t="n">
        <f aca="false">C217+C219</f>
        <v>3.087</v>
      </c>
      <c r="D220" s="21" t="n">
        <f aca="false">D217+D219</f>
        <v>9.166996</v>
      </c>
      <c r="E220" s="21" t="n">
        <f aca="false">E217+E219</f>
        <v>16.7738680484163</v>
      </c>
      <c r="F220" s="21" t="n">
        <f aca="false">F217+F219</f>
        <v>17.6013028899959</v>
      </c>
      <c r="G220" s="21" t="n">
        <f aca="false">G217+G219</f>
        <v>18.9305855530828</v>
      </c>
    </row>
    <row r="221" customFormat="false" ht="15" hidden="false" customHeight="false" outlineLevel="0" collapsed="false">
      <c r="A221" s="3" t="s">
        <v>592</v>
      </c>
      <c r="B221" s="0" t="s">
        <v>379</v>
      </c>
      <c r="E221" s="21" t="n">
        <f aca="false">E220*tax</f>
        <v>2.01286416580996</v>
      </c>
      <c r="F221" s="21" t="n">
        <f aca="false">F220*tax</f>
        <v>2.1121563467995</v>
      </c>
      <c r="G221" s="21" t="n">
        <f aca="false">G220*tax</f>
        <v>2.27167026636994</v>
      </c>
    </row>
    <row r="222" customFormat="false" ht="15" hidden="false" customHeight="false" outlineLevel="0" collapsed="false">
      <c r="A222" s="3" t="s">
        <v>593</v>
      </c>
      <c r="B222" s="0" t="s">
        <v>379</v>
      </c>
      <c r="C222" s="21" t="n">
        <f aca="false">a25_nic</f>
        <v>2.71712</v>
      </c>
      <c r="D222" s="21" t="n">
        <f aca="false">a26_nic</f>
        <v>8.39979776</v>
      </c>
      <c r="E222" s="21" t="n">
        <f aca="false">E220-E221</f>
        <v>14.7610038826064</v>
      </c>
      <c r="F222" s="21" t="n">
        <f aca="false">F220-F221</f>
        <v>15.4891465431964</v>
      </c>
      <c r="G222" s="21" t="n">
        <f aca="false">G220-G221</f>
        <v>16.6589152867129</v>
      </c>
    </row>
    <row r="223" customFormat="false" ht="17.15" hidden="false" customHeight="false" outlineLevel="0" collapsed="false">
      <c r="A223" s="3" t="s">
        <v>749</v>
      </c>
      <c r="B223" s="0" t="s">
        <v>379</v>
      </c>
      <c r="C223" s="21" t="n">
        <f aca="false">a25_nci</f>
        <v>1.12112</v>
      </c>
      <c r="D223" s="21" t="n">
        <f aca="false">a26_nci</f>
        <v>1.43839238487797</v>
      </c>
      <c r="E223" s="21" t="n">
        <f aca="false">E203*nm_lens*nci_sh</f>
        <v>1.57074538036261</v>
      </c>
      <c r="F223" s="21" t="n">
        <f aca="false">F203*nm_lens*nci_sh</f>
        <v>1.72781991839887</v>
      </c>
      <c r="G223" s="21" t="n">
        <f aca="false">G203*nm_lens*nci_sh</f>
        <v>1.90060191023875</v>
      </c>
      <c r="K223" s="3" t="s">
        <v>750</v>
      </c>
    </row>
    <row r="224" customFormat="false" ht="15" hidden="false" customHeight="false" outlineLevel="0" collapsed="false">
      <c r="A224" s="3" t="s">
        <v>599</v>
      </c>
      <c r="B224" s="0" t="s">
        <v>379</v>
      </c>
      <c r="C224" s="21" t="n">
        <f aca="false">a25_ni</f>
        <v>1.596</v>
      </c>
      <c r="D224" s="21" t="n">
        <f aca="false">a26_ni</f>
        <v>6.96140537512203</v>
      </c>
      <c r="E224" s="21" t="n">
        <f aca="false">E222-E223</f>
        <v>13.1902585022438</v>
      </c>
      <c r="F224" s="21" t="n">
        <f aca="false">F222-F223</f>
        <v>13.7613266247975</v>
      </c>
      <c r="G224" s="21" t="n">
        <f aca="false">G222-G223</f>
        <v>14.7583133764741</v>
      </c>
      <c r="H224" s="30" t="n">
        <f aca="false">H204*H228</f>
        <v>14.5456433719509</v>
      </c>
      <c r="I224" s="30" t="n">
        <f aca="false">I204*I228</f>
        <v>14.0198485762963</v>
      </c>
      <c r="J224" s="30" t="n">
        <f aca="false">J204*J228</f>
        <v>13.2002266595282</v>
      </c>
    </row>
    <row r="225" customFormat="false" ht="15" hidden="false" customHeight="false" outlineLevel="0" collapsed="false">
      <c r="A225" s="3" t="s">
        <v>751</v>
      </c>
      <c r="B225" s="3" t="s">
        <v>465</v>
      </c>
      <c r="C225" s="29" t="n">
        <f aca="false">a25_sh</f>
        <v>0.454700854700855</v>
      </c>
      <c r="D225" s="29" t="n">
        <f aca="false">a26_sh</f>
        <v>0.508341020486215</v>
      </c>
      <c r="E225" s="29" t="n">
        <f aca="false">a26_shend*(1+sh_g)</f>
        <v>0.52691</v>
      </c>
      <c r="F225" s="29" t="n">
        <f aca="false">E225*(1+sh_g)</f>
        <v>0.52691</v>
      </c>
      <c r="G225" s="29" t="n">
        <f aca="false">F225*(1+sh_g)</f>
        <v>0.52691</v>
      </c>
      <c r="H225" s="31" t="n">
        <f aca="false">G225*(1+sh_g)</f>
        <v>0.52691</v>
      </c>
      <c r="I225" s="31" t="n">
        <f aca="false">H225*(1+sh_g)</f>
        <v>0.52691</v>
      </c>
      <c r="J225" s="31" t="n">
        <f aca="false">I225*(1+sh_g)</f>
        <v>0.52691</v>
      </c>
    </row>
    <row r="226" customFormat="false" ht="17.15" hidden="false" customHeight="false" outlineLevel="0" collapsed="false">
      <c r="A226" s="0" t="s">
        <v>604</v>
      </c>
      <c r="B226" s="0" t="s">
        <v>471</v>
      </c>
      <c r="C226" s="18" t="n">
        <f aca="false">C224/C225</f>
        <v>3.51</v>
      </c>
      <c r="D226" s="18" t="n">
        <f aca="false">D224/D225</f>
        <v>13.6943608612652</v>
      </c>
      <c r="E226" s="18" t="n">
        <f aca="false">E224/E225</f>
        <v>25.0332286391296</v>
      </c>
      <c r="F226" s="18" t="n">
        <f aca="false">F224/F225</f>
        <v>26.1170344552153</v>
      </c>
      <c r="G226" s="18" t="n">
        <f aca="false">G224/G225</f>
        <v>28.0091730589174</v>
      </c>
      <c r="H226" s="28" t="n">
        <f aca="false">H224/H225</f>
        <v>27.6055557342827</v>
      </c>
      <c r="I226" s="28" t="n">
        <f aca="false">I224/I225</f>
        <v>26.6076722330119</v>
      </c>
      <c r="J226" s="28" t="n">
        <f aca="false">J224/J225</f>
        <v>25.0521467793897</v>
      </c>
    </row>
    <row r="227" customFormat="false" ht="17.15" hidden="false" customHeight="false" outlineLevel="0" collapsed="false">
      <c r="A227" s="0" t="s">
        <v>752</v>
      </c>
      <c r="B227" s="0" t="s">
        <v>43</v>
      </c>
      <c r="D227" s="20" t="n">
        <f aca="false">D226/C226-1</f>
        <v>2.90152731090177</v>
      </c>
      <c r="E227" s="20" t="n">
        <f aca="false">E226/D226-1</f>
        <v>0.827995398451683</v>
      </c>
      <c r="F227" s="20" t="n">
        <f aca="false">F226/E226-1</f>
        <v>0.0432946877012737</v>
      </c>
      <c r="G227" s="20" t="n">
        <f aca="false">G226/F226-1</f>
        <v>0.0724484476576637</v>
      </c>
      <c r="H227" s="26" t="n">
        <f aca="false">H226/G226-1</f>
        <v>-0.014410183541859</v>
      </c>
      <c r="I227" s="26" t="n">
        <f aca="false">I226/H226-1</f>
        <v>-0.0361479229353635</v>
      </c>
      <c r="J227" s="26" t="n">
        <f aca="false">J226/I226-1</f>
        <v>-0.0584615384615383</v>
      </c>
    </row>
    <row r="228" customFormat="false" ht="17.15" hidden="false" customHeight="false" outlineLevel="0" collapsed="false">
      <c r="A228" s="3" t="s">
        <v>753</v>
      </c>
      <c r="B228" s="0" t="s">
        <v>43</v>
      </c>
      <c r="C228" s="16" t="n">
        <f aca="false">C224/C204</f>
        <v>0.0405580544331783</v>
      </c>
      <c r="D228" s="16" t="n">
        <f aca="false">D224/D204</f>
        <v>0.127906349105057</v>
      </c>
      <c r="E228" s="16" t="n">
        <f aca="false">E224/E204</f>
        <v>0.19309005702966</v>
      </c>
      <c r="F228" s="16" t="n">
        <f aca="false">F224/F204</f>
        <v>0.188654102422123</v>
      </c>
      <c r="G228" s="16" t="n">
        <f aca="false">G224/G204</f>
        <v>0.188384434323182</v>
      </c>
      <c r="H228" s="27" t="n">
        <f aca="false">$G228+(fade_mC-$G228)*1/3</f>
        <v>0.17582547203497</v>
      </c>
      <c r="I228" s="27" t="n">
        <f aca="false">$G228+(fade_mC-$G228)*2/3</f>
        <v>0.163266509746758</v>
      </c>
      <c r="J228" s="27" t="n">
        <f aca="false">$G228+(fade_mC-$G228)*3/3</f>
        <v>0.150707547458546</v>
      </c>
    </row>
    <row r="229" customFormat="false" ht="17.15" hidden="false" customHeight="false" outlineLevel="0" collapsed="false">
      <c r="A229" s="3" t="s">
        <v>754</v>
      </c>
      <c r="B229" s="0" t="s">
        <v>43</v>
      </c>
      <c r="C229" s="20" t="n">
        <f aca="false">C210/C204</f>
        <v>0.155421717364235</v>
      </c>
      <c r="D229" s="20" t="n">
        <f aca="false">D210/D204</f>
        <v>0.202110028699624</v>
      </c>
      <c r="E229" s="20" t="n">
        <f aca="false">E210/E204</f>
        <v>0.248860245532401</v>
      </c>
      <c r="F229" s="20" t="n">
        <f aca="false">F210/F204</f>
        <v>0.21934408804125</v>
      </c>
      <c r="G229" s="20" t="n">
        <f aca="false">G210/G204</f>
        <v>0.153175580041671</v>
      </c>
      <c r="H229" s="26" t="n">
        <f aca="false">$G229+($G212*(1+tp_g)^(life/2)-$G229)*1/3</f>
        <v>0.154311514607853</v>
      </c>
      <c r="I229" s="26" t="n">
        <f aca="false">$G229+($G212*(1+tp_g)^(life/2)-$G229)*2/3</f>
        <v>0.155447449174034</v>
      </c>
      <c r="J229" s="26" t="n">
        <f aca="false">$G229+($G212*(1+tp_g)^(life/2)-$G229)*3/3</f>
        <v>0.156583383740215</v>
      </c>
      <c r="K229" s="7" t="s">
        <v>755</v>
      </c>
    </row>
    <row r="230" customFormat="false" ht="15" hidden="false" customHeight="false" outlineLevel="0" collapsed="false">
      <c r="A230" s="3" t="s">
        <v>756</v>
      </c>
      <c r="B230" s="0" t="s">
        <v>379</v>
      </c>
      <c r="D230" s="21" t="n">
        <f aca="false">D224+D211-D210</f>
        <v>4.28140537512203</v>
      </c>
      <c r="E230" s="21" t="n">
        <f aca="false">E224+E211-E210</f>
        <v>4.84525850224378</v>
      </c>
      <c r="F230" s="21" t="n">
        <f aca="false">F224+F211-F210</f>
        <v>7.45945162479749</v>
      </c>
      <c r="G230" s="21" t="n">
        <f aca="false">G224+G211-G210</f>
        <v>13.2441727514741</v>
      </c>
      <c r="H230" s="30" t="n">
        <f aca="false">H224+H211-H210</f>
        <v>12.8527540968402</v>
      </c>
      <c r="I230" s="30" t="n">
        <f aca="false">I224+I211-I210</f>
        <v>12.1650949758592</v>
      </c>
      <c r="J230" s="30" t="n">
        <f aca="false">J224+J211-J210</f>
        <v>11.208883343338</v>
      </c>
      <c r="K230" s="3" t="s">
        <v>757</v>
      </c>
    </row>
    <row r="231" customFormat="false" ht="15" hidden="false" customHeight="false" outlineLevel="0" collapsed="false">
      <c r="A231" s="3" t="s">
        <v>758</v>
      </c>
      <c r="B231" s="0" t="s">
        <v>471</v>
      </c>
      <c r="D231" s="18" t="n">
        <f aca="false">D230/D225</f>
        <v>8.42230943909854</v>
      </c>
      <c r="E231" s="18" t="n">
        <f aca="false">E230/E225</f>
        <v>9.19560931135066</v>
      </c>
      <c r="F231" s="18" t="n">
        <f aca="false">F230/F225</f>
        <v>14.1569748624955</v>
      </c>
      <c r="G231" s="18" t="n">
        <f aca="false">G230/G225</f>
        <v>25.1355501916345</v>
      </c>
      <c r="H231" s="28" t="n">
        <f aca="false">H230/H225</f>
        <v>24.3926934331104</v>
      </c>
      <c r="I231" s="28" t="n">
        <f aca="false">I230/I225</f>
        <v>23.0876145373199</v>
      </c>
      <c r="J231" s="28" t="n">
        <f aca="false">J230/J225</f>
        <v>21.2728612919435</v>
      </c>
    </row>
    <row r="234" customFormat="false" ht="17.15" hidden="false" customHeight="false" outlineLevel="0" collapsed="false">
      <c r="A234" s="1" t="s">
        <v>761</v>
      </c>
      <c r="B234" s="1" t="s">
        <v>21</v>
      </c>
      <c r="C234" s="5" t="s">
        <v>762</v>
      </c>
      <c r="D234" s="5" t="s">
        <v>763</v>
      </c>
      <c r="E234" s="5" t="s">
        <v>764</v>
      </c>
      <c r="F234" s="5" t="s">
        <v>765</v>
      </c>
      <c r="G234" s="5" t="s">
        <v>766</v>
      </c>
      <c r="H234" s="5" t="s">
        <v>767</v>
      </c>
      <c r="I234" s="5" t="s">
        <v>768</v>
      </c>
      <c r="J234" s="5" t="s">
        <v>769</v>
      </c>
      <c r="K234" s="5" t="s">
        <v>770</v>
      </c>
      <c r="L234" s="5" t="s">
        <v>771</v>
      </c>
      <c r="M234" s="5" t="s">
        <v>772</v>
      </c>
      <c r="N234" s="5" t="s">
        <v>773</v>
      </c>
      <c r="O234" s="5" t="s">
        <v>774</v>
      </c>
      <c r="P234" s="5" t="s">
        <v>775</v>
      </c>
      <c r="Q234" s="5" t="s">
        <v>776</v>
      </c>
      <c r="R234" s="5" t="s">
        <v>777</v>
      </c>
      <c r="S234" s="5" t="s">
        <v>778</v>
      </c>
      <c r="T234" s="5" t="s">
        <v>779</v>
      </c>
      <c r="U234" s="5" t="s">
        <v>780</v>
      </c>
      <c r="V234" s="5" t="s">
        <v>781</v>
      </c>
      <c r="W234" s="5" t="s">
        <v>782</v>
      </c>
      <c r="X234" s="1" t="s">
        <v>631</v>
      </c>
    </row>
    <row r="235" customFormat="false" ht="17.15" hidden="false" customHeight="false" outlineLevel="0" collapsed="false">
      <c r="A235" s="3" t="s">
        <v>783</v>
      </c>
      <c r="B235" s="0" t="s">
        <v>379</v>
      </c>
      <c r="C235" s="23" t="n">
        <f aca="false">D114</f>
        <v>4.28140537512203</v>
      </c>
      <c r="D235" s="23" t="n">
        <f aca="false">E114</f>
        <v>6.08319438874607</v>
      </c>
      <c r="E235" s="23" t="n">
        <f aca="false">F114</f>
        <v>11.5319407212832</v>
      </c>
      <c r="F235" s="23" t="n">
        <f aca="false">G114</f>
        <v>19.724592070931</v>
      </c>
      <c r="G235" s="25" t="n">
        <f aca="false">H114</f>
        <v>21.8977817857907</v>
      </c>
      <c r="H235" s="25" t="n">
        <f aca="false">I114</f>
        <v>23.7081789039611</v>
      </c>
      <c r="I235" s="25" t="n">
        <f aca="false">J114</f>
        <v>25.0162560437722</v>
      </c>
      <c r="J235" s="23" t="n">
        <f aca="false">D172</f>
        <v>4.28140537512203</v>
      </c>
      <c r="K235" s="23" t="n">
        <f aca="false">E172</f>
        <v>5.46422644549492</v>
      </c>
      <c r="L235" s="23" t="n">
        <f aca="false">F172</f>
        <v>10.4180466618871</v>
      </c>
      <c r="M235" s="23" t="n">
        <f aca="false">G172</f>
        <v>17.9925490576898</v>
      </c>
      <c r="N235" s="25" t="n">
        <f aca="false">H172</f>
        <v>18.9556014968477</v>
      </c>
      <c r="O235" s="25" t="n">
        <f aca="false">I172</f>
        <v>19.4013677922192</v>
      </c>
      <c r="P235" s="25" t="n">
        <f aca="false">J172</f>
        <v>19.2742301304099</v>
      </c>
      <c r="Q235" s="23" t="n">
        <f aca="false">D230</f>
        <v>4.28140537512203</v>
      </c>
      <c r="R235" s="23" t="n">
        <f aca="false">E230</f>
        <v>4.84525850224378</v>
      </c>
      <c r="S235" s="23" t="n">
        <f aca="false">F230</f>
        <v>7.45945162479749</v>
      </c>
      <c r="T235" s="23" t="n">
        <f aca="false">G230</f>
        <v>13.2441727514741</v>
      </c>
      <c r="U235" s="25" t="n">
        <f aca="false">H230</f>
        <v>12.8527540968402</v>
      </c>
      <c r="V235" s="25" t="n">
        <f aca="false">I230</f>
        <v>12.1650949758592</v>
      </c>
      <c r="W235" s="25" t="n">
        <f aca="false">J230</f>
        <v>11.208883343338</v>
      </c>
      <c r="X235" s="3" t="s">
        <v>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785</v>
      </c>
    </row>
    <row r="2" customFormat="false" ht="17.15" hidden="false" customHeight="false" outlineLevel="0" collapsed="false">
      <c r="A2" s="3" t="s">
        <v>786</v>
      </c>
    </row>
    <row r="4" customFormat="false" ht="17.15" hidden="false" customHeight="false" outlineLevel="0" collapsed="false">
      <c r="A4" s="5" t="s">
        <v>787</v>
      </c>
    </row>
    <row r="5" customFormat="false" ht="17.15" hidden="false" customHeight="false" outlineLevel="0" collapsed="false">
      <c r="A5" s="5" t="s">
        <v>788</v>
      </c>
    </row>
    <row r="6" customFormat="false" ht="17.15" hidden="false" customHeight="false" outlineLevel="0" collapsed="false">
      <c r="A6" s="4" t="s">
        <v>20</v>
      </c>
      <c r="B6" s="13" t="s">
        <v>789</v>
      </c>
      <c r="C6" s="13" t="s">
        <v>790</v>
      </c>
      <c r="D6" s="13" t="s">
        <v>791</v>
      </c>
      <c r="E6" s="4" t="s">
        <v>631</v>
      </c>
    </row>
    <row r="7" customFormat="false" ht="17.15" hidden="false" customHeight="false" outlineLevel="0" collapsed="false">
      <c r="A7" s="3" t="s">
        <v>792</v>
      </c>
      <c r="E7" s="0" t="s">
        <v>793</v>
      </c>
    </row>
    <row r="8" customFormat="false" ht="15" hidden="false" customHeight="false" outlineLevel="0" collapsed="false">
      <c r="A8" s="0" t="s">
        <v>794</v>
      </c>
      <c r="B8" s="18" t="n">
        <f aca="false">PL!E15</f>
        <v>27.3826543218881</v>
      </c>
      <c r="C8" s="18" t="n">
        <f aca="false">PL!E29</f>
        <v>26.2079414805089</v>
      </c>
      <c r="D8" s="18" t="n">
        <f aca="false">PL!E43</f>
        <v>25.0332286391296</v>
      </c>
    </row>
    <row r="9" customFormat="false" ht="15" hidden="false" customHeight="false" outlineLevel="0" collapsed="false">
      <c r="A9" s="0" t="s">
        <v>795</v>
      </c>
      <c r="B9" s="18" t="n">
        <f aca="false">PL!F15</f>
        <v>33.8460376938817</v>
      </c>
      <c r="C9" s="18" t="n">
        <f aca="false">PL!F29</f>
        <v>31.7320257005695</v>
      </c>
      <c r="D9" s="18" t="n">
        <f aca="false">PL!F43</f>
        <v>26.1170344552153</v>
      </c>
    </row>
    <row r="10" customFormat="false" ht="15" hidden="false" customHeight="false" outlineLevel="0" collapsed="false">
      <c r="A10" s="0" t="s">
        <v>796</v>
      </c>
      <c r="B10" s="18" t="n">
        <f aca="false">PL!G15</f>
        <v>40.3080842950997</v>
      </c>
      <c r="C10" s="18" t="n">
        <f aca="false">PL!G29</f>
        <v>37.0209137854469</v>
      </c>
      <c r="D10" s="18" t="n">
        <f aca="false">PL!G43</f>
        <v>28.0091730589174</v>
      </c>
    </row>
    <row r="11" customFormat="false" ht="15" hidden="false" customHeight="false" outlineLevel="0" collapsed="false">
      <c r="A11" s="0" t="s">
        <v>797</v>
      </c>
      <c r="B11" s="18" t="n">
        <f aca="false">PL!H15</f>
        <v>44.9519024730289</v>
      </c>
      <c r="C11" s="18" t="n">
        <f aca="false">PL!H29</f>
        <v>39.3177254091391</v>
      </c>
      <c r="D11" s="18" t="n">
        <f aca="false">PL!H43</f>
        <v>27.6055557342827</v>
      </c>
    </row>
    <row r="12" customFormat="false" ht="15" hidden="false" customHeight="false" outlineLevel="0" collapsed="false">
      <c r="A12" s="0" t="s">
        <v>798</v>
      </c>
      <c r="B12" s="18" t="n">
        <f aca="false">PL!I15</f>
        <v>48.8898713921054</v>
      </c>
      <c r="C12" s="18" t="n">
        <f aca="false">PL!I29</f>
        <v>40.5939005720044</v>
      </c>
      <c r="D12" s="18" t="n">
        <f aca="false">PL!I43</f>
        <v>26.6076722330119</v>
      </c>
    </row>
    <row r="13" customFormat="false" ht="15" hidden="false" customHeight="false" outlineLevel="0" collapsed="false">
      <c r="A13" s="0" t="s">
        <v>799</v>
      </c>
      <c r="B13" s="18" t="n">
        <f aca="false">PL!J15</f>
        <v>51.8232636756317</v>
      </c>
      <c r="C13" s="18" t="n">
        <f aca="false">PL!J29</f>
        <v>40.7098831450672</v>
      </c>
      <c r="D13" s="18" t="n">
        <f aca="false">PL!J43</f>
        <v>25.0521467793897</v>
      </c>
    </row>
    <row r="14" customFormat="false" ht="17.15" hidden="false" customHeight="false" outlineLevel="0" collapsed="false">
      <c r="A14" s="3" t="s">
        <v>800</v>
      </c>
      <c r="E14" s="3" t="s">
        <v>801</v>
      </c>
    </row>
    <row r="15" customFormat="false" ht="17.15" hidden="false" customHeight="false" outlineLevel="0" collapsed="false">
      <c r="A15" s="3" t="s">
        <v>802</v>
      </c>
      <c r="B15" s="20" t="n">
        <f aca="false">MIN(tp_g/tp_roe,0.8)</f>
        <v>0.8</v>
      </c>
      <c r="E15" s="7" t="s">
        <v>803</v>
      </c>
    </row>
    <row r="16" customFormat="false" ht="15" hidden="false" customHeight="false" outlineLevel="0" collapsed="false">
      <c r="A16" s="0" t="s">
        <v>794</v>
      </c>
      <c r="B16" s="18" t="n">
        <f aca="false">PL!E115</f>
        <v>11.5450349941092</v>
      </c>
      <c r="C16" s="18" t="n">
        <f aca="false">PL!E173</f>
        <v>10.3703221527299</v>
      </c>
      <c r="D16" s="18" t="n">
        <f aca="false">PL!E231</f>
        <v>9.19560931135066</v>
      </c>
    </row>
    <row r="17" customFormat="false" ht="15" hidden="false" customHeight="false" outlineLevel="0" collapsed="false">
      <c r="A17" s="0" t="s">
        <v>795</v>
      </c>
      <c r="B17" s="18" t="n">
        <f aca="false">PL!F115</f>
        <v>21.8859781011619</v>
      </c>
      <c r="C17" s="18" t="n">
        <f aca="false">PL!F173</f>
        <v>19.7719661078497</v>
      </c>
      <c r="D17" s="18" t="n">
        <f aca="false">PL!F231</f>
        <v>14.1569748624955</v>
      </c>
    </row>
    <row r="18" customFormat="false" ht="15" hidden="false" customHeight="false" outlineLevel="0" collapsed="false">
      <c r="A18" s="0" t="s">
        <v>796</v>
      </c>
      <c r="B18" s="18" t="n">
        <f aca="false">PL!G115</f>
        <v>37.4344614278168</v>
      </c>
      <c r="C18" s="18" t="n">
        <f aca="false">PL!G173</f>
        <v>34.1472909181641</v>
      </c>
      <c r="D18" s="18" t="n">
        <f aca="false">PL!G231</f>
        <v>25.1355501916345</v>
      </c>
    </row>
    <row r="19" customFormat="false" ht="15" hidden="false" customHeight="false" outlineLevel="0" collapsed="false">
      <c r="A19" s="0" t="s">
        <v>797</v>
      </c>
      <c r="B19" s="18" t="n">
        <f aca="false">PL!H115</f>
        <v>41.5588654339275</v>
      </c>
      <c r="C19" s="18" t="n">
        <f aca="false">PL!H173</f>
        <v>35.9750270384843</v>
      </c>
      <c r="D19" s="18" t="n">
        <f aca="false">PL!H231</f>
        <v>24.3926934331104</v>
      </c>
    </row>
    <row r="20" customFormat="false" ht="15" hidden="false" customHeight="false" outlineLevel="0" collapsed="false">
      <c r="A20" s="0" t="s">
        <v>798</v>
      </c>
      <c r="B20" s="18" t="n">
        <f aca="false">PL!I115</f>
        <v>44.9947408551008</v>
      </c>
      <c r="C20" s="18" t="n">
        <f aca="false">PL!I173</f>
        <v>36.8210278647572</v>
      </c>
      <c r="D20" s="18" t="n">
        <f aca="false">PL!I231</f>
        <v>23.0876145373199</v>
      </c>
    </row>
    <row r="21" customFormat="false" ht="15" hidden="false" customHeight="false" outlineLevel="0" collapsed="false">
      <c r="A21" s="0" t="s">
        <v>799</v>
      </c>
      <c r="B21" s="18" t="n">
        <f aca="false">PL!J115</f>
        <v>47.4772846288212</v>
      </c>
      <c r="C21" s="18" t="n">
        <f aca="false">PL!J173</f>
        <v>36.5797387227608</v>
      </c>
      <c r="D21" s="18" t="n">
        <f aca="false">PL!J231</f>
        <v>21.2728612919435</v>
      </c>
    </row>
    <row r="22" customFormat="false" ht="17.15" hidden="false" customHeight="false" outlineLevel="0" collapsed="false">
      <c r="A22" s="0" t="s">
        <v>804</v>
      </c>
      <c r="B22" s="18" t="n">
        <f aca="false">MAX(0,SUMPRODUCT(B16:B21,1/(1+tp_r)^{1;2;3;4;5;6})+B21*(1+tp_g)/(tp_r-tp_g)/(1+tp_r)^6)</f>
        <v>604.359234586945</v>
      </c>
      <c r="C22" s="18" t="n">
        <f aca="false">MAX(0,SUMPRODUCT(C16:C21,1/(1+tp_r)^{1;2;3;4;5;6})+C21*(1+tp_g)/(tp_r-tp_g)/(1+tp_r)^6)</f>
        <v>477.410116806131</v>
      </c>
      <c r="D22" s="18" t="n">
        <f aca="false">MAX(0,SUMPRODUCT(D16:D21,1/(1+tp_r)^{1;2;3;4;5;6})+D21*(1+tp_g)/(tp_r-tp_g)/(1+tp_r)^6)</f>
        <v>290.08668457781</v>
      </c>
      <c r="E22" s="7" t="s">
        <v>805</v>
      </c>
    </row>
    <row r="23" customFormat="false" ht="17.15" hidden="false" customHeight="false" outlineLevel="0" collapsed="false">
      <c r="A23" s="0" t="s">
        <v>806</v>
      </c>
      <c r="B23" s="18" t="n">
        <f aca="false">B22*(1+tp_r)</f>
        <v>664.795158045639</v>
      </c>
      <c r="C23" s="18" t="n">
        <f aca="false">C22*(1+tp_r)</f>
        <v>525.151128486744</v>
      </c>
      <c r="D23" s="18" t="n">
        <f aca="false">D22*(1+tp_r)</f>
        <v>319.09535303559</v>
      </c>
    </row>
    <row r="24" customFormat="false" ht="17.15" hidden="false" customHeight="false" outlineLevel="0" collapsed="false">
      <c r="A24" s="0" t="s">
        <v>807</v>
      </c>
      <c r="B24" s="32" t="n">
        <f aca="false">tp_wA*B23+tp_wB*C23+tp_wC*D23</f>
        <v>525.833182264182</v>
      </c>
      <c r="E24" s="7" t="s">
        <v>808</v>
      </c>
    </row>
    <row r="25" customFormat="false" ht="17.15" hidden="false" customHeight="false" outlineLevel="0" collapsed="false">
      <c r="A25" s="3" t="s">
        <v>809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121.388638808336</v>
      </c>
      <c r="E25" s="3" t="s">
        <v>810</v>
      </c>
    </row>
    <row r="26" customFormat="false" ht="17.15" hidden="false" customHeight="false" outlineLevel="0" collapsed="false">
      <c r="A26" s="5" t="s">
        <v>811</v>
      </c>
    </row>
    <row r="27" customFormat="false" ht="17.15" hidden="false" customHeight="false" outlineLevel="0" collapsed="false">
      <c r="A27" s="4" t="s">
        <v>812</v>
      </c>
      <c r="B27" s="4" t="s">
        <v>813</v>
      </c>
      <c r="C27" s="4" t="s">
        <v>814</v>
      </c>
      <c r="D27" s="4" t="s">
        <v>815</v>
      </c>
      <c r="E27" s="4" t="s">
        <v>816</v>
      </c>
      <c r="F27" s="4" t="s">
        <v>25</v>
      </c>
    </row>
    <row r="28" customFormat="false" ht="17.15" hidden="false" customHeight="false" outlineLevel="0" collapsed="false">
      <c r="A28" s="3" t="s">
        <v>817</v>
      </c>
      <c r="B28" s="0" t="s">
        <v>818</v>
      </c>
      <c r="C28" s="33" t="n">
        <v>42.28</v>
      </c>
      <c r="D28" s="7" t="s">
        <v>819</v>
      </c>
      <c r="E28" s="7" t="s">
        <v>820</v>
      </c>
      <c r="F28" s="7" t="s">
        <v>205</v>
      </c>
    </row>
    <row r="29" customFormat="false" ht="17.15" hidden="false" customHeight="false" outlineLevel="0" collapsed="false">
      <c r="A29" s="3" t="s">
        <v>821</v>
      </c>
      <c r="B29" s="0" t="s">
        <v>822</v>
      </c>
      <c r="C29" s="33" t="n">
        <v>33.73</v>
      </c>
      <c r="D29" s="7" t="s">
        <v>823</v>
      </c>
      <c r="E29" s="7" t="s">
        <v>820</v>
      </c>
      <c r="F29" s="7" t="s">
        <v>205</v>
      </c>
    </row>
    <row r="30" customFormat="false" ht="17.15" hidden="false" customHeight="false" outlineLevel="0" collapsed="false">
      <c r="A30" s="0" t="s">
        <v>824</v>
      </c>
      <c r="B30" s="0" t="s">
        <v>825</v>
      </c>
      <c r="C30" s="33" t="n">
        <v>53.97</v>
      </c>
      <c r="D30" s="7" t="s">
        <v>826</v>
      </c>
      <c r="E30" s="7" t="s">
        <v>820</v>
      </c>
      <c r="F30" s="7" t="s">
        <v>205</v>
      </c>
    </row>
    <row r="31" customFormat="false" ht="17.15" hidden="false" customHeight="false" outlineLevel="0" collapsed="false">
      <c r="A31" s="3" t="s">
        <v>827</v>
      </c>
      <c r="B31" s="0" t="s">
        <v>828</v>
      </c>
      <c r="C31" s="33" t="n">
        <v>43.4</v>
      </c>
      <c r="D31" s="7" t="s">
        <v>829</v>
      </c>
      <c r="E31" s="7" t="s">
        <v>820</v>
      </c>
      <c r="F31" s="7" t="s">
        <v>205</v>
      </c>
    </row>
    <row r="32" customFormat="false" ht="17.15" hidden="false" customHeight="false" outlineLevel="0" collapsed="false">
      <c r="A32" s="0" t="s">
        <v>830</v>
      </c>
      <c r="B32" s="0" t="s">
        <v>831</v>
      </c>
      <c r="C32" s="33" t="n">
        <v>14.91</v>
      </c>
      <c r="D32" s="7" t="s">
        <v>832</v>
      </c>
      <c r="E32" s="7" t="s">
        <v>820</v>
      </c>
      <c r="F32" s="7" t="s">
        <v>205</v>
      </c>
    </row>
    <row r="33" customFormat="false" ht="17.15" hidden="false" customHeight="false" outlineLevel="0" collapsed="false">
      <c r="A33" s="3" t="s">
        <v>833</v>
      </c>
      <c r="B33" s="34" t="n">
        <f aca="false">MEDIAN(C28:C32)</f>
        <v>42.28</v>
      </c>
      <c r="E33" s="7" t="s">
        <v>834</v>
      </c>
    </row>
    <row r="34" customFormat="false" ht="17.15" hidden="false" customHeight="false" outlineLevel="0" collapsed="false">
      <c r="A34" s="0" t="s">
        <v>835</v>
      </c>
      <c r="B34" s="18" t="n">
        <f aca="false">tp_wA*(2/12*B8+10/12*B9)+tp_wB*(2/12*C8+10/12*C9)+tp_wC*(2/12*D8+10/12*D9)</f>
        <v>30.4235946686847</v>
      </c>
      <c r="E34" s="3" t="s">
        <v>836</v>
      </c>
    </row>
    <row r="35" customFormat="false" ht="17.15" hidden="false" customHeight="false" outlineLevel="0" collapsed="false">
      <c r="A35" s="0" t="s">
        <v>837</v>
      </c>
      <c r="B35" s="32" t="n">
        <f aca="false">B33*B34</f>
        <v>1286.30958259199</v>
      </c>
      <c r="E35" s="3" t="s">
        <v>838</v>
      </c>
    </row>
    <row r="37" customFormat="false" ht="17.15" hidden="false" customHeight="false" outlineLevel="0" collapsed="false">
      <c r="A37" s="5" t="s">
        <v>839</v>
      </c>
    </row>
    <row r="38" customFormat="false" ht="15" hidden="false" customHeight="false" outlineLevel="0" collapsed="false">
      <c r="A38" s="4" t="s">
        <v>20</v>
      </c>
      <c r="B38" s="4" t="s">
        <v>840</v>
      </c>
      <c r="C38" s="4"/>
      <c r="D38" s="4"/>
      <c r="E38" s="4" t="s">
        <v>631</v>
      </c>
    </row>
    <row r="39" customFormat="false" ht="17.15" hidden="false" customHeight="false" outlineLevel="0" collapsed="false">
      <c r="A39" s="3" t="s">
        <v>841</v>
      </c>
      <c r="B39" s="32" t="n">
        <f aca="false">tp_w_dcf*B24+(1-tp_w_dcf)*B35</f>
        <v>906.071382428086</v>
      </c>
      <c r="E39" s="7" t="s">
        <v>842</v>
      </c>
    </row>
    <row r="40" customFormat="false" ht="17.15" hidden="false" customHeight="false" outlineLevel="0" collapsed="false">
      <c r="A40" s="0" t="s">
        <v>843</v>
      </c>
      <c r="B40" s="18" t="n">
        <f aca="false">B35</f>
        <v>1286.30958259199</v>
      </c>
    </row>
    <row r="41" customFormat="false" ht="17.15" hidden="false" customHeight="false" outlineLevel="0" collapsed="false">
      <c r="A41" s="3" t="s">
        <v>844</v>
      </c>
      <c r="B41" s="18" t="n">
        <f aca="false">cons_tp</f>
        <v>1092.15</v>
      </c>
      <c r="E41" s="7" t="s">
        <v>845</v>
      </c>
    </row>
    <row r="42" customFormat="false" ht="17.15" hidden="false" customHeight="false" outlineLevel="0" collapsed="false">
      <c r="A42" s="3" t="s">
        <v>846</v>
      </c>
      <c r="B42" s="20" t="n">
        <f aca="false">B39/px-1</f>
        <v>-0.0810635066652269</v>
      </c>
      <c r="E42" s="3" t="s">
        <v>847</v>
      </c>
    </row>
    <row r="43" customFormat="false" ht="17.15" hidden="false" customHeight="false" outlineLevel="0" collapsed="false">
      <c r="A43" s="3" t="s">
        <v>848</v>
      </c>
      <c r="B43" s="20" t="n">
        <f aca="false">B40/px-1</f>
        <v>0.304573613176461</v>
      </c>
    </row>
    <row r="44" customFormat="false" ht="17.15" hidden="false" customHeight="false" outlineLevel="0" collapsed="false">
      <c r="A44" s="3" t="s">
        <v>849</v>
      </c>
      <c r="B44" s="20" t="n">
        <f aca="false">B34/cons_feps-1</f>
        <v>0.37924409907729</v>
      </c>
      <c r="E44" s="3" t="s">
        <v>850</v>
      </c>
    </row>
    <row r="45" customFormat="false" ht="17.15" hidden="false" customHeight="false" outlineLevel="0" collapsed="false">
      <c r="A45" s="3" t="s">
        <v>851</v>
      </c>
      <c r="B45" s="20" t="n">
        <f aca="false">(cons_tp/cons_feps)/B33-1</f>
        <v>0.171056690545595</v>
      </c>
      <c r="E45" s="0" t="str">
        <f aca="false">"共識目標價隱含 "&amp;TEXT(cons_tp/cons_feps,"0.0")&amp;"x，同業中位數 "&amp;TEXT(B33,"0.0")&amp;"x"</f>
        <v>共識目標價隱含 49.5x，同業中位數 42.3x</v>
      </c>
    </row>
    <row r="46" customFormat="false" ht="17.15" hidden="false" customHeight="false" outlineLevel="0" collapsed="false">
      <c r="A46" s="3" t="s">
        <v>852</v>
      </c>
      <c r="B46" s="35" t="str">
        <f aca="false">TEXT(D23,"#,##0")&amp;"～"&amp;TEXT(B23,"#,##0")</f>
        <v>319～665</v>
      </c>
      <c r="E46" s="7" t="s">
        <v>853</v>
      </c>
    </row>
    <row r="47" customFormat="false" ht="17.15" hidden="false" customHeight="false" outlineLevel="0" collapsed="false">
      <c r="A47" s="3" t="s">
        <v>854</v>
      </c>
      <c r="B47" s="36" t="n">
        <f aca="false">IF(px/B9&gt;=MAX($B$88:$B$97),1,IF(px/B9&lt;=MIN($B$88:$B$97),0,PERCENTRANK($B$88:$B$97,px/B9)))</f>
        <v>0.263</v>
      </c>
      <c r="C47" s="36" t="n">
        <f aca="false">IF(px/C9&gt;=MAX($B$88:$B$97),1,IF(px/C9&lt;=MIN($B$88:$B$97),0,PERCENTRANK($B$88:$B$97,px/C9)))</f>
        <v>0.276</v>
      </c>
      <c r="D47" s="36" t="n">
        <f aca="false">IF(px/D9&gt;=MAX($B$88:$B$97),1,IF(px/D9&lt;=MIN($B$88:$B$97),0,PERCENTRANK($B$88:$B$97,px/D9)))</f>
        <v>0.322</v>
      </c>
      <c r="E47" s="3" t="s">
        <v>855</v>
      </c>
    </row>
    <row r="48" customFormat="false" ht="17.15" hidden="false" customHeight="false" outlineLevel="0" collapsed="false">
      <c r="A48" s="3" t="s">
        <v>856</v>
      </c>
      <c r="B48" s="35" t="str">
        <f aca="false">IF(B42&gt;0.5,"大於 50%",IF(B42&gt;0.25,"25%–50%",IF(B42&gt;=0,"0%–25%",IF(B42&gt;=-0.25,"0%～−25%",IF(B42&gt;=-0.5,"−25%～−50%","小於 −50%")))))</f>
        <v>0%～−25%</v>
      </c>
      <c r="E48" s="3" t="s">
        <v>857</v>
      </c>
    </row>
    <row r="49" customFormat="false" ht="17.15" hidden="false" customHeight="false" outlineLevel="0" collapsed="false">
      <c r="A49" s="3" t="s">
        <v>858</v>
      </c>
      <c r="B49" s="35" t="str">
        <f aca="false">IF(B42&gt;0.5,"強力買進",IF(B42&gt;0.25,"買進",IF(B42&gt;=-0.25,"中立",IF(B42&gt;=-0.5,"放空","強力放空"))))</f>
        <v>中立</v>
      </c>
      <c r="E49" s="3" t="s">
        <v>859</v>
      </c>
    </row>
    <row r="50" customFormat="false" ht="17.15" hidden="false" customHeight="false" outlineLevel="0" collapsed="false">
      <c r="A50" s="3" t="s">
        <v>860</v>
      </c>
      <c r="B50" s="0" t="s">
        <v>861</v>
      </c>
    </row>
    <row r="53" customFormat="false" ht="17.15" hidden="false" customHeight="false" outlineLevel="0" collapsed="false">
      <c r="A53" s="5" t="s">
        <v>862</v>
      </c>
    </row>
    <row r="54" customFormat="false" ht="15" hidden="false" customHeight="false" outlineLevel="0" collapsed="false">
      <c r="A54" s="4" t="s">
        <v>20</v>
      </c>
      <c r="B54" s="13" t="s">
        <v>863</v>
      </c>
      <c r="C54" s="13" t="s">
        <v>864</v>
      </c>
      <c r="D54" s="13" t="s">
        <v>865</v>
      </c>
      <c r="E54" s="4" t="s">
        <v>631</v>
      </c>
    </row>
    <row r="55" customFormat="false" ht="17.15" hidden="false" customHeight="false" outlineLevel="0" collapsed="false">
      <c r="A55" s="3" t="s">
        <v>866</v>
      </c>
      <c r="B55" s="22" t="n">
        <f aca="false">px</f>
        <v>986</v>
      </c>
    </row>
    <row r="56" customFormat="false" ht="17.15" hidden="false" customHeight="false" outlineLevel="0" collapsed="false">
      <c r="A56" s="3" t="s">
        <v>867</v>
      </c>
      <c r="B56" s="34" t="n">
        <f aca="false">px/PL!D15</f>
        <v>72.0004394501479</v>
      </c>
      <c r="C56" s="34" t="n">
        <f aca="false">px/PL!D29</f>
        <v>72.0004394501479</v>
      </c>
      <c r="D56" s="34" t="n">
        <f aca="false">px/PL!D43</f>
        <v>72.0004394501479</v>
      </c>
      <c r="E56" s="7" t="s">
        <v>868</v>
      </c>
    </row>
    <row r="57" customFormat="false" ht="17.15" hidden="false" customHeight="false" outlineLevel="0" collapsed="false">
      <c r="A57" s="3" t="s">
        <v>869</v>
      </c>
      <c r="B57" s="34" t="n">
        <f aca="false">px/PL!E15</f>
        <v>36.008196590783</v>
      </c>
      <c r="C57" s="34" t="n">
        <f aca="false">px/PL!E29</f>
        <v>37.6221841281697</v>
      </c>
      <c r="D57" s="34" t="n">
        <f aca="false">px/PL!E43</f>
        <v>39.3876480822285</v>
      </c>
      <c r="E57" s="7" t="s">
        <v>870</v>
      </c>
    </row>
    <row r="58" customFormat="false" ht="17.15" hidden="false" customHeight="false" outlineLevel="0" collapsed="false">
      <c r="A58" s="3" t="s">
        <v>871</v>
      </c>
      <c r="B58" s="34" t="n">
        <f aca="false">px/PL!F15</f>
        <v>29.1319181559098</v>
      </c>
      <c r="C58" s="34" t="n">
        <f aca="false">px/PL!F29</f>
        <v>31.072708981901</v>
      </c>
      <c r="D58" s="34" t="n">
        <f aca="false">px/PL!F43</f>
        <v>37.7531377726198</v>
      </c>
    </row>
    <row r="59" customFormat="false" ht="17.15" hidden="false" customHeight="false" outlineLevel="0" collapsed="false">
      <c r="A59" s="3" t="s">
        <v>872</v>
      </c>
      <c r="B59" s="34" t="n">
        <f aca="false">px/PL!G15</f>
        <v>24.4615941750392</v>
      </c>
      <c r="C59" s="34" t="n">
        <f aca="false">px/PL!G29</f>
        <v>26.6335943438436</v>
      </c>
      <c r="D59" s="34" t="n">
        <f aca="false">px/PL!G43</f>
        <v>35.2027529668922</v>
      </c>
    </row>
    <row r="60" customFormat="false" ht="17.15" hidden="false" customHeight="false" outlineLevel="0" collapsed="false">
      <c r="A60" s="3" t="s">
        <v>873</v>
      </c>
      <c r="B60" s="18" t="n">
        <f aca="false">0.2*PL!D29+0.8*PL!E29</f>
        <v>23.7052253566601</v>
      </c>
    </row>
    <row r="61" customFormat="false" ht="17.15" hidden="false" customHeight="false" outlineLevel="0" collapsed="false">
      <c r="A61" s="3" t="s">
        <v>874</v>
      </c>
      <c r="B61" s="34" t="n">
        <f aca="false">px/B60</f>
        <v>41.5942048710783</v>
      </c>
    </row>
    <row r="62" customFormat="false" ht="17.15" hidden="false" customHeight="false" outlineLevel="0" collapsed="false">
      <c r="A62" s="3" t="s">
        <v>507</v>
      </c>
      <c r="B62" s="34" t="n">
        <f aca="false">pe_ttm</f>
        <v>166.14</v>
      </c>
    </row>
    <row r="63" customFormat="false" ht="17.15" hidden="false" customHeight="false" outlineLevel="0" collapsed="false">
      <c r="A63" s="3" t="s">
        <v>875</v>
      </c>
      <c r="B63" s="34" t="n">
        <f aca="false">fpe</f>
        <v>44.7</v>
      </c>
    </row>
    <row r="65" customFormat="false" ht="17.15" hidden="false" customHeight="false" outlineLevel="0" collapsed="false">
      <c r="A65" s="5" t="s">
        <v>876</v>
      </c>
    </row>
    <row r="66" customFormat="false" ht="17.15" hidden="false" customHeight="false" outlineLevel="0" collapsed="false">
      <c r="A66" s="4" t="s">
        <v>877</v>
      </c>
      <c r="B66" s="4" t="s">
        <v>878</v>
      </c>
      <c r="C66" s="13" t="s">
        <v>879</v>
      </c>
      <c r="D66" s="4" t="s">
        <v>880</v>
      </c>
      <c r="E66" s="4" t="s">
        <v>881</v>
      </c>
      <c r="F66" s="4" t="s">
        <v>631</v>
      </c>
    </row>
    <row r="67" customFormat="false" ht="17.15" hidden="false" customHeight="false" outlineLevel="0" collapsed="false">
      <c r="A67" s="0" t="s">
        <v>863</v>
      </c>
      <c r="B67" s="0" t="n">
        <f aca="false">INDEX({2026,2027,2028,2029},MATCH(MAX(PL!D88:G88),PL!D88:G88,0))</f>
        <v>2029</v>
      </c>
      <c r="C67" s="0" t="str">
        <f aca="false">IF(B67=2029,"中段",IF(2027&lt;B67,"中段",IF(2027=B67,"見頂","谷底")))</f>
        <v>中段</v>
      </c>
      <c r="D67" s="34" t="n">
        <f aca="false">IF(C67="見頂",pe_peak,IF(C67="谷底",pe_trough,pe_mid))</f>
        <v>47.39</v>
      </c>
      <c r="E67" s="0" t="str">
        <f aca="false">IF(B67=2029,"是：營收到觀測期末仍在增加","否")</f>
        <v>是：營收到觀測期末仍在增加</v>
      </c>
      <c r="F67" s="7" t="s">
        <v>882</v>
      </c>
    </row>
    <row r="68" customFormat="false" ht="15" hidden="false" customHeight="false" outlineLevel="0" collapsed="false">
      <c r="A68" s="0" t="s">
        <v>864</v>
      </c>
      <c r="B68" s="0" t="n">
        <f aca="false">INDEX({2026,2027,2028,2029},MATCH(MAX(PL!D146:G146),PL!D146:G146,0))</f>
        <v>2029</v>
      </c>
      <c r="C68" s="0" t="str">
        <f aca="false">IF(B68=2029,"中段",IF(2027&lt;B68,"中段",IF(2027=B68,"見頂","谷底")))</f>
        <v>中段</v>
      </c>
      <c r="D68" s="34" t="n">
        <f aca="false">IF(C68="見頂",pe_peak,IF(C68="谷底",pe_trough,pe_mid))</f>
        <v>47.39</v>
      </c>
      <c r="E68" s="0" t="str">
        <f aca="false">IF(B68=2029,"是：營收到觀測期末仍在增加","否")</f>
        <v>是：營收到觀測期末仍在增加</v>
      </c>
      <c r="F68" s="3" t="s">
        <v>45</v>
      </c>
    </row>
    <row r="69" customFormat="false" ht="15" hidden="false" customHeight="false" outlineLevel="0" collapsed="false">
      <c r="A69" s="0" t="s">
        <v>865</v>
      </c>
      <c r="B69" s="0" t="n">
        <f aca="false">INDEX({2026,2027,2028,2029},MATCH(MAX(PL!D204:G204),PL!D204:G204,0))</f>
        <v>2029</v>
      </c>
      <c r="C69" s="0" t="str">
        <f aca="false">IF(B69=2029,"中段",IF(2027&lt;B69,"中段",IF(2027=B69,"見頂","谷底")))</f>
        <v>中段</v>
      </c>
      <c r="D69" s="34" t="n">
        <f aca="false">IF(C69="見頂",pe_peak,IF(C69="谷底",pe_trough,pe_mid))</f>
        <v>47.39</v>
      </c>
      <c r="E69" s="0" t="str">
        <f aca="false">IF(B69=2029,"是：營收到觀測期末仍在增加","否")</f>
        <v>是：營收到觀測期末仍在增加</v>
      </c>
      <c r="F69" s="3" t="s">
        <v>45</v>
      </c>
    </row>
    <row r="71" customFormat="false" ht="17.15" hidden="false" customHeight="false" outlineLevel="0" collapsed="false">
      <c r="A71" s="5" t="s">
        <v>883</v>
      </c>
    </row>
    <row r="72" customFormat="false" ht="17.15" hidden="false" customHeight="false" outlineLevel="0" collapsed="false">
      <c r="A72" s="4" t="s">
        <v>877</v>
      </c>
      <c r="B72" s="13" t="s">
        <v>884</v>
      </c>
      <c r="C72" s="4" t="s">
        <v>885</v>
      </c>
      <c r="D72" s="4" t="s">
        <v>886</v>
      </c>
      <c r="E72" s="4" t="s">
        <v>887</v>
      </c>
      <c r="F72" s="4" t="s">
        <v>888</v>
      </c>
      <c r="G72" s="4" t="s">
        <v>889</v>
      </c>
    </row>
    <row r="73" customFormat="false" ht="15" hidden="false" customHeight="false" outlineLevel="0" collapsed="false">
      <c r="A73" s="8" t="s">
        <v>863</v>
      </c>
      <c r="B73" s="32" t="n">
        <f aca="false">PL!E15</f>
        <v>27.3826543218881</v>
      </c>
      <c r="C73" s="32" t="n">
        <f aca="false">B73</f>
        <v>27.3826543218881</v>
      </c>
      <c r="D73" s="37" t="n">
        <f aca="false">D67</f>
        <v>47.39</v>
      </c>
      <c r="E73" s="38" t="n">
        <f aca="false">C73*D73</f>
        <v>1297.66398831428</v>
      </c>
      <c r="F73" s="39" t="n">
        <f aca="false">E73/px-1</f>
        <v>0.316089237641256</v>
      </c>
      <c r="G73" s="37" t="n">
        <f aca="false">px/C73</f>
        <v>36.008196590783</v>
      </c>
    </row>
    <row r="74" customFormat="false" ht="15" hidden="false" customHeight="false" outlineLevel="0" collapsed="false">
      <c r="A74" s="8" t="s">
        <v>864</v>
      </c>
      <c r="B74" s="32" t="n">
        <f aca="false">PL!E29</f>
        <v>26.2079414805089</v>
      </c>
      <c r="C74" s="32" t="n">
        <f aca="false">B74</f>
        <v>26.2079414805089</v>
      </c>
      <c r="D74" s="37" t="n">
        <f aca="false">D68</f>
        <v>47.39</v>
      </c>
      <c r="E74" s="38" t="n">
        <f aca="false">C74*D74</f>
        <v>1241.99434676131</v>
      </c>
      <c r="F74" s="39" t="n">
        <f aca="false">E74/px-1</f>
        <v>0.259629154930339</v>
      </c>
      <c r="G74" s="37" t="n">
        <f aca="false">px/C74</f>
        <v>37.6221841281697</v>
      </c>
    </row>
    <row r="75" customFormat="false" ht="15" hidden="false" customHeight="false" outlineLevel="0" collapsed="false">
      <c r="A75" s="8" t="s">
        <v>865</v>
      </c>
      <c r="B75" s="32" t="n">
        <f aca="false">PL!E43</f>
        <v>25.0332286391296</v>
      </c>
      <c r="C75" s="32" t="n">
        <f aca="false">B75</f>
        <v>25.0332286391296</v>
      </c>
      <c r="D75" s="37" t="n">
        <f aca="false">D69</f>
        <v>47.39</v>
      </c>
      <c r="E75" s="38" t="n">
        <f aca="false">C75*D75</f>
        <v>1186.32470520835</v>
      </c>
      <c r="F75" s="39" t="n">
        <f aca="false">E75/px-1</f>
        <v>0.203169072219423</v>
      </c>
      <c r="G75" s="37" t="n">
        <f aca="false">px/C75</f>
        <v>39.3876480822285</v>
      </c>
    </row>
    <row r="77" customFormat="false" ht="17.15" hidden="false" customHeight="false" outlineLevel="0" collapsed="false">
      <c r="A77" s="5" t="s">
        <v>890</v>
      </c>
    </row>
    <row r="78" customFormat="false" ht="17.15" hidden="false" customHeight="false" outlineLevel="0" collapsed="false">
      <c r="A78" s="13" t="s">
        <v>891</v>
      </c>
      <c r="B78" s="4" t="s">
        <v>892</v>
      </c>
      <c r="C78" s="4" t="s">
        <v>893</v>
      </c>
      <c r="D78" s="4" t="s">
        <v>894</v>
      </c>
      <c r="E78" s="4" t="s">
        <v>895</v>
      </c>
    </row>
    <row r="79" customFormat="false" ht="15" hidden="false" customHeight="false" outlineLevel="0" collapsed="false">
      <c r="A79" s="17" t="n">
        <v>0.75</v>
      </c>
      <c r="B79" s="34" t="n">
        <f aca="false">px*A79/PL!F15</f>
        <v>21.8489386169324</v>
      </c>
      <c r="C79" s="34" t="n">
        <f aca="false">px*A79/PL!F29</f>
        <v>23.3045317364257</v>
      </c>
      <c r="D79" s="34" t="n">
        <f aca="false">px*A79/PL!F43</f>
        <v>28.3148533294648</v>
      </c>
      <c r="E79" s="34" t="n">
        <f aca="false">pe_mid</f>
        <v>47.39</v>
      </c>
    </row>
    <row r="80" customFormat="false" ht="15" hidden="false" customHeight="false" outlineLevel="0" collapsed="false">
      <c r="A80" s="17" t="n">
        <v>1</v>
      </c>
      <c r="B80" s="34" t="n">
        <f aca="false">px*A80/PL!F15</f>
        <v>29.1319181559098</v>
      </c>
      <c r="C80" s="34" t="n">
        <f aca="false">px*A80/PL!F29</f>
        <v>31.072708981901</v>
      </c>
      <c r="D80" s="34" t="n">
        <f aca="false">px*A80/PL!F43</f>
        <v>37.7531377726198</v>
      </c>
      <c r="E80" s="34" t="n">
        <f aca="false">pe_mid</f>
        <v>47.39</v>
      </c>
    </row>
    <row r="81" customFormat="false" ht="15" hidden="false" customHeight="false" outlineLevel="0" collapsed="false">
      <c r="A81" s="17" t="n">
        <v>1.1</v>
      </c>
      <c r="B81" s="34" t="n">
        <f aca="false">px*A81/PL!F15</f>
        <v>32.0451099715008</v>
      </c>
      <c r="C81" s="34" t="n">
        <f aca="false">px*A81/PL!F29</f>
        <v>34.1799798800911</v>
      </c>
      <c r="D81" s="34" t="n">
        <f aca="false">px*A81/PL!F43</f>
        <v>41.5284515498817</v>
      </c>
      <c r="E81" s="34" t="n">
        <f aca="false">pe_mid</f>
        <v>47.39</v>
      </c>
    </row>
    <row r="82" customFormat="false" ht="15" hidden="false" customHeight="false" outlineLevel="0" collapsed="false">
      <c r="A82" s="17" t="n">
        <v>1.21</v>
      </c>
      <c r="B82" s="34" t="n">
        <f aca="false">px*A82/PL!F15</f>
        <v>35.2496209686509</v>
      </c>
      <c r="C82" s="34" t="n">
        <f aca="false">px*A82/PL!F29</f>
        <v>37.5979778681002</v>
      </c>
      <c r="D82" s="34" t="n">
        <f aca="false">px*A82/PL!F43</f>
        <v>45.6812967048699</v>
      </c>
      <c r="E82" s="34" t="n">
        <f aca="false">pe_mid</f>
        <v>47.39</v>
      </c>
    </row>
    <row r="83" customFormat="false" ht="15" hidden="false" customHeight="false" outlineLevel="0" collapsed="false">
      <c r="A83" s="17" t="n">
        <v>1.5</v>
      </c>
      <c r="B83" s="34" t="n">
        <f aca="false">px*A83/PL!F15</f>
        <v>43.6978772338647</v>
      </c>
      <c r="C83" s="34" t="n">
        <f aca="false">px*A83/PL!F29</f>
        <v>46.6090634728515</v>
      </c>
      <c r="D83" s="34" t="n">
        <f aca="false">px*A83/PL!F43</f>
        <v>56.6297066589296</v>
      </c>
      <c r="E83" s="34" t="n">
        <f aca="false">pe_mid</f>
        <v>47.39</v>
      </c>
    </row>
    <row r="84" customFormat="false" ht="17.15" hidden="false" customHeight="false" outlineLevel="0" collapsed="false">
      <c r="A84" s="3" t="s">
        <v>896</v>
      </c>
    </row>
    <row r="86" customFormat="false" ht="17.15" hidden="false" customHeight="false" outlineLevel="0" collapsed="false">
      <c r="A86" s="5" t="s">
        <v>897</v>
      </c>
    </row>
    <row r="87" customFormat="false" ht="17.15" hidden="false" customHeight="false" outlineLevel="0" collapsed="false">
      <c r="A87" s="4" t="s">
        <v>898</v>
      </c>
      <c r="B87" s="4" t="s">
        <v>899</v>
      </c>
      <c r="C87" s="13" t="s">
        <v>900</v>
      </c>
      <c r="D87" s="4" t="s">
        <v>901</v>
      </c>
    </row>
    <row r="88" customFormat="false" ht="15" hidden="false" customHeight="false" outlineLevel="0" collapsed="false">
      <c r="A88" s="0" t="s">
        <v>902</v>
      </c>
      <c r="B88" s="18" t="n">
        <f aca="false">AVERAGE(C88:D88)</f>
        <v>14.2115768463074</v>
      </c>
      <c r="C88" s="18" t="str">
        <f aca="false">IF(ISNUMBER(B107),B107,"")</f>
        <v/>
      </c>
      <c r="D88" s="18" t="n">
        <f aca="false">IF(ISNUMBER(C107),C107,"")</f>
        <v>14.2115768463074</v>
      </c>
    </row>
    <row r="89" customFormat="false" ht="15" hidden="false" customHeight="false" outlineLevel="0" collapsed="false">
      <c r="A89" s="0" t="s">
        <v>903</v>
      </c>
      <c r="B89" s="18" t="n">
        <f aca="false">AVERAGE(C89:D89)</f>
        <v>49.2727272727273</v>
      </c>
      <c r="C89" s="18" t="str">
        <f aca="false">IF(ISNUMBER(B108),B108,"")</f>
        <v/>
      </c>
      <c r="D89" s="18" t="n">
        <f aca="false">IF(ISNUMBER(C108),C108,"")</f>
        <v>49.2727272727273</v>
      </c>
    </row>
    <row r="90" customFormat="false" ht="15" hidden="false" customHeight="false" outlineLevel="0" collapsed="false">
      <c r="A90" s="0" t="s">
        <v>904</v>
      </c>
      <c r="B90" s="18" t="n">
        <f aca="false">AVERAGE(C90:D90)</f>
        <v>55.8974358974359</v>
      </c>
      <c r="C90" s="18" t="str">
        <f aca="false">IF(ISNUMBER(B109),B109,"")</f>
        <v/>
      </c>
      <c r="D90" s="18" t="n">
        <f aca="false">IF(ISNUMBER(C109),C109,"")</f>
        <v>55.8974358974359</v>
      </c>
    </row>
    <row r="91" customFormat="false" ht="17.15" hidden="false" customHeight="false" outlineLevel="0" collapsed="false">
      <c r="A91" s="0" t="s">
        <v>905</v>
      </c>
      <c r="E91" s="3" t="s">
        <v>906</v>
      </c>
    </row>
    <row r="92" customFormat="false" ht="15" hidden="false" customHeight="false" outlineLevel="0" collapsed="false">
      <c r="A92" s="0" t="s">
        <v>907</v>
      </c>
      <c r="B92" s="18" t="n">
        <f aca="false">AVERAGE(C92:D92)</f>
        <v>66.8595041322314</v>
      </c>
      <c r="C92" s="18" t="str">
        <f aca="false">IF(ISNUMBER(B111),B111,"")</f>
        <v/>
      </c>
      <c r="D92" s="18" t="n">
        <f aca="false">IF(ISNUMBER(C111),C111,"")</f>
        <v>66.8595041322314</v>
      </c>
    </row>
    <row r="93" customFormat="false" ht="15" hidden="false" customHeight="false" outlineLevel="0" collapsed="false">
      <c r="A93" s="0" t="s">
        <v>908</v>
      </c>
      <c r="B93" s="18" t="n">
        <f aca="false">AVERAGE(C93:D93)</f>
        <v>27.2198130841121</v>
      </c>
      <c r="C93" s="18" t="n">
        <f aca="false">IF(ISNUMBER(B112),B112,"")</f>
        <v>27.22</v>
      </c>
      <c r="D93" s="18" t="n">
        <f aca="false">IF(ISNUMBER(C112),C112,"")</f>
        <v>27.2196261682243</v>
      </c>
    </row>
    <row r="94" customFormat="false" ht="15" hidden="false" customHeight="false" outlineLevel="0" collapsed="false">
      <c r="A94" s="0" t="s">
        <v>909</v>
      </c>
      <c r="B94" s="18" t="n">
        <f aca="false">AVERAGE(C94:D94)</f>
        <v>6.76750484809308</v>
      </c>
      <c r="C94" s="18" t="n">
        <f aca="false">IF(ISNUMBER(B113),B113,"")</f>
        <v>6.78</v>
      </c>
      <c r="D94" s="18" t="n">
        <f aca="false">IF(ISNUMBER(C113),C113,"")</f>
        <v>6.75500969618617</v>
      </c>
    </row>
    <row r="95" customFormat="false" ht="15" hidden="false" customHeight="false" outlineLevel="0" collapsed="false">
      <c r="A95" s="0" t="s">
        <v>910</v>
      </c>
      <c r="B95" s="18" t="n">
        <f aca="false">AVERAGE(C95:D95)</f>
        <v>929.971818181818</v>
      </c>
      <c r="C95" s="18" t="n">
        <f aca="false">IF(ISNUMBER(B114),B114,"")</f>
        <v>953.58</v>
      </c>
      <c r="D95" s="18" t="n">
        <f aca="false">IF(ISNUMBER(C114),C114,"")</f>
        <v>906.363636363636</v>
      </c>
    </row>
    <row r="96" customFormat="false" ht="15" hidden="false" customHeight="false" outlineLevel="0" collapsed="false">
      <c r="A96" s="0" t="s">
        <v>911</v>
      </c>
      <c r="B96" s="18" t="n">
        <f aca="false">AVERAGE(C96:D96)</f>
        <v>930.795909090909</v>
      </c>
      <c r="C96" s="18" t="n">
        <f aca="false">IF(ISNUMBER(B115),B115,"")</f>
        <v>943.41</v>
      </c>
      <c r="D96" s="18" t="n">
        <f aca="false">IF(ISNUMBER(C115),C115,"")</f>
        <v>918.181818181818</v>
      </c>
    </row>
    <row r="97" customFormat="false" ht="15" hidden="false" customHeight="false" outlineLevel="0" collapsed="false">
      <c r="A97" s="0" t="s">
        <v>912</v>
      </c>
      <c r="B97" s="18" t="n">
        <f aca="false">AVERAGE(C97:D97)</f>
        <v>45.4045726495727</v>
      </c>
      <c r="C97" s="18" t="n">
        <f aca="false">IF(ISNUMBER(B116),B116,"")</f>
        <v>45.51</v>
      </c>
      <c r="D97" s="18" t="n">
        <f aca="false">IF(ISNUMBER(C116),C116,"")</f>
        <v>45.2991452991453</v>
      </c>
    </row>
    <row r="98" customFormat="false" ht="15" hidden="false" customHeight="false" outlineLevel="0" collapsed="false">
      <c r="A98" s="3" t="s">
        <v>913</v>
      </c>
      <c r="B98" s="0" t="n">
        <f aca="false">COUNT($B$88:$B$97)</f>
        <v>9</v>
      </c>
    </row>
    <row r="102" customFormat="false" ht="17.15" hidden="false" customHeight="false" outlineLevel="0" collapsed="false">
      <c r="A102" s="5" t="s">
        <v>914</v>
      </c>
    </row>
    <row r="103" customFormat="false" ht="17.15" hidden="false" customHeight="false" outlineLevel="0" collapsed="false">
      <c r="A103" s="3" t="s">
        <v>915</v>
      </c>
    </row>
    <row r="105" customFormat="false" ht="17.15" hidden="false" customHeight="false" outlineLevel="0" collapsed="false">
      <c r="A105" s="5" t="s">
        <v>916</v>
      </c>
    </row>
    <row r="106" customFormat="false" ht="17.15" hidden="false" customHeight="false" outlineLevel="0" collapsed="false">
      <c r="A106" s="4" t="s">
        <v>898</v>
      </c>
      <c r="B106" s="13" t="s">
        <v>917</v>
      </c>
      <c r="C106" s="4" t="s">
        <v>918</v>
      </c>
      <c r="D106" s="4" t="s">
        <v>919</v>
      </c>
    </row>
    <row r="107" customFormat="false" ht="17.15" hidden="false" customHeight="false" outlineLevel="0" collapsed="false">
      <c r="A107" s="0" t="s">
        <v>902</v>
      </c>
      <c r="C107" s="18" t="n">
        <f aca="false">71.2/5.01</f>
        <v>14.2115768463074</v>
      </c>
      <c r="D107" s="7" t="s">
        <v>920</v>
      </c>
    </row>
    <row r="108" customFormat="false" ht="15" hidden="false" customHeight="false" outlineLevel="0" collapsed="false">
      <c r="A108" s="0" t="s">
        <v>903</v>
      </c>
      <c r="C108" s="18" t="n">
        <f aca="false">54.2/1.1</f>
        <v>49.2727272727273</v>
      </c>
    </row>
    <row r="109" customFormat="false" ht="15" hidden="false" customHeight="false" outlineLevel="0" collapsed="false">
      <c r="A109" s="0" t="s">
        <v>904</v>
      </c>
      <c r="C109" s="18" t="n">
        <f aca="false">43.6/0.78</f>
        <v>55.8974358974359</v>
      </c>
    </row>
    <row r="110" customFormat="false" ht="15" hidden="false" customHeight="false" outlineLevel="0" collapsed="false">
      <c r="A110" s="0" t="s">
        <v>905</v>
      </c>
    </row>
    <row r="111" customFormat="false" ht="15" hidden="false" customHeight="false" outlineLevel="0" collapsed="false">
      <c r="A111" s="0" t="s">
        <v>907</v>
      </c>
      <c r="C111" s="18" t="n">
        <f aca="false">80.9/1.21</f>
        <v>66.8595041322314</v>
      </c>
    </row>
    <row r="112" customFormat="false" ht="15" hidden="false" customHeight="false" outlineLevel="0" collapsed="false">
      <c r="A112" s="0" t="s">
        <v>908</v>
      </c>
      <c r="B112" s="17" t="n">
        <v>27.22</v>
      </c>
      <c r="C112" s="18" t="n">
        <f aca="false">233/8.56</f>
        <v>27.2196261682243</v>
      </c>
    </row>
    <row r="113" customFormat="false" ht="15" hidden="false" customHeight="false" outlineLevel="0" collapsed="false">
      <c r="A113" s="0" t="s">
        <v>909</v>
      </c>
      <c r="B113" s="17" t="n">
        <v>6.78</v>
      </c>
      <c r="C113" s="18" t="n">
        <f aca="false">104.5/15.47</f>
        <v>6.75500969618617</v>
      </c>
    </row>
    <row r="114" customFormat="false" ht="15" hidden="false" customHeight="false" outlineLevel="0" collapsed="false">
      <c r="A114" s="0" t="s">
        <v>910</v>
      </c>
      <c r="B114" s="17" t="n">
        <v>953.58</v>
      </c>
      <c r="C114" s="18" t="n">
        <f aca="false">99.7/0.11</f>
        <v>906.363636363636</v>
      </c>
    </row>
    <row r="115" customFormat="false" ht="15" hidden="false" customHeight="false" outlineLevel="0" collapsed="false">
      <c r="A115" s="0" t="s">
        <v>911</v>
      </c>
      <c r="B115" s="17" t="n">
        <v>943.41</v>
      </c>
      <c r="C115" s="18" t="n">
        <f aca="false">101/0.11</f>
        <v>918.181818181818</v>
      </c>
    </row>
    <row r="116" customFormat="false" ht="15" hidden="false" customHeight="false" outlineLevel="0" collapsed="false">
      <c r="A116" s="0" t="s">
        <v>912</v>
      </c>
      <c r="B116" s="17" t="n">
        <v>45.51</v>
      </c>
      <c r="C116" s="18" t="n">
        <f aca="false">159/3.51</f>
        <v>45.2991452991453</v>
      </c>
    </row>
    <row r="117" customFormat="false" ht="17.15" hidden="false" customHeight="false" outlineLevel="0" collapsed="false">
      <c r="A117" s="0" t="s">
        <v>921</v>
      </c>
      <c r="B117" s="18" t="n">
        <f aca="false">PERCENTILE(B107:B116,0.25)</f>
        <v>27.22</v>
      </c>
      <c r="C117" s="18" t="n">
        <f aca="false">PERCENTILE(C107:C116,0.25)</f>
        <v>27.2196261682243</v>
      </c>
    </row>
    <row r="118" customFormat="false" ht="15" hidden="false" customHeight="false" outlineLevel="0" collapsed="false">
      <c r="A118" s="3" t="s">
        <v>922</v>
      </c>
      <c r="B118" s="18" t="n">
        <f aca="false">MEDIAN(B107:B116)</f>
        <v>45.51</v>
      </c>
      <c r="C118" s="18" t="n">
        <f aca="false">MEDIAN(C107:C116)</f>
        <v>49.2727272727273</v>
      </c>
    </row>
    <row r="119" customFormat="false" ht="17.15" hidden="false" customHeight="false" outlineLevel="0" collapsed="false">
      <c r="A119" s="0" t="s">
        <v>923</v>
      </c>
      <c r="B119" s="18" t="n">
        <f aca="false">PERCENTILE(B107:B116,0.75)</f>
        <v>943.41</v>
      </c>
      <c r="C119" s="18" t="n">
        <f aca="false">PERCENTILE(C107:C116,0.75)</f>
        <v>66.8595041322314</v>
      </c>
    </row>
    <row r="120" customFormat="false" ht="15" hidden="false" customHeight="false" outlineLevel="0" collapsed="false">
      <c r="A120" s="3" t="s">
        <v>924</v>
      </c>
      <c r="B120" s="18" t="n">
        <f aca="false">MIN(B107:B116)</f>
        <v>6.78</v>
      </c>
      <c r="C120" s="18" t="n">
        <f aca="false">MIN(C107:C116)</f>
        <v>6.75500969618617</v>
      </c>
    </row>
    <row r="121" customFormat="false" ht="15" hidden="false" customHeight="false" outlineLevel="0" collapsed="false">
      <c r="A121" s="3" t="s">
        <v>925</v>
      </c>
      <c r="B121" s="18" t="n">
        <f aca="false">MAX(B107:B116)</f>
        <v>953.58</v>
      </c>
      <c r="C121" s="18" t="n">
        <f aca="false">MAX(C107:C116)</f>
        <v>918.181818181818</v>
      </c>
    </row>
    <row r="122" customFormat="false" ht="17.15" hidden="false" customHeight="false" outlineLevel="0" collapsed="false">
      <c r="A122" s="1" t="s">
        <v>926</v>
      </c>
      <c r="B122" s="18" t="n">
        <f aca="false">ROUND(AVERAGE(B117,C117),2)</f>
        <v>27.22</v>
      </c>
    </row>
    <row r="123" customFormat="false" ht="17.15" hidden="false" customHeight="false" outlineLevel="0" collapsed="false">
      <c r="A123" s="1" t="s">
        <v>927</v>
      </c>
      <c r="B123" s="18" t="n">
        <f aca="false">ROUND(AVERAGE(B118,C118),2)</f>
        <v>47.39</v>
      </c>
    </row>
    <row r="124" customFormat="false" ht="17.15" hidden="false" customHeight="false" outlineLevel="0" collapsed="false">
      <c r="A124" s="1" t="s">
        <v>928</v>
      </c>
      <c r="B124" s="18" t="n">
        <f aca="false">ROUND(AVERAGE(B119,C119),2)</f>
        <v>505.13</v>
      </c>
    </row>
    <row r="125" customFormat="false" ht="17.15" hidden="false" customHeight="false" outlineLevel="0" collapsed="false">
      <c r="A125" s="1" t="s">
        <v>929</v>
      </c>
      <c r="B125" s="18" t="n">
        <f aca="false">ROUND(MIN(B120,C120),2)</f>
        <v>6.76</v>
      </c>
    </row>
    <row r="126" customFormat="false" ht="17.15" hidden="false" customHeight="false" outlineLevel="0" collapsed="false">
      <c r="A126" s="1" t="s">
        <v>930</v>
      </c>
      <c r="B126" s="18" t="n">
        <f aca="false">ROUND(MAX(B121,C121),2)</f>
        <v>953.58</v>
      </c>
    </row>
    <row r="128" customFormat="false" ht="17.15" hidden="false" customHeight="false" outlineLevel="0" collapsed="false">
      <c r="A128" s="5" t="s">
        <v>931</v>
      </c>
    </row>
    <row r="129" customFormat="false" ht="17.15" hidden="false" customHeight="false" outlineLevel="0" collapsed="false">
      <c r="A129" s="4" t="s">
        <v>932</v>
      </c>
      <c r="B129" s="4" t="s">
        <v>933</v>
      </c>
      <c r="C129" s="4" t="s">
        <v>934</v>
      </c>
      <c r="D129" s="4" t="s">
        <v>23</v>
      </c>
      <c r="E129" s="4" t="s">
        <v>935</v>
      </c>
      <c r="F129" s="4" t="s">
        <v>887</v>
      </c>
      <c r="G129" s="4" t="s">
        <v>936</v>
      </c>
      <c r="H129" s="4" t="s">
        <v>937</v>
      </c>
    </row>
    <row r="130" customFormat="false" ht="17.15" hidden="false" customHeight="false" outlineLevel="0" collapsed="false">
      <c r="A130" s="3" t="s">
        <v>938</v>
      </c>
      <c r="B130" s="0" t="s">
        <v>939</v>
      </c>
      <c r="C130" s="18" t="n">
        <f aca="false">B122</f>
        <v>27.22</v>
      </c>
      <c r="D130" s="7" t="s">
        <v>940</v>
      </c>
      <c r="E130" s="18" t="n">
        <f aca="false">C74</f>
        <v>26.2079414805089</v>
      </c>
      <c r="F130" s="23" t="n">
        <f aca="false">C130*E130</f>
        <v>713.380167099451</v>
      </c>
      <c r="G130" s="20" t="n">
        <f aca="false">F130/px-1</f>
        <v>-0.276490702738894</v>
      </c>
      <c r="H130" s="18" t="n">
        <f aca="false">px/E130</f>
        <v>37.6221841281697</v>
      </c>
    </row>
    <row r="131" customFormat="false" ht="17.15" hidden="false" customHeight="false" outlineLevel="0" collapsed="false">
      <c r="A131" s="3" t="s">
        <v>941</v>
      </c>
      <c r="B131" s="3" t="s">
        <v>942</v>
      </c>
      <c r="C131" s="18" t="n">
        <f aca="false">B123</f>
        <v>47.39</v>
      </c>
      <c r="D131" s="7" t="s">
        <v>940</v>
      </c>
      <c r="E131" s="18" t="n">
        <f aca="false">C74</f>
        <v>26.2079414805089</v>
      </c>
      <c r="F131" s="23" t="n">
        <f aca="false">C131*E131</f>
        <v>1241.99434676131</v>
      </c>
      <c r="G131" s="20" t="n">
        <f aca="false">F131/px-1</f>
        <v>0.259629154930339</v>
      </c>
      <c r="H131" s="18" t="n">
        <f aca="false">px/E131</f>
        <v>37.6221841281697</v>
      </c>
    </row>
    <row r="132" customFormat="false" ht="17.15" hidden="false" customHeight="false" outlineLevel="0" collapsed="false">
      <c r="A132" s="3" t="s">
        <v>943</v>
      </c>
      <c r="B132" s="0" t="s">
        <v>944</v>
      </c>
      <c r="C132" s="18" t="n">
        <f aca="false">B124</f>
        <v>505.13</v>
      </c>
      <c r="D132" s="7" t="s">
        <v>940</v>
      </c>
      <c r="E132" s="18" t="n">
        <f aca="false">C74</f>
        <v>26.2079414805089</v>
      </c>
      <c r="F132" s="23" t="n">
        <f aca="false">C132*E132</f>
        <v>13238.4174800494</v>
      </c>
      <c r="G132" s="20" t="n">
        <f aca="false">F132/px-1</f>
        <v>12.4263868966019</v>
      </c>
      <c r="H132" s="18" t="n">
        <f aca="false">px/E132</f>
        <v>37.6221841281697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945</v>
      </c>
    </row>
    <row r="3" customFormat="false" ht="17.15" hidden="false" customHeight="false" outlineLevel="0" collapsed="false">
      <c r="A3" s="4" t="s">
        <v>20</v>
      </c>
      <c r="B3" s="4" t="s">
        <v>946</v>
      </c>
      <c r="C3" s="4" t="s">
        <v>947</v>
      </c>
      <c r="D3" s="4" t="s">
        <v>948</v>
      </c>
      <c r="E3" s="4" t="s">
        <v>949</v>
      </c>
      <c r="F3" s="4" t="s">
        <v>950</v>
      </c>
      <c r="G3" s="4" t="s">
        <v>951</v>
      </c>
      <c r="H3" s="4" t="s">
        <v>952</v>
      </c>
      <c r="I3" s="4" t="s">
        <v>953</v>
      </c>
      <c r="J3" s="4" t="s">
        <v>631</v>
      </c>
    </row>
    <row r="4" customFormat="false" ht="17.15" hidden="false" customHeight="false" outlineLevel="0" collapsed="false">
      <c r="A4" s="5" t="s">
        <v>954</v>
      </c>
    </row>
    <row r="5" customFormat="false" ht="17.15" hidden="false" customHeight="false" outlineLevel="0" collapsed="false">
      <c r="A5" s="0" t="s">
        <v>955</v>
      </c>
      <c r="B5" s="21" t="n">
        <f aca="false">cons_eps26</f>
        <v>10.42</v>
      </c>
      <c r="C5" s="21" t="n">
        <f aca="false">PL!D110</f>
        <v>13.6943608612652</v>
      </c>
      <c r="D5" s="20" t="n">
        <f aca="false">C5/B5-1</f>
        <v>0.314238086493781</v>
      </c>
      <c r="E5" s="21" t="n">
        <f aca="false">PL!D168</f>
        <v>13.6943608612652</v>
      </c>
      <c r="F5" s="20" t="n">
        <f aca="false">E5/B5-1</f>
        <v>0.314238086493781</v>
      </c>
      <c r="G5" s="21" t="n">
        <f aca="false">PL!D226</f>
        <v>13.6943608612652</v>
      </c>
      <c r="H5" s="20" t="n">
        <f aca="false">G5/B5-1</f>
        <v>0.314238086493781</v>
      </c>
      <c r="I5" s="3" t="s">
        <v>956</v>
      </c>
      <c r="J5" s="3" t="s">
        <v>957</v>
      </c>
    </row>
    <row r="6" customFormat="false" ht="17.15" hidden="false" customHeight="false" outlineLevel="0" collapsed="false">
      <c r="A6" s="0" t="s">
        <v>958</v>
      </c>
      <c r="B6" s="21" t="n">
        <v>13.21</v>
      </c>
      <c r="C6" s="21" t="n">
        <f aca="false">PL!D110</f>
        <v>13.6943608612652</v>
      </c>
      <c r="D6" s="20" t="n">
        <f aca="false">C6/B6-1</f>
        <v>0.0366662271964566</v>
      </c>
      <c r="E6" s="21" t="n">
        <f aca="false">PL!D168</f>
        <v>13.6943608612652</v>
      </c>
      <c r="F6" s="20" t="n">
        <f aca="false">E6/B6-1</f>
        <v>0.0366662271964566</v>
      </c>
      <c r="G6" s="21" t="n">
        <f aca="false">PL!D226</f>
        <v>13.6943608612652</v>
      </c>
      <c r="H6" s="20" t="n">
        <f aca="false">G6/B6-1</f>
        <v>0.0366662271964566</v>
      </c>
      <c r="I6" s="3" t="s">
        <v>959</v>
      </c>
    </row>
    <row r="7" customFormat="false" ht="17.15" hidden="false" customHeight="false" outlineLevel="0" collapsed="false">
      <c r="A7" s="0" t="s">
        <v>960</v>
      </c>
      <c r="B7" s="21" t="n">
        <f aca="false">cons_eps27</f>
        <v>26.47</v>
      </c>
      <c r="C7" s="21" t="n">
        <f aca="false">PL!E110</f>
        <v>27.3826543218881</v>
      </c>
      <c r="D7" s="20" t="n">
        <f aca="false">C7/B7-1</f>
        <v>0.0344788183561813</v>
      </c>
      <c r="E7" s="21" t="n">
        <f aca="false">PL!E168</f>
        <v>26.2079414805089</v>
      </c>
      <c r="F7" s="20" t="n">
        <f aca="false">E7/B7-1</f>
        <v>-0.00990020851874363</v>
      </c>
      <c r="G7" s="21" t="n">
        <f aca="false">PL!E226</f>
        <v>25.0332286391296</v>
      </c>
      <c r="H7" s="20" t="n">
        <f aca="false">G7/B7-1</f>
        <v>-0.0542792353936684</v>
      </c>
      <c r="I7" s="3" t="s">
        <v>956</v>
      </c>
    </row>
    <row r="8" customFormat="false" ht="17.15" hidden="false" customHeight="false" outlineLevel="0" collapsed="false">
      <c r="A8" s="0" t="s">
        <v>961</v>
      </c>
      <c r="B8" s="21" t="n">
        <f aca="false">bk_eps27</f>
        <v>35.2466666666667</v>
      </c>
      <c r="C8" s="21" t="n">
        <f aca="false">PL!E110</f>
        <v>27.3826543218881</v>
      </c>
      <c r="D8" s="20" t="n">
        <f aca="false">C8/B8-1</f>
        <v>-0.223113647005255</v>
      </c>
      <c r="E8" s="21" t="n">
        <f aca="false">PL!E168</f>
        <v>26.2079414805089</v>
      </c>
      <c r="F8" s="20" t="n">
        <f aca="false">E8/B8-1</f>
        <v>-0.256441985610681</v>
      </c>
      <c r="G8" s="21" t="n">
        <f aca="false">PL!E226</f>
        <v>25.0332286391296</v>
      </c>
      <c r="H8" s="20" t="n">
        <f aca="false">G8/B8-1</f>
        <v>-0.289770324216108</v>
      </c>
      <c r="I8" s="3" t="s">
        <v>962</v>
      </c>
      <c r="J8" s="3" t="s">
        <v>963</v>
      </c>
    </row>
    <row r="9" customFormat="false" ht="17.15" hidden="false" customHeight="false" outlineLevel="0" collapsed="false">
      <c r="A9" s="0" t="s">
        <v>964</v>
      </c>
      <c r="B9" s="21" t="n">
        <f aca="false">fs_eps27</f>
        <v>19.93</v>
      </c>
      <c r="C9" s="21" t="n">
        <f aca="false">PL!E110</f>
        <v>27.3826543218881</v>
      </c>
      <c r="D9" s="20" t="n">
        <f aca="false">C9/B9-1</f>
        <v>0.373941511384251</v>
      </c>
      <c r="E9" s="21" t="n">
        <f aca="false">PL!E168</f>
        <v>26.2079414805089</v>
      </c>
      <c r="F9" s="20" t="n">
        <f aca="false">E9/B9-1</f>
        <v>0.314999572529295</v>
      </c>
      <c r="G9" s="21" t="n">
        <f aca="false">PL!E226</f>
        <v>25.0332286391296</v>
      </c>
      <c r="H9" s="20" t="n">
        <f aca="false">G9/B9-1</f>
        <v>0.25605763367434</v>
      </c>
      <c r="I9" s="3" t="s">
        <v>965</v>
      </c>
    </row>
    <row r="10" customFormat="false" ht="17.15" hidden="false" customHeight="false" outlineLevel="0" collapsed="false">
      <c r="A10" s="0" t="s">
        <v>966</v>
      </c>
      <c r="B10" s="21" t="n">
        <f aca="false">fs_eps28</f>
        <v>34.39</v>
      </c>
      <c r="C10" s="21" t="n">
        <f aca="false">PL!F110</f>
        <v>33.8460376938817</v>
      </c>
      <c r="D10" s="20" t="n">
        <f aca="false">C10/B10-1</f>
        <v>-0.015817455833623</v>
      </c>
      <c r="E10" s="21" t="n">
        <f aca="false">PL!F168</f>
        <v>31.7320257005695</v>
      </c>
      <c r="F10" s="20" t="n">
        <f aca="false">E10/B10-1</f>
        <v>-0.0772891625306913</v>
      </c>
      <c r="G10" s="21" t="n">
        <f aca="false">PL!F226</f>
        <v>26.1170344552153</v>
      </c>
      <c r="H10" s="20" t="n">
        <f aca="false">G10/B10-1</f>
        <v>-0.240563115579666</v>
      </c>
      <c r="I10" s="3" t="s">
        <v>967</v>
      </c>
    </row>
    <row r="11" customFormat="false" ht="17.15" hidden="false" customHeight="false" outlineLevel="0" collapsed="false">
      <c r="A11" s="0" t="s">
        <v>968</v>
      </c>
      <c r="B11" s="21" t="n">
        <f aca="false">bk_eps28</f>
        <v>67.8233333333333</v>
      </c>
      <c r="C11" s="21" t="n">
        <f aca="false">PL!F110</f>
        <v>33.8460376938817</v>
      </c>
      <c r="D11" s="20" t="n">
        <f aca="false">C11/B11-1</f>
        <v>-0.500967645934806</v>
      </c>
      <c r="E11" s="21" t="n">
        <f aca="false">PL!F168</f>
        <v>31.7320257005695</v>
      </c>
      <c r="F11" s="20" t="n">
        <f aca="false">E11/B11-1</f>
        <v>-0.532137036901221</v>
      </c>
      <c r="G11" s="21" t="n">
        <f aca="false">PL!F226</f>
        <v>26.1170344552153</v>
      </c>
      <c r="H11" s="20" t="n">
        <f aca="false">G11/B11-1</f>
        <v>-0.614925525307682</v>
      </c>
      <c r="I11" s="3" t="s">
        <v>962</v>
      </c>
    </row>
    <row r="12" customFormat="false" ht="17.15" hidden="false" customHeight="false" outlineLevel="0" collapsed="false">
      <c r="A12" s="0" t="s">
        <v>969</v>
      </c>
      <c r="B12" s="23" t="n">
        <f aca="false">fs_rev27</f>
        <v>70.348</v>
      </c>
      <c r="C12" s="23" t="n">
        <f aca="false">PL!E88</f>
        <v>72.033987284</v>
      </c>
      <c r="D12" s="20" t="n">
        <f aca="false">C12/B12-1</f>
        <v>0.0239663854551657</v>
      </c>
      <c r="E12" s="23" t="n">
        <f aca="false">PL!E146</f>
        <v>70.172710164</v>
      </c>
      <c r="F12" s="20" t="n">
        <f aca="false">E12/B12-1</f>
        <v>-0.00249175294251447</v>
      </c>
      <c r="G12" s="23" t="n">
        <f aca="false">PL!E204</f>
        <v>68.311433044</v>
      </c>
      <c r="H12" s="20" t="n">
        <f aca="false">G12/B12-1</f>
        <v>-0.0289498913401944</v>
      </c>
      <c r="I12" s="3" t="s">
        <v>967</v>
      </c>
    </row>
    <row r="13" customFormat="false" ht="17.15" hidden="false" customHeight="false" outlineLevel="0" collapsed="false">
      <c r="A13" s="0" t="s">
        <v>970</v>
      </c>
      <c r="B13" s="23" t="n">
        <f aca="false">fs_rev28</f>
        <v>93.549</v>
      </c>
      <c r="C13" s="23" t="n">
        <f aca="false">PL!F88</f>
        <v>84.1022463502375</v>
      </c>
      <c r="D13" s="20" t="n">
        <f aca="false">C13/B13-1</f>
        <v>-0.100981877409299</v>
      </c>
      <c r="E13" s="23" t="n">
        <f aca="false">PL!F146</f>
        <v>80.6588836782375</v>
      </c>
      <c r="F13" s="20" t="n">
        <f aca="false">E13/B13-1</f>
        <v>-0.137789995849902</v>
      </c>
      <c r="G13" s="23" t="n">
        <f aca="false">PL!F204</f>
        <v>72.9447515220518</v>
      </c>
      <c r="H13" s="20" t="n">
        <f aca="false">G13/B13-1</f>
        <v>-0.220250868293068</v>
      </c>
      <c r="I13" s="3" t="s">
        <v>967</v>
      </c>
    </row>
    <row r="14" customFormat="false" ht="17.15" hidden="false" customHeight="false" outlineLevel="0" collapsed="false">
      <c r="A14" s="3" t="s">
        <v>971</v>
      </c>
      <c r="B14" s="21" t="n">
        <f aca="false">cons_feps</f>
        <v>22.0581655480984</v>
      </c>
      <c r="C14" s="21" t="n">
        <f aca="false">0.2*PL!D110+0.8*PL!E110</f>
        <v>24.6449956297635</v>
      </c>
      <c r="D14" s="20" t="n">
        <f aca="false">C14/B14-1</f>
        <v>0.117273128448712</v>
      </c>
      <c r="E14" s="21" t="n">
        <f aca="false">0.2*PL!D168+0.8*PL!E168</f>
        <v>23.7052253566601</v>
      </c>
      <c r="F14" s="20" t="n">
        <f aca="false">E14/B14-1</f>
        <v>0.0746689385828676</v>
      </c>
      <c r="G14" s="21" t="n">
        <f aca="false">0.2*PL!D226+0.8*PL!E226</f>
        <v>22.7654550835567</v>
      </c>
      <c r="H14" s="20" t="n">
        <f aca="false">G14/B14-1</f>
        <v>0.0320647487170236</v>
      </c>
      <c r="I14" s="7" t="s">
        <v>972</v>
      </c>
      <c r="J14" s="3" t="s">
        <v>973</v>
      </c>
    </row>
    <row r="15" customFormat="false" ht="17.15" hidden="false" customHeight="false" outlineLevel="0" collapsed="false">
      <c r="A15" s="5" t="s">
        <v>974</v>
      </c>
    </row>
    <row r="16" customFormat="false" ht="17.15" hidden="false" customHeight="false" outlineLevel="0" collapsed="false">
      <c r="A16" s="0" t="s">
        <v>975</v>
      </c>
      <c r="B16" s="20" t="n">
        <v>0.278</v>
      </c>
      <c r="C16" s="20" t="n">
        <f aca="false">Q!E6</f>
        <v>0.31</v>
      </c>
      <c r="D16" s="20" t="n">
        <f aca="false">C16-B16</f>
        <v>0.0319999999999999</v>
      </c>
      <c r="E16" s="20" t="n">
        <f aca="false">Q!E6</f>
        <v>0.31</v>
      </c>
      <c r="F16" s="20" t="n">
        <f aca="false">E16-B16</f>
        <v>0.0319999999999999</v>
      </c>
      <c r="G16" s="20" t="n">
        <f aca="false">Q!E6</f>
        <v>0.31</v>
      </c>
      <c r="H16" s="20" t="n">
        <f aca="false">G16-B16</f>
        <v>0.0319999999999999</v>
      </c>
      <c r="I16" s="3" t="s">
        <v>976</v>
      </c>
      <c r="J16" s="7" t="s">
        <v>977</v>
      </c>
    </row>
    <row r="17" customFormat="false" ht="17.15" hidden="false" customHeight="false" outlineLevel="0" collapsed="false">
      <c r="A17" s="0" t="s">
        <v>978</v>
      </c>
      <c r="B17" s="18" t="n">
        <v>4.29</v>
      </c>
      <c r="C17" s="18" t="n">
        <f aca="false">Q!E16</f>
        <v>4.30298672129633</v>
      </c>
      <c r="D17" s="20" t="n">
        <f aca="false">C17/B17-1</f>
        <v>0.00302720776138155</v>
      </c>
      <c r="E17" s="18" t="n">
        <f aca="false">Q!E16</f>
        <v>4.30298672129633</v>
      </c>
      <c r="F17" s="20" t="n">
        <f aca="false">E17/B17-1</f>
        <v>0.00302720776138155</v>
      </c>
      <c r="G17" s="18" t="n">
        <f aca="false">Q!E16</f>
        <v>4.30298672129633</v>
      </c>
      <c r="H17" s="20" t="n">
        <f aca="false">G17/B17-1</f>
        <v>0.00302720776138155</v>
      </c>
      <c r="I17" s="3" t="s">
        <v>959</v>
      </c>
    </row>
    <row r="18" customFormat="false" ht="17.15" hidden="false" customHeight="false" outlineLevel="0" collapsed="false">
      <c r="A18" s="0" t="s">
        <v>979</v>
      </c>
      <c r="B18" s="21" t="n">
        <v>17.314</v>
      </c>
      <c r="C18" s="21" t="n">
        <f aca="false">Q!F4</f>
        <v>16.2848</v>
      </c>
      <c r="D18" s="20" t="n">
        <f aca="false">C18/B18-1</f>
        <v>-0.0594432251357285</v>
      </c>
      <c r="E18" s="21" t="n">
        <f aca="false">Q!F4</f>
        <v>16.2848</v>
      </c>
      <c r="F18" s="20" t="n">
        <f aca="false">E18/B18-1</f>
        <v>-0.0594432251357285</v>
      </c>
      <c r="G18" s="21" t="n">
        <f aca="false">Q!F4</f>
        <v>16.2848</v>
      </c>
      <c r="H18" s="20" t="n">
        <f aca="false">G18/B18-1</f>
        <v>-0.0594432251357285</v>
      </c>
      <c r="I18" s="3" t="s">
        <v>959</v>
      </c>
    </row>
    <row r="19" customFormat="false" ht="17.15" hidden="false" customHeight="false" outlineLevel="0" collapsed="false">
      <c r="A19" s="0" t="s">
        <v>980</v>
      </c>
      <c r="B19" s="20" t="n">
        <v>0.33</v>
      </c>
      <c r="C19" s="20" t="n">
        <f aca="false">Q!F6</f>
        <v>0.32</v>
      </c>
      <c r="D19" s="20" t="n">
        <f aca="false">C19-B19</f>
        <v>-0.01</v>
      </c>
      <c r="E19" s="20" t="n">
        <f aca="false">Q!F6</f>
        <v>0.32</v>
      </c>
      <c r="F19" s="20" t="n">
        <f aca="false">E19-B19</f>
        <v>-0.01</v>
      </c>
      <c r="G19" s="20" t="n">
        <f aca="false">Q!F6</f>
        <v>0.32</v>
      </c>
      <c r="H19" s="20" t="n">
        <f aca="false">G19-B19</f>
        <v>-0.01</v>
      </c>
      <c r="I19" s="3" t="s">
        <v>959</v>
      </c>
      <c r="J19" s="3" t="s">
        <v>981</v>
      </c>
    </row>
    <row r="20" customFormat="false" ht="17.15" hidden="false" customHeight="false" outlineLevel="0" collapsed="false">
      <c r="A20" s="0" t="s">
        <v>982</v>
      </c>
      <c r="B20" s="20" t="n">
        <f aca="false">Q!G6+0.05</f>
        <v>0.331640986443929</v>
      </c>
      <c r="C20" s="20" t="n">
        <f aca="false">PL!E99</f>
        <v>0.3552567629931</v>
      </c>
      <c r="D20" s="20" t="n">
        <f aca="false">C20-B20</f>
        <v>0.0236157765491712</v>
      </c>
      <c r="E20" s="20" t="n">
        <f aca="false">PL!E157</f>
        <v>0.352743771562336</v>
      </c>
      <c r="F20" s="20" t="n">
        <f aca="false">E20-B20</f>
        <v>0.0211027851184063</v>
      </c>
      <c r="G20" s="20" t="n">
        <f aca="false">PL!E215</f>
        <v>0.350093837507345</v>
      </c>
      <c r="H20" s="20" t="n">
        <f aca="false">G20-B20</f>
        <v>0.0184528510634155</v>
      </c>
      <c r="I20" s="7" t="s">
        <v>983</v>
      </c>
    </row>
    <row r="21" customFormat="false" ht="17.15" hidden="false" customHeight="false" outlineLevel="0" collapsed="false">
      <c r="A21" s="0" t="s">
        <v>984</v>
      </c>
      <c r="B21" s="20" t="n">
        <f aca="false">Q!G6+0.1</f>
        <v>0.381640986443929</v>
      </c>
      <c r="C21" s="20" t="n">
        <f aca="false">PL!F99</f>
        <v>0.361751881679993</v>
      </c>
      <c r="D21" s="20" t="n">
        <f aca="false">C21-B21</f>
        <v>-0.0198891047639357</v>
      </c>
      <c r="E21" s="20" t="n">
        <f aca="false">PL!F157</f>
        <v>0.358637468682121</v>
      </c>
      <c r="F21" s="20" t="n">
        <f aca="false">E21-B21</f>
        <v>-0.0230035177618078</v>
      </c>
      <c r="G21" s="20" t="n">
        <f aca="false">PL!F215</f>
        <v>0.343407243254954</v>
      </c>
      <c r="H21" s="20" t="n">
        <f aca="false">G21-B21</f>
        <v>-0.0382337431889749</v>
      </c>
      <c r="I21" s="7" t="s">
        <v>983</v>
      </c>
    </row>
    <row r="22" customFormat="false" ht="17.15" hidden="false" customHeight="false" outlineLevel="0" collapsed="false">
      <c r="A22" s="5" t="s">
        <v>985</v>
      </c>
    </row>
    <row r="23" customFormat="false" ht="17.15" hidden="false" customHeight="false" outlineLevel="0" collapsed="false">
      <c r="A23" s="0" t="s">
        <v>986</v>
      </c>
      <c r="C23" s="20" t="n">
        <f aca="false">PL!E82</f>
        <v>0.862072490215205</v>
      </c>
      <c r="E23" s="20" t="n">
        <f aca="false">PL!E140</f>
        <v>0.862072490215205</v>
      </c>
      <c r="G23" s="20" t="n">
        <f aca="false">PL!E198</f>
        <v>0.862072490215205</v>
      </c>
      <c r="I23" s="7" t="s">
        <v>987</v>
      </c>
      <c r="J23" s="3" t="s">
        <v>988</v>
      </c>
    </row>
    <row r="24" customFormat="false" ht="17.15" hidden="false" customHeight="false" outlineLevel="0" collapsed="false">
      <c r="A24" s="0" t="s">
        <v>989</v>
      </c>
      <c r="C24" s="20" t="n">
        <f aca="false">PL!F82</f>
        <v>0.885571962422065</v>
      </c>
      <c r="E24" s="20" t="n">
        <f aca="false">PL!F140</f>
        <v>0.989463514655909</v>
      </c>
      <c r="G24" s="20" t="n">
        <f aca="false">PL!F198</f>
        <v>1</v>
      </c>
      <c r="I24" s="7" t="s">
        <v>987</v>
      </c>
    </row>
    <row r="25" customFormat="false" ht="17.15" hidden="false" customHeight="false" outlineLevel="0" collapsed="false">
      <c r="A25" s="0" t="s">
        <v>990</v>
      </c>
      <c r="B25" s="20" t="n">
        <v>0.1</v>
      </c>
      <c r="C25" s="20" t="n">
        <f aca="false">PL!D92</f>
        <v>0.105</v>
      </c>
      <c r="D25" s="20" t="n">
        <f aca="false">C25-B25</f>
        <v>0.00499999999999999</v>
      </c>
      <c r="E25" s="20" t="n">
        <f aca="false">PL!D150</f>
        <v>0.105</v>
      </c>
      <c r="F25" s="20" t="n">
        <f aca="false">E25-B25</f>
        <v>0.00499999999999999</v>
      </c>
      <c r="G25" s="20" t="n">
        <f aca="false">PL!D208</f>
        <v>0.105</v>
      </c>
      <c r="H25" s="20" t="n">
        <f aca="false">G25-B25</f>
        <v>0.00499999999999999</v>
      </c>
      <c r="I25" s="7" t="s">
        <v>983</v>
      </c>
    </row>
    <row r="26" customFormat="false" ht="17.15" hidden="false" customHeight="false" outlineLevel="0" collapsed="false">
      <c r="A26" s="0" t="s">
        <v>991</v>
      </c>
      <c r="B26" s="20" t="n">
        <v>0.175</v>
      </c>
      <c r="C26" s="20" t="n">
        <f aca="false">PL!E92</f>
        <v>0.209710270140146</v>
      </c>
      <c r="D26" s="20" t="n">
        <f aca="false">C26-B26</f>
        <v>0.0347102701401457</v>
      </c>
      <c r="E26" s="20" t="n">
        <f aca="false">PL!E150</f>
        <v>0.215272673626182</v>
      </c>
      <c r="F26" s="20" t="n">
        <f aca="false">E26-B26</f>
        <v>0.0402726736261824</v>
      </c>
      <c r="G26" s="20" t="n">
        <f aca="false">PL!E208</f>
        <v>0.22113819399557</v>
      </c>
      <c r="H26" s="20" t="n">
        <f aca="false">G26-B26</f>
        <v>0.04613819399557</v>
      </c>
      <c r="I26" s="7" t="s">
        <v>983</v>
      </c>
    </row>
    <row r="27" customFormat="false" ht="17.15" hidden="false" customHeight="false" outlineLevel="0" collapsed="false">
      <c r="A27" s="0" t="s">
        <v>992</v>
      </c>
      <c r="C27" s="20" t="n">
        <f aca="false">Units!D12</f>
        <v>0.995</v>
      </c>
      <c r="E27" s="20" t="n">
        <f aca="false">Units!D12</f>
        <v>0.995</v>
      </c>
      <c r="G27" s="20" t="n">
        <f aca="false">Units!D12</f>
        <v>0.995</v>
      </c>
      <c r="I27" s="7" t="s">
        <v>993</v>
      </c>
      <c r="J27" s="3" t="s">
        <v>994</v>
      </c>
    </row>
    <row r="28" customFormat="false" ht="17.15" hidden="false" customHeight="false" outlineLevel="0" collapsed="false">
      <c r="A28" s="0" t="s">
        <v>995</v>
      </c>
      <c r="C28" s="20" t="n">
        <f aca="false">Units!D17</f>
        <v>0.895</v>
      </c>
      <c r="E28" s="20" t="n">
        <f aca="false">Units!D17</f>
        <v>0.895</v>
      </c>
      <c r="G28" s="20" t="n">
        <f aca="false">Units!D17</f>
        <v>0.895</v>
      </c>
      <c r="I28" s="7" t="s">
        <v>993</v>
      </c>
      <c r="J28" s="3" t="s">
        <v>994</v>
      </c>
    </row>
    <row r="29" customFormat="false" ht="17.15" hidden="false" customHeight="false" outlineLevel="0" collapsed="false">
      <c r="A29" s="0" t="s">
        <v>996</v>
      </c>
      <c r="C29" s="23" t="n">
        <f aca="false">Units!D19</f>
        <v>33.307809184008</v>
      </c>
      <c r="E29" s="23" t="n">
        <f aca="false">Units!D19</f>
        <v>33.307809184008</v>
      </c>
      <c r="G29" s="23" t="n">
        <f aca="false">Units!D19</f>
        <v>33.307809184008</v>
      </c>
      <c r="I29" s="7" t="s">
        <v>993</v>
      </c>
      <c r="J29" s="7" t="s">
        <v>997</v>
      </c>
    </row>
    <row r="30" customFormat="false" ht="17.15" hidden="false" customHeight="false" outlineLevel="0" collapsed="false">
      <c r="A30" s="0" t="s">
        <v>998</v>
      </c>
      <c r="C30" s="22" t="n">
        <f aca="false">Units!D23</f>
        <v>11.3362142251815</v>
      </c>
      <c r="E30" s="22" t="n">
        <f aca="false">Units!D23</f>
        <v>11.3362142251815</v>
      </c>
      <c r="G30" s="22" t="n">
        <f aca="false">Units!D23</f>
        <v>11.3362142251815</v>
      </c>
      <c r="I30" s="7" t="s">
        <v>993</v>
      </c>
    </row>
    <row r="31" customFormat="false" ht="17.15" hidden="false" customHeight="false" outlineLevel="0" collapsed="false">
      <c r="A31" s="5" t="s">
        <v>999</v>
      </c>
    </row>
    <row r="32" customFormat="false" ht="17.15" hidden="false" customHeight="false" outlineLevel="0" collapsed="false">
      <c r="A32" s="0" t="s">
        <v>1000</v>
      </c>
      <c r="B32" s="23" t="n">
        <v>43.1</v>
      </c>
      <c r="C32" s="23" t="n">
        <f aca="false">PL!D94+PL!E94+PL!F94</f>
        <v>44</v>
      </c>
      <c r="D32" s="20" t="n">
        <f aca="false">C32/B32-1</f>
        <v>0.0208816705336428</v>
      </c>
      <c r="E32" s="23" t="n">
        <f aca="false">PL!D152+PL!E152+PL!F152</f>
        <v>44</v>
      </c>
      <c r="F32" s="20" t="n">
        <f aca="false">E32/B32-1</f>
        <v>0.0208816705336428</v>
      </c>
      <c r="G32" s="23" t="n">
        <f aca="false">PL!D210+PL!E210+PL!F210</f>
        <v>44</v>
      </c>
      <c r="H32" s="20" t="n">
        <f aca="false">G32/B32-1</f>
        <v>0.0208816705336428</v>
      </c>
      <c r="I32" s="3" t="s">
        <v>1001</v>
      </c>
      <c r="J32" s="3" t="s"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1003</v>
      </c>
    </row>
    <row r="3" customFormat="false" ht="17.15" hidden="false" customHeight="false" outlineLevel="0" collapsed="false">
      <c r="A3" s="4" t="s">
        <v>1004</v>
      </c>
      <c r="B3" s="4" t="s">
        <v>1005</v>
      </c>
      <c r="C3" s="13" t="s">
        <v>1006</v>
      </c>
      <c r="D3" s="13" t="s">
        <v>1007</v>
      </c>
      <c r="E3" s="13" t="s">
        <v>884</v>
      </c>
      <c r="F3" s="13" t="s">
        <v>1008</v>
      </c>
      <c r="G3" s="13" t="s">
        <v>1009</v>
      </c>
      <c r="H3" s="13" t="s">
        <v>1010</v>
      </c>
      <c r="I3" s="13" t="s">
        <v>1011</v>
      </c>
      <c r="J3" s="13" t="s">
        <v>1012</v>
      </c>
    </row>
    <row r="4" customFormat="false" ht="17.15" hidden="false" customHeight="false" outlineLevel="0" collapsed="false">
      <c r="A4" s="3" t="s">
        <v>1013</v>
      </c>
      <c r="B4" s="0" t="s">
        <v>1014</v>
      </c>
      <c r="C4" s="23" t="n">
        <f aca="false">PL!E88</f>
        <v>72.033987284</v>
      </c>
      <c r="D4" s="16" t="n">
        <f aca="false">PL!E99</f>
        <v>0.3552567629931</v>
      </c>
      <c r="E4" s="18" t="n">
        <f aca="false">PL!E110</f>
        <v>27.3826543218881</v>
      </c>
      <c r="F4" s="20" t="n">
        <f aca="false">ROUND(E4/E$4-1,8)</f>
        <v>0</v>
      </c>
      <c r="G4" s="23" t="n">
        <f aca="false">PL!F88</f>
        <v>84.1022463502375</v>
      </c>
      <c r="H4" s="16" t="n">
        <f aca="false">PL!F99</f>
        <v>0.361751881679993</v>
      </c>
      <c r="I4" s="18" t="n">
        <f aca="false">PL!F110</f>
        <v>33.8460376938817</v>
      </c>
      <c r="J4" s="20" t="n">
        <f aca="false">ROUND(I4/I$4-1,8)</f>
        <v>0</v>
      </c>
    </row>
    <row r="5" customFormat="false" ht="17.15" hidden="false" customHeight="false" outlineLevel="0" collapsed="false">
      <c r="A5" s="0" t="s">
        <v>1015</v>
      </c>
      <c r="B5" s="0" t="s">
        <v>1016</v>
      </c>
      <c r="C5" s="23" t="n">
        <f aca="false">E88</f>
        <v>72.033987284</v>
      </c>
      <c r="D5" s="16" t="n">
        <f aca="false">E99</f>
        <v>0.3552567629931</v>
      </c>
      <c r="E5" s="18" t="n">
        <f aca="false">E110</f>
        <v>27.3826543218881</v>
      </c>
      <c r="F5" s="20" t="n">
        <f aca="false">ROUND(E5/E$4-1,8)</f>
        <v>0</v>
      </c>
      <c r="G5" s="23" t="n">
        <f aca="false">F88</f>
        <v>84.1022463502375</v>
      </c>
      <c r="H5" s="16" t="n">
        <f aca="false">F99</f>
        <v>0.362378086128287</v>
      </c>
      <c r="I5" s="18" t="n">
        <f aca="false">F110</f>
        <v>33.9339946062251</v>
      </c>
      <c r="J5" s="20" t="n">
        <f aca="false">ROUND(I5/I$4-1,8)</f>
        <v>0.00259874</v>
      </c>
    </row>
    <row r="6" customFormat="false" ht="17.15" hidden="false" customHeight="false" outlineLevel="0" collapsed="false">
      <c r="A6" s="0" t="s">
        <v>1017</v>
      </c>
      <c r="B6" s="0" t="s">
        <v>1018</v>
      </c>
      <c r="C6" s="23" t="n">
        <f aca="false">E146</f>
        <v>72.033987284</v>
      </c>
      <c r="D6" s="16" t="n">
        <f aca="false">E157</f>
        <v>0.3552567629931</v>
      </c>
      <c r="E6" s="18" t="n">
        <f aca="false">E168</f>
        <v>27.3826543218881</v>
      </c>
      <c r="F6" s="20" t="n">
        <f aca="false">ROUND(E6/E$4-1,8)</f>
        <v>0</v>
      </c>
      <c r="G6" s="23" t="n">
        <f aca="false">F146</f>
        <v>84.1022463502375</v>
      </c>
      <c r="H6" s="16" t="n">
        <f aca="false">F157</f>
        <v>0.361244682217581</v>
      </c>
      <c r="I6" s="18" t="n">
        <f aca="false">F168</f>
        <v>33.7747962666168</v>
      </c>
      <c r="J6" s="20" t="n">
        <f aca="false">ROUND(I6/I$4-1,8)</f>
        <v>-0.00210487</v>
      </c>
    </row>
    <row r="7" customFormat="false" ht="17.15" hidden="false" customHeight="false" outlineLevel="0" collapsed="false">
      <c r="A7" s="0" t="s">
        <v>1019</v>
      </c>
      <c r="B7" s="3" t="s">
        <v>1020</v>
      </c>
      <c r="C7" s="23" t="n">
        <f aca="false">E204</f>
        <v>69.273782837</v>
      </c>
      <c r="D7" s="16" t="n">
        <f aca="false">E215</f>
        <v>0.346890910339677</v>
      </c>
      <c r="E7" s="18" t="n">
        <f aca="false">E226</f>
        <v>25.109463322566</v>
      </c>
      <c r="F7" s="20" t="n">
        <f aca="false">ROUND(E7/E$4-1,8)</f>
        <v>-0.08301573</v>
      </c>
      <c r="G7" s="23" t="n">
        <f aca="false">F204</f>
        <v>78.5956384784725</v>
      </c>
      <c r="H7" s="16" t="n">
        <f aca="false">F215</f>
        <v>0.348338271902581</v>
      </c>
      <c r="I7" s="18" t="n">
        <f aca="false">F226</f>
        <v>29.3756514426352</v>
      </c>
      <c r="J7" s="20" t="n">
        <f aca="false">ROUND(I7/I$4-1,8)</f>
        <v>-0.13208005</v>
      </c>
    </row>
    <row r="8" customFormat="false" ht="17.15" hidden="false" customHeight="false" outlineLevel="0" collapsed="false">
      <c r="A8" s="0" t="s">
        <v>1021</v>
      </c>
      <c r="B8" s="0" t="s">
        <v>1022</v>
      </c>
      <c r="C8" s="23" t="n">
        <f aca="false">E262</f>
        <v>73.4140895075</v>
      </c>
      <c r="D8" s="16" t="n">
        <f aca="false">E273</f>
        <v>0.359203786404052</v>
      </c>
      <c r="E8" s="18" t="n">
        <f aca="false">E284</f>
        <v>28.5192498215492</v>
      </c>
      <c r="F8" s="20" t="n">
        <f aca="false">ROUND(E8/E$4-1,8)</f>
        <v>0.04150786</v>
      </c>
      <c r="G8" s="23" t="n">
        <f aca="false">F262</f>
        <v>87.4062110732965</v>
      </c>
      <c r="H8" s="16" t="n">
        <f aca="false">F273</f>
        <v>0.368988789985327</v>
      </c>
      <c r="I8" s="18" t="n">
        <f aca="false">F284</f>
        <v>36.5329816229655</v>
      </c>
      <c r="J8" s="20" t="n">
        <f aca="false">ROUND(I8/I$4-1,8)</f>
        <v>0.07938725</v>
      </c>
    </row>
    <row r="9" customFormat="false" ht="17.15" hidden="false" customHeight="false" outlineLevel="0" collapsed="false">
      <c r="A9" s="0" t="s">
        <v>1023</v>
      </c>
      <c r="B9" s="0" t="s">
        <v>1024</v>
      </c>
      <c r="C9" s="23" t="n">
        <f aca="false">E320</f>
        <v>70.3778646158</v>
      </c>
      <c r="D9" s="16" t="n">
        <f aca="false">E331</f>
        <v>0.345779663161227</v>
      </c>
      <c r="E9" s="18" t="n">
        <f aca="false">E342</f>
        <v>25.4855431729996</v>
      </c>
      <c r="F9" s="20" t="n">
        <f aca="false">ROUND(E9/E$4-1,8)</f>
        <v>-0.06928149</v>
      </c>
      <c r="G9" s="23" t="n">
        <f aca="false">F320</f>
        <v>79.7549243462125</v>
      </c>
      <c r="H9" s="16" t="n">
        <f aca="false">F331</f>
        <v>0.339207122990848</v>
      </c>
      <c r="I9" s="18" t="n">
        <f aca="false">F342</f>
        <v>28.7003525800216</v>
      </c>
      <c r="J9" s="20" t="n">
        <f aca="false">ROUND(I9/I$4-1,8)</f>
        <v>-0.15203213</v>
      </c>
    </row>
    <row r="10" customFormat="false" ht="17.15" hidden="false" customHeight="false" outlineLevel="0" collapsed="false">
      <c r="A10" s="0" t="s">
        <v>1025</v>
      </c>
      <c r="B10" s="0" t="s">
        <v>1026</v>
      </c>
      <c r="C10" s="23" t="n">
        <f aca="false">E378</f>
        <v>73.6901099522</v>
      </c>
      <c r="D10" s="16" t="n">
        <f aca="false">E389</f>
        <v>0.364550408204524</v>
      </c>
      <c r="E10" s="18" t="n">
        <f aca="false">E400</f>
        <v>29.3096132359364</v>
      </c>
      <c r="F10" s="20" t="n">
        <f aca="false">ROUND(E10/E$4-1,8)</f>
        <v>0.07037152</v>
      </c>
      <c r="G10" s="23" t="n">
        <f aca="false">F378</f>
        <v>88.4495683542625</v>
      </c>
      <c r="H10" s="16" t="n">
        <f aca="false">F389</f>
        <v>0.383236919892968</v>
      </c>
      <c r="I10" s="18" t="n">
        <f aca="false">F400</f>
        <v>39.1665948765378</v>
      </c>
      <c r="J10" s="20" t="n">
        <f aca="false">ROUND(I10/I$4-1,8)</f>
        <v>0.15719882</v>
      </c>
    </row>
    <row r="11" customFormat="false" ht="17.15" hidden="false" customHeight="false" outlineLevel="0" collapsed="false">
      <c r="A11" s="3" t="s">
        <v>1027</v>
      </c>
      <c r="B11" s="3" t="s">
        <v>1028</v>
      </c>
      <c r="C11" s="23" t="n">
        <f aca="false">E436</f>
        <v>70.0178379488</v>
      </c>
      <c r="D11" s="16" t="n">
        <f aca="false">E447</f>
        <v>0.336691513240363</v>
      </c>
      <c r="E11" s="18" t="n">
        <f aca="false">E458</f>
        <v>24.2582364965053</v>
      </c>
      <c r="F11" s="20" t="n">
        <f aca="false">ROUND(E11/E$4-1,8)</f>
        <v>-0.11410208</v>
      </c>
      <c r="G11" s="23" t="n">
        <f aca="false">F436</f>
        <v>81.58836014791</v>
      </c>
      <c r="H11" s="16" t="n">
        <f aca="false">F447</f>
        <v>0.34208629291957</v>
      </c>
      <c r="I11" s="18" t="n">
        <f aca="false">F458</f>
        <v>29.9322935709856</v>
      </c>
      <c r="J11" s="20" t="n">
        <f aca="false">ROUND(I11/I$4-1,8)</f>
        <v>-0.11563375</v>
      </c>
    </row>
    <row r="12" customFormat="false" ht="17.15" hidden="false" customHeight="false" outlineLevel="0" collapsed="false">
      <c r="A12" s="3" t="s">
        <v>1029</v>
      </c>
      <c r="C12" s="23" t="n">
        <f aca="false">E494</f>
        <v>74.0501366192</v>
      </c>
      <c r="D12" s="16" t="n">
        <f aca="false">E505</f>
        <v>0.372811067522623</v>
      </c>
      <c r="E12" s="18" t="n">
        <f aca="false">E516</f>
        <v>30.507072147271</v>
      </c>
      <c r="F12" s="20" t="n">
        <f aca="false">ROUND(E12/E$4-1,8)</f>
        <v>0.11410208</v>
      </c>
      <c r="G12" s="23" t="n">
        <f aca="false">F494</f>
        <v>86.616132552565</v>
      </c>
      <c r="H12" s="16" t="n">
        <f aca="false">F505</f>
        <v>0.380275949783963</v>
      </c>
      <c r="I12" s="18" t="n">
        <f aca="false">F516</f>
        <v>37.7601079452621</v>
      </c>
      <c r="J12" s="20" t="n">
        <f aca="false">ROUND(I12/I$4-1,8)</f>
        <v>0.11564338</v>
      </c>
    </row>
    <row r="13" customFormat="false" ht="17.15" hidden="false" customHeight="false" outlineLevel="0" collapsed="false">
      <c r="A13" s="0" t="s">
        <v>1030</v>
      </c>
      <c r="B13" s="3" t="s">
        <v>1031</v>
      </c>
      <c r="C13" s="23" t="n">
        <f aca="false">E552</f>
        <v>72.033987284</v>
      </c>
      <c r="D13" s="16" t="n">
        <f aca="false">E563</f>
        <v>0.347006078026061</v>
      </c>
      <c r="E13" s="18" t="n">
        <f aca="false">E574</f>
        <v>26.3900556471998</v>
      </c>
      <c r="F13" s="20" t="n">
        <f aca="false">ROUND(E13/E$4-1,8)</f>
        <v>-0.03624918</v>
      </c>
      <c r="G13" s="23" t="n">
        <f aca="false">F552</f>
        <v>84.1022463502375</v>
      </c>
      <c r="H13" s="16" t="n">
        <f aca="false">F563</f>
        <v>0.345050630613101</v>
      </c>
      <c r="I13" s="18" t="n">
        <f aca="false">F574</f>
        <v>31.5001736871353</v>
      </c>
      <c r="J13" s="20" t="n">
        <f aca="false">ROUND(I13/I$4-1,8)</f>
        <v>-0.06930986</v>
      </c>
    </row>
    <row r="14" customFormat="false" ht="17.15" hidden="false" customHeight="false" outlineLevel="0" collapsed="false">
      <c r="A14" s="0" t="s">
        <v>1032</v>
      </c>
      <c r="C14" s="23" t="n">
        <f aca="false">E610</f>
        <v>72.033987284</v>
      </c>
      <c r="D14" s="16" t="n">
        <f aca="false">E621</f>
        <v>0.36350744796014</v>
      </c>
      <c r="E14" s="18" t="n">
        <f aca="false">E632</f>
        <v>28.3752529965764</v>
      </c>
      <c r="F14" s="20" t="n">
        <f aca="false">ROUND(E14/E$4-1,8)</f>
        <v>0.03624918</v>
      </c>
      <c r="G14" s="23" t="n">
        <f aca="false">F610</f>
        <v>84.1022463502375</v>
      </c>
      <c r="H14" s="16" t="n">
        <f aca="false">F621</f>
        <v>0.378453132746886</v>
      </c>
      <c r="I14" s="18" t="n">
        <f aca="false">F632</f>
        <v>36.1919017006281</v>
      </c>
      <c r="J14" s="20" t="n">
        <f aca="false">ROUND(I14/I$4-1,8)</f>
        <v>0.06930986</v>
      </c>
    </row>
    <row r="15" customFormat="false" ht="17.15" hidden="false" customHeight="false" outlineLevel="0" collapsed="false">
      <c r="A15" s="0" t="s">
        <v>1033</v>
      </c>
      <c r="B15" s="3" t="s">
        <v>1034</v>
      </c>
      <c r="C15" s="23" t="n">
        <f aca="false">E668</f>
        <v>72.033987284</v>
      </c>
      <c r="D15" s="16" t="n">
        <f aca="false">E679</f>
        <v>0.341691354151474</v>
      </c>
      <c r="E15" s="18" t="n">
        <f aca="false">E690</f>
        <v>25.7506677787593</v>
      </c>
      <c r="F15" s="20" t="n">
        <f aca="false">ROUND(E15/E$4-1,8)</f>
        <v>-0.05959928</v>
      </c>
      <c r="G15" s="23" t="n">
        <f aca="false">F668</f>
        <v>84.1022463502375</v>
      </c>
      <c r="H15" s="16" t="n">
        <f aca="false">F679</f>
        <v>0.344821572935678</v>
      </c>
      <c r="I15" s="18" t="n">
        <f aca="false">F690</f>
        <v>31.4680001596083</v>
      </c>
      <c r="J15" s="20" t="n">
        <f aca="false">ROUND(I15/I$4-1,8)</f>
        <v>-0.07026044</v>
      </c>
    </row>
    <row r="16" customFormat="false" ht="17.15" hidden="false" customHeight="false" outlineLevel="0" collapsed="false">
      <c r="A16" s="0" t="s">
        <v>1035</v>
      </c>
      <c r="C16" s="23" t="n">
        <f aca="false">E726</f>
        <v>72.033987284</v>
      </c>
      <c r="D16" s="16" t="n">
        <f aca="false">E737</f>
        <v>0.368822171834727</v>
      </c>
      <c r="E16" s="18" t="n">
        <f aca="false">E748</f>
        <v>29.0146408650169</v>
      </c>
      <c r="F16" s="20" t="n">
        <f aca="false">ROUND(E16/E$4-1,8)</f>
        <v>0.05959928</v>
      </c>
      <c r="G16" s="23" t="n">
        <f aca="false">F726</f>
        <v>84.1022463502375</v>
      </c>
      <c r="H16" s="16" t="n">
        <f aca="false">F737</f>
        <v>0.378682190424309</v>
      </c>
      <c r="I16" s="18" t="n">
        <f aca="false">F748</f>
        <v>36.2240752281551</v>
      </c>
      <c r="J16" s="20" t="n">
        <f aca="false">ROUND(I16/I$4-1,8)</f>
        <v>0.07026044</v>
      </c>
    </row>
    <row r="17" customFormat="false" ht="17.15" hidden="false" customHeight="false" outlineLevel="0" collapsed="false">
      <c r="A17" s="0" t="s">
        <v>1036</v>
      </c>
      <c r="B17" s="0" t="s">
        <v>1037</v>
      </c>
      <c r="C17" s="23" t="n">
        <f aca="false">E784</f>
        <v>68.311433044</v>
      </c>
      <c r="D17" s="16" t="n">
        <f aca="false">E795</f>
        <v>0.350093837507345</v>
      </c>
      <c r="E17" s="18" t="n">
        <f aca="false">E806</f>
        <v>25.0332286391296</v>
      </c>
      <c r="F17" s="20" t="n">
        <f aca="false">ROUND(E17/E$4-1,8)</f>
        <v>-0.08579978</v>
      </c>
      <c r="G17" s="23" t="n">
        <f aca="false">F784</f>
        <v>77.4016487182375</v>
      </c>
      <c r="H17" s="16" t="n">
        <f aca="false">F795</f>
        <v>0.35411231401657</v>
      </c>
      <c r="I17" s="18" t="n">
        <f aca="false">F806</f>
        <v>29.5639795472871</v>
      </c>
      <c r="J17" s="20" t="n">
        <f aca="false">ROUND(I17/I$4-1,8)</f>
        <v>-0.12651579</v>
      </c>
    </row>
    <row r="18" customFormat="false" ht="17.15" hidden="false" customHeight="false" outlineLevel="0" collapsed="false">
      <c r="A18" s="3" t="s">
        <v>1038</v>
      </c>
      <c r="B18" s="3" t="s">
        <v>1039</v>
      </c>
      <c r="C18" s="23" t="n">
        <f aca="false">E842</f>
        <v>72.033987284</v>
      </c>
      <c r="D18" s="16" t="n">
        <f aca="false">E853</f>
        <v>0.3552567629931</v>
      </c>
      <c r="E18" s="18" t="n">
        <f aca="false">E864</f>
        <v>27.3826543218881</v>
      </c>
      <c r="F18" s="20" t="n">
        <f aca="false">ROUND(E18/E$4-1,8)</f>
        <v>0</v>
      </c>
      <c r="G18" s="23" t="n">
        <f aca="false">F842</f>
        <v>84.1022463502375</v>
      </c>
      <c r="H18" s="16" t="n">
        <f aca="false">F853</f>
        <v>0.361536815274476</v>
      </c>
      <c r="I18" s="18" t="n">
        <f aca="false">F864</f>
        <v>33.8158293856692</v>
      </c>
      <c r="J18" s="20" t="n">
        <f aca="false">ROUND(I18/I$4-1,8)</f>
        <v>-0.00089252</v>
      </c>
    </row>
    <row r="19" customFormat="false" ht="17.15" hidden="false" customHeight="false" outlineLevel="0" collapsed="false">
      <c r="A19" s="3" t="s">
        <v>1040</v>
      </c>
      <c r="C19" s="23" t="n">
        <f aca="false">E900</f>
        <v>72.033987284</v>
      </c>
      <c r="D19" s="16" t="n">
        <f aca="false">E911</f>
        <v>0.3552567629931</v>
      </c>
      <c r="E19" s="18" t="n">
        <f aca="false">E922</f>
        <v>27.3826543218881</v>
      </c>
      <c r="F19" s="20" t="n">
        <f aca="false">ROUND(E19/E$4-1,8)</f>
        <v>0</v>
      </c>
      <c r="G19" s="23" t="n">
        <f aca="false">F900</f>
        <v>84.1022463502375</v>
      </c>
      <c r="H19" s="16" t="n">
        <f aca="false">F911</f>
        <v>0.361959770877079</v>
      </c>
      <c r="I19" s="18" t="n">
        <f aca="false">F922</f>
        <v>33.8752378886984</v>
      </c>
      <c r="J19" s="20" t="n">
        <f aca="false">ROUND(I19/I$4-1,8)</f>
        <v>0.00086274</v>
      </c>
    </row>
    <row r="20" customFormat="false" ht="17.15" hidden="false" customHeight="false" outlineLevel="0" collapsed="false">
      <c r="A20" s="3" t="s">
        <v>1041</v>
      </c>
      <c r="B20" s="3" t="s">
        <v>1042</v>
      </c>
      <c r="C20" s="23" t="n">
        <f aca="false">E958</f>
        <v>72.033987284</v>
      </c>
      <c r="D20" s="16" t="n">
        <f aca="false">E969</f>
        <v>0.353706568829526</v>
      </c>
      <c r="E20" s="18" t="n">
        <f aca="false">E980</f>
        <v>27.1961582093325</v>
      </c>
      <c r="F20" s="20" t="n">
        <f aca="false">ROUND(E20/E$4-1,8)</f>
        <v>-0.00681074</v>
      </c>
      <c r="G20" s="23" t="n">
        <f aca="false">F958</f>
        <v>84.1022463502375</v>
      </c>
      <c r="H20" s="16" t="n">
        <f aca="false">F969</f>
        <v>0.356511071737137</v>
      </c>
      <c r="I20" s="18" t="n">
        <f aca="false">F980</f>
        <v>33.1099115580668</v>
      </c>
      <c r="J20" s="20" t="n">
        <f aca="false">ROUND(I20/I$4-1,8)</f>
        <v>-0.02174926</v>
      </c>
    </row>
    <row r="21" customFormat="false" ht="17.15" hidden="false" customHeight="false" outlineLevel="0" collapsed="false">
      <c r="A21" s="3" t="s">
        <v>1043</v>
      </c>
      <c r="C21" s="23" t="n">
        <f aca="false">E1016</f>
        <v>72.033987284</v>
      </c>
      <c r="D21" s="16" t="n">
        <f aca="false">E1027</f>
        <v>0.356186879491245</v>
      </c>
      <c r="E21" s="18" t="n">
        <f aca="false">E1038</f>
        <v>27.4945519894215</v>
      </c>
      <c r="F21" s="20" t="n">
        <f aca="false">ROUND(E21/E$4-1,8)</f>
        <v>0.00408644</v>
      </c>
      <c r="G21" s="23" t="n">
        <f aca="false">F1016</f>
        <v>84.1022463502375</v>
      </c>
      <c r="H21" s="16" t="n">
        <f aca="false">F1027</f>
        <v>0.364949477602462</v>
      </c>
      <c r="I21" s="18" t="n">
        <f aca="false">F1038</f>
        <v>34.2951732198729</v>
      </c>
      <c r="J21" s="20" t="n">
        <f aca="false">ROUND(I21/I$4-1,8)</f>
        <v>0.01326996</v>
      </c>
    </row>
    <row r="22" customFormat="false" ht="17.15" hidden="false" customHeight="false" outlineLevel="0" collapsed="false">
      <c r="A22" s="3" t="s">
        <v>1044</v>
      </c>
      <c r="B22" s="0" t="s">
        <v>1045</v>
      </c>
      <c r="C22" s="23" t="n">
        <f aca="false">E1074</f>
        <v>72.033987284</v>
      </c>
      <c r="D22" s="16" t="n">
        <f aca="false">E1085</f>
        <v>0.3552567629931</v>
      </c>
      <c r="E22" s="18" t="n">
        <f aca="false">E1096</f>
        <v>27.3826543218881</v>
      </c>
      <c r="F22" s="20" t="n">
        <f aca="false">ROUND(E22/E$4-1,8)</f>
        <v>0</v>
      </c>
      <c r="G22" s="23" t="n">
        <f aca="false">F1074</f>
        <v>84.1022463502375</v>
      </c>
      <c r="H22" s="16" t="n">
        <f aca="false">F1085</f>
        <v>0.372155884402538</v>
      </c>
      <c r="I22" s="18" t="n">
        <f aca="false">F1096</f>
        <v>35.3073878295785</v>
      </c>
      <c r="J22" s="20" t="n">
        <f aca="false">ROUND(I22/I$4-1,8)</f>
        <v>0.0431764</v>
      </c>
    </row>
    <row r="23" customFormat="false" ht="17.15" hidden="false" customHeight="false" outlineLevel="0" collapsed="false">
      <c r="A23" s="3" t="s">
        <v>1046</v>
      </c>
      <c r="B23" s="0" t="s">
        <v>1047</v>
      </c>
      <c r="C23" s="23" t="n">
        <f aca="false">E1132</f>
        <v>72.033987284</v>
      </c>
      <c r="D23" s="16" t="n">
        <f aca="false">E1143</f>
        <v>0.3552567629931</v>
      </c>
      <c r="E23" s="18" t="n">
        <f aca="false">E1154</f>
        <v>27.3826543218881</v>
      </c>
      <c r="F23" s="20" t="n">
        <f aca="false">ROUND(E23/E$4-1,8)</f>
        <v>0</v>
      </c>
      <c r="G23" s="23" t="n">
        <f aca="false">F1132</f>
        <v>84.1022463502375</v>
      </c>
      <c r="H23" s="16" t="n">
        <f aca="false">F1143</f>
        <v>0.35432045116389</v>
      </c>
      <c r="I23" s="18" t="n">
        <f aca="false">F1154</f>
        <v>32.802216168384</v>
      </c>
      <c r="J23" s="20" t="n">
        <f aca="false">ROUND(I23/I$4-1,8)</f>
        <v>-0.03084029</v>
      </c>
    </row>
    <row r="24" customFormat="false" ht="17.15" hidden="false" customHeight="false" outlineLevel="0" collapsed="false">
      <c r="A24" s="3" t="s">
        <v>1048</v>
      </c>
      <c r="B24" s="0" t="s">
        <v>1049</v>
      </c>
      <c r="C24" s="23" t="n">
        <f aca="false">E1190</f>
        <v>72.033987284</v>
      </c>
      <c r="D24" s="16" t="n">
        <f aca="false">E1201</f>
        <v>0.3552567629931</v>
      </c>
      <c r="E24" s="18" t="n">
        <f aca="false">E1212</f>
        <v>27.3826543218881</v>
      </c>
      <c r="F24" s="20" t="n">
        <f aca="false">ROUND(E24/E$4-1,8)</f>
        <v>0</v>
      </c>
      <c r="G24" s="23" t="n">
        <f aca="false">F1190</f>
        <v>84.1022463502375</v>
      </c>
      <c r="H24" s="16" t="n">
        <f aca="false">F1201</f>
        <v>0.362006872436791</v>
      </c>
      <c r="I24" s="18" t="n">
        <f aca="false">F1212</f>
        <v>33.8818537914919</v>
      </c>
      <c r="J24" s="20" t="n">
        <f aca="false">ROUND(I24/I$4-1,8)</f>
        <v>0.00105821</v>
      </c>
    </row>
    <row r="25" customFormat="false" ht="17.15" hidden="false" customHeight="false" outlineLevel="0" collapsed="false">
      <c r="A25" s="3" t="s">
        <v>1050</v>
      </c>
      <c r="B25" s="0" t="s">
        <v>1051</v>
      </c>
      <c r="C25" s="23" t="n">
        <f aca="false">E1248</f>
        <v>72.033987284</v>
      </c>
      <c r="D25" s="16" t="n">
        <f aca="false">E1259</f>
        <v>0.3552567629931</v>
      </c>
      <c r="E25" s="18" t="n">
        <f aca="false">E1270</f>
        <v>27.3826543218881</v>
      </c>
      <c r="F25" s="20" t="n">
        <f aca="false">ROUND(E25/E$4-1,8)</f>
        <v>0</v>
      </c>
      <c r="G25" s="23" t="n">
        <f aca="false">F1248</f>
        <v>84.1022463502375</v>
      </c>
      <c r="H25" s="16" t="n">
        <f aca="false">F1259</f>
        <v>0.361023071292881</v>
      </c>
      <c r="I25" s="18" t="n">
        <f aca="false">F1270</f>
        <v>33.7436687127783</v>
      </c>
      <c r="J25" s="20" t="n">
        <f aca="false">ROUND(I25/I$4-1,8)</f>
        <v>-0.00302455</v>
      </c>
    </row>
    <row r="26" customFormat="false" ht="17.15" hidden="false" customHeight="false" outlineLevel="0" collapsed="false">
      <c r="A26" s="3" t="s">
        <v>1052</v>
      </c>
      <c r="B26" s="0" t="s">
        <v>1053</v>
      </c>
      <c r="C26" s="23" t="n">
        <f aca="false">E1306</f>
        <v>72.033987284</v>
      </c>
      <c r="D26" s="16" t="n">
        <f aca="false">E1317</f>
        <v>0.3552567629931</v>
      </c>
      <c r="E26" s="18" t="n">
        <f aca="false">E1328</f>
        <v>27.3826543218881</v>
      </c>
      <c r="F26" s="20" t="n">
        <f aca="false">ROUND(E26/E$4-1,8)</f>
        <v>0</v>
      </c>
      <c r="G26" s="23" t="n">
        <f aca="false">F1306</f>
        <v>84.1022463502375</v>
      </c>
      <c r="H26" s="16" t="n">
        <f aca="false">F1317</f>
        <v>0.361985324272864</v>
      </c>
      <c r="I26" s="18" t="n">
        <f aca="false">F1328</f>
        <v>33.8788271282818</v>
      </c>
      <c r="J26" s="20" t="n">
        <f aca="false">ROUND(I26/I$4-1,8)</f>
        <v>0.00096878</v>
      </c>
    </row>
    <row r="27" customFormat="false" ht="17.15" hidden="false" customHeight="false" outlineLevel="0" collapsed="false">
      <c r="A27" s="3" t="s">
        <v>1054</v>
      </c>
      <c r="B27" s="0" t="s">
        <v>1055</v>
      </c>
      <c r="C27" s="23" t="n">
        <f aca="false">E1364</f>
        <v>72.033987284</v>
      </c>
      <c r="D27" s="16" t="n">
        <f aca="false">E1375</f>
        <v>0.3552567629931</v>
      </c>
      <c r="E27" s="18" t="n">
        <f aca="false">E1386</f>
        <v>27.3826543218881</v>
      </c>
      <c r="F27" s="20" t="n">
        <f aca="false">ROUND(E27/E$4-1,8)</f>
        <v>0</v>
      </c>
      <c r="G27" s="23" t="n">
        <f aca="false">F1364</f>
        <v>84.1022463502375</v>
      </c>
      <c r="H27" s="16" t="n">
        <f aca="false">F1375</f>
        <v>0.361592253552867</v>
      </c>
      <c r="I27" s="18" t="n">
        <f aca="false">F1386</f>
        <v>33.8236162671042</v>
      </c>
      <c r="J27" s="20" t="n">
        <f aca="false">ROUND(I27/I$4-1,8)</f>
        <v>-0.00066245</v>
      </c>
    </row>
    <row r="28" customFormat="false" ht="17.15" hidden="false" customHeight="false" outlineLevel="0" collapsed="false">
      <c r="A28" s="3" t="s">
        <v>1056</v>
      </c>
      <c r="B28" s="0" t="s">
        <v>1057</v>
      </c>
      <c r="C28" s="23" t="n">
        <f aca="false">E1422</f>
        <v>72.033987284</v>
      </c>
      <c r="D28" s="16" t="n">
        <f aca="false">E1433</f>
        <v>0.3552567629931</v>
      </c>
      <c r="E28" s="18" t="n">
        <f aca="false">E1444</f>
        <v>27.3826543218881</v>
      </c>
      <c r="F28" s="20" t="n">
        <f aca="false">ROUND(E28/E$4-1,8)</f>
        <v>0</v>
      </c>
      <c r="G28" s="23" t="n">
        <f aca="false">F1422</f>
        <v>84.1022463502375</v>
      </c>
      <c r="H28" s="16" t="n">
        <f aca="false">F1433</f>
        <v>0.36219672116023</v>
      </c>
      <c r="I28" s="18" t="n">
        <f aca="false">F1444</f>
        <v>33.9085200145945</v>
      </c>
      <c r="J28" s="20" t="n">
        <f aca="false">ROUND(I28/I$4-1,8)</f>
        <v>0.00184607</v>
      </c>
    </row>
    <row r="29" customFormat="false" ht="17.15" hidden="false" customHeight="false" outlineLevel="0" collapsed="false">
      <c r="A29" s="3" t="s">
        <v>1058</v>
      </c>
      <c r="B29" s="0" t="s">
        <v>1059</v>
      </c>
      <c r="C29" s="23" t="n">
        <f aca="false">E1480</f>
        <v>72.033987284</v>
      </c>
      <c r="D29" s="16" t="n">
        <f aca="false">E1491</f>
        <v>0.3552567629931</v>
      </c>
      <c r="E29" s="18" t="n">
        <f aca="false">E1502</f>
        <v>27.3826543218881</v>
      </c>
      <c r="F29" s="20" t="n">
        <f aca="false">ROUND(E29/E$4-1,8)</f>
        <v>0</v>
      </c>
      <c r="G29" s="23" t="n">
        <f aca="false">F1480</f>
        <v>84.1022463502375</v>
      </c>
      <c r="H29" s="16" t="n">
        <f aca="false">F1491</f>
        <v>0.361298933254148</v>
      </c>
      <c r="I29" s="18" t="n">
        <f aca="false">F1502</f>
        <v>33.7824163876186</v>
      </c>
      <c r="J29" s="20" t="n">
        <f aca="false">ROUND(I29/I$4-1,8)</f>
        <v>-0.00187973</v>
      </c>
    </row>
    <row r="30" customFormat="false" ht="17.15" hidden="false" customHeight="false" outlineLevel="0" collapsed="false">
      <c r="A30" s="0" t="s">
        <v>1060</v>
      </c>
      <c r="B30" s="3" t="s">
        <v>1061</v>
      </c>
      <c r="C30" s="23" t="n">
        <f aca="false">E1538</f>
        <v>72.033987284</v>
      </c>
      <c r="D30" s="16" t="n">
        <f aca="false">E1549</f>
        <v>0.3552567629931</v>
      </c>
      <c r="E30" s="18" t="n">
        <f aca="false">E1560</f>
        <v>27.3826543218881</v>
      </c>
      <c r="F30" s="20" t="n">
        <f aca="false">ROUND(E30/E$4-1,8)</f>
        <v>0</v>
      </c>
      <c r="G30" s="23" t="n">
        <f aca="false">F1538</f>
        <v>84.1022463502375</v>
      </c>
      <c r="H30" s="16" t="n">
        <f aca="false">F1549</f>
        <v>0.361963941516101</v>
      </c>
      <c r="I30" s="18" t="n">
        <f aca="false">F1560</f>
        <v>33.875823698224</v>
      </c>
      <c r="J30" s="20" t="n">
        <f aca="false">ROUND(I30/I$4-1,8)</f>
        <v>0.00088004</v>
      </c>
    </row>
    <row r="31" customFormat="false" ht="17.15" hidden="false" customHeight="false" outlineLevel="0" collapsed="false">
      <c r="A31" s="0" t="s">
        <v>1062</v>
      </c>
      <c r="C31" s="23" t="n">
        <f aca="false">E1596</f>
        <v>72.033987284</v>
      </c>
      <c r="D31" s="16" t="n">
        <f aca="false">E1607</f>
        <v>0.3552567629931</v>
      </c>
      <c r="E31" s="18" t="n">
        <f aca="false">E1618</f>
        <v>27.3826543218881</v>
      </c>
      <c r="F31" s="20" t="n">
        <f aca="false">ROUND(E31/E$4-1,8)</f>
        <v>0</v>
      </c>
      <c r="G31" s="23" t="n">
        <f aca="false">F1596</f>
        <v>84.1022463502375</v>
      </c>
      <c r="H31" s="16" t="n">
        <f aca="false">F1607</f>
        <v>0.361462530421698</v>
      </c>
      <c r="I31" s="18" t="n">
        <f aca="false">F1618</f>
        <v>33.8053953073069</v>
      </c>
      <c r="J31" s="20" t="n">
        <f aca="false">ROUND(I31/I$4-1,8)</f>
        <v>-0.0012008</v>
      </c>
    </row>
    <row r="32" customFormat="false" ht="17.15" hidden="false" customHeight="false" outlineLevel="0" collapsed="false">
      <c r="A32" s="3" t="s">
        <v>1063</v>
      </c>
      <c r="B32" s="3" t="s">
        <v>1064</v>
      </c>
      <c r="C32" s="23" t="n">
        <f aca="false">E1654</f>
        <v>72.033987284</v>
      </c>
      <c r="D32" s="16" t="n">
        <f aca="false">E1665</f>
        <v>0.3552567629931</v>
      </c>
      <c r="E32" s="18" t="n">
        <f aca="false">E1676</f>
        <v>25.9690830717299</v>
      </c>
      <c r="F32" s="20" t="n">
        <f aca="false">ROUND(E32/E$4-1,8)</f>
        <v>-0.05162287</v>
      </c>
      <c r="G32" s="23" t="n">
        <f aca="false">F1654</f>
        <v>84.1022463502375</v>
      </c>
      <c r="H32" s="16" t="n">
        <f aca="false">F1665</f>
        <v>0.361751881679993</v>
      </c>
      <c r="I32" s="18" t="n">
        <f aca="false">F1676</f>
        <v>31.321542092755</v>
      </c>
      <c r="J32" s="20" t="n">
        <f aca="false">ROUND(I32/I$4-1,8)</f>
        <v>-0.07458763</v>
      </c>
    </row>
    <row r="33" customFormat="false" ht="17.15" hidden="false" customHeight="false" outlineLevel="0" collapsed="false">
      <c r="A33" s="3" t="s">
        <v>1065</v>
      </c>
      <c r="B33" s="3" t="s">
        <v>1066</v>
      </c>
      <c r="C33" s="23" t="n">
        <f aca="false">E1712</f>
        <v>72.033987284</v>
      </c>
      <c r="D33" s="16" t="n">
        <f aca="false">E1723</f>
        <v>0.3552567629931</v>
      </c>
      <c r="E33" s="18" t="n">
        <f aca="false">E1734</f>
        <v>24.6223175093035</v>
      </c>
      <c r="F33" s="20" t="n">
        <f aca="false">ROUND(E33/E$4-1,8)</f>
        <v>-0.10080604</v>
      </c>
      <c r="G33" s="23" t="n">
        <f aca="false">F1712</f>
        <v>84.1022463502375</v>
      </c>
      <c r="H33" s="16" t="n">
        <f aca="false">F1723</f>
        <v>0.361751881679993</v>
      </c>
      <c r="I33" s="18" t="n">
        <f aca="false">F1734</f>
        <v>30.4710201146018</v>
      </c>
      <c r="J33" s="20" t="n">
        <f aca="false">ROUND(I33/I$4-1,8)</f>
        <v>-0.09971677</v>
      </c>
    </row>
    <row r="34" customFormat="false" ht="17.15" hidden="false" customHeight="false" outlineLevel="0" collapsed="false">
      <c r="A34" s="3" t="s">
        <v>1067</v>
      </c>
      <c r="B34" s="3" t="s">
        <v>1068</v>
      </c>
      <c r="C34" s="23" t="n">
        <f aca="false">E1770</f>
        <v>72.033987284</v>
      </c>
      <c r="D34" s="16" t="n">
        <f aca="false">E1781</f>
        <v>0.3552567629931</v>
      </c>
      <c r="E34" s="18" t="n">
        <f aca="false">E1792</f>
        <v>26.7146085455696</v>
      </c>
      <c r="F34" s="20" t="n">
        <f aca="false">ROUND(E34/E$4-1,8)</f>
        <v>-0.02439668</v>
      </c>
      <c r="G34" s="23" t="n">
        <f aca="false">F1770</f>
        <v>84.1022463502375</v>
      </c>
      <c r="H34" s="16" t="n">
        <f aca="false">F1781</f>
        <v>0.361751881679993</v>
      </c>
      <c r="I34" s="18" t="n">
        <f aca="false">F1792</f>
        <v>33.1779919175632</v>
      </c>
      <c r="J34" s="20" t="n">
        <f aca="false">ROUND(I34/I$4-1,8)</f>
        <v>-0.01973778</v>
      </c>
    </row>
    <row r="35" customFormat="false" ht="17.15" hidden="false" customHeight="false" outlineLevel="0" collapsed="false">
      <c r="A35" s="3" t="s">
        <v>1069</v>
      </c>
      <c r="B35" s="3" t="s">
        <v>1070</v>
      </c>
      <c r="C35" s="23" t="n">
        <f aca="false">E1828</f>
        <v>71.452917284</v>
      </c>
      <c r="D35" s="16" t="n">
        <f aca="false">E1839</f>
        <v>0.354486291264021</v>
      </c>
      <c r="E35" s="18" t="n">
        <f aca="false">E1850</f>
        <v>27.2056252689524</v>
      </c>
      <c r="F35" s="20" t="n">
        <f aca="false">ROUND(E35/E$4-1,8)</f>
        <v>-0.00646501</v>
      </c>
      <c r="G35" s="23" t="n">
        <f aca="false">F1828</f>
        <v>82.8645672502375</v>
      </c>
      <c r="H35" s="16" t="n">
        <f aca="false">F1839</f>
        <v>0.360433792956629</v>
      </c>
      <c r="I35" s="18" t="n">
        <f aca="false">F1850</f>
        <v>33.4578573929503</v>
      </c>
      <c r="J35" s="20" t="n">
        <f aca="false">ROUND(I35/I$4-1,8)</f>
        <v>-0.011469</v>
      </c>
    </row>
    <row r="36" customFormat="false" ht="17.15" hidden="false" customHeight="false" outlineLevel="0" collapsed="false">
      <c r="A36" s="3" t="s">
        <v>1071</v>
      </c>
      <c r="B36" s="0" t="s">
        <v>1072</v>
      </c>
      <c r="C36" s="23" t="n">
        <f aca="false">PL!E146</f>
        <v>70.172710164</v>
      </c>
      <c r="D36" s="16" t="n">
        <f aca="false">PL!E157</f>
        <v>0.352743771562336</v>
      </c>
      <c r="E36" s="18" t="n">
        <f aca="false">PL!E168</f>
        <v>26.2079414805089</v>
      </c>
      <c r="F36" s="20" t="n">
        <f aca="false">ROUND(E36/E$4-1,8)</f>
        <v>-0.04289989</v>
      </c>
      <c r="G36" s="23" t="n">
        <f aca="false">PL!F146</f>
        <v>80.6588836782375</v>
      </c>
      <c r="H36" s="16" t="n">
        <f aca="false">PL!F157</f>
        <v>0.358637468682121</v>
      </c>
      <c r="I36" s="18" t="n">
        <f aca="false">PL!F168</f>
        <v>31.7320257005695</v>
      </c>
      <c r="J36" s="20" t="n">
        <f aca="false">ROUND(I36/I$4-1,8)</f>
        <v>-0.06245966</v>
      </c>
    </row>
    <row r="37" customFormat="false" ht="17.15" hidden="false" customHeight="false" outlineLevel="0" collapsed="false">
      <c r="A37" s="3" t="s">
        <v>1073</v>
      </c>
      <c r="B37" s="0" t="s">
        <v>1074</v>
      </c>
      <c r="C37" s="23" t="n">
        <f aca="false">PL!E204</f>
        <v>68.311433044</v>
      </c>
      <c r="D37" s="16" t="n">
        <f aca="false">PL!E215</f>
        <v>0.350093837507345</v>
      </c>
      <c r="E37" s="18" t="n">
        <f aca="false">PL!E226</f>
        <v>25.0332286391296</v>
      </c>
      <c r="F37" s="20" t="n">
        <f aca="false">ROUND(E37/E$4-1,8)</f>
        <v>-0.08579978</v>
      </c>
      <c r="G37" s="23" t="n">
        <f aca="false">PL!F204</f>
        <v>72.9447515220518</v>
      </c>
      <c r="H37" s="16" t="n">
        <f aca="false">PL!F215</f>
        <v>0.343407243254954</v>
      </c>
      <c r="I37" s="18" t="n">
        <f aca="false">PL!F226</f>
        <v>26.1170344552153</v>
      </c>
      <c r="J37" s="20" t="n">
        <f aca="false">ROUND(I37/I$4-1,8)</f>
        <v>-0.2283577</v>
      </c>
    </row>
    <row r="39" customFormat="false" ht="17.15" hidden="false" customHeight="false" outlineLevel="0" collapsed="false">
      <c r="A39" s="3" t="s">
        <v>1075</v>
      </c>
    </row>
    <row r="41" customFormat="false" ht="17.15" hidden="false" customHeight="false" outlineLevel="0" collapsed="false">
      <c r="A41" s="1" t="s">
        <v>1076</v>
      </c>
    </row>
    <row r="42" customFormat="false" ht="17.15" hidden="false" customHeight="false" outlineLevel="0" collapsed="false">
      <c r="A42" s="4" t="s">
        <v>1004</v>
      </c>
      <c r="B42" s="4" t="s">
        <v>1005</v>
      </c>
      <c r="C42" s="13" t="s">
        <v>1077</v>
      </c>
      <c r="D42" s="13" t="s">
        <v>1078</v>
      </c>
      <c r="E42" s="4" t="s">
        <v>1079</v>
      </c>
      <c r="F42" s="4" t="s">
        <v>1080</v>
      </c>
    </row>
    <row r="43" customFormat="false" ht="17.15" hidden="false" customHeight="false" outlineLevel="0" collapsed="false">
      <c r="A43" s="3" t="s">
        <v>23</v>
      </c>
      <c r="B43" s="0" t="s">
        <v>1081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3" s="23" t="n">
        <f aca="false">Val!B35</f>
        <v>1286.30958259199</v>
      </c>
      <c r="E43" s="23" t="n">
        <f aca="false">tp_w_dcf*C43+(1-tp_w_dcf)*D43</f>
        <v>906.071382428086</v>
      </c>
      <c r="F43" s="20" t="n">
        <f aca="false">E43/E$43-1</f>
        <v>0</v>
      </c>
    </row>
    <row r="44" customFormat="false" ht="17.15" hidden="false" customHeight="false" outlineLevel="0" collapsed="false">
      <c r="A44" s="3" t="s">
        <v>1082</v>
      </c>
      <c r="B44" s="0" t="s">
        <v>1083</v>
      </c>
      <c r="C44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450.99694730052</v>
      </c>
      <c r="D44" s="23" t="n">
        <f aca="false">Val!B35</f>
        <v>1286.30958259199</v>
      </c>
      <c r="E44" s="23" t="n">
        <f aca="false">tp_w_dcf*C44+(1-tp_w_dcf)*D44</f>
        <v>868.653264946256</v>
      </c>
      <c r="F44" s="20" t="n">
        <f aca="false">E44/E$43-1</f>
        <v>-0.0412970966829985</v>
      </c>
    </row>
    <row r="45" customFormat="false" ht="17.15" hidden="false" customHeight="false" outlineLevel="0" collapsed="false">
      <c r="A45" s="3" t="s">
        <v>1084</v>
      </c>
      <c r="B45" s="0" t="s">
        <v>1085</v>
      </c>
      <c r="C45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630.618912960059</v>
      </c>
      <c r="D45" s="23" t="n">
        <f aca="false">Val!B35</f>
        <v>1286.30958259199</v>
      </c>
      <c r="E45" s="23" t="n">
        <f aca="false">tp_w_dcf*C45+(1-tp_w_dcf)*D45</f>
        <v>958.464247776025</v>
      </c>
      <c r="F45" s="20" t="n">
        <f aca="false">E45/E$43-1</f>
        <v>0.0578242138136362</v>
      </c>
    </row>
    <row r="46" customFormat="false" ht="17.15" hidden="false" customHeight="false" outlineLevel="0" collapsed="false">
      <c r="A46" s="3" t="s">
        <v>1086</v>
      </c>
      <c r="B46" s="0" t="s">
        <v>1087</v>
      </c>
      <c r="C46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609.587996389846</v>
      </c>
      <c r="D46" s="23" t="n">
        <f aca="false">Val!B35</f>
        <v>1286.30958259199</v>
      </c>
      <c r="E46" s="23" t="n">
        <f aca="false">tp_w_dcf*C46+(1-tp_w_dcf)*D46</f>
        <v>947.948789490918</v>
      </c>
      <c r="F46" s="20" t="n">
        <f aca="false">E46/E$43-1</f>
        <v>0.046218662099899</v>
      </c>
    </row>
    <row r="47" customFormat="false" ht="17.15" hidden="false" customHeight="false" outlineLevel="0" collapsed="false">
      <c r="A47" s="3" t="s">
        <v>1088</v>
      </c>
      <c r="B47" s="0" t="s">
        <v>1089</v>
      </c>
      <c r="C47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466.008315031564</v>
      </c>
      <c r="D47" s="23" t="n">
        <f aca="false">Val!B35</f>
        <v>1286.30958259199</v>
      </c>
      <c r="E47" s="23" t="n">
        <f aca="false">tp_w_dcf*C47+(1-tp_w_dcf)*D47</f>
        <v>876.158948811778</v>
      </c>
      <c r="F47" s="20" t="n">
        <f aca="false">E47/E$43-1</f>
        <v>-0.0330133300713565</v>
      </c>
    </row>
    <row r="48" customFormat="false" ht="17.15" hidden="false" customHeight="false" outlineLevel="0" collapsed="false">
      <c r="A48" s="0" t="s">
        <v>1090</v>
      </c>
      <c r="C4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8" s="23" t="n">
        <f aca="false">Val!B35</f>
        <v>1286.30958259199</v>
      </c>
      <c r="E48" s="23" t="n">
        <f aca="false">0.3*C48+(1-0.3)*D48</f>
        <v>1058.16666249365</v>
      </c>
      <c r="F48" s="20" t="n">
        <f aca="false">E48/E$43-1</f>
        <v>0.167862359429097</v>
      </c>
    </row>
    <row r="49" customFormat="false" ht="17.15" hidden="false" customHeight="false" outlineLevel="0" collapsed="false">
      <c r="A49" s="0" t="s">
        <v>1091</v>
      </c>
      <c r="C49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525.833182264182</v>
      </c>
      <c r="D49" s="23" t="n">
        <f aca="false">Val!B35</f>
        <v>1286.30958259199</v>
      </c>
      <c r="E49" s="23" t="n">
        <f aca="false">0.7*C49+(1-0.7)*D49</f>
        <v>753.976102362524</v>
      </c>
      <c r="F49" s="20" t="n">
        <f aca="false">E49/E$43-1</f>
        <v>-0.167862359429097</v>
      </c>
    </row>
    <row r="60" customFormat="false" ht="17.15" hidden="false" customHeight="false" outlineLevel="0" collapsed="false">
      <c r="A60" s="1" t="s">
        <v>1092</v>
      </c>
    </row>
    <row r="61" customFormat="false" ht="17.15" hidden="false" customHeight="false" outlineLevel="0" collapsed="false">
      <c r="A61" s="4" t="s">
        <v>20</v>
      </c>
      <c r="B61" s="4" t="s">
        <v>21</v>
      </c>
      <c r="C61" s="13" t="s">
        <v>567</v>
      </c>
      <c r="D61" s="13" t="s">
        <v>671</v>
      </c>
      <c r="E61" s="13" t="s">
        <v>672</v>
      </c>
      <c r="F61" s="13" t="s">
        <v>673</v>
      </c>
      <c r="G61" s="13" t="s">
        <v>674</v>
      </c>
      <c r="H61" s="13" t="s">
        <v>675</v>
      </c>
      <c r="I61" s="13" t="s">
        <v>676</v>
      </c>
      <c r="J61" s="13" t="s">
        <v>677</v>
      </c>
      <c r="K61" s="4" t="s">
        <v>631</v>
      </c>
    </row>
    <row r="62" customFormat="false" ht="17.15" hidden="false" customHeight="false" outlineLevel="0" collapsed="false">
      <c r="A62" s="5" t="s">
        <v>695</v>
      </c>
    </row>
    <row r="63" customFormat="false" ht="17.15" hidden="false" customHeight="false" outlineLevel="0" collapsed="false">
      <c r="A63" s="0" t="s">
        <v>696</v>
      </c>
      <c r="B63" s="3" t="s">
        <v>31</v>
      </c>
      <c r="D63" s="21" t="n">
        <f aca="false">(u_bw_26+u_rb_26+u_ru_26+u_hp_26)*1</f>
        <v>7.6</v>
      </c>
      <c r="E63" s="21" t="n">
        <f aca="false">(u_bw_27+u_rb_27+u_ru_27+u_hp_27)*1*0.8</f>
        <v>7.76</v>
      </c>
      <c r="F63" s="21" t="n">
        <f aca="false">(u_bw_28+u_rb_28+u_ru_28+u_hp_28)*um28_A*0.8</f>
        <v>7.6</v>
      </c>
      <c r="G63" s="21" t="n">
        <f aca="false">(u_bw_28*(1+g29_bw)+u_rb_28*(1+g29_rb)+u_ru_28*(1+g29_ru)+u_hp_28*(1+g29_hp))*um29_A*0.8</f>
        <v>8.48</v>
      </c>
      <c r="K63" s="7" t="s">
        <v>697</v>
      </c>
    </row>
    <row r="64" customFormat="false" ht="17.15" hidden="false" customHeight="false" outlineLevel="0" collapsed="false">
      <c r="A64" s="3" t="s">
        <v>698</v>
      </c>
      <c r="B64" s="3" t="s">
        <v>31</v>
      </c>
      <c r="D64" s="21" t="n">
        <f aca="false">(u_amd_26+u_tpu_26+u_trn_26+u_oth_26)*1</f>
        <v>7.6</v>
      </c>
      <c r="E64" s="21" t="n">
        <f aca="false">(u_amd_27+u_tpu_27+u_trn_27+u_oth_27)*1*0.8</f>
        <v>11.2</v>
      </c>
      <c r="F64" s="21" t="n">
        <f aca="false">(u_amd_28+u_tpu_28+u_trn_28+u_oth_28)*um28_A*0.8</f>
        <v>13.6</v>
      </c>
      <c r="G64" s="21" t="n">
        <f aca="false">(u_amd_28*(1+g29_amd)+u_tpu_28*(1+g29_tpu)+u_trn_28*(1+g29_trn)+u_oth_28*(1+g29_oth))*um29_A*0.8</f>
        <v>15.64</v>
      </c>
      <c r="K64" s="7" t="s">
        <v>699</v>
      </c>
    </row>
    <row r="65" customFormat="false" ht="17.15" hidden="false" customHeight="false" outlineLevel="0" collapsed="false">
      <c r="A65" s="0" t="s">
        <v>700</v>
      </c>
      <c r="B65" s="3" t="s">
        <v>31</v>
      </c>
      <c r="D65" s="21" t="n">
        <f aca="false">D63*cpu_r</f>
        <v>3.04</v>
      </c>
      <c r="E65" s="21" t="n">
        <f aca="false">E63*cpu_r</f>
        <v>3.104</v>
      </c>
      <c r="F65" s="21" t="n">
        <f aca="false">F63*cpu_r</f>
        <v>3.04</v>
      </c>
      <c r="G65" s="21" t="n">
        <f aca="false">G63*cpu_r</f>
        <v>3.392</v>
      </c>
      <c r="K65" s="7" t="s">
        <v>701</v>
      </c>
    </row>
    <row r="66" customFormat="false" ht="17.15" hidden="false" customHeight="false" outlineLevel="0" collapsed="false">
      <c r="A66" s="3" t="s">
        <v>702</v>
      </c>
      <c r="B66" s="0" t="s">
        <v>153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703</v>
      </c>
    </row>
    <row r="67" customFormat="false" ht="17.15" hidden="false" customHeight="false" outlineLevel="0" collapsed="false">
      <c r="A67" s="0" t="s">
        <v>704</v>
      </c>
      <c r="B67" s="0" t="s">
        <v>153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705</v>
      </c>
    </row>
    <row r="68" customFormat="false" ht="17.15" hidden="false" customHeight="false" outlineLevel="0" collapsed="false">
      <c r="A68" s="3" t="s">
        <v>706</v>
      </c>
      <c r="B68" s="0" t="s">
        <v>153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707</v>
      </c>
    </row>
    <row r="69" customFormat="false" ht="17.15" hidden="false" customHeight="false" outlineLevel="0" collapsed="false">
      <c r="A69" s="3" t="s">
        <v>708</v>
      </c>
      <c r="B69" s="0" t="s">
        <v>709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710</v>
      </c>
    </row>
    <row r="70" customFormat="false" ht="17.15" hidden="false" customHeight="false" outlineLevel="0" collapsed="false">
      <c r="A70" s="3" t="s">
        <v>711</v>
      </c>
      <c r="B70" s="0" t="s">
        <v>43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712</v>
      </c>
      <c r="B71" s="0" t="s">
        <v>43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713</v>
      </c>
      <c r="B72" s="0" t="s">
        <v>43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714</v>
      </c>
      <c r="B73" s="0" t="s">
        <v>661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389.362445885758</v>
      </c>
      <c r="F73" s="22" t="n">
        <f aca="false">(F63*F69*F70+F64*F69*v_ot*F71+F65*F69*v_cpu*F72)*F68</f>
        <v>562.297993603198</v>
      </c>
      <c r="G73" s="22" t="n">
        <f aca="false">(G63*G69*G70+G64*G69*v_ot*G71+G65*G69*v_cpu*G72)*G68</f>
        <v>721.970434345622</v>
      </c>
    </row>
    <row r="74" customFormat="false" ht="17.15" hidden="false" customHeight="false" outlineLevel="0" collapsed="false">
      <c r="A74" s="3" t="s">
        <v>715</v>
      </c>
      <c r="B74" s="0" t="s">
        <v>379</v>
      </c>
      <c r="D74" s="21" t="n">
        <f aca="false">D73*fx/1000</f>
        <v>4.5032223470592</v>
      </c>
      <c r="E74" s="21" t="n">
        <f aca="false">E73*fx/1000</f>
        <v>12.4595982683443</v>
      </c>
      <c r="F74" s="21" t="n">
        <f aca="false">F73*fx/1000</f>
        <v>17.9935357953024</v>
      </c>
      <c r="G74" s="21" t="n">
        <f aca="false">G73*fx/1000</f>
        <v>23.1030538990599</v>
      </c>
    </row>
    <row r="75" customFormat="false" ht="17.15" hidden="false" customHeight="false" outlineLevel="0" collapsed="false">
      <c r="A75" s="5" t="s">
        <v>716</v>
      </c>
    </row>
    <row r="76" customFormat="false" ht="17.15" hidden="false" customHeight="false" outlineLevel="0" collapsed="false">
      <c r="A76" s="0" t="s">
        <v>717</v>
      </c>
      <c r="B76" s="0" t="s">
        <v>379</v>
      </c>
      <c r="D76" s="21" t="n">
        <f aca="false">a26_abf*ai_abf</f>
        <v>5.714709</v>
      </c>
      <c r="K76" s="3" t="s">
        <v>718</v>
      </c>
    </row>
    <row r="77" customFormat="false" ht="17.15" hidden="false" customHeight="false" outlineLevel="0" collapsed="false">
      <c r="A77" s="3" t="s">
        <v>719</v>
      </c>
      <c r="B77" s="0" t="s">
        <v>379</v>
      </c>
      <c r="D77" s="21" t="n">
        <f aca="false">D76-D74</f>
        <v>1.2114866529408</v>
      </c>
      <c r="E77" s="21" t="n">
        <f aca="false">$D77*(swm_27/swm_26)^el_o*1*0.8*E67*E68</f>
        <v>1.55896012813433</v>
      </c>
      <c r="F77" s="21" t="n">
        <f aca="false">$D77*(swm_28/swm_26)^el_o*um28_A*0.8*F67*F68</f>
        <v>1.59319697839339</v>
      </c>
      <c r="G77" s="21" t="n">
        <f aca="false">$D77*(swm_29/swm_26)^el_o*um29_A*0.8*G67*G68</f>
        <v>1.61018077312284</v>
      </c>
      <c r="K77" s="7" t="s">
        <v>720</v>
      </c>
    </row>
    <row r="78" customFormat="false" ht="17.15" hidden="false" customHeight="false" outlineLevel="0" collapsed="false">
      <c r="A78" s="3" t="s">
        <v>721</v>
      </c>
      <c r="B78" s="0" t="s">
        <v>379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722</v>
      </c>
    </row>
    <row r="79" customFormat="false" ht="17.15" hidden="false" customHeight="false" outlineLevel="0" collapsed="false">
      <c r="A79" s="0" t="s">
        <v>723</v>
      </c>
      <c r="B79" s="0" t="s">
        <v>379</v>
      </c>
      <c r="D79" s="21" t="n">
        <f aca="false">D74+D77+D78</f>
        <v>22.858836</v>
      </c>
      <c r="E79" s="21" t="n">
        <f aca="false">E74+E77+E78</f>
        <v>34.9172492094786</v>
      </c>
      <c r="F79" s="21" t="n">
        <f aca="false">F74+F77+F78</f>
        <v>41.7393450354757</v>
      </c>
      <c r="G79" s="21" t="n">
        <f aca="false">G74+G77+G78</f>
        <v>48.1950036696695</v>
      </c>
    </row>
    <row r="80" customFormat="false" ht="17.15" hidden="false" customHeight="false" outlineLevel="0" collapsed="false">
      <c r="A80" s="0" t="s">
        <v>724</v>
      </c>
      <c r="B80" s="0" t="s">
        <v>379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725</v>
      </c>
    </row>
    <row r="81" customFormat="false" ht="17.15" hidden="false" customHeight="false" outlineLevel="0" collapsed="false">
      <c r="A81" s="0" t="s">
        <v>726</v>
      </c>
      <c r="B81" s="0" t="s">
        <v>379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48.1950036696695</v>
      </c>
    </row>
    <row r="82" customFormat="false" ht="17.15" hidden="false" customHeight="false" outlineLevel="0" collapsed="false">
      <c r="A82" s="3" t="s">
        <v>727</v>
      </c>
      <c r="B82" s="0" t="s">
        <v>43</v>
      </c>
      <c r="D82" s="20" t="n">
        <f aca="false">D81/D79</f>
        <v>1</v>
      </c>
      <c r="E82" s="20" t="n">
        <f aca="false">E81/E79</f>
        <v>0.948598589920097</v>
      </c>
      <c r="F82" s="20" t="n">
        <f aca="false">F81/F79</f>
        <v>0.989463514655909</v>
      </c>
      <c r="G82" s="20" t="n">
        <f aca="false">G81/G79</f>
        <v>1</v>
      </c>
    </row>
    <row r="83" customFormat="false" ht="17.15" hidden="false" customHeight="false" outlineLevel="0" collapsed="false">
      <c r="A83" s="0" t="s">
        <v>728</v>
      </c>
      <c r="B83" s="0" t="s">
        <v>379</v>
      </c>
      <c r="D83" s="21" t="n">
        <f aca="false">(D74+D77)*D82</f>
        <v>5.714709</v>
      </c>
      <c r="E83" s="21" t="n">
        <f aca="false">(E74+E77)*E82</f>
        <v>13.2979847276121</v>
      </c>
      <c r="F83" s="21" t="n">
        <f aca="false">(F74+F77)*F82</f>
        <v>19.3803574508871</v>
      </c>
      <c r="G83" s="21" t="n">
        <f aca="false">(G74+G77)*G82</f>
        <v>24.7132346721827</v>
      </c>
    </row>
    <row r="84" customFormat="false" ht="17.15" hidden="false" customHeight="false" outlineLevel="0" collapsed="false">
      <c r="A84" s="3" t="s">
        <v>729</v>
      </c>
      <c r="B84" s="0" t="s">
        <v>43</v>
      </c>
      <c r="D84" s="20" t="n">
        <f aca="false">D74/(D74+D77)</f>
        <v>0.788005539225042</v>
      </c>
      <c r="E84" s="20" t="n">
        <f aca="false">E74/(E74+E77)</f>
        <v>0.888793120944167</v>
      </c>
      <c r="F84" s="20" t="n">
        <f aca="false">F74/(F74+F77)</f>
        <v>0.918659380469366</v>
      </c>
      <c r="G84" s="20" t="n">
        <f aca="false">G74/(G74+G77)</f>
        <v>0.934845405934041</v>
      </c>
    </row>
    <row r="85" customFormat="false" ht="17.15" hidden="false" customHeight="false" outlineLevel="0" collapsed="false">
      <c r="A85" s="5" t="s">
        <v>730</v>
      </c>
    </row>
    <row r="86" customFormat="false" ht="17.15" hidden="false" customHeight="false" outlineLevel="0" collapsed="false">
      <c r="A86" s="0" t="s">
        <v>731</v>
      </c>
      <c r="B86" s="0" t="s">
        <v>379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732</v>
      </c>
    </row>
    <row r="87" customFormat="false" ht="17.15" hidden="false" customHeight="false" outlineLevel="0" collapsed="false">
      <c r="A87" s="3" t="s">
        <v>617</v>
      </c>
      <c r="B87" s="0" t="s">
        <v>379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733</v>
      </c>
    </row>
    <row r="88" customFormat="false" ht="17.15" hidden="false" customHeight="false" outlineLevel="0" collapsed="false">
      <c r="A88" s="3" t="s">
        <v>574</v>
      </c>
      <c r="B88" s="0" t="s">
        <v>379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93.6400358472695</v>
      </c>
      <c r="H88" s="25" t="n">
        <f aca="false">G88*(1+H90)</f>
        <v>102.592464748274</v>
      </c>
      <c r="I88" s="25" t="n">
        <f aca="false">H88*(1+I90)</f>
        <v>110.574400346191</v>
      </c>
      <c r="J88" s="25" t="n">
        <f aca="false">I88*(1+J90)</f>
        <v>117.208864366963</v>
      </c>
      <c r="K88" s="7" t="s">
        <v>734</v>
      </c>
    </row>
    <row r="89" customFormat="false" ht="17.15" hidden="false" customHeight="false" outlineLevel="0" collapsed="false">
      <c r="A89" s="3" t="s">
        <v>735</v>
      </c>
      <c r="B89" s="0" t="s">
        <v>379</v>
      </c>
      <c r="D89" s="19" t="n">
        <f aca="false">D81+D86+D87-D88</f>
        <v>0</v>
      </c>
      <c r="E89" s="19" t="n">
        <f aca="false">E81+E86+E87-E88</f>
        <v>0</v>
      </c>
      <c r="F89" s="19" t="n">
        <f aca="false">F81+F86+F87-F88</f>
        <v>0</v>
      </c>
      <c r="G89" s="19" t="n">
        <f aca="false">G81+G86+G87-G88</f>
        <v>0</v>
      </c>
    </row>
    <row r="90" customFormat="false" ht="15" hidden="false" customHeight="false" outlineLevel="0" collapsed="false">
      <c r="A90" s="3" t="s">
        <v>736</v>
      </c>
      <c r="B90" s="0" t="s">
        <v>43</v>
      </c>
      <c r="D90" s="20" t="n">
        <f aca="false">D88/C88-1</f>
        <v>0.383085563263958</v>
      </c>
      <c r="E90" s="20" t="n">
        <f aca="false">E88/D88-1</f>
        <v>0.323526476119781</v>
      </c>
      <c r="F90" s="20" t="n">
        <f aca="false">F88/E88-1</f>
        <v>0.167535624796909</v>
      </c>
      <c r="G90" s="20" t="n">
        <f aca="false">G88/F88-1</f>
        <v>0.113407071879063</v>
      </c>
      <c r="H90" s="26" t="n">
        <f aca="false">$G90+(fade_gA-$G90)*1/3</f>
        <v>0.0956047145860418</v>
      </c>
      <c r="I90" s="26" t="n">
        <f aca="false">$G90+(fade_gA-$G90)*2/3</f>
        <v>0.0778023572930209</v>
      </c>
      <c r="J90" s="26" t="n">
        <f aca="false">$G90+(fade_gA-$G90)*3/3</f>
        <v>0.06</v>
      </c>
    </row>
    <row r="91" customFormat="false" ht="17.15" hidden="false" customHeight="false" outlineLevel="0" collapsed="false">
      <c r="A91" s="0" t="s">
        <v>737</v>
      </c>
      <c r="B91" s="0" t="s">
        <v>43</v>
      </c>
      <c r="D91" s="20" t="n">
        <f aca="false">D81/D88</f>
        <v>0.42</v>
      </c>
      <c r="E91" s="20" t="n">
        <f aca="false">E81/E88</f>
        <v>0.459817019893845</v>
      </c>
      <c r="F91" s="20" t="n">
        <f aca="false">F81/F88</f>
        <v>0.491063685341395</v>
      </c>
      <c r="G91" s="20" t="n">
        <f aca="false">G81/G88</f>
        <v>0.514683737928907</v>
      </c>
    </row>
    <row r="92" customFormat="false" ht="17.15" hidden="false" customHeight="false" outlineLevel="0" collapsed="false">
      <c r="A92" s="0" t="s">
        <v>738</v>
      </c>
      <c r="B92" s="0" t="s">
        <v>43</v>
      </c>
      <c r="D92" s="20" t="n">
        <f aca="false">D83/D88</f>
        <v>0.105</v>
      </c>
      <c r="E92" s="20" t="n">
        <f aca="false">E83/E88</f>
        <v>0.184607089361633</v>
      </c>
      <c r="F92" s="20" t="n">
        <f aca="false">F83/F88</f>
        <v>0.230438047637622</v>
      </c>
      <c r="G92" s="20" t="n">
        <f aca="false">G83/G88</f>
        <v>0.263917398670062</v>
      </c>
      <c r="K92" s="3" t="s">
        <v>739</v>
      </c>
    </row>
    <row r="93" customFormat="false" ht="17.15" hidden="false" customHeight="false" outlineLevel="0" collapsed="false">
      <c r="A93" s="5" t="s">
        <v>740</v>
      </c>
    </row>
    <row r="94" customFormat="false" ht="15" hidden="false" customHeight="false" outlineLevel="0" collapsed="false">
      <c r="A94" s="3" t="s">
        <v>741</v>
      </c>
      <c r="B94" s="0" t="s">
        <v>379</v>
      </c>
      <c r="C94" s="23" t="n">
        <f aca="false">a25_cx</f>
        <v>6.116</v>
      </c>
      <c r="D94" s="23" t="n">
        <f aca="false">capex26</f>
        <v>11</v>
      </c>
      <c r="E94" s="23" t="n">
        <f aca="false">cx27</f>
        <v>17</v>
      </c>
      <c r="F94" s="23" t="n">
        <f aca="false">cx28</f>
        <v>16</v>
      </c>
      <c r="G94" s="23" t="n">
        <f aca="false">cx29</f>
        <v>12</v>
      </c>
      <c r="H94" s="25" t="n">
        <f aca="false">H88*H113</f>
        <v>13.244755296369</v>
      </c>
      <c r="I94" s="25" t="n">
        <f aca="false">I88*I113</f>
        <v>14.3803128318852</v>
      </c>
      <c r="J94" s="25" t="n">
        <f aca="false">J88*J113</f>
        <v>15.3545210145892</v>
      </c>
    </row>
    <row r="95" customFormat="false" ht="17.15" hidden="false" customHeight="false" outlineLevel="0" collapsed="false">
      <c r="A95" s="3" t="s">
        <v>742</v>
      </c>
      <c r="B95" s="0" t="s">
        <v>379</v>
      </c>
      <c r="C95" s="23" t="n">
        <f aca="false">a25_da</f>
        <v>7.158</v>
      </c>
      <c r="D95" s="23" t="n">
        <f aca="false">da26</f>
        <v>8.32</v>
      </c>
      <c r="E95" s="23" t="n">
        <f aca="false">D95*(1-1/life)+D94/life</f>
        <v>8.655</v>
      </c>
      <c r="F95" s="23" t="n">
        <f aca="false">E95*(1-1/life)+E94/life</f>
        <v>9.698125</v>
      </c>
      <c r="G95" s="23" t="n">
        <f aca="false">F95*(1-1/life)+F94/life</f>
        <v>10.485859375</v>
      </c>
      <c r="H95" s="25" t="n">
        <f aca="false">H88*H96</f>
        <v>11.4883569677362</v>
      </c>
      <c r="I95" s="25" t="n">
        <f aca="false">I88*I96</f>
        <v>12.3821782212498</v>
      </c>
      <c r="J95" s="25" t="n">
        <f aca="false">J88*J96</f>
        <v>13.1251089145248</v>
      </c>
      <c r="K95" s="3" t="s">
        <v>743</v>
      </c>
    </row>
    <row r="96" customFormat="false" ht="17.15" hidden="false" customHeight="false" outlineLevel="0" collapsed="false">
      <c r="A96" s="3" t="s">
        <v>744</v>
      </c>
      <c r="B96" s="0" t="s">
        <v>43</v>
      </c>
      <c r="C96" s="20" t="n">
        <f aca="false">C95/C88</f>
        <v>0.181901349393916</v>
      </c>
      <c r="D96" s="20" t="n">
        <f aca="false">D95/D88</f>
        <v>0.152868676252807</v>
      </c>
      <c r="E96" s="20" t="n">
        <f aca="false">E95/E88</f>
        <v>0.120151616290196</v>
      </c>
      <c r="F96" s="20" t="n">
        <f aca="false">F95/F88</f>
        <v>0.115313507318376</v>
      </c>
      <c r="G96" s="20" t="n">
        <f aca="false">G95/G88</f>
        <v>0.111980514318713</v>
      </c>
      <c r="H96" s="26" t="n">
        <f aca="false">$G96</f>
        <v>0.111980514318713</v>
      </c>
      <c r="I96" s="26" t="n">
        <f aca="false">$G96</f>
        <v>0.111980514318713</v>
      </c>
      <c r="J96" s="26" t="n">
        <f aca="false">$G96</f>
        <v>0.111980514318713</v>
      </c>
    </row>
    <row r="97" customFormat="false" ht="17.15" hidden="false" customHeight="false" outlineLevel="0" collapsed="false">
      <c r="A97" s="0" t="s">
        <v>745</v>
      </c>
      <c r="B97" s="0" t="s">
        <v>379</v>
      </c>
      <c r="E97" s="21" t="n">
        <f aca="false">E82*((E74+E77)*(1-1/(E67*E68))+E78*(1-1/E68))</f>
        <v>4.320320004</v>
      </c>
      <c r="F97" s="21" t="n">
        <f aca="false">F82*((F74+F77)*(1-1/(F67*F68))+F78*(1-1/F68))</f>
        <v>4.49992612394003</v>
      </c>
      <c r="G97" s="21" t="n">
        <f aca="false">G82*((G74+G77)*(1-1/(G67*G68))+G78*(1-1/G68))</f>
        <v>3.89855268423875</v>
      </c>
      <c r="K97" s="7" t="s">
        <v>746</v>
      </c>
    </row>
    <row r="98" customFormat="false" ht="17.15" hidden="false" customHeight="false" outlineLevel="0" collapsed="false">
      <c r="A98" s="3" t="s">
        <v>747</v>
      </c>
      <c r="B98" s="0" t="s">
        <v>379</v>
      </c>
      <c r="C98" s="21" t="n">
        <f aca="false">a25_gp</f>
        <v>8.314</v>
      </c>
      <c r="D98" s="21" t="n">
        <f aca="false">a26_gp</f>
        <v>15.328536</v>
      </c>
      <c r="E98" s="21" t="n">
        <f aca="false">$D98+ft_abf*(E81-E97-$D81)+ft_bt*(E86-$D86)+ft_lens*(E87-$D87)+E97-(E95-$D95)</f>
        <v>25.590561148</v>
      </c>
      <c r="F98" s="21" t="n">
        <f aca="false">$D98+ft_abf*(F81-F97-$D81)+ft_bt*(F86-$D86)+ft_lens*(F87-$D87)+F97-(F95-$D95)</f>
        <v>30.4768110714888</v>
      </c>
      <c r="G98" s="21" t="n">
        <f aca="false">$D98+ft_abf*(G81-G97-$D81)+ft_bt*(G86-$D86)+ft_lens*(G87-$D87)+G97-(G95-$D95)</f>
        <v>34.0251674818742</v>
      </c>
      <c r="K98" s="3" t="s">
        <v>748</v>
      </c>
    </row>
    <row r="99" customFormat="false" ht="15" hidden="false" customHeight="false" outlineLevel="0" collapsed="false">
      <c r="A99" s="3" t="s">
        <v>581</v>
      </c>
      <c r="B99" s="0" t="s">
        <v>43</v>
      </c>
      <c r="C99" s="16" t="n">
        <f aca="false">C98/C88</f>
        <v>0.211277985311682</v>
      </c>
      <c r="D99" s="16" t="n">
        <f aca="false">D98/D88</f>
        <v>0.281640986443929</v>
      </c>
      <c r="E99" s="16" t="n">
        <f aca="false">E98/E88</f>
        <v>0.3552567629931</v>
      </c>
      <c r="F99" s="16" t="n">
        <f aca="false">F98/F88</f>
        <v>0.362378086128287</v>
      </c>
      <c r="G99" s="16" t="n">
        <f aca="false">G98/G88</f>
        <v>0.363361324822328</v>
      </c>
    </row>
    <row r="100" customFormat="false" ht="15" hidden="false" customHeight="false" outlineLevel="0" collapsed="false">
      <c r="A100" s="3" t="s">
        <v>583</v>
      </c>
      <c r="B100" s="0" t="s">
        <v>379</v>
      </c>
      <c r="C100" s="21" t="n">
        <f aca="false">a25_opx</f>
        <v>5.644</v>
      </c>
      <c r="D100" s="21" t="n">
        <f aca="false">a26_opx</f>
        <v>6.54036</v>
      </c>
      <c r="E100" s="21" t="n">
        <f aca="false">D100*(1+phi*E90)</f>
        <v>7.80994777401287</v>
      </c>
      <c r="F100" s="21" t="n">
        <f aca="false">E100*(1+phi*F90)</f>
        <v>8.59501446198315</v>
      </c>
      <c r="G100" s="21" t="n">
        <f aca="false">F100*(1+phi*G90)</f>
        <v>9.17985571571817</v>
      </c>
    </row>
    <row r="101" customFormat="false" ht="15" hidden="false" customHeight="false" outlineLevel="0" collapsed="false">
      <c r="A101" s="3" t="s">
        <v>586</v>
      </c>
      <c r="B101" s="0" t="s">
        <v>379</v>
      </c>
      <c r="C101" s="21" t="n">
        <f aca="false">C98-C100</f>
        <v>2.67</v>
      </c>
      <c r="D101" s="21" t="n">
        <f aca="false">D98-D100</f>
        <v>8.788176</v>
      </c>
      <c r="E101" s="21" t="n">
        <f aca="false">E98-E100</f>
        <v>17.7806133739871</v>
      </c>
      <c r="F101" s="21" t="n">
        <f aca="false">F98-F100</f>
        <v>21.8817966095056</v>
      </c>
      <c r="G101" s="21" t="n">
        <f aca="false">G98-G100</f>
        <v>24.845311766156</v>
      </c>
    </row>
    <row r="102" customFormat="false" ht="15" hidden="false" customHeight="false" outlineLevel="0" collapsed="false">
      <c r="A102" s="3" t="s">
        <v>684</v>
      </c>
      <c r="B102" s="0" t="s">
        <v>43</v>
      </c>
      <c r="C102" s="16" t="n">
        <f aca="false">C101/C88</f>
        <v>0.0678508805367081</v>
      </c>
      <c r="D102" s="16" t="n">
        <f aca="false">D101/D88</f>
        <v>0.161470773052486</v>
      </c>
      <c r="E102" s="16" t="n">
        <f aca="false">E101/E88</f>
        <v>0.246836445466854</v>
      </c>
      <c r="F102" s="16" t="n">
        <f aca="false">F101/F88</f>
        <v>0.260180881713677</v>
      </c>
      <c r="G102" s="16" t="n">
        <f aca="false">G101/G88</f>
        <v>0.265327875425845</v>
      </c>
    </row>
    <row r="103" customFormat="false" ht="15" hidden="false" customHeight="false" outlineLevel="0" collapsed="false">
      <c r="A103" s="3" t="s">
        <v>589</v>
      </c>
      <c r="B103" s="0" t="s">
        <v>379</v>
      </c>
      <c r="C103" s="21" t="n">
        <f aca="false">a25_nonop</f>
        <v>0.417</v>
      </c>
      <c r="D103" s="21" t="n">
        <f aca="false">a26_nonop</f>
        <v>0.37882</v>
      </c>
      <c r="E103" s="21" t="n">
        <f aca="false">nonop27</f>
        <v>0.4</v>
      </c>
      <c r="F103" s="21" t="n">
        <f aca="false">nonop28</f>
        <v>0.4</v>
      </c>
      <c r="G103" s="21" t="n">
        <f aca="false">nonop29</f>
        <v>0.4</v>
      </c>
    </row>
    <row r="104" customFormat="false" ht="15" hidden="false" customHeight="false" outlineLevel="0" collapsed="false">
      <c r="A104" s="3" t="s">
        <v>591</v>
      </c>
      <c r="B104" s="0" t="s">
        <v>379</v>
      </c>
      <c r="C104" s="21" t="n">
        <f aca="false">C101+C103</f>
        <v>3.087</v>
      </c>
      <c r="D104" s="21" t="n">
        <f aca="false">D101+D103</f>
        <v>9.166996</v>
      </c>
      <c r="E104" s="21" t="n">
        <f aca="false">E101+E103</f>
        <v>18.1806133739871</v>
      </c>
      <c r="F104" s="21" t="n">
        <f aca="false">F101+F103</f>
        <v>22.2817966095056</v>
      </c>
      <c r="G104" s="21" t="n">
        <f aca="false">G101+G103</f>
        <v>25.245311766156</v>
      </c>
    </row>
    <row r="105" customFormat="false" ht="15" hidden="false" customHeight="false" outlineLevel="0" collapsed="false">
      <c r="A105" s="3" t="s">
        <v>592</v>
      </c>
      <c r="B105" s="0" t="s">
        <v>379</v>
      </c>
      <c r="E105" s="21" t="n">
        <f aca="false">E104*tax</f>
        <v>2.18167360487846</v>
      </c>
      <c r="F105" s="21" t="n">
        <f aca="false">F104*tax</f>
        <v>2.67381559314067</v>
      </c>
      <c r="G105" s="21" t="n">
        <f aca="false">G104*tax</f>
        <v>3.02943741193872</v>
      </c>
    </row>
    <row r="106" customFormat="false" ht="15" hidden="false" customHeight="false" outlineLevel="0" collapsed="false">
      <c r="A106" s="3" t="s">
        <v>593</v>
      </c>
      <c r="B106" s="0" t="s">
        <v>379</v>
      </c>
      <c r="C106" s="21" t="n">
        <f aca="false">a25_nic</f>
        <v>2.71712</v>
      </c>
      <c r="D106" s="21" t="n">
        <f aca="false">a26_nic</f>
        <v>8.39979776</v>
      </c>
      <c r="E106" s="21" t="n">
        <f aca="false">E104-E105</f>
        <v>15.9989397691087</v>
      </c>
      <c r="F106" s="21" t="n">
        <f aca="false">F104-F105</f>
        <v>19.607981016365</v>
      </c>
      <c r="G106" s="21" t="n">
        <f aca="false">G104-G105</f>
        <v>22.2158743542173</v>
      </c>
    </row>
    <row r="107" customFormat="false" ht="17.15" hidden="false" customHeight="false" outlineLevel="0" collapsed="false">
      <c r="A107" s="3" t="s">
        <v>749</v>
      </c>
      <c r="B107" s="0" t="s">
        <v>379</v>
      </c>
      <c r="C107" s="21" t="n">
        <f aca="false">a25_nci</f>
        <v>1.12112</v>
      </c>
      <c r="D107" s="21" t="n">
        <f aca="false">a26_nci</f>
        <v>1.43839238487797</v>
      </c>
      <c r="E107" s="21" t="n">
        <f aca="false">E87*nm_lens*nci_sh</f>
        <v>1.57074538036261</v>
      </c>
      <c r="F107" s="21" t="n">
        <f aca="false">F87*nm_lens*nci_sh</f>
        <v>1.72781991839887</v>
      </c>
      <c r="G107" s="21" t="n">
        <f aca="false">G87*nm_lens*nci_sh</f>
        <v>1.90060191023875</v>
      </c>
      <c r="K107" s="3" t="s">
        <v>750</v>
      </c>
    </row>
    <row r="108" customFormat="false" ht="15" hidden="false" customHeight="false" outlineLevel="0" collapsed="false">
      <c r="A108" s="3" t="s">
        <v>599</v>
      </c>
      <c r="B108" s="0" t="s">
        <v>379</v>
      </c>
      <c r="C108" s="21" t="n">
        <f aca="false">a25_ni</f>
        <v>1.596</v>
      </c>
      <c r="D108" s="21" t="n">
        <f aca="false">a26_ni</f>
        <v>6.96140537512203</v>
      </c>
      <c r="E108" s="21" t="n">
        <f aca="false">E106-E107</f>
        <v>14.4281943887461</v>
      </c>
      <c r="F108" s="21" t="n">
        <f aca="false">F106-F107</f>
        <v>17.8801610979661</v>
      </c>
      <c r="G108" s="21" t="n">
        <f aca="false">G106-G107</f>
        <v>20.3152724439785</v>
      </c>
      <c r="H108" s="30" t="n">
        <f aca="false">H88*H112</f>
        <v>22.3951811225338</v>
      </c>
      <c r="I108" s="30" t="n">
        <f aca="false">I88*I112</f>
        <v>24.2859631333217</v>
      </c>
      <c r="J108" s="30" t="n">
        <f aca="false">J88*J112</f>
        <v>25.9004080964186</v>
      </c>
    </row>
    <row r="109" customFormat="false" ht="15" hidden="false" customHeight="false" outlineLevel="0" collapsed="false">
      <c r="A109" s="3" t="s">
        <v>751</v>
      </c>
      <c r="B109" s="3" t="s">
        <v>465</v>
      </c>
      <c r="C109" s="29" t="n">
        <f aca="false">a25_sh</f>
        <v>0.454700854700855</v>
      </c>
      <c r="D109" s="29" t="n">
        <f aca="false">a26_sh</f>
        <v>0.508341020486215</v>
      </c>
      <c r="E109" s="29" t="n">
        <f aca="false">a26_shend*(1+sh_g)</f>
        <v>0.52691</v>
      </c>
      <c r="F109" s="29" t="n">
        <f aca="false">E109*(1+sh_g)</f>
        <v>0.52691</v>
      </c>
      <c r="G109" s="29" t="n">
        <f aca="false">F109*(1+sh_g)</f>
        <v>0.52691</v>
      </c>
      <c r="H109" s="31" t="n">
        <f aca="false">G109*(1+sh_g)</f>
        <v>0.52691</v>
      </c>
      <c r="I109" s="31" t="n">
        <f aca="false">H109*(1+sh_g)</f>
        <v>0.52691</v>
      </c>
      <c r="J109" s="31" t="n">
        <f aca="false">I109*(1+sh_g)</f>
        <v>0.52691</v>
      </c>
    </row>
    <row r="110" customFormat="false" ht="17.15" hidden="false" customHeight="false" outlineLevel="0" collapsed="false">
      <c r="A110" s="0" t="s">
        <v>604</v>
      </c>
      <c r="B110" s="0" t="s">
        <v>471</v>
      </c>
      <c r="C110" s="18" t="n">
        <f aca="false">C108/C109</f>
        <v>3.51</v>
      </c>
      <c r="D110" s="18" t="n">
        <f aca="false">D108/D109</f>
        <v>13.6943608612652</v>
      </c>
      <c r="E110" s="18" t="n">
        <f aca="false">E108/E109</f>
        <v>27.3826543218881</v>
      </c>
      <c r="F110" s="18" t="n">
        <f aca="false">F108/F109</f>
        <v>33.9339946062251</v>
      </c>
      <c r="G110" s="18" t="n">
        <f aca="false">G108/G109</f>
        <v>38.555488497046</v>
      </c>
      <c r="H110" s="28" t="n">
        <f aca="false">H108/H109</f>
        <v>42.5028584056742</v>
      </c>
      <c r="I110" s="28" t="n">
        <f aca="false">I108/I109</f>
        <v>46.0912928836456</v>
      </c>
      <c r="J110" s="28" t="n">
        <f aca="false">J108/J109</f>
        <v>49.1552790731219</v>
      </c>
    </row>
    <row r="111" customFormat="false" ht="17.15" hidden="false" customHeight="false" outlineLevel="0" collapsed="false">
      <c r="A111" s="0" t="s">
        <v>752</v>
      </c>
      <c r="B111" s="0" t="s">
        <v>43</v>
      </c>
      <c r="D111" s="20" t="n">
        <f aca="false">D110/C110-1</f>
        <v>2.90152731090177</v>
      </c>
      <c r="E111" s="20" t="n">
        <f aca="false">E110/D110-1</f>
        <v>0.999556941670828</v>
      </c>
      <c r="F111" s="20" t="n">
        <f aca="false">F110/E110-1</f>
        <v>0.239251469464019</v>
      </c>
      <c r="G111" s="20" t="n">
        <f aca="false">G110/F110-1</f>
        <v>0.136190682660539</v>
      </c>
      <c r="H111" s="26" t="n">
        <f aca="false">H110/G110-1</f>
        <v>0.102381530166079</v>
      </c>
      <c r="I111" s="26" t="n">
        <f aca="false">I110/H110-1</f>
        <v>0.0844280740773029</v>
      </c>
      <c r="J111" s="26" t="n">
        <f aca="false">J110/I110-1</f>
        <v>0.0664764643771461</v>
      </c>
    </row>
    <row r="112" customFormat="false" ht="17.15" hidden="false" customHeight="false" outlineLevel="0" collapsed="false">
      <c r="A112" s="3" t="s">
        <v>753</v>
      </c>
      <c r="B112" s="0" t="s">
        <v>43</v>
      </c>
      <c r="C112" s="16" t="n">
        <f aca="false">C108/C88</f>
        <v>0.0405580544331783</v>
      </c>
      <c r="D112" s="16" t="n">
        <f aca="false">D108/D88</f>
        <v>0.127906349105057</v>
      </c>
      <c r="E112" s="16" t="n">
        <f aca="false">E108/E88</f>
        <v>0.20029703939422</v>
      </c>
      <c r="F112" s="16" t="n">
        <f aca="false">F108/F88</f>
        <v>0.212600279706032</v>
      </c>
      <c r="G112" s="16" t="n">
        <f aca="false">G108/G88</f>
        <v>0.216950711948824</v>
      </c>
      <c r="H112" s="27" t="n">
        <f aca="false">$G112+(fade_mA-$G112)*1/3</f>
        <v>0.218292651195033</v>
      </c>
      <c r="I112" s="27" t="n">
        <f aca="false">$G112+(fade_mA-$G112)*2/3</f>
        <v>0.219634590441242</v>
      </c>
      <c r="J112" s="27" t="n">
        <f aca="false">$G112+(fade_mA-$G112)*3/3</f>
        <v>0.220976529687452</v>
      </c>
    </row>
    <row r="113" customFormat="false" ht="17.15" hidden="false" customHeight="false" outlineLevel="0" collapsed="false">
      <c r="A113" s="3" t="s">
        <v>754</v>
      </c>
      <c r="B113" s="0" t="s">
        <v>43</v>
      </c>
      <c r="C113" s="20" t="n">
        <f aca="false">C94/C88</f>
        <v>0.155421717364235</v>
      </c>
      <c r="D113" s="20" t="n">
        <f aca="false">D94/D88</f>
        <v>0.202110028699624</v>
      </c>
      <c r="E113" s="20" t="n">
        <f aca="false">E94/E88</f>
        <v>0.235999708484498</v>
      </c>
      <c r="F113" s="20" t="n">
        <f aca="false">F94/F88</f>
        <v>0.190244621212247</v>
      </c>
      <c r="G113" s="20" t="n">
        <f aca="false">G94/G88</f>
        <v>0.128150314034186</v>
      </c>
      <c r="H113" s="26" t="n">
        <f aca="false">$G113+($G96*(1+tp_g)^(life/2)-$G113)*1/3</f>
        <v>0.129100663765774</v>
      </c>
      <c r="I113" s="26" t="n">
        <f aca="false">$G113+($G96*(1+tp_g)^(life/2)-$G113)*2/3</f>
        <v>0.130051013497362</v>
      </c>
      <c r="J113" s="26" t="n">
        <f aca="false">$G113+($G96*(1+tp_g)^(life/2)-$G113)*3/3</f>
        <v>0.131001363228949</v>
      </c>
      <c r="K113" s="7" t="s">
        <v>755</v>
      </c>
    </row>
    <row r="114" customFormat="false" ht="15" hidden="false" customHeight="false" outlineLevel="0" collapsed="false">
      <c r="A114" s="3" t="s">
        <v>756</v>
      </c>
      <c r="B114" s="0" t="s">
        <v>379</v>
      </c>
      <c r="D114" s="21" t="n">
        <f aca="false">D108+D95-D94</f>
        <v>4.28140537512203</v>
      </c>
      <c r="E114" s="21" t="n">
        <f aca="false">E108+E95-E94</f>
        <v>6.08319438874607</v>
      </c>
      <c r="F114" s="21" t="n">
        <f aca="false">F108+F95-F94</f>
        <v>11.5782860979661</v>
      </c>
      <c r="G114" s="21" t="n">
        <f aca="false">G108+G95-G94</f>
        <v>18.8011318189785</v>
      </c>
      <c r="H114" s="30" t="n">
        <f aca="false">H108+H95-H94</f>
        <v>20.6387827939011</v>
      </c>
      <c r="I114" s="30" t="n">
        <f aca="false">I108+I95-I94</f>
        <v>22.2878285226863</v>
      </c>
      <c r="J114" s="30" t="n">
        <f aca="false">J108+J95-J94</f>
        <v>23.6709959963543</v>
      </c>
      <c r="K114" s="3" t="s">
        <v>757</v>
      </c>
    </row>
    <row r="115" customFormat="false" ht="15" hidden="false" customHeight="false" outlineLevel="0" collapsed="false">
      <c r="A115" s="3" t="s">
        <v>758</v>
      </c>
      <c r="B115" s="0" t="s">
        <v>471</v>
      </c>
      <c r="D115" s="18" t="n">
        <f aca="false">D114/D109</f>
        <v>8.42230943909854</v>
      </c>
      <c r="E115" s="18" t="n">
        <f aca="false">E114/E109</f>
        <v>11.5450349941092</v>
      </c>
      <c r="F115" s="18" t="n">
        <f aca="false">F114/F109</f>
        <v>21.9739350135053</v>
      </c>
      <c r="G115" s="18" t="n">
        <f aca="false">G114/G109</f>
        <v>35.6818656297632</v>
      </c>
      <c r="H115" s="28" t="n">
        <f aca="false">H114/H109</f>
        <v>39.1694649824469</v>
      </c>
      <c r="I115" s="28" t="n">
        <f aca="false">I114/I109</f>
        <v>42.2991184883307</v>
      </c>
      <c r="J115" s="28" t="n">
        <f aca="false">J114/J109</f>
        <v>44.9241730017542</v>
      </c>
    </row>
    <row r="118" customFormat="false" ht="17.15" hidden="false" customHeight="false" outlineLevel="0" collapsed="false">
      <c r="A118" s="1" t="s">
        <v>1093</v>
      </c>
    </row>
    <row r="119" customFormat="false" ht="17.15" hidden="false" customHeight="false" outlineLevel="0" collapsed="false">
      <c r="A119" s="4" t="s">
        <v>20</v>
      </c>
      <c r="B119" s="4" t="s">
        <v>21</v>
      </c>
      <c r="C119" s="13" t="s">
        <v>567</v>
      </c>
      <c r="D119" s="13" t="s">
        <v>671</v>
      </c>
      <c r="E119" s="13" t="s">
        <v>672</v>
      </c>
      <c r="F119" s="13" t="s">
        <v>673</v>
      </c>
      <c r="G119" s="13" t="s">
        <v>674</v>
      </c>
      <c r="H119" s="13" t="s">
        <v>675</v>
      </c>
      <c r="I119" s="13" t="s">
        <v>676</v>
      </c>
      <c r="J119" s="13" t="s">
        <v>677</v>
      </c>
      <c r="K119" s="4" t="s">
        <v>631</v>
      </c>
    </row>
    <row r="120" customFormat="false" ht="17.15" hidden="false" customHeight="false" outlineLevel="0" collapsed="false">
      <c r="A120" s="5" t="s">
        <v>695</v>
      </c>
    </row>
    <row r="121" customFormat="false" ht="17.15" hidden="false" customHeight="false" outlineLevel="0" collapsed="false">
      <c r="A121" s="0" t="s">
        <v>696</v>
      </c>
      <c r="B121" s="3" t="s">
        <v>31</v>
      </c>
      <c r="D121" s="21" t="n">
        <f aca="false">(u_bw_26+u_rb_26+u_ru_26+u_hp_26)*1</f>
        <v>7.6</v>
      </c>
      <c r="E121" s="21" t="n">
        <f aca="false">(u_bw_27+u_rb_27+u_ru_27+u_hp_27)*1*1.2</f>
        <v>11.64</v>
      </c>
      <c r="F121" s="21" t="n">
        <f aca="false">(u_bw_28+u_rb_28+u_ru_28+u_hp_28)*um28_A*1.2</f>
        <v>11.4</v>
      </c>
      <c r="G121" s="21" t="n">
        <f aca="false">(u_bw_28*(1+g29_bw)+u_rb_28*(1+g29_rb)+u_ru_28*(1+g29_ru)+u_hp_28*(1+g29_hp))*um29_A*1.2</f>
        <v>12.72</v>
      </c>
      <c r="K121" s="7" t="s">
        <v>697</v>
      </c>
    </row>
    <row r="122" customFormat="false" ht="17.15" hidden="false" customHeight="false" outlineLevel="0" collapsed="false">
      <c r="A122" s="3" t="s">
        <v>698</v>
      </c>
      <c r="B122" s="3" t="s">
        <v>31</v>
      </c>
      <c r="D122" s="21" t="n">
        <f aca="false">(u_amd_26+u_tpu_26+u_trn_26+u_oth_26)*1</f>
        <v>7.6</v>
      </c>
      <c r="E122" s="21" t="n">
        <f aca="false">(u_amd_27+u_tpu_27+u_trn_27+u_oth_27)*1*1.2</f>
        <v>16.8</v>
      </c>
      <c r="F122" s="21" t="n">
        <f aca="false">(u_amd_28+u_tpu_28+u_trn_28+u_oth_28)*um28_A*1.2</f>
        <v>20.4</v>
      </c>
      <c r="G122" s="21" t="n">
        <f aca="false">(u_amd_28*(1+g29_amd)+u_tpu_28*(1+g29_tpu)+u_trn_28*(1+g29_trn)+u_oth_28*(1+g29_oth))*um29_A*1.2</f>
        <v>23.46</v>
      </c>
      <c r="K122" s="7" t="s">
        <v>699</v>
      </c>
    </row>
    <row r="123" customFormat="false" ht="17.15" hidden="false" customHeight="false" outlineLevel="0" collapsed="false">
      <c r="A123" s="0" t="s">
        <v>700</v>
      </c>
      <c r="B123" s="3" t="s">
        <v>31</v>
      </c>
      <c r="D123" s="21" t="n">
        <f aca="false">D121*cpu_r</f>
        <v>3.04</v>
      </c>
      <c r="E123" s="21" t="n">
        <f aca="false">E121*cpu_r</f>
        <v>4.656</v>
      </c>
      <c r="F123" s="21" t="n">
        <f aca="false">F121*cpu_r</f>
        <v>4.56</v>
      </c>
      <c r="G123" s="21" t="n">
        <f aca="false">G121*cpu_r</f>
        <v>5.088</v>
      </c>
      <c r="K123" s="7" t="s">
        <v>701</v>
      </c>
    </row>
    <row r="124" customFormat="false" ht="17.15" hidden="false" customHeight="false" outlineLevel="0" collapsed="false">
      <c r="A124" s="3" t="s">
        <v>702</v>
      </c>
      <c r="B124" s="0" t="s">
        <v>153</v>
      </c>
      <c r="D124" s="19" t="n">
        <f aca="false">1</f>
        <v>1</v>
      </c>
      <c r="E124" s="19" t="n">
        <f aca="false">D124*(1+g_asp)</f>
        <v>1.18</v>
      </c>
      <c r="F124" s="19" t="n">
        <f aca="false">E124*(1+g_asp)</f>
        <v>1.3924</v>
      </c>
      <c r="G124" s="19" t="n">
        <f aca="false">F124*(1+g_asp)</f>
        <v>1.643032</v>
      </c>
      <c r="K124" s="7" t="s">
        <v>703</v>
      </c>
    </row>
    <row r="125" customFormat="false" ht="17.15" hidden="false" customHeight="false" outlineLevel="0" collapsed="false">
      <c r="A125" s="0" t="s">
        <v>704</v>
      </c>
      <c r="B125" s="0" t="s">
        <v>153</v>
      </c>
      <c r="D125" s="18" t="n">
        <f aca="false">1</f>
        <v>1</v>
      </c>
      <c r="E125" s="18" t="n">
        <f aca="false">ibpp_27</f>
        <v>1</v>
      </c>
      <c r="F125" s="18" t="n">
        <f aca="false">ibpp_28</f>
        <v>0.95</v>
      </c>
      <c r="G125" s="18" t="n">
        <f aca="false">ibpp_29</f>
        <v>0.9</v>
      </c>
      <c r="K125" s="7" t="s">
        <v>705</v>
      </c>
    </row>
    <row r="126" customFormat="false" ht="17.15" hidden="false" customHeight="false" outlineLevel="0" collapsed="false">
      <c r="A126" s="3" t="s">
        <v>706</v>
      </c>
      <c r="B126" s="0" t="s">
        <v>153</v>
      </c>
      <c r="D126" s="18" t="n">
        <f aca="false">1</f>
        <v>1</v>
      </c>
      <c r="E126" s="18" t="n">
        <f aca="false">1+carry</f>
        <v>1.15</v>
      </c>
      <c r="F126" s="18" t="n">
        <f aca="false">1+carry</f>
        <v>1.15</v>
      </c>
      <c r="G126" s="18" t="n">
        <f aca="false">1+carry</f>
        <v>1.15</v>
      </c>
      <c r="K126" s="7" t="s">
        <v>707</v>
      </c>
    </row>
    <row r="127" customFormat="false" ht="17.15" hidden="false" customHeight="false" outlineLevel="0" collapsed="false">
      <c r="A127" s="3" t="s">
        <v>708</v>
      </c>
      <c r="B127" s="0" t="s">
        <v>709</v>
      </c>
      <c r="D127" s="23" t="n">
        <f aca="false">v26*D124*D125</f>
        <v>215.308596</v>
      </c>
      <c r="E127" s="23" t="n">
        <f aca="false">v26*E124*E125</f>
        <v>254.06414328</v>
      </c>
      <c r="F127" s="23" t="n">
        <f aca="false">v26*F124*F125</f>
        <v>284.80590461688</v>
      </c>
      <c r="G127" s="23" t="n">
        <f aca="false">v26*G124*G125</f>
        <v>318.383021792765</v>
      </c>
      <c r="K127" s="7" t="s">
        <v>710</v>
      </c>
    </row>
    <row r="128" customFormat="false" ht="17.15" hidden="false" customHeight="false" outlineLevel="0" collapsed="false">
      <c r="A128" s="3" t="s">
        <v>711</v>
      </c>
      <c r="B128" s="0" t="s">
        <v>43</v>
      </c>
      <c r="D128" s="20" t="n">
        <f aca="false">sh_nv_26</f>
        <v>0.02</v>
      </c>
      <c r="E128" s="20" t="n">
        <f aca="false">sh_nv_27</f>
        <v>0.03</v>
      </c>
      <c r="F128" s="20" t="n">
        <f aca="false">sh_nv_28</f>
        <v>0.05</v>
      </c>
      <c r="G128" s="20" t="n">
        <f aca="false">sh_nv_29</f>
        <v>0.06</v>
      </c>
    </row>
    <row r="129" customFormat="false" ht="17.15" hidden="false" customHeight="false" outlineLevel="0" collapsed="false">
      <c r="A129" s="3" t="s">
        <v>712</v>
      </c>
      <c r="B129" s="0" t="s">
        <v>43</v>
      </c>
      <c r="D129" s="20" t="n">
        <f aca="false">sh_ot_26</f>
        <v>0.03</v>
      </c>
      <c r="E129" s="20" t="n">
        <f aca="false">sh_ot_27</f>
        <v>0.05</v>
      </c>
      <c r="F129" s="20" t="n">
        <f aca="false">sh_ot_28</f>
        <v>0.06</v>
      </c>
      <c r="G129" s="20" t="n">
        <f aca="false">sh_ot_29</f>
        <v>0.06</v>
      </c>
    </row>
    <row r="130" customFormat="false" ht="17.15" hidden="false" customHeight="false" outlineLevel="0" collapsed="false">
      <c r="A130" s="3" t="s">
        <v>713</v>
      </c>
      <c r="B130" s="0" t="s">
        <v>43</v>
      </c>
      <c r="D130" s="20" t="n">
        <f aca="false">sh_cpu_26</f>
        <v>0.35</v>
      </c>
      <c r="E130" s="20" t="n">
        <f aca="false">sh_cpu_27</f>
        <v>0.7</v>
      </c>
      <c r="F130" s="20" t="n">
        <f aca="false">sh_cpu_28</f>
        <v>0.75</v>
      </c>
      <c r="G130" s="20" t="n">
        <f aca="false">sh_cpu_29</f>
        <v>0.7</v>
      </c>
    </row>
    <row r="131" customFormat="false" ht="17.15" hidden="false" customHeight="false" outlineLevel="0" collapsed="false">
      <c r="A131" s="3" t="s">
        <v>714</v>
      </c>
      <c r="B131" s="0" t="s">
        <v>661</v>
      </c>
      <c r="D131" s="22" t="n">
        <f aca="false">(D121*D127*D128+D122*D127*v_ot*D129+D123*D127*v_cpu*D130)*D126</f>
        <v>140.7256983456</v>
      </c>
      <c r="E131" s="22" t="n">
        <f aca="false">(E121*E127*E128+E122*E127*v_ot*E129+E123*E127*v_cpu*E130)*E126</f>
        <v>584.043668828637</v>
      </c>
      <c r="F131" s="22" t="n">
        <f aca="false">(F121*F127*F128+F122*F127*v_ot*F129+F123*F127*v_cpu*F130)*F126</f>
        <v>843.446990404798</v>
      </c>
      <c r="G131" s="22" t="n">
        <f aca="false">(G121*G127*G128+G122*G127*v_ot*G129+G123*G127*v_cpu*G130)*G126</f>
        <v>1082.95565151843</v>
      </c>
    </row>
    <row r="132" customFormat="false" ht="17.15" hidden="false" customHeight="false" outlineLevel="0" collapsed="false">
      <c r="A132" s="3" t="s">
        <v>715</v>
      </c>
      <c r="B132" s="0" t="s">
        <v>379</v>
      </c>
      <c r="D132" s="21" t="n">
        <f aca="false">D131*fx/1000</f>
        <v>4.5032223470592</v>
      </c>
      <c r="E132" s="21" t="n">
        <f aca="false">E131*fx/1000</f>
        <v>18.6893974025164</v>
      </c>
      <c r="F132" s="21" t="n">
        <f aca="false">F131*fx/1000</f>
        <v>26.9903036929535</v>
      </c>
      <c r="G132" s="21" t="n">
        <f aca="false">G131*fx/1000</f>
        <v>34.6545808485899</v>
      </c>
    </row>
    <row r="133" customFormat="false" ht="17.15" hidden="false" customHeight="false" outlineLevel="0" collapsed="false">
      <c r="A133" s="5" t="s">
        <v>716</v>
      </c>
    </row>
    <row r="134" customFormat="false" ht="17.15" hidden="false" customHeight="false" outlineLevel="0" collapsed="false">
      <c r="A134" s="0" t="s">
        <v>717</v>
      </c>
      <c r="B134" s="0" t="s">
        <v>379</v>
      </c>
      <c r="D134" s="21" t="n">
        <f aca="false">a26_abf*ai_abf</f>
        <v>5.714709</v>
      </c>
      <c r="K134" s="3" t="s">
        <v>718</v>
      </c>
    </row>
    <row r="135" customFormat="false" ht="17.15" hidden="false" customHeight="false" outlineLevel="0" collapsed="false">
      <c r="A135" s="3" t="s">
        <v>719</v>
      </c>
      <c r="B135" s="0" t="s">
        <v>379</v>
      </c>
      <c r="D135" s="21" t="n">
        <f aca="false">D134-D132</f>
        <v>1.2114866529408</v>
      </c>
      <c r="E135" s="21" t="n">
        <f aca="false">$D135*(swm_27/swm_26)^el_o*1*1.2*E125*E126</f>
        <v>2.3384401922015</v>
      </c>
      <c r="F135" s="21" t="n">
        <f aca="false">$D135*(swm_28/swm_26)^el_o*um28_A*1.2*F125*F126</f>
        <v>2.38979546759008</v>
      </c>
      <c r="G135" s="21" t="n">
        <f aca="false">$D135*(swm_29/swm_26)^el_o*um29_A*1.2*G125*G126</f>
        <v>2.41527115968426</v>
      </c>
      <c r="K135" s="7" t="s">
        <v>720</v>
      </c>
    </row>
    <row r="136" customFormat="false" ht="17.15" hidden="false" customHeight="false" outlineLevel="0" collapsed="false">
      <c r="A136" s="3" t="s">
        <v>721</v>
      </c>
      <c r="B136" s="0" t="s">
        <v>379</v>
      </c>
      <c r="D136" s="21" t="n">
        <f aca="false">a26_abf-D134</f>
        <v>17.144127</v>
      </c>
      <c r="E136" s="21" t="n">
        <f aca="false">$D136*(1+g_nai)^1*E126</f>
        <v>20.898690813</v>
      </c>
      <c r="F136" s="21" t="n">
        <f aca="false">$D136*(1+g_nai)^2*F126</f>
        <v>22.15261226178</v>
      </c>
      <c r="G136" s="21" t="n">
        <f aca="false">$D136*(1+g_nai)^3*G126</f>
        <v>23.4817689974868</v>
      </c>
      <c r="K136" s="3" t="s">
        <v>722</v>
      </c>
    </row>
    <row r="137" customFormat="false" ht="17.15" hidden="false" customHeight="false" outlineLevel="0" collapsed="false">
      <c r="A137" s="0" t="s">
        <v>723</v>
      </c>
      <c r="B137" s="0" t="s">
        <v>379</v>
      </c>
      <c r="D137" s="21" t="n">
        <f aca="false">D132+D135+D136</f>
        <v>22.858836</v>
      </c>
      <c r="E137" s="21" t="n">
        <f aca="false">E132+E135+E136</f>
        <v>41.9265284077179</v>
      </c>
      <c r="F137" s="21" t="n">
        <f aca="false">F132+F135+F136</f>
        <v>51.5327114223236</v>
      </c>
      <c r="G137" s="21" t="n">
        <f aca="false">G132+G135+G136</f>
        <v>60.5516210057609</v>
      </c>
    </row>
    <row r="138" customFormat="false" ht="17.15" hidden="false" customHeight="false" outlineLevel="0" collapsed="false">
      <c r="A138" s="0" t="s">
        <v>724</v>
      </c>
      <c r="B138" s="0" t="s">
        <v>379</v>
      </c>
      <c r="D138" s="21" t="n">
        <f aca="false">a26_abf</f>
        <v>22.858836</v>
      </c>
      <c r="E138" s="21" t="n">
        <f aca="false">$D137*cap_27*(1+g_mix)^1*E125*E126</f>
        <v>33.122453364</v>
      </c>
      <c r="F138" s="21" t="n">
        <f aca="false">$D137*cap_28*(1+g_mix)^2*F125*F126</f>
        <v>41.2995590382375</v>
      </c>
      <c r="G138" s="21" t="n">
        <f aca="false">$D137*cap_29*(1+g_mix)^3*G125*G126</f>
        <v>50.6680379569114</v>
      </c>
      <c r="K138" s="7" t="s">
        <v>725</v>
      </c>
    </row>
    <row r="139" customFormat="false" ht="17.15" hidden="false" customHeight="false" outlineLevel="0" collapsed="false">
      <c r="A139" s="0" t="s">
        <v>726</v>
      </c>
      <c r="B139" s="0" t="s">
        <v>379</v>
      </c>
      <c r="D139" s="21" t="n">
        <f aca="false">a26_abf</f>
        <v>22.858836</v>
      </c>
      <c r="E139" s="21" t="n">
        <f aca="false">MIN(E137,E138)</f>
        <v>33.122453364</v>
      </c>
      <c r="F139" s="21" t="n">
        <f aca="false">MIN(F137,F138)</f>
        <v>41.2995590382375</v>
      </c>
      <c r="G139" s="21" t="n">
        <f aca="false">MIN(G137,G138)</f>
        <v>50.6680379569114</v>
      </c>
    </row>
    <row r="140" customFormat="false" ht="17.15" hidden="false" customHeight="false" outlineLevel="0" collapsed="false">
      <c r="A140" s="3" t="s">
        <v>727</v>
      </c>
      <c r="B140" s="0" t="s">
        <v>43</v>
      </c>
      <c r="D140" s="20" t="n">
        <f aca="false">D139/D137</f>
        <v>1</v>
      </c>
      <c r="E140" s="20" t="n">
        <f aca="false">E139/E137</f>
        <v>0.790011828355977</v>
      </c>
      <c r="F140" s="20" t="n">
        <f aca="false">F139/F137</f>
        <v>0.801424142032372</v>
      </c>
      <c r="G140" s="20" t="n">
        <f aca="false">G139/G137</f>
        <v>0.836774261618707</v>
      </c>
    </row>
    <row r="141" customFormat="false" ht="17.15" hidden="false" customHeight="false" outlineLevel="0" collapsed="false">
      <c r="A141" s="0" t="s">
        <v>728</v>
      </c>
      <c r="B141" s="0" t="s">
        <v>379</v>
      </c>
      <c r="D141" s="21" t="n">
        <f aca="false">(D132+D135)*D140</f>
        <v>5.714709</v>
      </c>
      <c r="E141" s="21" t="n">
        <f aca="false">(E132+E135)*E140</f>
        <v>16.6122404245756</v>
      </c>
      <c r="F141" s="21" t="n">
        <f aca="false">(F132+F135)*F140</f>
        <v>23.5459207625647</v>
      </c>
      <c r="G141" s="21" t="n">
        <f aca="false">(G132+G135)*G140</f>
        <v>31.0190980425383</v>
      </c>
    </row>
    <row r="142" customFormat="false" ht="17.15" hidden="false" customHeight="false" outlineLevel="0" collapsed="false">
      <c r="A142" s="3" t="s">
        <v>729</v>
      </c>
      <c r="B142" s="0" t="s">
        <v>43</v>
      </c>
      <c r="D142" s="20" t="n">
        <f aca="false">D132/(D132+D135)</f>
        <v>0.788005539225042</v>
      </c>
      <c r="E142" s="20" t="n">
        <f aca="false">E132/(E132+E135)</f>
        <v>0.888793120944167</v>
      </c>
      <c r="F142" s="20" t="n">
        <f aca="false">F132/(F132+F135)</f>
        <v>0.918659380469366</v>
      </c>
      <c r="G142" s="20" t="n">
        <f aca="false">G132/(G132+G135)</f>
        <v>0.934845405934041</v>
      </c>
    </row>
    <row r="143" customFormat="false" ht="17.15" hidden="false" customHeight="false" outlineLevel="0" collapsed="false">
      <c r="A143" s="5" t="s">
        <v>730</v>
      </c>
    </row>
    <row r="144" customFormat="false" ht="17.15" hidden="false" customHeight="false" outlineLevel="0" collapsed="false">
      <c r="A144" s="0" t="s">
        <v>731</v>
      </c>
      <c r="B144" s="0" t="s">
        <v>379</v>
      </c>
      <c r="D144" s="21" t="n">
        <f aca="false">a26_bt</f>
        <v>23.265964</v>
      </c>
      <c r="E144" s="21" t="n">
        <f aca="false">D144*(1+g_bt27_A)</f>
        <v>29.78043392</v>
      </c>
      <c r="F144" s="21" t="n">
        <f aca="false">E144*(1+g_bt28_A)</f>
        <v>32.758477312</v>
      </c>
      <c r="G144" s="21" t="n">
        <f aca="false">F144*(1+g_bt29_A)</f>
        <v>34.3964011776</v>
      </c>
      <c r="K144" s="7" t="s">
        <v>732</v>
      </c>
    </row>
    <row r="145" customFormat="false" ht="17.15" hidden="false" customHeight="false" outlineLevel="0" collapsed="false">
      <c r="A145" s="3" t="s">
        <v>617</v>
      </c>
      <c r="B145" s="0" t="s">
        <v>379</v>
      </c>
      <c r="C145" s="21" t="n">
        <f aca="false">a25_lens</f>
        <v>7.039</v>
      </c>
      <c r="D145" s="21" t="n">
        <f aca="false">a26_lens</f>
        <v>8.301</v>
      </c>
      <c r="E145" s="21" t="n">
        <f aca="false">D145*(1+g_lens)</f>
        <v>9.1311</v>
      </c>
      <c r="F145" s="21" t="n">
        <f aca="false">E145*(1+g_lens)</f>
        <v>10.04421</v>
      </c>
      <c r="G145" s="21" t="n">
        <f aca="false">F145*(1+g_lens)</f>
        <v>11.048631</v>
      </c>
      <c r="K145" s="3" t="s">
        <v>733</v>
      </c>
    </row>
    <row r="146" customFormat="false" ht="17.15" hidden="false" customHeight="false" outlineLevel="0" collapsed="false">
      <c r="A146" s="3" t="s">
        <v>574</v>
      </c>
      <c r="B146" s="0" t="s">
        <v>379</v>
      </c>
      <c r="C146" s="23" t="n">
        <f aca="false">a25_rev</f>
        <v>39.351</v>
      </c>
      <c r="D146" s="23" t="n">
        <f aca="false">D139+D144+D145</f>
        <v>54.4258</v>
      </c>
      <c r="E146" s="23" t="n">
        <f aca="false">E139+E144+E145</f>
        <v>72.033987284</v>
      </c>
      <c r="F146" s="23" t="n">
        <f aca="false">F139+F144+F145</f>
        <v>84.1022463502375</v>
      </c>
      <c r="G146" s="23" t="n">
        <f aca="false">G139+G144+G145</f>
        <v>96.1130701345114</v>
      </c>
      <c r="H146" s="25" t="n">
        <f aca="false">G146*(1+H148)</f>
        <v>107.186075216063</v>
      </c>
      <c r="I146" s="25" t="n">
        <f aca="false">H146*(1+I148)</f>
        <v>116.576010002736</v>
      </c>
      <c r="J146" s="25" t="n">
        <f aca="false">I146*(1+J148)</f>
        <v>123.5705706029</v>
      </c>
      <c r="K146" s="7" t="s">
        <v>734</v>
      </c>
    </row>
    <row r="147" customFormat="false" ht="17.15" hidden="false" customHeight="false" outlineLevel="0" collapsed="false">
      <c r="A147" s="3" t="s">
        <v>735</v>
      </c>
      <c r="B147" s="0" t="s">
        <v>379</v>
      </c>
      <c r="D147" s="19" t="n">
        <f aca="false">D139+D144+D145-D146</f>
        <v>0</v>
      </c>
      <c r="E147" s="19" t="n">
        <f aca="false">E139+E144+E145-E146</f>
        <v>0</v>
      </c>
      <c r="F147" s="19" t="n">
        <f aca="false">F139+F144+F145-F146</f>
        <v>0</v>
      </c>
      <c r="G147" s="19" t="n">
        <f aca="false">G139+G144+G145-G146</f>
        <v>0</v>
      </c>
    </row>
    <row r="148" customFormat="false" ht="15" hidden="false" customHeight="false" outlineLevel="0" collapsed="false">
      <c r="A148" s="3" t="s">
        <v>736</v>
      </c>
      <c r="B148" s="0" t="s">
        <v>43</v>
      </c>
      <c r="D148" s="20" t="n">
        <f aca="false">D146/C146-1</f>
        <v>0.383085563263958</v>
      </c>
      <c r="E148" s="20" t="n">
        <f aca="false">E146/D146-1</f>
        <v>0.323526476119781</v>
      </c>
      <c r="F148" s="20" t="n">
        <f aca="false">F146/E146-1</f>
        <v>0.167535624796909</v>
      </c>
      <c r="G148" s="20" t="n">
        <f aca="false">G146/F146-1</f>
        <v>0.142812163830389</v>
      </c>
      <c r="H148" s="26" t="n">
        <f aca="false">$G148+(fade_gA-$G148)*1/3</f>
        <v>0.115208109220259</v>
      </c>
      <c r="I148" s="26" t="n">
        <f aca="false">$G148+(fade_gA-$G148)*2/3</f>
        <v>0.0876040546101297</v>
      </c>
      <c r="J148" s="26" t="n">
        <f aca="false">$G148+(fade_gA-$G148)*3/3</f>
        <v>0.06</v>
      </c>
    </row>
    <row r="149" customFormat="false" ht="17.15" hidden="false" customHeight="false" outlineLevel="0" collapsed="false">
      <c r="A149" s="0" t="s">
        <v>737</v>
      </c>
      <c r="B149" s="0" t="s">
        <v>43</v>
      </c>
      <c r="D149" s="20" t="n">
        <f aca="false">D139/D146</f>
        <v>0.42</v>
      </c>
      <c r="E149" s="20" t="n">
        <f aca="false">E139/E146</f>
        <v>0.459817019893845</v>
      </c>
      <c r="F149" s="20" t="n">
        <f aca="false">F139/F146</f>
        <v>0.491063685341395</v>
      </c>
      <c r="G149" s="20" t="n">
        <f aca="false">G139/G146</f>
        <v>0.527171152539409</v>
      </c>
    </row>
    <row r="150" customFormat="false" ht="17.15" hidden="false" customHeight="false" outlineLevel="0" collapsed="false">
      <c r="A150" s="0" t="s">
        <v>738</v>
      </c>
      <c r="B150" s="0" t="s">
        <v>43</v>
      </c>
      <c r="D150" s="20" t="n">
        <f aca="false">D141/D146</f>
        <v>0.105</v>
      </c>
      <c r="E150" s="20" t="n">
        <f aca="false">E141/E146</f>
        <v>0.230616699851425</v>
      </c>
      <c r="F150" s="20" t="n">
        <f aca="false">F141/F146</f>
        <v>0.279967798535481</v>
      </c>
      <c r="G150" s="20" t="n">
        <f aca="false">G141/G146</f>
        <v>0.322735482272356</v>
      </c>
      <c r="K150" s="3" t="s">
        <v>739</v>
      </c>
    </row>
    <row r="151" customFormat="false" ht="17.15" hidden="false" customHeight="false" outlineLevel="0" collapsed="false">
      <c r="A151" s="5" t="s">
        <v>740</v>
      </c>
    </row>
    <row r="152" customFormat="false" ht="15" hidden="false" customHeight="false" outlineLevel="0" collapsed="false">
      <c r="A152" s="3" t="s">
        <v>741</v>
      </c>
      <c r="B152" s="0" t="s">
        <v>379</v>
      </c>
      <c r="C152" s="23" t="n">
        <f aca="false">a25_cx</f>
        <v>6.116</v>
      </c>
      <c r="D152" s="23" t="n">
        <f aca="false">capex26</f>
        <v>11</v>
      </c>
      <c r="E152" s="23" t="n">
        <f aca="false">cx27</f>
        <v>17</v>
      </c>
      <c r="F152" s="23" t="n">
        <f aca="false">cx28</f>
        <v>16</v>
      </c>
      <c r="G152" s="23" t="n">
        <f aca="false">cx29</f>
        <v>12</v>
      </c>
      <c r="H152" s="25" t="n">
        <f aca="false">H146*H171</f>
        <v>13.4817405534162</v>
      </c>
      <c r="I152" s="25" t="n">
        <f aca="false">I146*I171</f>
        <v>14.77073304233</v>
      </c>
      <c r="J152" s="25" t="n">
        <f aca="false">J146*J171</f>
        <v>15.7713906192965</v>
      </c>
    </row>
    <row r="153" customFormat="false" ht="17.15" hidden="false" customHeight="false" outlineLevel="0" collapsed="false">
      <c r="A153" s="3" t="s">
        <v>742</v>
      </c>
      <c r="B153" s="0" t="s">
        <v>379</v>
      </c>
      <c r="C153" s="23" t="n">
        <f aca="false">a25_da</f>
        <v>7.158</v>
      </c>
      <c r="D153" s="23" t="n">
        <f aca="false">da26</f>
        <v>8.32</v>
      </c>
      <c r="E153" s="23" t="n">
        <f aca="false">D153*(1-1/life)+D152/life</f>
        <v>8.655</v>
      </c>
      <c r="F153" s="23" t="n">
        <f aca="false">E153*(1-1/life)+E152/life</f>
        <v>9.698125</v>
      </c>
      <c r="G153" s="23" t="n">
        <f aca="false">F153*(1-1/life)+F152/life</f>
        <v>10.485859375</v>
      </c>
      <c r="H153" s="25" t="n">
        <f aca="false">H146*H154</f>
        <v>11.6939154071433</v>
      </c>
      <c r="I153" s="25" t="n">
        <f aca="false">I146*I154</f>
        <v>12.7183498110769</v>
      </c>
      <c r="J153" s="25" t="n">
        <f aca="false">J146*J154</f>
        <v>13.4814507997415</v>
      </c>
      <c r="K153" s="3" t="s">
        <v>743</v>
      </c>
    </row>
    <row r="154" customFormat="false" ht="17.15" hidden="false" customHeight="false" outlineLevel="0" collapsed="false">
      <c r="A154" s="3" t="s">
        <v>744</v>
      </c>
      <c r="B154" s="0" t="s">
        <v>43</v>
      </c>
      <c r="C154" s="20" t="n">
        <f aca="false">C153/C146</f>
        <v>0.181901349393916</v>
      </c>
      <c r="D154" s="20" t="n">
        <f aca="false">D153/D146</f>
        <v>0.152868676252807</v>
      </c>
      <c r="E154" s="20" t="n">
        <f aca="false">E153/E146</f>
        <v>0.120151616290196</v>
      </c>
      <c r="F154" s="20" t="n">
        <f aca="false">F153/F146</f>
        <v>0.115313507318376</v>
      </c>
      <c r="G154" s="20" t="n">
        <f aca="false">G153/G146</f>
        <v>0.109099203264706</v>
      </c>
      <c r="H154" s="26" t="n">
        <f aca="false">$G154</f>
        <v>0.109099203264706</v>
      </c>
      <c r="I154" s="26" t="n">
        <f aca="false">$G154</f>
        <v>0.109099203264706</v>
      </c>
      <c r="J154" s="26" t="n">
        <f aca="false">$G154</f>
        <v>0.109099203264706</v>
      </c>
    </row>
    <row r="155" customFormat="false" ht="17.15" hidden="false" customHeight="false" outlineLevel="0" collapsed="false">
      <c r="A155" s="0" t="s">
        <v>745</v>
      </c>
      <c r="B155" s="0" t="s">
        <v>379</v>
      </c>
      <c r="E155" s="21" t="n">
        <f aca="false">E140*((E132+E135)*(1-1/(E125*E126))+E136*(1-1/E126))</f>
        <v>4.320320004</v>
      </c>
      <c r="F155" s="21" t="n">
        <f aca="false">F140*((F132+F135)*(1-1/(F125*F126))+F136*(1-1/F126))</f>
        <v>4.30928249411497</v>
      </c>
      <c r="G155" s="21" t="n">
        <f aca="false">G140*((G132+G135)*(1-1/(G125*G126))+G136*(1-1/G126))</f>
        <v>3.61186021249198</v>
      </c>
      <c r="K155" s="7" t="s">
        <v>746</v>
      </c>
    </row>
    <row r="156" customFormat="false" ht="17.15" hidden="false" customHeight="false" outlineLevel="0" collapsed="false">
      <c r="A156" s="3" t="s">
        <v>747</v>
      </c>
      <c r="B156" s="0" t="s">
        <v>379</v>
      </c>
      <c r="C156" s="21" t="n">
        <f aca="false">a25_gp</f>
        <v>8.314</v>
      </c>
      <c r="D156" s="21" t="n">
        <f aca="false">a26_gp</f>
        <v>15.328536</v>
      </c>
      <c r="E156" s="21" t="n">
        <f aca="false">$D156+ft_abf*(E139-E155-$D139)+ft_bt*(E144-$D144)+ft_lens*(E145-$D145)+E155-(E153-$D153)</f>
        <v>25.590561148</v>
      </c>
      <c r="F156" s="21" t="n">
        <f aca="false">$D156+ft_abf*(F139-F155-$D139)+ft_bt*(F144-$D144)+ft_lens*(F145-$D145)+F155-(F153-$D153)</f>
        <v>30.3814892565762</v>
      </c>
      <c r="G156" s="21" t="n">
        <f aca="false">$D156+ft_abf*(G139-G155-$D139)+ft_bt*(G144-$D144)+ft_lens*(G145-$D145)+G155-(G153-$D153)</f>
        <v>35.1183383896217</v>
      </c>
      <c r="K156" s="3" t="s">
        <v>748</v>
      </c>
    </row>
    <row r="157" customFormat="false" ht="15" hidden="false" customHeight="false" outlineLevel="0" collapsed="false">
      <c r="A157" s="3" t="s">
        <v>581</v>
      </c>
      <c r="B157" s="0" t="s">
        <v>43</v>
      </c>
      <c r="C157" s="16" t="n">
        <f aca="false">C156/C146</f>
        <v>0.211277985311682</v>
      </c>
      <c r="D157" s="16" t="n">
        <f aca="false">D156/D146</f>
        <v>0.281640986443929</v>
      </c>
      <c r="E157" s="16" t="n">
        <f aca="false">E156/E146</f>
        <v>0.3552567629931</v>
      </c>
      <c r="F157" s="16" t="n">
        <f aca="false">F156/F146</f>
        <v>0.361244682217581</v>
      </c>
      <c r="G157" s="16" t="n">
        <f aca="false">G156/G146</f>
        <v>0.365385668572164</v>
      </c>
    </row>
    <row r="158" customFormat="false" ht="15" hidden="false" customHeight="false" outlineLevel="0" collapsed="false">
      <c r="A158" s="3" t="s">
        <v>583</v>
      </c>
      <c r="B158" s="0" t="s">
        <v>379</v>
      </c>
      <c r="C158" s="21" t="n">
        <f aca="false">a25_opx</f>
        <v>5.644</v>
      </c>
      <c r="D158" s="21" t="n">
        <f aca="false">a26_opx</f>
        <v>6.54036</v>
      </c>
      <c r="E158" s="21" t="n">
        <f aca="false">D158*(1+phi*E148)</f>
        <v>7.80994777401287</v>
      </c>
      <c r="F158" s="21" t="n">
        <f aca="false">E158*(1+phi*F148)</f>
        <v>8.59501446198315</v>
      </c>
      <c r="G158" s="21" t="n">
        <f aca="false">F158*(1+phi*G148)</f>
        <v>9.33149803006473</v>
      </c>
    </row>
    <row r="159" customFormat="false" ht="15" hidden="false" customHeight="false" outlineLevel="0" collapsed="false">
      <c r="A159" s="3" t="s">
        <v>586</v>
      </c>
      <c r="B159" s="0" t="s">
        <v>379</v>
      </c>
      <c r="C159" s="21" t="n">
        <f aca="false">C156-C158</f>
        <v>2.67</v>
      </c>
      <c r="D159" s="21" t="n">
        <f aca="false">D156-D158</f>
        <v>8.788176</v>
      </c>
      <c r="E159" s="21" t="n">
        <f aca="false">E156-E158</f>
        <v>17.7806133739871</v>
      </c>
      <c r="F159" s="21" t="n">
        <f aca="false">F156-F158</f>
        <v>21.7864747945931</v>
      </c>
      <c r="G159" s="21" t="n">
        <f aca="false">G156-G158</f>
        <v>25.786840359557</v>
      </c>
    </row>
    <row r="160" customFormat="false" ht="15" hidden="false" customHeight="false" outlineLevel="0" collapsed="false">
      <c r="A160" s="3" t="s">
        <v>684</v>
      </c>
      <c r="B160" s="0" t="s">
        <v>43</v>
      </c>
      <c r="C160" s="16" t="n">
        <f aca="false">C159/C146</f>
        <v>0.0678508805367081</v>
      </c>
      <c r="D160" s="16" t="n">
        <f aca="false">D159/D146</f>
        <v>0.161470773052486</v>
      </c>
      <c r="E160" s="16" t="n">
        <f aca="false">E159/E146</f>
        <v>0.246836445466854</v>
      </c>
      <c r="F160" s="16" t="n">
        <f aca="false">F159/F146</f>
        <v>0.25904747780297</v>
      </c>
      <c r="G160" s="16" t="n">
        <f aca="false">G159/G146</f>
        <v>0.268296916574072</v>
      </c>
    </row>
    <row r="161" customFormat="false" ht="15" hidden="false" customHeight="false" outlineLevel="0" collapsed="false">
      <c r="A161" s="3" t="s">
        <v>589</v>
      </c>
      <c r="B161" s="0" t="s">
        <v>379</v>
      </c>
      <c r="C161" s="21" t="n">
        <f aca="false">a25_nonop</f>
        <v>0.417</v>
      </c>
      <c r="D161" s="21" t="n">
        <f aca="false">a26_nonop</f>
        <v>0.37882</v>
      </c>
      <c r="E161" s="21" t="n">
        <f aca="false">nonop27</f>
        <v>0.4</v>
      </c>
      <c r="F161" s="21" t="n">
        <f aca="false">nonop28</f>
        <v>0.4</v>
      </c>
      <c r="G161" s="21" t="n">
        <f aca="false">nonop29</f>
        <v>0.4</v>
      </c>
    </row>
    <row r="162" customFormat="false" ht="15" hidden="false" customHeight="false" outlineLevel="0" collapsed="false">
      <c r="A162" s="3" t="s">
        <v>591</v>
      </c>
      <c r="B162" s="0" t="s">
        <v>379</v>
      </c>
      <c r="C162" s="21" t="n">
        <f aca="false">C159+C161</f>
        <v>3.087</v>
      </c>
      <c r="D162" s="21" t="n">
        <f aca="false">D159+D161</f>
        <v>9.166996</v>
      </c>
      <c r="E162" s="21" t="n">
        <f aca="false">E159+E161</f>
        <v>18.1806133739871</v>
      </c>
      <c r="F162" s="21" t="n">
        <f aca="false">F159+F161</f>
        <v>22.1864747945931</v>
      </c>
      <c r="G162" s="21" t="n">
        <f aca="false">G159+G161</f>
        <v>26.186840359557</v>
      </c>
    </row>
    <row r="163" customFormat="false" ht="15" hidden="false" customHeight="false" outlineLevel="0" collapsed="false">
      <c r="A163" s="3" t="s">
        <v>592</v>
      </c>
      <c r="B163" s="0" t="s">
        <v>379</v>
      </c>
      <c r="E163" s="21" t="n">
        <f aca="false">E162*tax</f>
        <v>2.18167360487846</v>
      </c>
      <c r="F163" s="21" t="n">
        <f aca="false">F162*tax</f>
        <v>2.66237697535117</v>
      </c>
      <c r="G163" s="21" t="n">
        <f aca="false">G162*tax</f>
        <v>3.14242084314683</v>
      </c>
    </row>
    <row r="164" customFormat="false" ht="15" hidden="false" customHeight="false" outlineLevel="0" collapsed="false">
      <c r="A164" s="3" t="s">
        <v>593</v>
      </c>
      <c r="B164" s="0" t="s">
        <v>379</v>
      </c>
      <c r="C164" s="21" t="n">
        <f aca="false">a25_nic</f>
        <v>2.71712</v>
      </c>
      <c r="D164" s="21" t="n">
        <f aca="false">a26_nic</f>
        <v>8.39979776</v>
      </c>
      <c r="E164" s="21" t="n">
        <f aca="false">E162-E163</f>
        <v>15.9989397691087</v>
      </c>
      <c r="F164" s="21" t="n">
        <f aca="false">F162-F163</f>
        <v>19.5240978192419</v>
      </c>
      <c r="G164" s="21" t="n">
        <f aca="false">G162-G163</f>
        <v>23.0444195164101</v>
      </c>
    </row>
    <row r="165" customFormat="false" ht="17.15" hidden="false" customHeight="false" outlineLevel="0" collapsed="false">
      <c r="A165" s="3" t="s">
        <v>749</v>
      </c>
      <c r="B165" s="0" t="s">
        <v>379</v>
      </c>
      <c r="C165" s="21" t="n">
        <f aca="false">a25_nci</f>
        <v>1.12112</v>
      </c>
      <c r="D165" s="21" t="n">
        <f aca="false">a26_nci</f>
        <v>1.43839238487797</v>
      </c>
      <c r="E165" s="21" t="n">
        <f aca="false">E145*nm_lens*nci_sh</f>
        <v>1.57074538036261</v>
      </c>
      <c r="F165" s="21" t="n">
        <f aca="false">F145*nm_lens*nci_sh</f>
        <v>1.72781991839887</v>
      </c>
      <c r="G165" s="21" t="n">
        <f aca="false">G145*nm_lens*nci_sh</f>
        <v>1.90060191023875</v>
      </c>
      <c r="K165" s="3" t="s">
        <v>750</v>
      </c>
    </row>
    <row r="166" customFormat="false" ht="15" hidden="false" customHeight="false" outlineLevel="0" collapsed="false">
      <c r="A166" s="3" t="s">
        <v>599</v>
      </c>
      <c r="B166" s="0" t="s">
        <v>379</v>
      </c>
      <c r="C166" s="21" t="n">
        <f aca="false">a25_ni</f>
        <v>1.596</v>
      </c>
      <c r="D166" s="21" t="n">
        <f aca="false">a26_ni</f>
        <v>6.96140537512203</v>
      </c>
      <c r="E166" s="21" t="n">
        <f aca="false">E164-E165</f>
        <v>14.4281943887461</v>
      </c>
      <c r="F166" s="21" t="n">
        <f aca="false">F164-F165</f>
        <v>17.7962779008431</v>
      </c>
      <c r="G166" s="21" t="n">
        <f aca="false">G164-G165</f>
        <v>21.1438176061714</v>
      </c>
      <c r="H166" s="30" t="n">
        <f aca="false">H146*H170</f>
        <v>23.6150402135388</v>
      </c>
      <c r="I166" s="30" t="n">
        <f aca="false">I146*I170</f>
        <v>25.7221878106202</v>
      </c>
      <c r="J166" s="30" t="n">
        <f aca="false">J146*J170</f>
        <v>27.3061958633271</v>
      </c>
    </row>
    <row r="167" customFormat="false" ht="15" hidden="false" customHeight="false" outlineLevel="0" collapsed="false">
      <c r="A167" s="3" t="s">
        <v>751</v>
      </c>
      <c r="B167" s="3" t="s">
        <v>465</v>
      </c>
      <c r="C167" s="29" t="n">
        <f aca="false">a25_sh</f>
        <v>0.454700854700855</v>
      </c>
      <c r="D167" s="29" t="n">
        <f aca="false">a26_sh</f>
        <v>0.508341020486215</v>
      </c>
      <c r="E167" s="29" t="n">
        <f aca="false">a26_shend*(1+sh_g)</f>
        <v>0.52691</v>
      </c>
      <c r="F167" s="29" t="n">
        <f aca="false">E167*(1+sh_g)</f>
        <v>0.52691</v>
      </c>
      <c r="G167" s="29" t="n">
        <f aca="false">F167*(1+sh_g)</f>
        <v>0.52691</v>
      </c>
      <c r="H167" s="31" t="n">
        <f aca="false">G167*(1+sh_g)</f>
        <v>0.52691</v>
      </c>
      <c r="I167" s="31" t="n">
        <f aca="false">H167*(1+sh_g)</f>
        <v>0.52691</v>
      </c>
      <c r="J167" s="31" t="n">
        <f aca="false">I167*(1+sh_g)</f>
        <v>0.52691</v>
      </c>
    </row>
    <row r="168" customFormat="false" ht="17.15" hidden="false" customHeight="false" outlineLevel="0" collapsed="false">
      <c r="A168" s="0" t="s">
        <v>604</v>
      </c>
      <c r="B168" s="0" t="s">
        <v>471</v>
      </c>
      <c r="C168" s="18" t="n">
        <f aca="false">C166/C167</f>
        <v>3.51</v>
      </c>
      <c r="D168" s="18" t="n">
        <f aca="false">D166/D167</f>
        <v>13.6943608612652</v>
      </c>
      <c r="E168" s="18" t="n">
        <f aca="false">E166/E167</f>
        <v>27.3826543218881</v>
      </c>
      <c r="F168" s="18" t="n">
        <f aca="false">F166/F167</f>
        <v>33.7747962666168</v>
      </c>
      <c r="G168" s="18" t="n">
        <f aca="false">G166/G167</f>
        <v>40.1279489973076</v>
      </c>
      <c r="H168" s="28" t="n">
        <f aca="false">H166/H167</f>
        <v>44.8179769097926</v>
      </c>
      <c r="I168" s="28" t="n">
        <f aca="false">I166/I167</f>
        <v>48.8170423993095</v>
      </c>
      <c r="J168" s="28" t="n">
        <f aca="false">J166/J167</f>
        <v>51.8232636756317</v>
      </c>
    </row>
    <row r="169" customFormat="false" ht="17.15" hidden="false" customHeight="false" outlineLevel="0" collapsed="false">
      <c r="A169" s="0" t="s">
        <v>752</v>
      </c>
      <c r="B169" s="0" t="s">
        <v>43</v>
      </c>
      <c r="D169" s="20" t="n">
        <f aca="false">D168/C168-1</f>
        <v>2.90152731090177</v>
      </c>
      <c r="E169" s="20" t="n">
        <f aca="false">E168/D168-1</f>
        <v>0.999556941670828</v>
      </c>
      <c r="F169" s="20" t="n">
        <f aca="false">F168/E168-1</f>
        <v>0.233437630610527</v>
      </c>
      <c r="G169" s="20" t="n">
        <f aca="false">G168/F168-1</f>
        <v>0.188103362061442</v>
      </c>
      <c r="H169" s="26" t="n">
        <f aca="false">H168/G168-1</f>
        <v>0.116876840946933</v>
      </c>
      <c r="I169" s="26" t="n">
        <f aca="false">I168/H168-1</f>
        <v>0.0892290497084687</v>
      </c>
      <c r="J169" s="26" t="n">
        <f aca="false">J168/I168-1</f>
        <v>0.0615813889692902</v>
      </c>
    </row>
    <row r="170" customFormat="false" ht="17.15" hidden="false" customHeight="false" outlineLevel="0" collapsed="false">
      <c r="A170" s="3" t="s">
        <v>753</v>
      </c>
      <c r="B170" s="0" t="s">
        <v>43</v>
      </c>
      <c r="C170" s="16" t="n">
        <f aca="false">C166/C146</f>
        <v>0.0405580544331783</v>
      </c>
      <c r="D170" s="16" t="n">
        <f aca="false">D166/D146</f>
        <v>0.127906349105057</v>
      </c>
      <c r="E170" s="16" t="n">
        <f aca="false">E166/E146</f>
        <v>0.20029703939422</v>
      </c>
      <c r="F170" s="16" t="n">
        <f aca="false">F166/F146</f>
        <v>0.21160288426461</v>
      </c>
      <c r="G170" s="16" t="n">
        <f aca="false">G166/G146</f>
        <v>0.219988993969086</v>
      </c>
      <c r="H170" s="27" t="n">
        <f aca="false">$G170+(fade_mA-$G170)*1/3</f>
        <v>0.220318172541875</v>
      </c>
      <c r="I170" s="27" t="n">
        <f aca="false">$G170+(fade_mA-$G170)*2/3</f>
        <v>0.220647351114663</v>
      </c>
      <c r="J170" s="27" t="n">
        <f aca="false">$G170+(fade_mA-$G170)*3/3</f>
        <v>0.220976529687452</v>
      </c>
    </row>
    <row r="171" customFormat="false" ht="17.15" hidden="false" customHeight="false" outlineLevel="0" collapsed="false">
      <c r="A171" s="3" t="s">
        <v>754</v>
      </c>
      <c r="B171" s="0" t="s">
        <v>43</v>
      </c>
      <c r="C171" s="20" t="n">
        <f aca="false">C152/C146</f>
        <v>0.155421717364235</v>
      </c>
      <c r="D171" s="20" t="n">
        <f aca="false">D152/D146</f>
        <v>0.202110028699624</v>
      </c>
      <c r="E171" s="20" t="n">
        <f aca="false">E152/E146</f>
        <v>0.235999708484498</v>
      </c>
      <c r="F171" s="20" t="n">
        <f aca="false">F152/F146</f>
        <v>0.190244621212247</v>
      </c>
      <c r="G171" s="20" t="n">
        <f aca="false">G152/G146</f>
        <v>0.124852946464054</v>
      </c>
      <c r="H171" s="26" t="n">
        <f aca="false">$G171+($G154*(1+tp_g)^(life/2)-$G171)*1/3</f>
        <v>0.125778843252168</v>
      </c>
      <c r="I171" s="26" t="n">
        <f aca="false">$G171+($G154*(1+tp_g)^(life/2)-$G171)*2/3</f>
        <v>0.126704740040282</v>
      </c>
      <c r="J171" s="26" t="n">
        <f aca="false">$G171+($G154*(1+tp_g)^(life/2)-$G171)*3/3</f>
        <v>0.127630636828396</v>
      </c>
      <c r="K171" s="7" t="s">
        <v>755</v>
      </c>
    </row>
    <row r="172" customFormat="false" ht="15" hidden="false" customHeight="false" outlineLevel="0" collapsed="false">
      <c r="A172" s="3" t="s">
        <v>756</v>
      </c>
      <c r="B172" s="0" t="s">
        <v>379</v>
      </c>
      <c r="D172" s="21" t="n">
        <f aca="false">D166+D153-D152</f>
        <v>4.28140537512203</v>
      </c>
      <c r="E172" s="21" t="n">
        <f aca="false">E166+E153-E152</f>
        <v>6.08319438874607</v>
      </c>
      <c r="F172" s="21" t="n">
        <f aca="false">F166+F153-F152</f>
        <v>11.4944029008431</v>
      </c>
      <c r="G172" s="21" t="n">
        <f aca="false">G166+G153-G152</f>
        <v>19.6296769811714</v>
      </c>
      <c r="H172" s="30" t="n">
        <f aca="false">H166+H153-H152</f>
        <v>21.8272150672659</v>
      </c>
      <c r="I172" s="30" t="n">
        <f aca="false">I166+I153-I152</f>
        <v>23.6698045793671</v>
      </c>
      <c r="J172" s="30" t="n">
        <f aca="false">J166+J153-J152</f>
        <v>25.0162560437722</v>
      </c>
      <c r="K172" s="3" t="s">
        <v>757</v>
      </c>
    </row>
    <row r="173" customFormat="false" ht="15" hidden="false" customHeight="false" outlineLevel="0" collapsed="false">
      <c r="A173" s="3" t="s">
        <v>758</v>
      </c>
      <c r="B173" s="0" t="s">
        <v>471</v>
      </c>
      <c r="D173" s="18" t="n">
        <f aca="false">D172/D167</f>
        <v>8.42230943909854</v>
      </c>
      <c r="E173" s="18" t="n">
        <f aca="false">E172/E167</f>
        <v>11.5450349941092</v>
      </c>
      <c r="F173" s="18" t="n">
        <f aca="false">F172/F167</f>
        <v>21.814736673897</v>
      </c>
      <c r="G173" s="18" t="n">
        <f aca="false">G172/G167</f>
        <v>37.2543261300248</v>
      </c>
      <c r="H173" s="28" t="n">
        <f aca="false">H172/H167</f>
        <v>41.4249398706912</v>
      </c>
      <c r="I173" s="28" t="n">
        <f aca="false">I172/I167</f>
        <v>44.9219118623049</v>
      </c>
      <c r="J173" s="28" t="n">
        <f aca="false">J172/J167</f>
        <v>47.4772846288212</v>
      </c>
    </row>
    <row r="176" customFormat="false" ht="17.15" hidden="false" customHeight="false" outlineLevel="0" collapsed="false">
      <c r="A176" s="1" t="s">
        <v>1094</v>
      </c>
    </row>
    <row r="177" customFormat="false" ht="17.15" hidden="false" customHeight="false" outlineLevel="0" collapsed="false">
      <c r="A177" s="4" t="s">
        <v>20</v>
      </c>
      <c r="B177" s="4" t="s">
        <v>21</v>
      </c>
      <c r="C177" s="13" t="s">
        <v>567</v>
      </c>
      <c r="D177" s="13" t="s">
        <v>671</v>
      </c>
      <c r="E177" s="13" t="s">
        <v>672</v>
      </c>
      <c r="F177" s="13" t="s">
        <v>673</v>
      </c>
      <c r="G177" s="13" t="s">
        <v>674</v>
      </c>
      <c r="H177" s="13" t="s">
        <v>675</v>
      </c>
      <c r="I177" s="13" t="s">
        <v>676</v>
      </c>
      <c r="J177" s="13" t="s">
        <v>677</v>
      </c>
      <c r="K177" s="4" t="s">
        <v>631</v>
      </c>
    </row>
    <row r="178" customFormat="false" ht="17.15" hidden="false" customHeight="false" outlineLevel="0" collapsed="false">
      <c r="A178" s="5" t="s">
        <v>695</v>
      </c>
    </row>
    <row r="179" customFormat="false" ht="17.15" hidden="false" customHeight="false" outlineLevel="0" collapsed="false">
      <c r="A179" s="0" t="s">
        <v>696</v>
      </c>
      <c r="B179" s="3" t="s">
        <v>31</v>
      </c>
      <c r="D179" s="21" t="n">
        <f aca="false">(u_bw_26+u_rb_26+u_ru_26+u_hp_26)*1</f>
        <v>7.6</v>
      </c>
      <c r="E179" s="21" t="n">
        <f aca="false">(u_bw_27+u_rb_27+u_ru_27+u_hp_27)*1*1</f>
        <v>9.7</v>
      </c>
      <c r="F179" s="21" t="n">
        <f aca="false">(u_bw_28+u_rb_28+u_ru_28+u_hp_28)*um28_A*1</f>
        <v>9.5</v>
      </c>
      <c r="G179" s="21" t="n">
        <f aca="false">(u_bw_28*(1+g29_bw)+u_rb_28*(1+g29_rb)+u_ru_28*(1+g29_ru)+u_hp_28*(1+g29_hp))*um29_A*1</f>
        <v>10.6</v>
      </c>
      <c r="K179" s="7" t="s">
        <v>697</v>
      </c>
    </row>
    <row r="180" customFormat="false" ht="17.15" hidden="false" customHeight="false" outlineLevel="0" collapsed="false">
      <c r="A180" s="3" t="s">
        <v>698</v>
      </c>
      <c r="B180" s="3" t="s">
        <v>31</v>
      </c>
      <c r="D180" s="21" t="n">
        <f aca="false">(u_amd_26+u_tpu_26+u_trn_26+u_oth_26)*1</f>
        <v>7.6</v>
      </c>
      <c r="E180" s="21" t="n">
        <f aca="false">(u_amd_27+u_tpu_27+u_trn_27+u_oth_27)*1*1</f>
        <v>14</v>
      </c>
      <c r="F180" s="21" t="n">
        <f aca="false">(u_amd_28+u_tpu_28+u_trn_28+u_oth_28)*um28_A*1</f>
        <v>17</v>
      </c>
      <c r="G180" s="21" t="n">
        <f aca="false">(u_amd_28*(1+g29_amd)+u_tpu_28*(1+g29_tpu)+u_trn_28*(1+g29_trn)+u_oth_28*(1+g29_oth))*um29_A*1</f>
        <v>19.55</v>
      </c>
      <c r="K180" s="7" t="s">
        <v>699</v>
      </c>
    </row>
    <row r="181" customFormat="false" ht="17.15" hidden="false" customHeight="false" outlineLevel="0" collapsed="false">
      <c r="A181" s="0" t="s">
        <v>700</v>
      </c>
      <c r="B181" s="3" t="s">
        <v>31</v>
      </c>
      <c r="D181" s="21" t="n">
        <f aca="false">D179*cpu_r</f>
        <v>3.04</v>
      </c>
      <c r="E181" s="21" t="n">
        <f aca="false">E179*cpu_r</f>
        <v>3.88</v>
      </c>
      <c r="F181" s="21" t="n">
        <f aca="false">F179*cpu_r</f>
        <v>3.8</v>
      </c>
      <c r="G181" s="21" t="n">
        <f aca="false">G179*cpu_r</f>
        <v>4.24</v>
      </c>
      <c r="K181" s="7" t="s">
        <v>701</v>
      </c>
    </row>
    <row r="182" customFormat="false" ht="17.15" hidden="false" customHeight="false" outlineLevel="0" collapsed="false">
      <c r="A182" s="3" t="s">
        <v>702</v>
      </c>
      <c r="B182" s="0" t="s">
        <v>153</v>
      </c>
      <c r="D182" s="19" t="n">
        <f aca="false">1</f>
        <v>1</v>
      </c>
      <c r="E182" s="19" t="n">
        <f aca="false">D182*(1+g_asp)</f>
        <v>1.18</v>
      </c>
      <c r="F182" s="19" t="n">
        <f aca="false">E182*(1+g_asp)</f>
        <v>1.3924</v>
      </c>
      <c r="G182" s="19" t="n">
        <f aca="false">F182*(1+g_asp)</f>
        <v>1.643032</v>
      </c>
      <c r="K182" s="7" t="s">
        <v>703</v>
      </c>
    </row>
    <row r="183" customFormat="false" ht="17.15" hidden="false" customHeight="false" outlineLevel="0" collapsed="false">
      <c r="A183" s="0" t="s">
        <v>704</v>
      </c>
      <c r="B183" s="0" t="s">
        <v>153</v>
      </c>
      <c r="D183" s="18" t="n">
        <f aca="false">1</f>
        <v>1</v>
      </c>
      <c r="E183" s="18" t="n">
        <f aca="false">ibpp_27</f>
        <v>1</v>
      </c>
      <c r="F183" s="18" t="n">
        <f aca="false">ibpp_28</f>
        <v>0.95</v>
      </c>
      <c r="G183" s="18" t="n">
        <f aca="false">ibpp_29</f>
        <v>0.9</v>
      </c>
      <c r="K183" s="7" t="s">
        <v>705</v>
      </c>
    </row>
    <row r="184" customFormat="false" ht="17.15" hidden="false" customHeight="false" outlineLevel="0" collapsed="false">
      <c r="A184" s="3" t="s">
        <v>706</v>
      </c>
      <c r="B184" s="0" t="s">
        <v>153</v>
      </c>
      <c r="D184" s="18" t="n">
        <f aca="false">1</f>
        <v>1</v>
      </c>
      <c r="E184" s="18" t="n">
        <f aca="false">1+carry</f>
        <v>1.15</v>
      </c>
      <c r="F184" s="18" t="n">
        <f aca="false">1+carry</f>
        <v>1.15</v>
      </c>
      <c r="G184" s="18" t="n">
        <f aca="false">1+carry</f>
        <v>1.15</v>
      </c>
      <c r="K184" s="7" t="s">
        <v>707</v>
      </c>
    </row>
    <row r="185" customFormat="false" ht="17.15" hidden="false" customHeight="false" outlineLevel="0" collapsed="false">
      <c r="A185" s="3" t="s">
        <v>708</v>
      </c>
      <c r="B185" s="0" t="s">
        <v>709</v>
      </c>
      <c r="D185" s="23" t="n">
        <f aca="false">v26*D182*D183</f>
        <v>215.308596</v>
      </c>
      <c r="E185" s="23" t="n">
        <f aca="false">v26*E182*E183</f>
        <v>254.06414328</v>
      </c>
      <c r="F185" s="23" t="n">
        <f aca="false">v26*F182*F183</f>
        <v>284.80590461688</v>
      </c>
      <c r="G185" s="23" t="n">
        <f aca="false">v26*G182*G183</f>
        <v>318.383021792765</v>
      </c>
      <c r="K185" s="7" t="s">
        <v>710</v>
      </c>
    </row>
    <row r="186" customFormat="false" ht="17.15" hidden="false" customHeight="false" outlineLevel="0" collapsed="false">
      <c r="A186" s="3" t="s">
        <v>711</v>
      </c>
      <c r="B186" s="0" t="s">
        <v>43</v>
      </c>
      <c r="D186" s="20" t="n">
        <f aca="false">sh_nv_26</f>
        <v>0.02</v>
      </c>
      <c r="E186" s="20" t="n">
        <f aca="false">sh_nv_27</f>
        <v>0.03</v>
      </c>
      <c r="F186" s="20" t="n">
        <f aca="false">sh_nv_28</f>
        <v>0.05</v>
      </c>
      <c r="G186" s="20" t="n">
        <f aca="false">sh_nv_29</f>
        <v>0.06</v>
      </c>
    </row>
    <row r="187" customFormat="false" ht="17.15" hidden="false" customHeight="false" outlineLevel="0" collapsed="false">
      <c r="A187" s="3" t="s">
        <v>712</v>
      </c>
      <c r="B187" s="0" t="s">
        <v>43</v>
      </c>
      <c r="D187" s="20" t="n">
        <f aca="false">sh_ot_26</f>
        <v>0.03</v>
      </c>
      <c r="E187" s="20" t="n">
        <f aca="false">sh_ot_27</f>
        <v>0.05</v>
      </c>
      <c r="F187" s="20" t="n">
        <f aca="false">sh_ot_28</f>
        <v>0.06</v>
      </c>
      <c r="G187" s="20" t="n">
        <f aca="false">sh_ot_29</f>
        <v>0.06</v>
      </c>
    </row>
    <row r="188" customFormat="false" ht="17.15" hidden="false" customHeight="false" outlineLevel="0" collapsed="false">
      <c r="A188" s="3" t="s">
        <v>713</v>
      </c>
      <c r="B188" s="0" t="s">
        <v>43</v>
      </c>
      <c r="D188" s="20" t="n">
        <f aca="false">sh_cpu_26</f>
        <v>0.35</v>
      </c>
      <c r="E188" s="20" t="n">
        <f aca="false">sh_cpu_27</f>
        <v>0.7</v>
      </c>
      <c r="F188" s="20" t="n">
        <f aca="false">sh_cpu_28</f>
        <v>0.75</v>
      </c>
      <c r="G188" s="20" t="n">
        <f aca="false">sh_cpu_29</f>
        <v>0.7</v>
      </c>
    </row>
    <row r="189" customFormat="false" ht="17.15" hidden="false" customHeight="false" outlineLevel="0" collapsed="false">
      <c r="A189" s="3" t="s">
        <v>714</v>
      </c>
      <c r="B189" s="0" t="s">
        <v>661</v>
      </c>
      <c r="D189" s="22" t="n">
        <f aca="false">(D179*D185*D186+D180*D185*v_ot*D187+D181*D185*v_cpu*D188)*D184</f>
        <v>140.7256983456</v>
      </c>
      <c r="E189" s="22" t="n">
        <f aca="false">(E179*E185*E186+E180*E185*v_ot*E187+E181*E185*v_cpu*E188)*E184</f>
        <v>486.703057357198</v>
      </c>
      <c r="F189" s="22" t="n">
        <f aca="false">(F179*F185*F186+F180*F185*v_ot*F187+F181*F185*v_cpu*F188)*F184</f>
        <v>702.872492003998</v>
      </c>
      <c r="G189" s="22" t="n">
        <f aca="false">(G179*G185*G186+G180*G185*v_ot*G187+G181*G185*v_cpu*G188)*G184</f>
        <v>902.463042932027</v>
      </c>
    </row>
    <row r="190" customFormat="false" ht="17.15" hidden="false" customHeight="false" outlineLevel="0" collapsed="false">
      <c r="A190" s="3" t="s">
        <v>715</v>
      </c>
      <c r="B190" s="0" t="s">
        <v>379</v>
      </c>
      <c r="D190" s="21" t="n">
        <f aca="false">D189*fx/1000</f>
        <v>4.5032223470592</v>
      </c>
      <c r="E190" s="21" t="n">
        <f aca="false">E189*fx/1000</f>
        <v>15.5744978354303</v>
      </c>
      <c r="F190" s="21" t="n">
        <f aca="false">F189*fx/1000</f>
        <v>22.4919197441279</v>
      </c>
      <c r="G190" s="21" t="n">
        <f aca="false">G189*fx/1000</f>
        <v>28.8788173738249</v>
      </c>
    </row>
    <row r="191" customFormat="false" ht="17.15" hidden="false" customHeight="false" outlineLevel="0" collapsed="false">
      <c r="A191" s="5" t="s">
        <v>716</v>
      </c>
    </row>
    <row r="192" customFormat="false" ht="17.15" hidden="false" customHeight="false" outlineLevel="0" collapsed="false">
      <c r="A192" s="0" t="s">
        <v>717</v>
      </c>
      <c r="B192" s="0" t="s">
        <v>379</v>
      </c>
      <c r="D192" s="21" t="n">
        <f aca="false">a26_abf*ai_abf</f>
        <v>5.714709</v>
      </c>
      <c r="K192" s="3" t="s">
        <v>718</v>
      </c>
    </row>
    <row r="193" customFormat="false" ht="17.15" hidden="false" customHeight="false" outlineLevel="0" collapsed="false">
      <c r="A193" s="3" t="s">
        <v>719</v>
      </c>
      <c r="B193" s="0" t="s">
        <v>379</v>
      </c>
      <c r="D193" s="21" t="n">
        <f aca="false">D192-D190</f>
        <v>1.2114866529408</v>
      </c>
      <c r="E193" s="21" t="n">
        <f aca="false">$D193*(swm_27/swm_26)^el_o*1*1*E183*E184</f>
        <v>1.94870016016792</v>
      </c>
      <c r="F193" s="21" t="n">
        <f aca="false">$D193*(swm_28/swm_26)^el_o*um28_A*1*F183*F184</f>
        <v>1.99149622299173</v>
      </c>
      <c r="G193" s="21" t="n">
        <f aca="false">$D193*(swm_29/swm_26)^el_o*um29_A*1*G183*G184</f>
        <v>2.01272596640355</v>
      </c>
      <c r="K193" s="7" t="s">
        <v>720</v>
      </c>
    </row>
    <row r="194" customFormat="false" ht="17.15" hidden="false" customHeight="false" outlineLevel="0" collapsed="false">
      <c r="A194" s="3" t="s">
        <v>721</v>
      </c>
      <c r="B194" s="0" t="s">
        <v>379</v>
      </c>
      <c r="D194" s="21" t="n">
        <f aca="false">a26_abf-D192</f>
        <v>17.144127</v>
      </c>
      <c r="E194" s="21" t="n">
        <f aca="false">$D194*(1+g_nai)^1*E184</f>
        <v>20.898690813</v>
      </c>
      <c r="F194" s="21" t="n">
        <f aca="false">$D194*(1+g_nai)^2*F184</f>
        <v>22.15261226178</v>
      </c>
      <c r="G194" s="21" t="n">
        <f aca="false">$D194*(1+g_nai)^3*G184</f>
        <v>23.4817689974868</v>
      </c>
      <c r="K194" s="3" t="s">
        <v>722</v>
      </c>
    </row>
    <row r="195" customFormat="false" ht="17.15" hidden="false" customHeight="false" outlineLevel="0" collapsed="false">
      <c r="A195" s="0" t="s">
        <v>723</v>
      </c>
      <c r="B195" s="0" t="s">
        <v>379</v>
      </c>
      <c r="D195" s="21" t="n">
        <f aca="false">D190+D193+D194</f>
        <v>22.858836</v>
      </c>
      <c r="E195" s="21" t="n">
        <f aca="false">E190+E193+E194</f>
        <v>38.4218888085982</v>
      </c>
      <c r="F195" s="21" t="n">
        <f aca="false">F190+F193+F194</f>
        <v>46.6360282288997</v>
      </c>
      <c r="G195" s="21" t="n">
        <f aca="false">G190+G193+G194</f>
        <v>54.3733123377152</v>
      </c>
    </row>
    <row r="196" customFormat="false" ht="17.15" hidden="false" customHeight="false" outlineLevel="0" collapsed="false">
      <c r="A196" s="0" t="s">
        <v>724</v>
      </c>
      <c r="B196" s="0" t="s">
        <v>379</v>
      </c>
      <c r="D196" s="21" t="n">
        <f aca="false">a26_abf</f>
        <v>22.858836</v>
      </c>
      <c r="E196" s="21" t="n">
        <f aca="false">$D195*cap_27_lo*(1+g_mix)^1*E183*E184</f>
        <v>30.362248917</v>
      </c>
      <c r="F196" s="21" t="n">
        <f aca="false">$D195*cap_28_lo*(1+g_mix)^2*F183*F184</f>
        <v>35.7929511664725</v>
      </c>
      <c r="G196" s="21" t="n">
        <f aca="false">$D195*cap_29_lo*(1+g_mix)^3*G183*G184</f>
        <v>42.4515993693041</v>
      </c>
      <c r="K196" s="7" t="s">
        <v>725</v>
      </c>
    </row>
    <row r="197" customFormat="false" ht="17.15" hidden="false" customHeight="false" outlineLevel="0" collapsed="false">
      <c r="A197" s="0" t="s">
        <v>726</v>
      </c>
      <c r="B197" s="0" t="s">
        <v>379</v>
      </c>
      <c r="D197" s="21" t="n">
        <f aca="false">a26_abf</f>
        <v>22.858836</v>
      </c>
      <c r="E197" s="21" t="n">
        <f aca="false">MIN(E195,E196)</f>
        <v>30.362248917</v>
      </c>
      <c r="F197" s="21" t="n">
        <f aca="false">MIN(F195,F196)</f>
        <v>35.7929511664725</v>
      </c>
      <c r="G197" s="21" t="n">
        <f aca="false">MIN(G195,G196)</f>
        <v>42.4515993693041</v>
      </c>
    </row>
    <row r="198" customFormat="false" ht="17.15" hidden="false" customHeight="false" outlineLevel="0" collapsed="false">
      <c r="A198" s="3" t="s">
        <v>727</v>
      </c>
      <c r="B198" s="0" t="s">
        <v>43</v>
      </c>
      <c r="D198" s="20" t="n">
        <f aca="false">D197/D195</f>
        <v>1</v>
      </c>
      <c r="E198" s="20" t="n">
        <f aca="false">E197/E195</f>
        <v>0.790233116030605</v>
      </c>
      <c r="F198" s="20" t="n">
        <f aca="false">F197/F195</f>
        <v>0.767495700765789</v>
      </c>
      <c r="G198" s="20" t="n">
        <f aca="false">G197/G195</f>
        <v>0.78074330115545</v>
      </c>
    </row>
    <row r="199" customFormat="false" ht="17.15" hidden="false" customHeight="false" outlineLevel="0" collapsed="false">
      <c r="A199" s="0" t="s">
        <v>728</v>
      </c>
      <c r="B199" s="0" t="s">
        <v>379</v>
      </c>
      <c r="D199" s="21" t="n">
        <f aca="false">(D190+D193)*D198</f>
        <v>5.714709</v>
      </c>
      <c r="E199" s="21" t="n">
        <f aca="false">(E190+E193)*E198</f>
        <v>13.8474113548828</v>
      </c>
      <c r="F199" s="21" t="n">
        <f aca="false">(F190+F193)*F198</f>
        <v>18.7909164948248</v>
      </c>
      <c r="G199" s="21" t="n">
        <f aca="false">(G190+G193)*G198</f>
        <v>24.1183655252366</v>
      </c>
    </row>
    <row r="200" customFormat="false" ht="17.15" hidden="false" customHeight="false" outlineLevel="0" collapsed="false">
      <c r="A200" s="3" t="s">
        <v>729</v>
      </c>
      <c r="B200" s="0" t="s">
        <v>43</v>
      </c>
      <c r="D200" s="20" t="n">
        <f aca="false">D190/(D190+D193)</f>
        <v>0.788005539225042</v>
      </c>
      <c r="E200" s="20" t="n">
        <f aca="false">E190/(E190+E193)</f>
        <v>0.888793120944167</v>
      </c>
      <c r="F200" s="20" t="n">
        <f aca="false">F190/(F190+F193)</f>
        <v>0.918659380469366</v>
      </c>
      <c r="G200" s="20" t="n">
        <f aca="false">G190/(G190+G193)</f>
        <v>0.934845405934042</v>
      </c>
    </row>
    <row r="201" customFormat="false" ht="17.15" hidden="false" customHeight="false" outlineLevel="0" collapsed="false">
      <c r="A201" s="5" t="s">
        <v>730</v>
      </c>
    </row>
    <row r="202" customFormat="false" ht="17.15" hidden="false" customHeight="false" outlineLevel="0" collapsed="false">
      <c r="A202" s="0" t="s">
        <v>731</v>
      </c>
      <c r="B202" s="0" t="s">
        <v>379</v>
      </c>
      <c r="D202" s="21" t="n">
        <f aca="false">a26_bt</f>
        <v>23.265964</v>
      </c>
      <c r="E202" s="21" t="n">
        <f aca="false">D202*(1+g_bt27_A)</f>
        <v>29.78043392</v>
      </c>
      <c r="F202" s="21" t="n">
        <f aca="false">E202*(1+g_bt28_A)</f>
        <v>32.758477312</v>
      </c>
      <c r="G202" s="21" t="n">
        <f aca="false">F202*(1+g_bt29_A)</f>
        <v>34.3964011776</v>
      </c>
      <c r="K202" s="7" t="s">
        <v>732</v>
      </c>
    </row>
    <row r="203" customFormat="false" ht="17.15" hidden="false" customHeight="false" outlineLevel="0" collapsed="false">
      <c r="A203" s="3" t="s">
        <v>617</v>
      </c>
      <c r="B203" s="0" t="s">
        <v>379</v>
      </c>
      <c r="C203" s="21" t="n">
        <f aca="false">a25_lens</f>
        <v>7.039</v>
      </c>
      <c r="D203" s="21" t="n">
        <f aca="false">a26_lens</f>
        <v>8.301</v>
      </c>
      <c r="E203" s="21" t="n">
        <f aca="false">D203*(1+g_lens)</f>
        <v>9.1311</v>
      </c>
      <c r="F203" s="21" t="n">
        <f aca="false">E203*(1+g_lens)</f>
        <v>10.04421</v>
      </c>
      <c r="G203" s="21" t="n">
        <f aca="false">F203*(1+g_lens)</f>
        <v>11.048631</v>
      </c>
      <c r="K203" s="3" t="s">
        <v>733</v>
      </c>
    </row>
    <row r="204" customFormat="false" ht="17.15" hidden="false" customHeight="false" outlineLevel="0" collapsed="false">
      <c r="A204" s="3" t="s">
        <v>574</v>
      </c>
      <c r="B204" s="0" t="s">
        <v>379</v>
      </c>
      <c r="C204" s="23" t="n">
        <f aca="false">a25_rev</f>
        <v>39.351</v>
      </c>
      <c r="D204" s="23" t="n">
        <f aca="false">D197+D202+D203</f>
        <v>54.4258</v>
      </c>
      <c r="E204" s="23" t="n">
        <f aca="false">E197+E202+E203</f>
        <v>69.273782837</v>
      </c>
      <c r="F204" s="23" t="n">
        <f aca="false">F197+F202+F203</f>
        <v>78.5956384784725</v>
      </c>
      <c r="G204" s="23" t="n">
        <f aca="false">G197+G202+G203</f>
        <v>87.8966315469041</v>
      </c>
      <c r="H204" s="25" t="n">
        <f aca="false">G204*(1+H206)</f>
        <v>96.5890114031817</v>
      </c>
      <c r="I204" s="25" t="n">
        <f aca="false">H204*(1+I206)</f>
        <v>104.262680337503</v>
      </c>
      <c r="J204" s="25" t="n">
        <f aca="false">I204*(1+J206)</f>
        <v>110.518441157753</v>
      </c>
      <c r="K204" s="7" t="s">
        <v>734</v>
      </c>
    </row>
    <row r="205" customFormat="false" ht="17.15" hidden="false" customHeight="false" outlineLevel="0" collapsed="false">
      <c r="A205" s="3" t="s">
        <v>735</v>
      </c>
      <c r="B205" s="0" t="s">
        <v>379</v>
      </c>
      <c r="D205" s="19" t="n">
        <f aca="false">D197+D202+D203-D204</f>
        <v>0</v>
      </c>
      <c r="E205" s="19" t="n">
        <f aca="false">E197+E202+E203-E204</f>
        <v>0</v>
      </c>
      <c r="F205" s="19" t="n">
        <f aca="false">F197+F202+F203-F204</f>
        <v>0</v>
      </c>
      <c r="G205" s="19" t="n">
        <f aca="false">G197+G202+G203-G204</f>
        <v>0</v>
      </c>
    </row>
    <row r="206" customFormat="false" ht="15" hidden="false" customHeight="false" outlineLevel="0" collapsed="false">
      <c r="A206" s="3" t="s">
        <v>736</v>
      </c>
      <c r="B206" s="0" t="s">
        <v>43</v>
      </c>
      <c r="D206" s="20" t="n">
        <f aca="false">D204/C204-1</f>
        <v>0.383085563263958</v>
      </c>
      <c r="E206" s="20" t="n">
        <f aca="false">E204/D204-1</f>
        <v>0.272811476119782</v>
      </c>
      <c r="F206" s="20" t="n">
        <f aca="false">F204/E204-1</f>
        <v>0.134565419408475</v>
      </c>
      <c r="G206" s="20" t="n">
        <f aca="false">G204/F204-1</f>
        <v>0.118339811832932</v>
      </c>
      <c r="H206" s="26" t="n">
        <f aca="false">$G206+(fade_gA-$G206)*1/3</f>
        <v>0.0988932078886216</v>
      </c>
      <c r="I206" s="26" t="n">
        <f aca="false">$G206+(fade_gA-$G206)*2/3</f>
        <v>0.0794466039443108</v>
      </c>
      <c r="J206" s="26" t="n">
        <f aca="false">$G206+(fade_gA-$G206)*3/3</f>
        <v>0.06</v>
      </c>
    </row>
    <row r="207" customFormat="false" ht="17.15" hidden="false" customHeight="false" outlineLevel="0" collapsed="false">
      <c r="A207" s="0" t="s">
        <v>737</v>
      </c>
      <c r="B207" s="0" t="s">
        <v>43</v>
      </c>
      <c r="D207" s="20" t="n">
        <f aca="false">D197/D204</f>
        <v>0.42</v>
      </c>
      <c r="E207" s="20" t="n">
        <f aca="false">E197/E204</f>
        <v>0.438293502585846</v>
      </c>
      <c r="F207" s="20" t="n">
        <f aca="false">F197/F204</f>
        <v>0.455406328638405</v>
      </c>
      <c r="G207" s="20" t="n">
        <f aca="false">G197/G204</f>
        <v>0.48297185708022</v>
      </c>
    </row>
    <row r="208" customFormat="false" ht="17.15" hidden="false" customHeight="false" outlineLevel="0" collapsed="false">
      <c r="A208" s="0" t="s">
        <v>738</v>
      </c>
      <c r="B208" s="0" t="s">
        <v>43</v>
      </c>
      <c r="D208" s="20" t="n">
        <f aca="false">D199/D204</f>
        <v>0.105</v>
      </c>
      <c r="E208" s="20" t="n">
        <f aca="false">E199/E204</f>
        <v>0.199893968364129</v>
      </c>
      <c r="F208" s="20" t="n">
        <f aca="false">F199/F204</f>
        <v>0.239083451176132</v>
      </c>
      <c r="G208" s="20" t="n">
        <f aca="false">G199/G204</f>
        <v>0.274394650861749</v>
      </c>
      <c r="K208" s="3" t="s">
        <v>739</v>
      </c>
    </row>
    <row r="209" customFormat="false" ht="17.15" hidden="false" customHeight="false" outlineLevel="0" collapsed="false">
      <c r="A209" s="5" t="s">
        <v>740</v>
      </c>
    </row>
    <row r="210" customFormat="false" ht="15" hidden="false" customHeight="false" outlineLevel="0" collapsed="false">
      <c r="A210" s="3" t="s">
        <v>741</v>
      </c>
      <c r="B210" s="0" t="s">
        <v>379</v>
      </c>
      <c r="C210" s="23" t="n">
        <f aca="false">a25_cx</f>
        <v>6.116</v>
      </c>
      <c r="D210" s="23" t="n">
        <f aca="false">capex26</f>
        <v>11</v>
      </c>
      <c r="E210" s="23" t="n">
        <f aca="false">cx27</f>
        <v>17</v>
      </c>
      <c r="F210" s="23" t="n">
        <f aca="false">cx28</f>
        <v>16</v>
      </c>
      <c r="G210" s="23" t="n">
        <f aca="false">cx29</f>
        <v>12</v>
      </c>
      <c r="H210" s="25" t="n">
        <f aca="false">H204*H229</f>
        <v>13.2845098615936</v>
      </c>
      <c r="I210" s="25" t="n">
        <f aca="false">I204*I229</f>
        <v>14.4454796140897</v>
      </c>
      <c r="J210" s="25" t="n">
        <f aca="false">J204*J229</f>
        <v>15.4241025833986</v>
      </c>
    </row>
    <row r="211" customFormat="false" ht="17.15" hidden="false" customHeight="false" outlineLevel="0" collapsed="false">
      <c r="A211" s="3" t="s">
        <v>742</v>
      </c>
      <c r="B211" s="0" t="s">
        <v>379</v>
      </c>
      <c r="C211" s="23" t="n">
        <f aca="false">a25_da</f>
        <v>7.158</v>
      </c>
      <c r="D211" s="23" t="n">
        <f aca="false">da26</f>
        <v>8.32</v>
      </c>
      <c r="E211" s="23" t="n">
        <f aca="false">D211*(1-1/life)+D210/life</f>
        <v>8.655</v>
      </c>
      <c r="F211" s="23" t="n">
        <f aca="false">E211*(1-1/life)+E210/life</f>
        <v>9.698125</v>
      </c>
      <c r="G211" s="23" t="n">
        <f aca="false">F211*(1-1/life)+F210/life</f>
        <v>10.485859375</v>
      </c>
      <c r="H211" s="25" t="n">
        <f aca="false">H204*H212</f>
        <v>11.5228396460627</v>
      </c>
      <c r="I211" s="25" t="n">
        <f aca="false">I204*I212</f>
        <v>12.4382901237373</v>
      </c>
      <c r="J211" s="25" t="n">
        <f aca="false">J204*J212</f>
        <v>13.1845875311615</v>
      </c>
      <c r="K211" s="3" t="s">
        <v>743</v>
      </c>
    </row>
    <row r="212" customFormat="false" ht="17.15" hidden="false" customHeight="false" outlineLevel="0" collapsed="false">
      <c r="A212" s="3" t="s">
        <v>744</v>
      </c>
      <c r="B212" s="0" t="s">
        <v>43</v>
      </c>
      <c r="C212" s="20" t="n">
        <f aca="false">C211/C204</f>
        <v>0.181901349393916</v>
      </c>
      <c r="D212" s="20" t="n">
        <f aca="false">D211/D204</f>
        <v>0.152868676252807</v>
      </c>
      <c r="E212" s="20" t="n">
        <f aca="false">E211/E204</f>
        <v>0.124939041085212</v>
      </c>
      <c r="F212" s="20" t="n">
        <f aca="false">F211/F204</f>
        <v>0.123392661319958</v>
      </c>
      <c r="G212" s="20" t="n">
        <f aca="false">G211/G204</f>
        <v>0.119297624840202</v>
      </c>
      <c r="H212" s="26" t="n">
        <f aca="false">$G212</f>
        <v>0.119297624840202</v>
      </c>
      <c r="I212" s="26" t="n">
        <f aca="false">$G212</f>
        <v>0.119297624840202</v>
      </c>
      <c r="J212" s="26" t="n">
        <f aca="false">$G212</f>
        <v>0.119297624840202</v>
      </c>
    </row>
    <row r="213" customFormat="false" ht="17.15" hidden="false" customHeight="false" outlineLevel="0" collapsed="false">
      <c r="A213" s="0" t="s">
        <v>745</v>
      </c>
      <c r="B213" s="0" t="s">
        <v>379</v>
      </c>
      <c r="E213" s="21" t="n">
        <f aca="false">E198*((E190+E193)*(1-1/(E183*E184))+E194*(1-1/E184))</f>
        <v>3.960293337</v>
      </c>
      <c r="F213" s="21" t="n">
        <f aca="false">F198*((F190+F193)*(1-1/(F183*F184))+F194*(1-1/F184))</f>
        <v>3.80864962606964</v>
      </c>
      <c r="G213" s="21" t="n">
        <f aca="false">G198*((G190+G193)*(1-1/(G183*G184))+G194*(1-1/G184))</f>
        <v>3.20688827278492</v>
      </c>
      <c r="K213" s="7" t="s">
        <v>746</v>
      </c>
    </row>
    <row r="214" customFormat="false" ht="17.15" hidden="false" customHeight="false" outlineLevel="0" collapsed="false">
      <c r="A214" s="3" t="s">
        <v>747</v>
      </c>
      <c r="B214" s="0" t="s">
        <v>379</v>
      </c>
      <c r="C214" s="21" t="n">
        <f aca="false">a25_gp</f>
        <v>8.314</v>
      </c>
      <c r="D214" s="21" t="n">
        <f aca="false">a26_gp</f>
        <v>15.328536</v>
      </c>
      <c r="E214" s="21" t="n">
        <f aca="false">$D214+ft_abf*(E197-E213-$D197)+ft_bt*(E202-$D202)+ft_lens*(E203-$D203)+E213-(E211-$D211)</f>
        <v>24.030445591</v>
      </c>
      <c r="F214" s="21" t="n">
        <f aca="false">$D214+ft_abf*(F197-F213-$D197)+ft_bt*(F202-$D202)+ft_lens*(F203-$D203)+F213-(F211-$D211)</f>
        <v>27.3778688866711</v>
      </c>
      <c r="G214" s="21" t="n">
        <f aca="false">$D214+ft_abf*(G197-G213-$D197)+ft_bt*(G202-$D202)+ft_lens*(G203-$D203)+G213-(G211-$D211)</f>
        <v>30.8076331259645</v>
      </c>
      <c r="K214" s="3" t="s">
        <v>748</v>
      </c>
    </row>
    <row r="215" customFormat="false" ht="15" hidden="false" customHeight="false" outlineLevel="0" collapsed="false">
      <c r="A215" s="3" t="s">
        <v>581</v>
      </c>
      <c r="B215" s="0" t="s">
        <v>43</v>
      </c>
      <c r="C215" s="16" t="n">
        <f aca="false">C214/C204</f>
        <v>0.211277985311682</v>
      </c>
      <c r="D215" s="16" t="n">
        <f aca="false">D214/D204</f>
        <v>0.281640986443929</v>
      </c>
      <c r="E215" s="16" t="n">
        <f aca="false">E214/E204</f>
        <v>0.346890910339677</v>
      </c>
      <c r="F215" s="16" t="n">
        <f aca="false">F214/F204</f>
        <v>0.348338271902581</v>
      </c>
      <c r="G215" s="16" t="n">
        <f aca="false">G214/G204</f>
        <v>0.350498450097314</v>
      </c>
    </row>
    <row r="216" customFormat="false" ht="15" hidden="false" customHeight="false" outlineLevel="0" collapsed="false">
      <c r="A216" s="3" t="s">
        <v>583</v>
      </c>
      <c r="B216" s="0" t="s">
        <v>379</v>
      </c>
      <c r="C216" s="21" t="n">
        <f aca="false">a25_opx</f>
        <v>5.644</v>
      </c>
      <c r="D216" s="21" t="n">
        <f aca="false">a26_opx</f>
        <v>6.54036</v>
      </c>
      <c r="E216" s="21" t="n">
        <f aca="false">D216*(1+phi*E206)</f>
        <v>7.61093115957287</v>
      </c>
      <c r="F216" s="21" t="n">
        <f aca="false">E216*(1+phi*F206)</f>
        <v>8.22543204571904</v>
      </c>
      <c r="G216" s="21" t="n">
        <f aca="false">F216*(1+phi*G206)</f>
        <v>8.80946969404002</v>
      </c>
    </row>
    <row r="217" customFormat="false" ht="15" hidden="false" customHeight="false" outlineLevel="0" collapsed="false">
      <c r="A217" s="3" t="s">
        <v>586</v>
      </c>
      <c r="B217" s="0" t="s">
        <v>379</v>
      </c>
      <c r="C217" s="21" t="n">
        <f aca="false">C214-C216</f>
        <v>2.67</v>
      </c>
      <c r="D217" s="21" t="n">
        <f aca="false">D214-D216</f>
        <v>8.788176</v>
      </c>
      <c r="E217" s="21" t="n">
        <f aca="false">E214-E216</f>
        <v>16.4195144314271</v>
      </c>
      <c r="F217" s="21" t="n">
        <f aca="false">F214-F216</f>
        <v>19.152436840952</v>
      </c>
      <c r="G217" s="21" t="n">
        <f aca="false">G214-G216</f>
        <v>21.9981634319245</v>
      </c>
    </row>
    <row r="218" customFormat="false" ht="15" hidden="false" customHeight="false" outlineLevel="0" collapsed="false">
      <c r="A218" s="3" t="s">
        <v>684</v>
      </c>
      <c r="B218" s="0" t="s">
        <v>43</v>
      </c>
      <c r="C218" s="16" t="n">
        <f aca="false">C217/C204</f>
        <v>0.0678508805367081</v>
      </c>
      <c r="D218" s="16" t="n">
        <f aca="false">D217/D204</f>
        <v>0.161470773052486</v>
      </c>
      <c r="E218" s="16" t="n">
        <f aca="false">E217/E204</f>
        <v>0.237023499497089</v>
      </c>
      <c r="F218" s="16" t="n">
        <f aca="false">F217/F204</f>
        <v>0.243683201914543</v>
      </c>
      <c r="G218" s="16" t="n">
        <f aca="false">G217/G204</f>
        <v>0.250273111093975</v>
      </c>
    </row>
    <row r="219" customFormat="false" ht="15" hidden="false" customHeight="false" outlineLevel="0" collapsed="false">
      <c r="A219" s="3" t="s">
        <v>589</v>
      </c>
      <c r="B219" s="0" t="s">
        <v>379</v>
      </c>
      <c r="C219" s="21" t="n">
        <f aca="false">a25_nonop</f>
        <v>0.417</v>
      </c>
      <c r="D219" s="21" t="n">
        <f aca="false">a26_nonop</f>
        <v>0.37882</v>
      </c>
      <c r="E219" s="21" t="n">
        <f aca="false">nonop27</f>
        <v>0.4</v>
      </c>
      <c r="F219" s="21" t="n">
        <f aca="false">nonop28</f>
        <v>0.4</v>
      </c>
      <c r="G219" s="21" t="n">
        <f aca="false">nonop29</f>
        <v>0.4</v>
      </c>
    </row>
    <row r="220" customFormat="false" ht="15" hidden="false" customHeight="false" outlineLevel="0" collapsed="false">
      <c r="A220" s="3" t="s">
        <v>591</v>
      </c>
      <c r="B220" s="0" t="s">
        <v>379</v>
      </c>
      <c r="C220" s="21" t="n">
        <f aca="false">C217+C219</f>
        <v>3.087</v>
      </c>
      <c r="D220" s="21" t="n">
        <f aca="false">D217+D219</f>
        <v>9.166996</v>
      </c>
      <c r="E220" s="21" t="n">
        <f aca="false">E217+E219</f>
        <v>16.8195144314271</v>
      </c>
      <c r="F220" s="21" t="n">
        <f aca="false">F217+F219</f>
        <v>19.552436840952</v>
      </c>
      <c r="G220" s="21" t="n">
        <f aca="false">G217+G219</f>
        <v>22.3981634319245</v>
      </c>
    </row>
    <row r="221" customFormat="false" ht="15" hidden="false" customHeight="false" outlineLevel="0" collapsed="false">
      <c r="A221" s="3" t="s">
        <v>592</v>
      </c>
      <c r="B221" s="0" t="s">
        <v>379</v>
      </c>
      <c r="E221" s="21" t="n">
        <f aca="false">E220*tax</f>
        <v>2.01834173177126</v>
      </c>
      <c r="F221" s="21" t="n">
        <f aca="false">F220*tax</f>
        <v>2.34629242091424</v>
      </c>
      <c r="G221" s="21" t="n">
        <f aca="false">G220*tax</f>
        <v>2.68777961183094</v>
      </c>
    </row>
    <row r="222" customFormat="false" ht="15" hidden="false" customHeight="false" outlineLevel="0" collapsed="false">
      <c r="A222" s="3" t="s">
        <v>593</v>
      </c>
      <c r="B222" s="0" t="s">
        <v>379</v>
      </c>
      <c r="C222" s="21" t="n">
        <f aca="false">a25_nic</f>
        <v>2.71712</v>
      </c>
      <c r="D222" s="21" t="n">
        <f aca="false">a26_nic</f>
        <v>8.39979776</v>
      </c>
      <c r="E222" s="21" t="n">
        <f aca="false">E220-E221</f>
        <v>14.8011726996559</v>
      </c>
      <c r="F222" s="21" t="n">
        <f aca="false">F220-F221</f>
        <v>17.2061444200378</v>
      </c>
      <c r="G222" s="21" t="n">
        <f aca="false">G220-G221</f>
        <v>19.7103838200936</v>
      </c>
    </row>
    <row r="223" customFormat="false" ht="17.15" hidden="false" customHeight="false" outlineLevel="0" collapsed="false">
      <c r="A223" s="3" t="s">
        <v>749</v>
      </c>
      <c r="B223" s="0" t="s">
        <v>379</v>
      </c>
      <c r="C223" s="21" t="n">
        <f aca="false">a25_nci</f>
        <v>1.12112</v>
      </c>
      <c r="D223" s="21" t="n">
        <f aca="false">a26_nci</f>
        <v>1.43839238487797</v>
      </c>
      <c r="E223" s="21" t="n">
        <f aca="false">E203*nm_lens*nci_sh</f>
        <v>1.57074538036261</v>
      </c>
      <c r="F223" s="21" t="n">
        <f aca="false">F203*nm_lens*nci_sh</f>
        <v>1.72781991839887</v>
      </c>
      <c r="G223" s="21" t="n">
        <f aca="false">G203*nm_lens*nci_sh</f>
        <v>1.90060191023875</v>
      </c>
      <c r="K223" s="3" t="s">
        <v>750</v>
      </c>
    </row>
    <row r="224" customFormat="false" ht="15" hidden="false" customHeight="false" outlineLevel="0" collapsed="false">
      <c r="A224" s="3" t="s">
        <v>599</v>
      </c>
      <c r="B224" s="0" t="s">
        <v>379</v>
      </c>
      <c r="C224" s="21" t="n">
        <f aca="false">a25_ni</f>
        <v>1.596</v>
      </c>
      <c r="D224" s="21" t="n">
        <f aca="false">a26_ni</f>
        <v>6.96140537512203</v>
      </c>
      <c r="E224" s="21" t="n">
        <f aca="false">E222-E223</f>
        <v>13.2304273192933</v>
      </c>
      <c r="F224" s="21" t="n">
        <f aca="false">F222-F223</f>
        <v>15.4783245016389</v>
      </c>
      <c r="G224" s="21" t="n">
        <f aca="false">G222-G223</f>
        <v>17.8097819098548</v>
      </c>
      <c r="H224" s="30" t="n">
        <f aca="false">H204*H228</f>
        <v>20.1620004317503</v>
      </c>
      <c r="I224" s="30" t="n">
        <f aca="false">I204*I228</f>
        <v>22.401704085835</v>
      </c>
      <c r="J224" s="30" t="n">
        <f aca="false">J204*J228</f>
        <v>24.4219815935071</v>
      </c>
    </row>
    <row r="225" customFormat="false" ht="15" hidden="false" customHeight="false" outlineLevel="0" collapsed="false">
      <c r="A225" s="3" t="s">
        <v>751</v>
      </c>
      <c r="B225" s="3" t="s">
        <v>465</v>
      </c>
      <c r="C225" s="29" t="n">
        <f aca="false">a25_sh</f>
        <v>0.454700854700855</v>
      </c>
      <c r="D225" s="29" t="n">
        <f aca="false">a26_sh</f>
        <v>0.508341020486215</v>
      </c>
      <c r="E225" s="29" t="n">
        <f aca="false">a26_shend*(1+sh_g)</f>
        <v>0.52691</v>
      </c>
      <c r="F225" s="29" t="n">
        <f aca="false">E225*(1+sh_g)</f>
        <v>0.52691</v>
      </c>
      <c r="G225" s="29" t="n">
        <f aca="false">F225*(1+sh_g)</f>
        <v>0.52691</v>
      </c>
      <c r="H225" s="31" t="n">
        <f aca="false">G225*(1+sh_g)</f>
        <v>0.52691</v>
      </c>
      <c r="I225" s="31" t="n">
        <f aca="false">H225*(1+sh_g)</f>
        <v>0.52691</v>
      </c>
      <c r="J225" s="31" t="n">
        <f aca="false">I225*(1+sh_g)</f>
        <v>0.52691</v>
      </c>
    </row>
    <row r="226" customFormat="false" ht="17.15" hidden="false" customHeight="false" outlineLevel="0" collapsed="false">
      <c r="A226" s="0" t="s">
        <v>604</v>
      </c>
      <c r="B226" s="0" t="s">
        <v>471</v>
      </c>
      <c r="C226" s="18" t="n">
        <f aca="false">C224/C225</f>
        <v>3.51</v>
      </c>
      <c r="D226" s="18" t="n">
        <f aca="false">D224/D225</f>
        <v>13.6943608612652</v>
      </c>
      <c r="E226" s="18" t="n">
        <f aca="false">E224/E225</f>
        <v>25.109463322566</v>
      </c>
      <c r="F226" s="18" t="n">
        <f aca="false">F224/F225</f>
        <v>29.3756514426352</v>
      </c>
      <c r="G226" s="18" t="n">
        <f aca="false">G224/G225</f>
        <v>33.8004249489568</v>
      </c>
      <c r="H226" s="28" t="n">
        <f aca="false">H224/H225</f>
        <v>38.2646000868276</v>
      </c>
      <c r="I226" s="28" t="n">
        <f aca="false">I224/I225</f>
        <v>42.5152380593176</v>
      </c>
      <c r="J226" s="28" t="n">
        <f aca="false">J224/J225</f>
        <v>46.3494365138393</v>
      </c>
    </row>
    <row r="227" customFormat="false" ht="17.15" hidden="false" customHeight="false" outlineLevel="0" collapsed="false">
      <c r="A227" s="0" t="s">
        <v>752</v>
      </c>
      <c r="B227" s="0" t="s">
        <v>43</v>
      </c>
      <c r="D227" s="20" t="n">
        <f aca="false">D226/C226-1</f>
        <v>2.90152731090177</v>
      </c>
      <c r="E227" s="20" t="n">
        <f aca="false">E226/D226-1</f>
        <v>0.833562265296274</v>
      </c>
      <c r="F227" s="20" t="n">
        <f aca="false">F226/E226-1</f>
        <v>0.16990359631602</v>
      </c>
      <c r="G227" s="20" t="n">
        <f aca="false">G226/F226-1</f>
        <v>0.150627247023347</v>
      </c>
      <c r="H227" s="26" t="n">
        <f aca="false">H226/G226-1</f>
        <v>0.13207452701001</v>
      </c>
      <c r="I227" s="26" t="n">
        <f aca="false">I226/H226-1</f>
        <v>0.111085388658048</v>
      </c>
      <c r="J227" s="26" t="n">
        <f aca="false">J226/I226-1</f>
        <v>0.0901840993850769</v>
      </c>
    </row>
    <row r="228" customFormat="false" ht="17.15" hidden="false" customHeight="false" outlineLevel="0" collapsed="false">
      <c r="A228" s="3" t="s">
        <v>753</v>
      </c>
      <c r="B228" s="0" t="s">
        <v>43</v>
      </c>
      <c r="C228" s="16" t="n">
        <f aca="false">C224/C204</f>
        <v>0.0405580544331783</v>
      </c>
      <c r="D228" s="16" t="n">
        <f aca="false">D224/D204</f>
        <v>0.127906349105057</v>
      </c>
      <c r="E228" s="16" t="n">
        <f aca="false">E224/E204</f>
        <v>0.190987510389381</v>
      </c>
      <c r="F228" s="16" t="n">
        <f aca="false">F224/F204</f>
        <v>0.196936176119728</v>
      </c>
      <c r="G228" s="16" t="n">
        <f aca="false">G224/G204</f>
        <v>0.20262189342661</v>
      </c>
      <c r="H228" s="27" t="n">
        <f aca="false">$G228+(fade_mA-$G228)*1/3</f>
        <v>0.208740105513557</v>
      </c>
      <c r="I228" s="27" t="n">
        <f aca="false">$G228+(fade_mA-$G228)*2/3</f>
        <v>0.214858317600504</v>
      </c>
      <c r="J228" s="27" t="n">
        <f aca="false">$G228+(fade_mA-$G228)*3/3</f>
        <v>0.220976529687452</v>
      </c>
    </row>
    <row r="229" customFormat="false" ht="17.15" hidden="false" customHeight="false" outlineLevel="0" collapsed="false">
      <c r="A229" s="3" t="s">
        <v>754</v>
      </c>
      <c r="B229" s="0" t="s">
        <v>43</v>
      </c>
      <c r="C229" s="20" t="n">
        <f aca="false">C210/C204</f>
        <v>0.155421717364235</v>
      </c>
      <c r="D229" s="20" t="n">
        <f aca="false">D210/D204</f>
        <v>0.202110028699624</v>
      </c>
      <c r="E229" s="20" t="n">
        <f aca="false">E210/E204</f>
        <v>0.245403084742762</v>
      </c>
      <c r="F229" s="20" t="n">
        <f aca="false">F210/F204</f>
        <v>0.20357363728755</v>
      </c>
      <c r="G229" s="20" t="n">
        <f aca="false">G210/G204</f>
        <v>0.136524003125153</v>
      </c>
      <c r="H229" s="26" t="n">
        <f aca="false">$G229+($G212*(1+tp_g)^(life/2)-$G229)*1/3</f>
        <v>0.137536451285762</v>
      </c>
      <c r="I229" s="26" t="n">
        <f aca="false">$G229+($G212*(1+tp_g)^(life/2)-$G229)*2/3</f>
        <v>0.13854889944637</v>
      </c>
      <c r="J229" s="26" t="n">
        <f aca="false">$G229+($G212*(1+tp_g)^(life/2)-$G229)*3/3</f>
        <v>0.139561347606979</v>
      </c>
      <c r="K229" s="7" t="s">
        <v>755</v>
      </c>
    </row>
    <row r="230" customFormat="false" ht="15" hidden="false" customHeight="false" outlineLevel="0" collapsed="false">
      <c r="A230" s="3" t="s">
        <v>756</v>
      </c>
      <c r="B230" s="0" t="s">
        <v>379</v>
      </c>
      <c r="D230" s="21" t="n">
        <f aca="false">D224+D211-D210</f>
        <v>4.28140537512203</v>
      </c>
      <c r="E230" s="21" t="n">
        <f aca="false">E224+E211-E210</f>
        <v>4.88542731929327</v>
      </c>
      <c r="F230" s="21" t="n">
        <f aca="false">F224+F211-F210</f>
        <v>9.17644950163892</v>
      </c>
      <c r="G230" s="21" t="n">
        <f aca="false">G224+G211-G210</f>
        <v>16.2956412848548</v>
      </c>
      <c r="H230" s="30" t="n">
        <f aca="false">H224+H211-H210</f>
        <v>18.4003302162195</v>
      </c>
      <c r="I230" s="30" t="n">
        <f aca="false">I224+I211-I210</f>
        <v>20.3945145954826</v>
      </c>
      <c r="J230" s="30" t="n">
        <f aca="false">J224+J211-J210</f>
        <v>22.18246654127</v>
      </c>
      <c r="K230" s="3" t="s">
        <v>757</v>
      </c>
    </row>
    <row r="231" customFormat="false" ht="15" hidden="false" customHeight="false" outlineLevel="0" collapsed="false">
      <c r="A231" s="3" t="s">
        <v>758</v>
      </c>
      <c r="B231" s="0" t="s">
        <v>471</v>
      </c>
      <c r="D231" s="18" t="n">
        <f aca="false">D230/D225</f>
        <v>8.42230943909854</v>
      </c>
      <c r="E231" s="18" t="n">
        <f aca="false">E230/E225</f>
        <v>9.2718439947871</v>
      </c>
      <c r="F231" s="18" t="n">
        <f aca="false">F230/F225</f>
        <v>17.4155918499154</v>
      </c>
      <c r="G231" s="18" t="n">
        <f aca="false">G230/G225</f>
        <v>30.9268020816739</v>
      </c>
      <c r="H231" s="28" t="n">
        <f aca="false">H230/H225</f>
        <v>34.9212013744652</v>
      </c>
      <c r="I231" s="28" t="n">
        <f aca="false">I230/I225</f>
        <v>38.7058787942582</v>
      </c>
      <c r="J231" s="28" t="n">
        <f aca="false">J230/J225</f>
        <v>42.0991564807462</v>
      </c>
    </row>
    <row r="234" customFormat="false" ht="17.15" hidden="false" customHeight="false" outlineLevel="0" collapsed="false">
      <c r="A234" s="1" t="s">
        <v>1095</v>
      </c>
    </row>
    <row r="235" customFormat="false" ht="17.15" hidden="false" customHeight="false" outlineLevel="0" collapsed="false">
      <c r="A235" s="4" t="s">
        <v>20</v>
      </c>
      <c r="B235" s="4" t="s">
        <v>21</v>
      </c>
      <c r="C235" s="13" t="s">
        <v>567</v>
      </c>
      <c r="D235" s="13" t="s">
        <v>671</v>
      </c>
      <c r="E235" s="13" t="s">
        <v>672</v>
      </c>
      <c r="F235" s="13" t="s">
        <v>673</v>
      </c>
      <c r="G235" s="13" t="s">
        <v>674</v>
      </c>
      <c r="H235" s="13" t="s">
        <v>675</v>
      </c>
      <c r="I235" s="13" t="s">
        <v>676</v>
      </c>
      <c r="J235" s="13" t="s">
        <v>677</v>
      </c>
      <c r="K235" s="4" t="s">
        <v>631</v>
      </c>
    </row>
    <row r="236" customFormat="false" ht="17.15" hidden="false" customHeight="false" outlineLevel="0" collapsed="false">
      <c r="A236" s="5" t="s">
        <v>695</v>
      </c>
    </row>
    <row r="237" customFormat="false" ht="17.15" hidden="false" customHeight="false" outlineLevel="0" collapsed="false">
      <c r="A237" s="0" t="s">
        <v>696</v>
      </c>
      <c r="B237" s="3" t="s">
        <v>31</v>
      </c>
      <c r="D237" s="21" t="n">
        <f aca="false">(u_bw_26+u_rb_26+u_ru_26+u_hp_26)*1</f>
        <v>7.6</v>
      </c>
      <c r="E237" s="21" t="n">
        <f aca="false">(u_bw_27+u_rb_27+u_ru_27+u_hp_27)*1*1</f>
        <v>9.7</v>
      </c>
      <c r="F237" s="21" t="n">
        <f aca="false">(u_bw_28+u_rb_28+u_ru_28+u_hp_28)*um28_A*1</f>
        <v>9.5</v>
      </c>
      <c r="G237" s="21" t="n">
        <f aca="false">(u_bw_28*(1+g29_bw)+u_rb_28*(1+g29_rb)+u_ru_28*(1+g29_ru)+u_hp_28*(1+g29_hp))*um29_A*1</f>
        <v>10.6</v>
      </c>
      <c r="K237" s="7" t="s">
        <v>697</v>
      </c>
    </row>
    <row r="238" customFormat="false" ht="17.15" hidden="false" customHeight="false" outlineLevel="0" collapsed="false">
      <c r="A238" s="3" t="s">
        <v>698</v>
      </c>
      <c r="B238" s="3" t="s">
        <v>31</v>
      </c>
      <c r="D238" s="21" t="n">
        <f aca="false">(u_amd_26+u_tpu_26+u_trn_26+u_oth_26)*1</f>
        <v>7.6</v>
      </c>
      <c r="E238" s="21" t="n">
        <f aca="false">(u_amd_27+u_tpu_27+u_trn_27+u_oth_27)*1*1</f>
        <v>14</v>
      </c>
      <c r="F238" s="21" t="n">
        <f aca="false">(u_amd_28+u_tpu_28+u_trn_28+u_oth_28)*um28_A*1</f>
        <v>17</v>
      </c>
      <c r="G238" s="21" t="n">
        <f aca="false">(u_amd_28*(1+g29_amd)+u_tpu_28*(1+g29_tpu)+u_trn_28*(1+g29_trn)+u_oth_28*(1+g29_oth))*um29_A*1</f>
        <v>19.55</v>
      </c>
      <c r="K238" s="7" t="s">
        <v>699</v>
      </c>
    </row>
    <row r="239" customFormat="false" ht="17.15" hidden="false" customHeight="false" outlineLevel="0" collapsed="false">
      <c r="A239" s="0" t="s">
        <v>700</v>
      </c>
      <c r="B239" s="3" t="s">
        <v>31</v>
      </c>
      <c r="D239" s="21" t="n">
        <f aca="false">D237*cpu_r</f>
        <v>3.04</v>
      </c>
      <c r="E239" s="21" t="n">
        <f aca="false">E237*cpu_r</f>
        <v>3.88</v>
      </c>
      <c r="F239" s="21" t="n">
        <f aca="false">F237*cpu_r</f>
        <v>3.8</v>
      </c>
      <c r="G239" s="21" t="n">
        <f aca="false">G237*cpu_r</f>
        <v>4.24</v>
      </c>
      <c r="K239" s="7" t="s">
        <v>701</v>
      </c>
    </row>
    <row r="240" customFormat="false" ht="17.15" hidden="false" customHeight="false" outlineLevel="0" collapsed="false">
      <c r="A240" s="3" t="s">
        <v>702</v>
      </c>
      <c r="B240" s="0" t="s">
        <v>153</v>
      </c>
      <c r="D240" s="19" t="n">
        <f aca="false">1</f>
        <v>1</v>
      </c>
      <c r="E240" s="19" t="n">
        <f aca="false">D240*(1+g_asp)</f>
        <v>1.18</v>
      </c>
      <c r="F240" s="19" t="n">
        <f aca="false">E240*(1+g_asp)</f>
        <v>1.3924</v>
      </c>
      <c r="G240" s="19" t="n">
        <f aca="false">F240*(1+g_asp)</f>
        <v>1.643032</v>
      </c>
      <c r="K240" s="7" t="s">
        <v>703</v>
      </c>
    </row>
    <row r="241" customFormat="false" ht="17.15" hidden="false" customHeight="false" outlineLevel="0" collapsed="false">
      <c r="A241" s="0" t="s">
        <v>704</v>
      </c>
      <c r="B241" s="0" t="s">
        <v>153</v>
      </c>
      <c r="D241" s="18" t="n">
        <f aca="false">1</f>
        <v>1</v>
      </c>
      <c r="E241" s="18" t="n">
        <f aca="false">ibpp_27</f>
        <v>1</v>
      </c>
      <c r="F241" s="18" t="n">
        <f aca="false">ibpp_28</f>
        <v>0.95</v>
      </c>
      <c r="G241" s="18" t="n">
        <f aca="false">ibpp_29</f>
        <v>0.9</v>
      </c>
      <c r="K241" s="7" t="s">
        <v>705</v>
      </c>
    </row>
    <row r="242" customFormat="false" ht="17.15" hidden="false" customHeight="false" outlineLevel="0" collapsed="false">
      <c r="A242" s="3" t="s">
        <v>706</v>
      </c>
      <c r="B242" s="0" t="s">
        <v>153</v>
      </c>
      <c r="D242" s="18" t="n">
        <f aca="false">1</f>
        <v>1</v>
      </c>
      <c r="E242" s="18" t="n">
        <f aca="false">1+carry</f>
        <v>1.15</v>
      </c>
      <c r="F242" s="18" t="n">
        <f aca="false">1+carry</f>
        <v>1.15</v>
      </c>
      <c r="G242" s="18" t="n">
        <f aca="false">1+carry</f>
        <v>1.15</v>
      </c>
      <c r="K242" s="7" t="s">
        <v>707</v>
      </c>
    </row>
    <row r="243" customFormat="false" ht="17.15" hidden="false" customHeight="false" outlineLevel="0" collapsed="false">
      <c r="A243" s="3" t="s">
        <v>708</v>
      </c>
      <c r="B243" s="0" t="s">
        <v>709</v>
      </c>
      <c r="D243" s="23" t="n">
        <f aca="false">v26*D240*D241</f>
        <v>215.308596</v>
      </c>
      <c r="E243" s="23" t="n">
        <f aca="false">v26*E240*E241</f>
        <v>254.06414328</v>
      </c>
      <c r="F243" s="23" t="n">
        <f aca="false">v26*F240*F241</f>
        <v>284.80590461688</v>
      </c>
      <c r="G243" s="23" t="n">
        <f aca="false">v26*G240*G241</f>
        <v>318.383021792765</v>
      </c>
      <c r="K243" s="7" t="s">
        <v>710</v>
      </c>
    </row>
    <row r="244" customFormat="false" ht="17.15" hidden="false" customHeight="false" outlineLevel="0" collapsed="false">
      <c r="A244" s="3" t="s">
        <v>711</v>
      </c>
      <c r="B244" s="0" t="s">
        <v>43</v>
      </c>
      <c r="D244" s="20" t="n">
        <f aca="false">sh_nv_26</f>
        <v>0.02</v>
      </c>
      <c r="E244" s="20" t="n">
        <f aca="false">sh_nv_27</f>
        <v>0.03</v>
      </c>
      <c r="F244" s="20" t="n">
        <f aca="false">sh_nv_28</f>
        <v>0.05</v>
      </c>
      <c r="G244" s="20" t="n">
        <f aca="false">sh_nv_29</f>
        <v>0.06</v>
      </c>
    </row>
    <row r="245" customFormat="false" ht="17.15" hidden="false" customHeight="false" outlineLevel="0" collapsed="false">
      <c r="A245" s="3" t="s">
        <v>712</v>
      </c>
      <c r="B245" s="0" t="s">
        <v>43</v>
      </c>
      <c r="D245" s="20" t="n">
        <f aca="false">sh_ot_26</f>
        <v>0.03</v>
      </c>
      <c r="E245" s="20" t="n">
        <f aca="false">sh_ot_27</f>
        <v>0.05</v>
      </c>
      <c r="F245" s="20" t="n">
        <f aca="false">sh_ot_28</f>
        <v>0.06</v>
      </c>
      <c r="G245" s="20" t="n">
        <f aca="false">sh_ot_29</f>
        <v>0.06</v>
      </c>
    </row>
    <row r="246" customFormat="false" ht="17.15" hidden="false" customHeight="false" outlineLevel="0" collapsed="false">
      <c r="A246" s="3" t="s">
        <v>713</v>
      </c>
      <c r="B246" s="0" t="s">
        <v>43</v>
      </c>
      <c r="D246" s="20" t="n">
        <f aca="false">sh_cpu_26</f>
        <v>0.35</v>
      </c>
      <c r="E246" s="20" t="n">
        <f aca="false">sh_cpu_27</f>
        <v>0.7</v>
      </c>
      <c r="F246" s="20" t="n">
        <f aca="false">sh_cpu_28</f>
        <v>0.75</v>
      </c>
      <c r="G246" s="20" t="n">
        <f aca="false">sh_cpu_29</f>
        <v>0.7</v>
      </c>
    </row>
    <row r="247" customFormat="false" ht="17.15" hidden="false" customHeight="false" outlineLevel="0" collapsed="false">
      <c r="A247" s="3" t="s">
        <v>714</v>
      </c>
      <c r="B247" s="0" t="s">
        <v>661</v>
      </c>
      <c r="D247" s="22" t="n">
        <f aca="false">(D237*D243*D244+D238*D243*v_ot*D245+D239*D243*v_cpu*D246)*D242</f>
        <v>140.7256983456</v>
      </c>
      <c r="E247" s="22" t="n">
        <f aca="false">(E237*E243*E244+E238*E243*v_ot*E245+E239*E243*v_cpu*E246)*E242</f>
        <v>486.703057357198</v>
      </c>
      <c r="F247" s="22" t="n">
        <f aca="false">(F237*F243*F244+F238*F243*v_ot*F245+F239*F243*v_cpu*F246)*F242</f>
        <v>702.872492003998</v>
      </c>
      <c r="G247" s="22" t="n">
        <f aca="false">(G237*G243*G244+G238*G243*v_ot*G245+G239*G243*v_cpu*G246)*G242</f>
        <v>902.463042932027</v>
      </c>
    </row>
    <row r="248" customFormat="false" ht="17.15" hidden="false" customHeight="false" outlineLevel="0" collapsed="false">
      <c r="A248" s="3" t="s">
        <v>715</v>
      </c>
      <c r="B248" s="0" t="s">
        <v>379</v>
      </c>
      <c r="D248" s="21" t="n">
        <f aca="false">D247*fx/1000</f>
        <v>4.5032223470592</v>
      </c>
      <c r="E248" s="21" t="n">
        <f aca="false">E247*fx/1000</f>
        <v>15.5744978354303</v>
      </c>
      <c r="F248" s="21" t="n">
        <f aca="false">F247*fx/1000</f>
        <v>22.4919197441279</v>
      </c>
      <c r="G248" s="21" t="n">
        <f aca="false">G247*fx/1000</f>
        <v>28.8788173738249</v>
      </c>
    </row>
    <row r="249" customFormat="false" ht="17.15" hidden="false" customHeight="false" outlineLevel="0" collapsed="false">
      <c r="A249" s="5" t="s">
        <v>716</v>
      </c>
    </row>
    <row r="250" customFormat="false" ht="17.15" hidden="false" customHeight="false" outlineLevel="0" collapsed="false">
      <c r="A250" s="0" t="s">
        <v>717</v>
      </c>
      <c r="B250" s="0" t="s">
        <v>379</v>
      </c>
      <c r="D250" s="21" t="n">
        <f aca="false">a26_abf*ai_abf</f>
        <v>5.714709</v>
      </c>
      <c r="K250" s="3" t="s">
        <v>718</v>
      </c>
    </row>
    <row r="251" customFormat="false" ht="17.15" hidden="false" customHeight="false" outlineLevel="0" collapsed="false">
      <c r="A251" s="3" t="s">
        <v>719</v>
      </c>
      <c r="B251" s="0" t="s">
        <v>379</v>
      </c>
      <c r="D251" s="21" t="n">
        <f aca="false">D250-D248</f>
        <v>1.2114866529408</v>
      </c>
      <c r="E251" s="21" t="n">
        <f aca="false">$D251*(swm_27/swm_26)^el_o*1*1*E241*E242</f>
        <v>1.94870016016792</v>
      </c>
      <c r="F251" s="21" t="n">
        <f aca="false">$D251*(swm_28/swm_26)^el_o*um28_A*1*F241*F242</f>
        <v>1.99149622299173</v>
      </c>
      <c r="G251" s="21" t="n">
        <f aca="false">$D251*(swm_29/swm_26)^el_o*um29_A*1*G241*G242</f>
        <v>2.01272596640355</v>
      </c>
      <c r="K251" s="7" t="s">
        <v>720</v>
      </c>
    </row>
    <row r="252" customFormat="false" ht="17.15" hidden="false" customHeight="false" outlineLevel="0" collapsed="false">
      <c r="A252" s="3" t="s">
        <v>721</v>
      </c>
      <c r="B252" s="0" t="s">
        <v>379</v>
      </c>
      <c r="D252" s="21" t="n">
        <f aca="false">a26_abf-D250</f>
        <v>17.144127</v>
      </c>
      <c r="E252" s="21" t="n">
        <f aca="false">$D252*(1+g_nai)^1*E242</f>
        <v>20.898690813</v>
      </c>
      <c r="F252" s="21" t="n">
        <f aca="false">$D252*(1+g_nai)^2*F242</f>
        <v>22.15261226178</v>
      </c>
      <c r="G252" s="21" t="n">
        <f aca="false">$D252*(1+g_nai)^3*G242</f>
        <v>23.4817689974868</v>
      </c>
      <c r="K252" s="3" t="s">
        <v>722</v>
      </c>
    </row>
    <row r="253" customFormat="false" ht="17.15" hidden="false" customHeight="false" outlineLevel="0" collapsed="false">
      <c r="A253" s="0" t="s">
        <v>723</v>
      </c>
      <c r="B253" s="0" t="s">
        <v>379</v>
      </c>
      <c r="D253" s="21" t="n">
        <f aca="false">D248+D251+D252</f>
        <v>22.858836</v>
      </c>
      <c r="E253" s="21" t="n">
        <f aca="false">E248+E251+E252</f>
        <v>38.4218888085982</v>
      </c>
      <c r="F253" s="21" t="n">
        <f aca="false">F248+F251+F252</f>
        <v>46.6360282288997</v>
      </c>
      <c r="G253" s="21" t="n">
        <f aca="false">G248+G251+G252</f>
        <v>54.3733123377152</v>
      </c>
    </row>
    <row r="254" customFormat="false" ht="17.15" hidden="false" customHeight="false" outlineLevel="0" collapsed="false">
      <c r="A254" s="0" t="s">
        <v>724</v>
      </c>
      <c r="B254" s="0" t="s">
        <v>379</v>
      </c>
      <c r="D254" s="21" t="n">
        <f aca="false">a26_abf</f>
        <v>22.858836</v>
      </c>
      <c r="E254" s="21" t="n">
        <f aca="false">$D253*cap_27_hi*(1+g_mix)^1*E241*E242</f>
        <v>34.5025555875</v>
      </c>
      <c r="F254" s="21" t="n">
        <f aca="false">$D253*cap_28_hi*(1+g_mix)^2*F241*F242</f>
        <v>44.6035237612965</v>
      </c>
      <c r="G254" s="21" t="n">
        <f aca="false">$D253*cap_29_hi*(1+g_mix)^3*G241*G242</f>
        <v>54.776257250715</v>
      </c>
      <c r="K254" s="7" t="s">
        <v>725</v>
      </c>
    </row>
    <row r="255" customFormat="false" ht="17.15" hidden="false" customHeight="false" outlineLevel="0" collapsed="false">
      <c r="A255" s="0" t="s">
        <v>726</v>
      </c>
      <c r="B255" s="0" t="s">
        <v>379</v>
      </c>
      <c r="D255" s="21" t="n">
        <f aca="false">a26_abf</f>
        <v>22.858836</v>
      </c>
      <c r="E255" s="21" t="n">
        <f aca="false">MIN(E253,E254)</f>
        <v>34.5025555875</v>
      </c>
      <c r="F255" s="21" t="n">
        <f aca="false">MIN(F253,F254)</f>
        <v>44.6035237612965</v>
      </c>
      <c r="G255" s="21" t="n">
        <f aca="false">MIN(G253,G254)</f>
        <v>54.3733123377152</v>
      </c>
    </row>
    <row r="256" customFormat="false" ht="17.15" hidden="false" customHeight="false" outlineLevel="0" collapsed="false">
      <c r="A256" s="3" t="s">
        <v>727</v>
      </c>
      <c r="B256" s="0" t="s">
        <v>43</v>
      </c>
      <c r="D256" s="20" t="n">
        <f aca="false">D255/D253</f>
        <v>1</v>
      </c>
      <c r="E256" s="20" t="n">
        <f aca="false">E255/E253</f>
        <v>0.897992177307505</v>
      </c>
      <c r="F256" s="20" t="n">
        <f aca="false">F255/F253</f>
        <v>0.95641771941583</v>
      </c>
      <c r="G256" s="20" t="n">
        <f aca="false">G255/G253</f>
        <v>1</v>
      </c>
    </row>
    <row r="257" customFormat="false" ht="17.15" hidden="false" customHeight="false" outlineLevel="0" collapsed="false">
      <c r="A257" s="0" t="s">
        <v>728</v>
      </c>
      <c r="B257" s="0" t="s">
        <v>379</v>
      </c>
      <c r="D257" s="21" t="n">
        <f aca="false">(D248+D251)*D256</f>
        <v>5.714709</v>
      </c>
      <c r="E257" s="21" t="n">
        <f aca="false">(E248+E251)*E256</f>
        <v>15.7356947214578</v>
      </c>
      <c r="F257" s="21" t="n">
        <f aca="false">(F248+F251)*F256</f>
        <v>23.4163728627817</v>
      </c>
      <c r="G257" s="21" t="n">
        <f aca="false">(G248+G251)*G256</f>
        <v>30.8915433402284</v>
      </c>
    </row>
    <row r="258" customFormat="false" ht="17.15" hidden="false" customHeight="false" outlineLevel="0" collapsed="false">
      <c r="A258" s="3" t="s">
        <v>729</v>
      </c>
      <c r="B258" s="0" t="s">
        <v>43</v>
      </c>
      <c r="D258" s="20" t="n">
        <f aca="false">D248/(D248+D251)</f>
        <v>0.788005539225042</v>
      </c>
      <c r="E258" s="20" t="n">
        <f aca="false">E248/(E248+E251)</f>
        <v>0.888793120944167</v>
      </c>
      <c r="F258" s="20" t="n">
        <f aca="false">F248/(F248+F251)</f>
        <v>0.918659380469366</v>
      </c>
      <c r="G258" s="20" t="n">
        <f aca="false">G248/(G248+G251)</f>
        <v>0.934845405934042</v>
      </c>
    </row>
    <row r="259" customFormat="false" ht="17.15" hidden="false" customHeight="false" outlineLevel="0" collapsed="false">
      <c r="A259" s="5" t="s">
        <v>730</v>
      </c>
    </row>
    <row r="260" customFormat="false" ht="17.15" hidden="false" customHeight="false" outlineLevel="0" collapsed="false">
      <c r="A260" s="0" t="s">
        <v>731</v>
      </c>
      <c r="B260" s="0" t="s">
        <v>379</v>
      </c>
      <c r="D260" s="21" t="n">
        <f aca="false">a26_bt</f>
        <v>23.265964</v>
      </c>
      <c r="E260" s="21" t="n">
        <f aca="false">D260*(1+g_bt27_A)</f>
        <v>29.78043392</v>
      </c>
      <c r="F260" s="21" t="n">
        <f aca="false">E260*(1+g_bt28_A)</f>
        <v>32.758477312</v>
      </c>
      <c r="G260" s="21" t="n">
        <f aca="false">F260*(1+g_bt29_A)</f>
        <v>34.3964011776</v>
      </c>
      <c r="K260" s="7" t="s">
        <v>732</v>
      </c>
    </row>
    <row r="261" customFormat="false" ht="17.15" hidden="false" customHeight="false" outlineLevel="0" collapsed="false">
      <c r="A261" s="3" t="s">
        <v>617</v>
      </c>
      <c r="B261" s="0" t="s">
        <v>379</v>
      </c>
      <c r="C261" s="21" t="n">
        <f aca="false">a25_lens</f>
        <v>7.039</v>
      </c>
      <c r="D261" s="21" t="n">
        <f aca="false">a26_lens</f>
        <v>8.301</v>
      </c>
      <c r="E261" s="21" t="n">
        <f aca="false">D261*(1+g_lens)</f>
        <v>9.1311</v>
      </c>
      <c r="F261" s="21" t="n">
        <f aca="false">E261*(1+g_lens)</f>
        <v>10.04421</v>
      </c>
      <c r="G261" s="21" t="n">
        <f aca="false">F261*(1+g_lens)</f>
        <v>11.048631</v>
      </c>
      <c r="K261" s="3" t="s">
        <v>733</v>
      </c>
    </row>
    <row r="262" customFormat="false" ht="17.15" hidden="false" customHeight="false" outlineLevel="0" collapsed="false">
      <c r="A262" s="3" t="s">
        <v>574</v>
      </c>
      <c r="B262" s="0" t="s">
        <v>379</v>
      </c>
      <c r="C262" s="23" t="n">
        <f aca="false">a25_rev</f>
        <v>39.351</v>
      </c>
      <c r="D262" s="23" t="n">
        <f aca="false">D255+D260+D261</f>
        <v>54.4258</v>
      </c>
      <c r="E262" s="23" t="n">
        <f aca="false">E255+E260+E261</f>
        <v>73.4140895075</v>
      </c>
      <c r="F262" s="23" t="n">
        <f aca="false">F255+F260+F261</f>
        <v>87.4062110732965</v>
      </c>
      <c r="G262" s="23" t="n">
        <f aca="false">G255+G260+G261</f>
        <v>99.8183445153152</v>
      </c>
      <c r="H262" s="25" t="n">
        <f aca="false">G262*(1+H264)</f>
        <v>111.26452507349</v>
      </c>
      <c r="I262" s="25" t="n">
        <f aca="false">H262*(1+I264)</f>
        <v>120.981818497346</v>
      </c>
      <c r="J262" s="25" t="n">
        <f aca="false">I262*(1+J264)</f>
        <v>128.240727607187</v>
      </c>
      <c r="K262" s="7" t="s">
        <v>734</v>
      </c>
    </row>
    <row r="263" customFormat="false" ht="17.15" hidden="false" customHeight="false" outlineLevel="0" collapsed="false">
      <c r="A263" s="3" t="s">
        <v>735</v>
      </c>
      <c r="B263" s="0" t="s">
        <v>379</v>
      </c>
      <c r="D263" s="19" t="n">
        <f aca="false">D255+D260+D261-D262</f>
        <v>0</v>
      </c>
      <c r="E263" s="19" t="n">
        <f aca="false">E255+E260+E261-E262</f>
        <v>0</v>
      </c>
      <c r="F263" s="19" t="n">
        <f aca="false">F255+F260+F261-F262</f>
        <v>0</v>
      </c>
      <c r="G263" s="19" t="n">
        <f aca="false">G255+G260+G261-G262</f>
        <v>0</v>
      </c>
    </row>
    <row r="264" customFormat="false" ht="15" hidden="false" customHeight="false" outlineLevel="0" collapsed="false">
      <c r="A264" s="3" t="s">
        <v>736</v>
      </c>
      <c r="B264" s="0" t="s">
        <v>43</v>
      </c>
      <c r="D264" s="20" t="n">
        <f aca="false">D262/C262-1</f>
        <v>0.383085563263958</v>
      </c>
      <c r="E264" s="20" t="n">
        <f aca="false">E262/D262-1</f>
        <v>0.348883976119782</v>
      </c>
      <c r="F264" s="20" t="n">
        <f aca="false">F262/E262-1</f>
        <v>0.190591774135768</v>
      </c>
      <c r="G264" s="20" t="n">
        <f aca="false">G262/F262-1</f>
        <v>0.142005165189122</v>
      </c>
      <c r="H264" s="26" t="n">
        <f aca="false">$G264+(fade_gA-$G264)*1/3</f>
        <v>0.114670110126081</v>
      </c>
      <c r="I264" s="26" t="n">
        <f aca="false">$G264+(fade_gA-$G264)*2/3</f>
        <v>0.0873350550630406</v>
      </c>
      <c r="J264" s="26" t="n">
        <f aca="false">$G264+(fade_gA-$G264)*3/3</f>
        <v>0.06</v>
      </c>
    </row>
    <row r="265" customFormat="false" ht="17.15" hidden="false" customHeight="false" outlineLevel="0" collapsed="false">
      <c r="A265" s="0" t="s">
        <v>737</v>
      </c>
      <c r="B265" s="0" t="s">
        <v>43</v>
      </c>
      <c r="D265" s="20" t="n">
        <f aca="false">D255/D262</f>
        <v>0.42</v>
      </c>
      <c r="E265" s="20" t="n">
        <f aca="false">E255/E262</f>
        <v>0.46997185171077</v>
      </c>
      <c r="F265" s="20" t="n">
        <f aca="false">F255/F262</f>
        <v>0.510301535938827</v>
      </c>
      <c r="G265" s="20" t="n">
        <f aca="false">G255/G262</f>
        <v>0.544722641932543</v>
      </c>
    </row>
    <row r="266" customFormat="false" ht="17.15" hidden="false" customHeight="false" outlineLevel="0" collapsed="false">
      <c r="A266" s="0" t="s">
        <v>738</v>
      </c>
      <c r="B266" s="0" t="s">
        <v>43</v>
      </c>
      <c r="D266" s="20" t="n">
        <f aca="false">D257/D262</f>
        <v>0.105</v>
      </c>
      <c r="E266" s="20" t="n">
        <f aca="false">E257/E262</f>
        <v>0.214341617896796</v>
      </c>
      <c r="F266" s="20" t="n">
        <f aca="false">F257/F262</f>
        <v>0.267902847809584</v>
      </c>
      <c r="G266" s="20" t="n">
        <f aca="false">G257/G262</f>
        <v>0.309477616466467</v>
      </c>
      <c r="K266" s="3" t="s">
        <v>739</v>
      </c>
    </row>
    <row r="267" customFormat="false" ht="17.15" hidden="false" customHeight="false" outlineLevel="0" collapsed="false">
      <c r="A267" s="5" t="s">
        <v>740</v>
      </c>
    </row>
    <row r="268" customFormat="false" ht="15" hidden="false" customHeight="false" outlineLevel="0" collapsed="false">
      <c r="A268" s="3" t="s">
        <v>741</v>
      </c>
      <c r="B268" s="0" t="s">
        <v>379</v>
      </c>
      <c r="C268" s="23" t="n">
        <f aca="false">a25_cx</f>
        <v>6.116</v>
      </c>
      <c r="D268" s="23" t="n">
        <f aca="false">capex26</f>
        <v>11</v>
      </c>
      <c r="E268" s="23" t="n">
        <f aca="false">cx27</f>
        <v>17</v>
      </c>
      <c r="F268" s="23" t="n">
        <f aca="false">cx28</f>
        <v>16</v>
      </c>
      <c r="G268" s="23" t="n">
        <f aca="false">cx29</f>
        <v>12</v>
      </c>
      <c r="H268" s="25" t="n">
        <f aca="false">H262*H287</f>
        <v>13.4752366873255</v>
      </c>
      <c r="I268" s="25" t="n">
        <f aca="false">I262*I287</f>
        <v>14.7599558239483</v>
      </c>
      <c r="J268" s="25" t="n">
        <f aca="false">J262*J287</f>
        <v>15.7598832878458</v>
      </c>
    </row>
    <row r="269" customFormat="false" ht="17.15" hidden="false" customHeight="false" outlineLevel="0" collapsed="false">
      <c r="A269" s="3" t="s">
        <v>742</v>
      </c>
      <c r="B269" s="0" t="s">
        <v>379</v>
      </c>
      <c r="C269" s="23" t="n">
        <f aca="false">a25_da</f>
        <v>7.158</v>
      </c>
      <c r="D269" s="23" t="n">
        <f aca="false">da26</f>
        <v>8.32</v>
      </c>
      <c r="E269" s="23" t="n">
        <f aca="false">D269*(1-1/life)+D268/life</f>
        <v>8.655</v>
      </c>
      <c r="F269" s="23" t="n">
        <f aca="false">E269*(1-1/life)+E268/life</f>
        <v>9.698125</v>
      </c>
      <c r="G269" s="23" t="n">
        <f aca="false">F269*(1-1/life)+F268/life</f>
        <v>10.485859375</v>
      </c>
      <c r="H269" s="25" t="n">
        <f aca="false">H262*H270</f>
        <v>11.6882740242979</v>
      </c>
      <c r="I269" s="25" t="n">
        <f aca="false">I262*I270</f>
        <v>12.7090700798018</v>
      </c>
      <c r="J269" s="25" t="n">
        <f aca="false">J262*J270</f>
        <v>13.4716142845899</v>
      </c>
      <c r="K269" s="3" t="s">
        <v>743</v>
      </c>
    </row>
    <row r="270" customFormat="false" ht="17.15" hidden="false" customHeight="false" outlineLevel="0" collapsed="false">
      <c r="A270" s="3" t="s">
        <v>744</v>
      </c>
      <c r="B270" s="0" t="s">
        <v>43</v>
      </c>
      <c r="C270" s="20" t="n">
        <f aca="false">C269/C262</f>
        <v>0.181901349393916</v>
      </c>
      <c r="D270" s="20" t="n">
        <f aca="false">D269/D262</f>
        <v>0.152868676252807</v>
      </c>
      <c r="E270" s="20" t="n">
        <f aca="false">E269/E262</f>
        <v>0.117892901186438</v>
      </c>
      <c r="F270" s="20" t="n">
        <f aca="false">F269/F262</f>
        <v>0.11095464362215</v>
      </c>
      <c r="G270" s="20" t="n">
        <f aca="false">G269/G262</f>
        <v>0.105049421786304</v>
      </c>
      <c r="H270" s="26" t="n">
        <f aca="false">$G270</f>
        <v>0.105049421786304</v>
      </c>
      <c r="I270" s="26" t="n">
        <f aca="false">$G270</f>
        <v>0.105049421786304</v>
      </c>
      <c r="J270" s="26" t="n">
        <f aca="false">$G270</f>
        <v>0.105049421786304</v>
      </c>
    </row>
    <row r="271" customFormat="false" ht="17.15" hidden="false" customHeight="false" outlineLevel="0" collapsed="false">
      <c r="A271" s="0" t="s">
        <v>745</v>
      </c>
      <c r="B271" s="0" t="s">
        <v>379</v>
      </c>
      <c r="E271" s="21" t="n">
        <f aca="false">E256*((E248+E251)*(1-1/(E241*E242))+E252*(1-1/E242))</f>
        <v>4.5003333375</v>
      </c>
      <c r="F271" s="21" t="n">
        <f aca="false">F256*((F248+F251)*(1-1/(F241*F242))+F252*(1-1/F242))</f>
        <v>4.74616338017909</v>
      </c>
      <c r="G271" s="21" t="n">
        <f aca="false">G256*((G248+G251)*(1-1/(G241*G242))+G252*(1-1/G242))</f>
        <v>4.10748099668474</v>
      </c>
      <c r="K271" s="7" t="s">
        <v>746</v>
      </c>
    </row>
    <row r="272" customFormat="false" ht="17.15" hidden="false" customHeight="false" outlineLevel="0" collapsed="false">
      <c r="A272" s="3" t="s">
        <v>747</v>
      </c>
      <c r="B272" s="0" t="s">
        <v>379</v>
      </c>
      <c r="C272" s="21" t="n">
        <f aca="false">a25_gp</f>
        <v>8.314</v>
      </c>
      <c r="D272" s="21" t="n">
        <f aca="false">a26_gp</f>
        <v>15.328536</v>
      </c>
      <c r="E272" s="21" t="n">
        <f aca="false">$D272+ft_abf*(E255-E271-$D255)+ft_bt*(E260-$D260)+ft_lens*(E261-$D261)+E271-(E269-$D269)</f>
        <v>26.3706189265</v>
      </c>
      <c r="F272" s="21" t="n">
        <f aca="false">$D272+ft_abf*(F255-F271-$D255)+ft_bt*(F260-$D260)+ft_lens*(F261-$D261)+F271-(F269-$D269)</f>
        <v>32.2519120611378</v>
      </c>
      <c r="G272" s="21" t="n">
        <f aca="false">$D272+ft_abf*(G255-G271-$D255)+ft_bt*(G260-$D260)+ft_lens*(G261-$D261)+G271-(G269-$D269)</f>
        <v>37.21878597212</v>
      </c>
      <c r="K272" s="3" t="s">
        <v>748</v>
      </c>
    </row>
    <row r="273" customFormat="false" ht="15" hidden="false" customHeight="false" outlineLevel="0" collapsed="false">
      <c r="A273" s="3" t="s">
        <v>581</v>
      </c>
      <c r="B273" s="0" t="s">
        <v>43</v>
      </c>
      <c r="C273" s="16" t="n">
        <f aca="false">C272/C262</f>
        <v>0.211277985311682</v>
      </c>
      <c r="D273" s="16" t="n">
        <f aca="false">D272/D262</f>
        <v>0.281640986443929</v>
      </c>
      <c r="E273" s="16" t="n">
        <f aca="false">E272/E262</f>
        <v>0.359203786404052</v>
      </c>
      <c r="F273" s="16" t="n">
        <f aca="false">F272/F262</f>
        <v>0.368988789985327</v>
      </c>
      <c r="G273" s="16" t="n">
        <f aca="false">G272/G262</f>
        <v>0.372865189788932</v>
      </c>
    </row>
    <row r="274" customFormat="false" ht="15" hidden="false" customHeight="false" outlineLevel="0" collapsed="false">
      <c r="A274" s="3" t="s">
        <v>583</v>
      </c>
      <c r="B274" s="0" t="s">
        <v>379</v>
      </c>
      <c r="C274" s="21" t="n">
        <f aca="false">a25_opx</f>
        <v>5.644</v>
      </c>
      <c r="D274" s="21" t="n">
        <f aca="false">a26_opx</f>
        <v>6.54036</v>
      </c>
      <c r="E274" s="21" t="n">
        <f aca="false">D274*(1+phi*E264)</f>
        <v>7.90945608123287</v>
      </c>
      <c r="F274" s="21" t="n">
        <f aca="false">E274*(1+phi*F264)</f>
        <v>8.81394244141553</v>
      </c>
      <c r="G274" s="21" t="n">
        <f aca="false">F274*(1+phi*G264)</f>
        <v>9.56491765283191</v>
      </c>
    </row>
    <row r="275" customFormat="false" ht="15" hidden="false" customHeight="false" outlineLevel="0" collapsed="false">
      <c r="A275" s="3" t="s">
        <v>586</v>
      </c>
      <c r="B275" s="0" t="s">
        <v>379</v>
      </c>
      <c r="C275" s="21" t="n">
        <f aca="false">C272-C274</f>
        <v>2.67</v>
      </c>
      <c r="D275" s="21" t="n">
        <f aca="false">D272-D274</f>
        <v>8.788176</v>
      </c>
      <c r="E275" s="21" t="n">
        <f aca="false">E272-E274</f>
        <v>18.4611628452671</v>
      </c>
      <c r="F275" s="21" t="n">
        <f aca="false">F272-F274</f>
        <v>23.4379696197223</v>
      </c>
      <c r="G275" s="21" t="n">
        <f aca="false">G272-G274</f>
        <v>27.6538683192881</v>
      </c>
    </row>
    <row r="276" customFormat="false" ht="15" hidden="false" customHeight="false" outlineLevel="0" collapsed="false">
      <c r="A276" s="3" t="s">
        <v>684</v>
      </c>
      <c r="B276" s="0" t="s">
        <v>43</v>
      </c>
      <c r="C276" s="16" t="n">
        <f aca="false">C275/C262</f>
        <v>0.0678508805367081</v>
      </c>
      <c r="D276" s="16" t="n">
        <f aca="false">D275/D262</f>
        <v>0.161470773052486</v>
      </c>
      <c r="E276" s="16" t="n">
        <f aca="false">E275/E262</f>
        <v>0.251466209948448</v>
      </c>
      <c r="F276" s="16" t="n">
        <f aca="false">F275/F262</f>
        <v>0.268149932732673</v>
      </c>
      <c r="G276" s="16" t="n">
        <f aca="false">G275/G262</f>
        <v>0.277041945080998</v>
      </c>
    </row>
    <row r="277" customFormat="false" ht="15" hidden="false" customHeight="false" outlineLevel="0" collapsed="false">
      <c r="A277" s="3" t="s">
        <v>589</v>
      </c>
      <c r="B277" s="0" t="s">
        <v>379</v>
      </c>
      <c r="C277" s="21" t="n">
        <f aca="false">a25_nonop</f>
        <v>0.417</v>
      </c>
      <c r="D277" s="21" t="n">
        <f aca="false">a26_nonop</f>
        <v>0.37882</v>
      </c>
      <c r="E277" s="21" t="n">
        <f aca="false">nonop27</f>
        <v>0.4</v>
      </c>
      <c r="F277" s="21" t="n">
        <f aca="false">nonop28</f>
        <v>0.4</v>
      </c>
      <c r="G277" s="21" t="n">
        <f aca="false">nonop29</f>
        <v>0.4</v>
      </c>
    </row>
    <row r="278" customFormat="false" ht="15" hidden="false" customHeight="false" outlineLevel="0" collapsed="false">
      <c r="A278" s="3" t="s">
        <v>591</v>
      </c>
      <c r="B278" s="0" t="s">
        <v>379</v>
      </c>
      <c r="C278" s="21" t="n">
        <f aca="false">C275+C277</f>
        <v>3.087</v>
      </c>
      <c r="D278" s="21" t="n">
        <f aca="false">D275+D277</f>
        <v>9.166996</v>
      </c>
      <c r="E278" s="21" t="n">
        <f aca="false">E275+E277</f>
        <v>18.8611628452671</v>
      </c>
      <c r="F278" s="21" t="n">
        <f aca="false">F275+F277</f>
        <v>23.8379696197223</v>
      </c>
      <c r="G278" s="21" t="n">
        <f aca="false">G275+G277</f>
        <v>28.0538683192881</v>
      </c>
    </row>
    <row r="279" customFormat="false" ht="15" hidden="false" customHeight="false" outlineLevel="0" collapsed="false">
      <c r="A279" s="3" t="s">
        <v>592</v>
      </c>
      <c r="B279" s="0" t="s">
        <v>379</v>
      </c>
      <c r="E279" s="21" t="n">
        <f aca="false">E278*tax</f>
        <v>2.26333954143206</v>
      </c>
      <c r="F279" s="21" t="n">
        <f aca="false">F278*tax</f>
        <v>2.86055635436667</v>
      </c>
      <c r="G279" s="21" t="n">
        <f aca="false">G278*tax</f>
        <v>3.36646419831457</v>
      </c>
    </row>
    <row r="280" customFormat="false" ht="15" hidden="false" customHeight="false" outlineLevel="0" collapsed="false">
      <c r="A280" s="3" t="s">
        <v>593</v>
      </c>
      <c r="B280" s="0" t="s">
        <v>379</v>
      </c>
      <c r="C280" s="21" t="n">
        <f aca="false">a25_nic</f>
        <v>2.71712</v>
      </c>
      <c r="D280" s="21" t="n">
        <f aca="false">a26_nic</f>
        <v>8.39979776</v>
      </c>
      <c r="E280" s="21" t="n">
        <f aca="false">E278-E279</f>
        <v>16.5978233038351</v>
      </c>
      <c r="F280" s="21" t="n">
        <f aca="false">F278-F279</f>
        <v>20.9774132653556</v>
      </c>
      <c r="G280" s="21" t="n">
        <f aca="false">G278-G279</f>
        <v>24.6874041209735</v>
      </c>
    </row>
    <row r="281" customFormat="false" ht="17.15" hidden="false" customHeight="false" outlineLevel="0" collapsed="false">
      <c r="A281" s="3" t="s">
        <v>749</v>
      </c>
      <c r="B281" s="0" t="s">
        <v>379</v>
      </c>
      <c r="C281" s="21" t="n">
        <f aca="false">a25_nci</f>
        <v>1.12112</v>
      </c>
      <c r="D281" s="21" t="n">
        <f aca="false">a26_nci</f>
        <v>1.43839238487797</v>
      </c>
      <c r="E281" s="21" t="n">
        <f aca="false">E261*nm_lens*nci_sh</f>
        <v>1.57074538036261</v>
      </c>
      <c r="F281" s="21" t="n">
        <f aca="false">F261*nm_lens*nci_sh</f>
        <v>1.72781991839887</v>
      </c>
      <c r="G281" s="21" t="n">
        <f aca="false">G261*nm_lens*nci_sh</f>
        <v>1.90060191023875</v>
      </c>
      <c r="K281" s="3" t="s">
        <v>750</v>
      </c>
    </row>
    <row r="282" customFormat="false" ht="15" hidden="false" customHeight="false" outlineLevel="0" collapsed="false">
      <c r="A282" s="3" t="s">
        <v>599</v>
      </c>
      <c r="B282" s="0" t="s">
        <v>379</v>
      </c>
      <c r="C282" s="21" t="n">
        <f aca="false">a25_ni</f>
        <v>1.596</v>
      </c>
      <c r="D282" s="21" t="n">
        <f aca="false">a26_ni</f>
        <v>6.96140537512203</v>
      </c>
      <c r="E282" s="21" t="n">
        <f aca="false">E280-E281</f>
        <v>15.0270779234725</v>
      </c>
      <c r="F282" s="21" t="n">
        <f aca="false">F280-F281</f>
        <v>19.2495933469567</v>
      </c>
      <c r="G282" s="21" t="n">
        <f aca="false">G280-G281</f>
        <v>22.7868022107347</v>
      </c>
      <c r="H282" s="30" t="n">
        <f aca="false">H262*H286</f>
        <v>25.128794429128</v>
      </c>
      <c r="I282" s="30" t="n">
        <f aca="false">I262*I286</f>
        <v>27.0287807405422</v>
      </c>
      <c r="J282" s="30" t="n">
        <f aca="false">J262*J286</f>
        <v>28.3381909512298</v>
      </c>
    </row>
    <row r="283" customFormat="false" ht="15" hidden="false" customHeight="false" outlineLevel="0" collapsed="false">
      <c r="A283" s="3" t="s">
        <v>751</v>
      </c>
      <c r="B283" s="3" t="s">
        <v>465</v>
      </c>
      <c r="C283" s="29" t="n">
        <f aca="false">a25_sh</f>
        <v>0.454700854700855</v>
      </c>
      <c r="D283" s="29" t="n">
        <f aca="false">a26_sh</f>
        <v>0.508341020486215</v>
      </c>
      <c r="E283" s="29" t="n">
        <f aca="false">a26_shend*(1+sh_g)</f>
        <v>0.52691</v>
      </c>
      <c r="F283" s="29" t="n">
        <f aca="false">E283*(1+sh_g)</f>
        <v>0.52691</v>
      </c>
      <c r="G283" s="29" t="n">
        <f aca="false">F283*(1+sh_g)</f>
        <v>0.52691</v>
      </c>
      <c r="H283" s="31" t="n">
        <f aca="false">G283*(1+sh_g)</f>
        <v>0.52691</v>
      </c>
      <c r="I283" s="31" t="n">
        <f aca="false">H283*(1+sh_g)</f>
        <v>0.52691</v>
      </c>
      <c r="J283" s="31" t="n">
        <f aca="false">I283*(1+sh_g)</f>
        <v>0.52691</v>
      </c>
    </row>
    <row r="284" customFormat="false" ht="17.15" hidden="false" customHeight="false" outlineLevel="0" collapsed="false">
      <c r="A284" s="0" t="s">
        <v>604</v>
      </c>
      <c r="B284" s="0" t="s">
        <v>471</v>
      </c>
      <c r="C284" s="18" t="n">
        <f aca="false">C282/C283</f>
        <v>3.51</v>
      </c>
      <c r="D284" s="18" t="n">
        <f aca="false">D282/D283</f>
        <v>13.6943608612652</v>
      </c>
      <c r="E284" s="18" t="n">
        <f aca="false">E282/E283</f>
        <v>28.5192498215492</v>
      </c>
      <c r="F284" s="18" t="n">
        <f aca="false">F282/F283</f>
        <v>36.5329816229655</v>
      </c>
      <c r="G284" s="18" t="n">
        <f aca="false">G282/G283</f>
        <v>43.2460993542251</v>
      </c>
      <c r="H284" s="28" t="n">
        <f aca="false">H282/H283</f>
        <v>47.690866427147</v>
      </c>
      <c r="I284" s="28" t="n">
        <f aca="false">I282/I283</f>
        <v>51.296769354429</v>
      </c>
      <c r="J284" s="28" t="n">
        <f aca="false">J282/J283</f>
        <v>53.7818431064695</v>
      </c>
    </row>
    <row r="285" customFormat="false" ht="17.15" hidden="false" customHeight="false" outlineLevel="0" collapsed="false">
      <c r="A285" s="0" t="s">
        <v>752</v>
      </c>
      <c r="B285" s="0" t="s">
        <v>43</v>
      </c>
      <c r="D285" s="20" t="n">
        <f aca="false">D284/C284-1</f>
        <v>2.90152731090177</v>
      </c>
      <c r="E285" s="20" t="n">
        <f aca="false">E284/D284-1</f>
        <v>1.08255427985811</v>
      </c>
      <c r="F285" s="20" t="n">
        <f aca="false">F284/E284-1</f>
        <v>0.280993779694763</v>
      </c>
      <c r="G285" s="20" t="n">
        <f aca="false">G284/F284-1</f>
        <v>0.183754991600237</v>
      </c>
      <c r="H285" s="26" t="n">
        <f aca="false">H284/G284-1</f>
        <v>0.102778450294792</v>
      </c>
      <c r="I285" s="26" t="n">
        <f aca="false">I284/H284-1</f>
        <v>0.0756099269613906</v>
      </c>
      <c r="J285" s="26" t="n">
        <f aca="false">J284/I284-1</f>
        <v>0.0484450343231211</v>
      </c>
    </row>
    <row r="286" customFormat="false" ht="17.15" hidden="false" customHeight="false" outlineLevel="0" collapsed="false">
      <c r="A286" s="3" t="s">
        <v>753</v>
      </c>
      <c r="B286" s="0" t="s">
        <v>43</v>
      </c>
      <c r="C286" s="16" t="n">
        <f aca="false">C282/C262</f>
        <v>0.0405580544331783</v>
      </c>
      <c r="D286" s="16" t="n">
        <f aca="false">D282/D262</f>
        <v>0.127906349105057</v>
      </c>
      <c r="E286" s="16" t="n">
        <f aca="false">E282/E262</f>
        <v>0.204689290901541</v>
      </c>
      <c r="F286" s="16" t="n">
        <f aca="false">F282/F262</f>
        <v>0.220231412740389</v>
      </c>
      <c r="G286" s="16" t="n">
        <f aca="false">G282/G262</f>
        <v>0.22828271017096</v>
      </c>
      <c r="H286" s="27" t="n">
        <f aca="false">$G286+(fade_mA-$G286)*1/3</f>
        <v>0.225847316676457</v>
      </c>
      <c r="I286" s="27" t="n">
        <f aca="false">$G286+(fade_mA-$G286)*2/3</f>
        <v>0.223411923181954</v>
      </c>
      <c r="J286" s="27" t="n">
        <f aca="false">$G286+(fade_mA-$G286)*3/3</f>
        <v>0.220976529687452</v>
      </c>
    </row>
    <row r="287" customFormat="false" ht="17.15" hidden="false" customHeight="false" outlineLevel="0" collapsed="false">
      <c r="A287" s="3" t="s">
        <v>754</v>
      </c>
      <c r="B287" s="0" t="s">
        <v>43</v>
      </c>
      <c r="C287" s="20" t="n">
        <f aca="false">C268/C262</f>
        <v>0.155421717364235</v>
      </c>
      <c r="D287" s="20" t="n">
        <f aca="false">D268/D262</f>
        <v>0.202110028699624</v>
      </c>
      <c r="E287" s="20" t="n">
        <f aca="false">E268/E262</f>
        <v>0.231563179684511</v>
      </c>
      <c r="F287" s="20" t="n">
        <f aca="false">F268/F262</f>
        <v>0.183053352885676</v>
      </c>
      <c r="G287" s="20" t="n">
        <f aca="false">G268/G262</f>
        <v>0.12021838328684</v>
      </c>
      <c r="H287" s="26" t="n">
        <f aca="false">$G287+($G270*(1+tp_g)^(life/2)-$G287)*1/3</f>
        <v>0.12110991062448</v>
      </c>
      <c r="I287" s="26" t="n">
        <f aca="false">$G287+($G270*(1+tp_g)^(life/2)-$G287)*2/3</f>
        <v>0.122001437962119</v>
      </c>
      <c r="J287" s="26" t="n">
        <f aca="false">$G287+($G270*(1+tp_g)^(life/2)-$G287)*3/3</f>
        <v>0.122892965299759</v>
      </c>
      <c r="K287" s="7" t="s">
        <v>755</v>
      </c>
    </row>
    <row r="288" customFormat="false" ht="15" hidden="false" customHeight="false" outlineLevel="0" collapsed="false">
      <c r="A288" s="3" t="s">
        <v>756</v>
      </c>
      <c r="B288" s="0" t="s">
        <v>379</v>
      </c>
      <c r="D288" s="21" t="n">
        <f aca="false">D282+D269-D268</f>
        <v>4.28140537512203</v>
      </c>
      <c r="E288" s="21" t="n">
        <f aca="false">E282+E269-E268</f>
        <v>6.68207792347247</v>
      </c>
      <c r="F288" s="21" t="n">
        <f aca="false">F282+F269-F268</f>
        <v>12.9477183469567</v>
      </c>
      <c r="G288" s="21" t="n">
        <f aca="false">G282+G269-G268</f>
        <v>21.2726615857347</v>
      </c>
      <c r="H288" s="30" t="n">
        <f aca="false">H282+H269-H268</f>
        <v>23.3418317661004</v>
      </c>
      <c r="I288" s="30" t="n">
        <f aca="false">I282+I269-I268</f>
        <v>24.9778949963957</v>
      </c>
      <c r="J288" s="30" t="n">
        <f aca="false">J282+J269-J268</f>
        <v>26.049921947974</v>
      </c>
      <c r="K288" s="3" t="s">
        <v>757</v>
      </c>
    </row>
    <row r="289" customFormat="false" ht="15" hidden="false" customHeight="false" outlineLevel="0" collapsed="false">
      <c r="A289" s="3" t="s">
        <v>758</v>
      </c>
      <c r="B289" s="0" t="s">
        <v>471</v>
      </c>
      <c r="D289" s="18" t="n">
        <f aca="false">D288/D283</f>
        <v>8.42230943909854</v>
      </c>
      <c r="E289" s="18" t="n">
        <f aca="false">E288/E283</f>
        <v>12.6816304937702</v>
      </c>
      <c r="F289" s="18" t="n">
        <f aca="false">F288/F283</f>
        <v>24.5729220302456</v>
      </c>
      <c r="G289" s="18" t="n">
        <f aca="false">G288/G283</f>
        <v>40.3724764869423</v>
      </c>
      <c r="H289" s="28" t="n">
        <f aca="false">H288/H283</f>
        <v>44.2994662581852</v>
      </c>
      <c r="I289" s="28" t="n">
        <f aca="false">I288/I283</f>
        <v>47.4044808342899</v>
      </c>
      <c r="J289" s="28" t="n">
        <f aca="false">J288/J283</f>
        <v>49.439035030601</v>
      </c>
    </row>
    <row r="292" customFormat="false" ht="17.15" hidden="false" customHeight="false" outlineLevel="0" collapsed="false">
      <c r="A292" s="1" t="s">
        <v>1096</v>
      </c>
    </row>
    <row r="293" customFormat="false" ht="17.15" hidden="false" customHeight="false" outlineLevel="0" collapsed="false">
      <c r="A293" s="4" t="s">
        <v>20</v>
      </c>
      <c r="B293" s="4" t="s">
        <v>21</v>
      </c>
      <c r="C293" s="13" t="s">
        <v>567</v>
      </c>
      <c r="D293" s="13" t="s">
        <v>671</v>
      </c>
      <c r="E293" s="13" t="s">
        <v>672</v>
      </c>
      <c r="F293" s="13" t="s">
        <v>673</v>
      </c>
      <c r="G293" s="13" t="s">
        <v>674</v>
      </c>
      <c r="H293" s="13" t="s">
        <v>675</v>
      </c>
      <c r="I293" s="13" t="s">
        <v>676</v>
      </c>
      <c r="J293" s="13" t="s">
        <v>677</v>
      </c>
      <c r="K293" s="4" t="s">
        <v>631</v>
      </c>
    </row>
    <row r="294" customFormat="false" ht="17.15" hidden="false" customHeight="false" outlineLevel="0" collapsed="false">
      <c r="A294" s="5" t="s">
        <v>695</v>
      </c>
    </row>
    <row r="295" customFormat="false" ht="17.15" hidden="false" customHeight="false" outlineLevel="0" collapsed="false">
      <c r="A295" s="0" t="s">
        <v>696</v>
      </c>
      <c r="B295" s="3" t="s">
        <v>31</v>
      </c>
      <c r="D295" s="21" t="n">
        <f aca="false">(u_bw_26+u_rb_26+u_ru_26+u_hp_26)*1</f>
        <v>7.6</v>
      </c>
      <c r="E295" s="21" t="n">
        <f aca="false">(u_bw_27+u_rb_27+u_ru_27+u_hp_27)*1*1</f>
        <v>9.7</v>
      </c>
      <c r="F295" s="21" t="n">
        <f aca="false">(u_bw_28+u_rb_28+u_ru_28+u_hp_28)*um28_A*1</f>
        <v>9.5</v>
      </c>
      <c r="G295" s="21" t="n">
        <f aca="false">(u_bw_28*(1+g29_bw)+u_rb_28*(1+g29_rb)+u_ru_28*(1+g29_ru)+u_hp_28*(1+g29_hp))*um29_A*1</f>
        <v>10.6</v>
      </c>
      <c r="K295" s="7" t="s">
        <v>697</v>
      </c>
    </row>
    <row r="296" customFormat="false" ht="17.15" hidden="false" customHeight="false" outlineLevel="0" collapsed="false">
      <c r="A296" s="3" t="s">
        <v>698</v>
      </c>
      <c r="B296" s="3" t="s">
        <v>31</v>
      </c>
      <c r="D296" s="21" t="n">
        <f aca="false">(u_amd_26+u_tpu_26+u_trn_26+u_oth_26)*1</f>
        <v>7.6</v>
      </c>
      <c r="E296" s="21" t="n">
        <f aca="false">(u_amd_27+u_tpu_27+u_trn_27+u_oth_27)*1*1</f>
        <v>14</v>
      </c>
      <c r="F296" s="21" t="n">
        <f aca="false">(u_amd_28+u_tpu_28+u_trn_28+u_oth_28)*um28_A*1</f>
        <v>17</v>
      </c>
      <c r="G296" s="21" t="n">
        <f aca="false">(u_amd_28*(1+g29_amd)+u_tpu_28*(1+g29_tpu)+u_trn_28*(1+g29_trn)+u_oth_28*(1+g29_oth))*um29_A*1</f>
        <v>19.55</v>
      </c>
      <c r="K296" s="7" t="s">
        <v>699</v>
      </c>
    </row>
    <row r="297" customFormat="false" ht="17.15" hidden="false" customHeight="false" outlineLevel="0" collapsed="false">
      <c r="A297" s="0" t="s">
        <v>700</v>
      </c>
      <c r="B297" s="3" t="s">
        <v>31</v>
      </c>
      <c r="D297" s="21" t="n">
        <f aca="false">D295*cpu_r</f>
        <v>3.04</v>
      </c>
      <c r="E297" s="21" t="n">
        <f aca="false">E295*cpu_r</f>
        <v>3.88</v>
      </c>
      <c r="F297" s="21" t="n">
        <f aca="false">F295*cpu_r</f>
        <v>3.8</v>
      </c>
      <c r="G297" s="21" t="n">
        <f aca="false">G295*cpu_r</f>
        <v>4.24</v>
      </c>
      <c r="K297" s="7" t="s">
        <v>701</v>
      </c>
    </row>
    <row r="298" customFormat="false" ht="17.15" hidden="false" customHeight="false" outlineLevel="0" collapsed="false">
      <c r="A298" s="3" t="s">
        <v>702</v>
      </c>
      <c r="B298" s="0" t="s">
        <v>153</v>
      </c>
      <c r="D298" s="19" t="n">
        <f aca="false">1</f>
        <v>1</v>
      </c>
      <c r="E298" s="19" t="n">
        <f aca="false">D298*(1+g_asp)</f>
        <v>1.18</v>
      </c>
      <c r="F298" s="19" t="n">
        <f aca="false">E298*(1+g_asp)</f>
        <v>1.3924</v>
      </c>
      <c r="G298" s="19" t="n">
        <f aca="false">F298*(1+g_asp)</f>
        <v>1.643032</v>
      </c>
      <c r="K298" s="7" t="s">
        <v>703</v>
      </c>
    </row>
    <row r="299" customFormat="false" ht="17.15" hidden="false" customHeight="false" outlineLevel="0" collapsed="false">
      <c r="A299" s="0" t="s">
        <v>704</v>
      </c>
      <c r="B299" s="0" t="s">
        <v>153</v>
      </c>
      <c r="D299" s="18" t="n">
        <f aca="false">1</f>
        <v>1</v>
      </c>
      <c r="E299" s="18" t="n">
        <f aca="false">ibpp_27_lo</f>
        <v>0.95</v>
      </c>
      <c r="F299" s="18" t="n">
        <f aca="false">ibpp_28_lo</f>
        <v>0.85</v>
      </c>
      <c r="G299" s="18" t="n">
        <f aca="false">ibpp_29_lo</f>
        <v>0.75</v>
      </c>
      <c r="K299" s="7" t="s">
        <v>705</v>
      </c>
    </row>
    <row r="300" customFormat="false" ht="17.15" hidden="false" customHeight="false" outlineLevel="0" collapsed="false">
      <c r="A300" s="3" t="s">
        <v>706</v>
      </c>
      <c r="B300" s="0" t="s">
        <v>153</v>
      </c>
      <c r="D300" s="18" t="n">
        <f aca="false">1</f>
        <v>1</v>
      </c>
      <c r="E300" s="18" t="n">
        <f aca="false">1+carry</f>
        <v>1.15</v>
      </c>
      <c r="F300" s="18" t="n">
        <f aca="false">1+carry</f>
        <v>1.15</v>
      </c>
      <c r="G300" s="18" t="n">
        <f aca="false">1+carry</f>
        <v>1.15</v>
      </c>
      <c r="K300" s="7" t="s">
        <v>707</v>
      </c>
    </row>
    <row r="301" customFormat="false" ht="17.15" hidden="false" customHeight="false" outlineLevel="0" collapsed="false">
      <c r="A301" s="3" t="s">
        <v>708</v>
      </c>
      <c r="B301" s="0" t="s">
        <v>709</v>
      </c>
      <c r="D301" s="23" t="n">
        <f aca="false">v26*D298*D299</f>
        <v>215.308596</v>
      </c>
      <c r="E301" s="23" t="n">
        <f aca="false">v26*E298*E299</f>
        <v>241.360936116</v>
      </c>
      <c r="F301" s="23" t="n">
        <f aca="false">v26*F298*F299</f>
        <v>254.82633570984</v>
      </c>
      <c r="G301" s="23" t="n">
        <f aca="false">v26*G298*G299</f>
        <v>265.319184827304</v>
      </c>
      <c r="K301" s="7" t="s">
        <v>710</v>
      </c>
    </row>
    <row r="302" customFormat="false" ht="17.15" hidden="false" customHeight="false" outlineLevel="0" collapsed="false">
      <c r="A302" s="3" t="s">
        <v>711</v>
      </c>
      <c r="B302" s="0" t="s">
        <v>43</v>
      </c>
      <c r="D302" s="20" t="n">
        <f aca="false">sh_nv_26</f>
        <v>0.02</v>
      </c>
      <c r="E302" s="20" t="n">
        <f aca="false">sh_nv_27</f>
        <v>0.03</v>
      </c>
      <c r="F302" s="20" t="n">
        <f aca="false">sh_nv_28</f>
        <v>0.05</v>
      </c>
      <c r="G302" s="20" t="n">
        <f aca="false">sh_nv_29</f>
        <v>0.06</v>
      </c>
    </row>
    <row r="303" customFormat="false" ht="17.15" hidden="false" customHeight="false" outlineLevel="0" collapsed="false">
      <c r="A303" s="3" t="s">
        <v>712</v>
      </c>
      <c r="B303" s="0" t="s">
        <v>43</v>
      </c>
      <c r="D303" s="20" t="n">
        <f aca="false">sh_ot_26</f>
        <v>0.03</v>
      </c>
      <c r="E303" s="20" t="n">
        <f aca="false">sh_ot_27</f>
        <v>0.05</v>
      </c>
      <c r="F303" s="20" t="n">
        <f aca="false">sh_ot_28</f>
        <v>0.06</v>
      </c>
      <c r="G303" s="20" t="n">
        <f aca="false">sh_ot_29</f>
        <v>0.06</v>
      </c>
    </row>
    <row r="304" customFormat="false" ht="17.15" hidden="false" customHeight="false" outlineLevel="0" collapsed="false">
      <c r="A304" s="3" t="s">
        <v>713</v>
      </c>
      <c r="B304" s="0" t="s">
        <v>43</v>
      </c>
      <c r="D304" s="20" t="n">
        <f aca="false">sh_cpu_26</f>
        <v>0.35</v>
      </c>
      <c r="E304" s="20" t="n">
        <f aca="false">sh_cpu_27</f>
        <v>0.7</v>
      </c>
      <c r="F304" s="20" t="n">
        <f aca="false">sh_cpu_28</f>
        <v>0.75</v>
      </c>
      <c r="G304" s="20" t="n">
        <f aca="false">sh_cpu_29</f>
        <v>0.7</v>
      </c>
    </row>
    <row r="305" customFormat="false" ht="17.15" hidden="false" customHeight="false" outlineLevel="0" collapsed="false">
      <c r="A305" s="3" t="s">
        <v>714</v>
      </c>
      <c r="B305" s="0" t="s">
        <v>661</v>
      </c>
      <c r="D305" s="22" t="n">
        <f aca="false">(D295*D301*D302+D296*D301*v_ot*D303+D297*D301*v_cpu*D304)*D300</f>
        <v>140.7256983456</v>
      </c>
      <c r="E305" s="22" t="n">
        <f aca="false">(E295*E301*E302+E296*E301*v_ot*E303+E297*E301*v_cpu*E304)*E300</f>
        <v>462.367904489338</v>
      </c>
      <c r="F305" s="22" t="n">
        <f aca="false">(F295*F301*F302+F296*F301*v_ot*F303+F297*F301*v_cpu*F304)*F300</f>
        <v>628.885913898314</v>
      </c>
      <c r="G305" s="22" t="n">
        <f aca="false">(G295*G301*G302+G296*G301*v_ot*G303+G297*G301*v_cpu*G304)*G300</f>
        <v>752.052535776689</v>
      </c>
    </row>
    <row r="306" customFormat="false" ht="17.15" hidden="false" customHeight="false" outlineLevel="0" collapsed="false">
      <c r="A306" s="3" t="s">
        <v>715</v>
      </c>
      <c r="B306" s="0" t="s">
        <v>379</v>
      </c>
      <c r="D306" s="21" t="n">
        <f aca="false">D305*fx/1000</f>
        <v>4.5032223470592</v>
      </c>
      <c r="E306" s="21" t="n">
        <f aca="false">E305*fx/1000</f>
        <v>14.7957729436588</v>
      </c>
      <c r="F306" s="21" t="n">
        <f aca="false">F305*fx/1000</f>
        <v>20.1243492447461</v>
      </c>
      <c r="G306" s="21" t="n">
        <f aca="false">G305*fx/1000</f>
        <v>24.0656811448541</v>
      </c>
    </row>
    <row r="307" customFormat="false" ht="17.15" hidden="false" customHeight="false" outlineLevel="0" collapsed="false">
      <c r="A307" s="5" t="s">
        <v>716</v>
      </c>
    </row>
    <row r="308" customFormat="false" ht="17.15" hidden="false" customHeight="false" outlineLevel="0" collapsed="false">
      <c r="A308" s="0" t="s">
        <v>717</v>
      </c>
      <c r="B308" s="0" t="s">
        <v>379</v>
      </c>
      <c r="D308" s="21" t="n">
        <f aca="false">a26_abf*ai_abf</f>
        <v>5.714709</v>
      </c>
      <c r="K308" s="3" t="s">
        <v>718</v>
      </c>
    </row>
    <row r="309" customFormat="false" ht="17.15" hidden="false" customHeight="false" outlineLevel="0" collapsed="false">
      <c r="A309" s="3" t="s">
        <v>719</v>
      </c>
      <c r="B309" s="0" t="s">
        <v>379</v>
      </c>
      <c r="D309" s="21" t="n">
        <f aca="false">D308-D306</f>
        <v>1.2114866529408</v>
      </c>
      <c r="E309" s="21" t="n">
        <f aca="false">$D309*(swm_27/swm_26)^el_o*1*1*E299*E300</f>
        <v>1.85126515215952</v>
      </c>
      <c r="F309" s="21" t="n">
        <f aca="false">$D309*(swm_28/swm_26)^el_o*um28_A*1*F299*F300</f>
        <v>1.78186504162418</v>
      </c>
      <c r="G309" s="21" t="n">
        <f aca="false">$D309*(swm_29/swm_26)^el_o*um29_A*1*G299*G300</f>
        <v>1.67727163866962</v>
      </c>
      <c r="K309" s="7" t="s">
        <v>720</v>
      </c>
    </row>
    <row r="310" customFormat="false" ht="17.15" hidden="false" customHeight="false" outlineLevel="0" collapsed="false">
      <c r="A310" s="3" t="s">
        <v>721</v>
      </c>
      <c r="B310" s="0" t="s">
        <v>379</v>
      </c>
      <c r="D310" s="21" t="n">
        <f aca="false">a26_abf-D308</f>
        <v>17.144127</v>
      </c>
      <c r="E310" s="21" t="n">
        <f aca="false">$D310*(1+g_nai)^1*E300</f>
        <v>20.898690813</v>
      </c>
      <c r="F310" s="21" t="n">
        <f aca="false">$D310*(1+g_nai)^2*F300</f>
        <v>22.15261226178</v>
      </c>
      <c r="G310" s="21" t="n">
        <f aca="false">$D310*(1+g_nai)^3*G300</f>
        <v>23.4817689974868</v>
      </c>
      <c r="K310" s="3" t="s">
        <v>722</v>
      </c>
    </row>
    <row r="311" customFormat="false" ht="17.15" hidden="false" customHeight="false" outlineLevel="0" collapsed="false">
      <c r="A311" s="0" t="s">
        <v>723</v>
      </c>
      <c r="B311" s="0" t="s">
        <v>379</v>
      </c>
      <c r="D311" s="21" t="n">
        <f aca="false">D306+D309+D310</f>
        <v>22.858836</v>
      </c>
      <c r="E311" s="21" t="n">
        <f aca="false">E306+E309+E310</f>
        <v>37.5457289088183</v>
      </c>
      <c r="F311" s="21" t="n">
        <f aca="false">F306+F309+F310</f>
        <v>44.0588265481502</v>
      </c>
      <c r="G311" s="21" t="n">
        <f aca="false">G306+G309+G310</f>
        <v>49.2247217810105</v>
      </c>
    </row>
    <row r="312" customFormat="false" ht="17.15" hidden="false" customHeight="false" outlineLevel="0" collapsed="false">
      <c r="A312" s="0" t="s">
        <v>724</v>
      </c>
      <c r="B312" s="0" t="s">
        <v>379</v>
      </c>
      <c r="D312" s="21" t="n">
        <f aca="false">a26_abf</f>
        <v>22.858836</v>
      </c>
      <c r="E312" s="21" t="n">
        <f aca="false">$D311*cap_27*(1+g_mix)^1*E299*E300</f>
        <v>31.4663306958</v>
      </c>
      <c r="F312" s="21" t="n">
        <f aca="false">$D311*cap_28*(1+g_mix)^2*F299*F300</f>
        <v>36.9522370342125</v>
      </c>
      <c r="G312" s="21" t="n">
        <f aca="false">$D311*cap_29*(1+g_mix)^3*G299*G300</f>
        <v>42.2233649640928</v>
      </c>
      <c r="K312" s="7" t="s">
        <v>725</v>
      </c>
    </row>
    <row r="313" customFormat="false" ht="17.15" hidden="false" customHeight="false" outlineLevel="0" collapsed="false">
      <c r="A313" s="0" t="s">
        <v>726</v>
      </c>
      <c r="B313" s="0" t="s">
        <v>379</v>
      </c>
      <c r="D313" s="21" t="n">
        <f aca="false">a26_abf</f>
        <v>22.858836</v>
      </c>
      <c r="E313" s="21" t="n">
        <f aca="false">MIN(E311,E312)</f>
        <v>31.4663306958</v>
      </c>
      <c r="F313" s="21" t="n">
        <f aca="false">MIN(F311,F312)</f>
        <v>36.9522370342125</v>
      </c>
      <c r="G313" s="21" t="n">
        <f aca="false">MIN(G311,G312)</f>
        <v>42.2233649640928</v>
      </c>
    </row>
    <row r="314" customFormat="false" ht="17.15" hidden="false" customHeight="false" outlineLevel="0" collapsed="false">
      <c r="A314" s="3" t="s">
        <v>727</v>
      </c>
      <c r="B314" s="0" t="s">
        <v>43</v>
      </c>
      <c r="D314" s="20" t="n">
        <f aca="false">D313/D311</f>
        <v>1</v>
      </c>
      <c r="E314" s="20" t="n">
        <f aca="false">E313/E311</f>
        <v>0.838080165448846</v>
      </c>
      <c r="F314" s="20" t="n">
        <f aca="false">F313/F311</f>
        <v>0.838702251723132</v>
      </c>
      <c r="G314" s="20" t="n">
        <f aca="false">G313/G311</f>
        <v>0.857767467979502</v>
      </c>
    </row>
    <row r="315" customFormat="false" ht="17.15" hidden="false" customHeight="false" outlineLevel="0" collapsed="false">
      <c r="A315" s="0" t="s">
        <v>728</v>
      </c>
      <c r="B315" s="0" t="s">
        <v>379</v>
      </c>
      <c r="D315" s="21" t="n">
        <f aca="false">(D306+D309)*D314</f>
        <v>5.714709</v>
      </c>
      <c r="E315" s="21" t="n">
        <f aca="false">(E306+E309)*E314</f>
        <v>13.9515524415767</v>
      </c>
      <c r="F315" s="21" t="n">
        <f aca="false">(F306+F309)*F314</f>
        <v>18.3727912487082</v>
      </c>
      <c r="G315" s="21" t="n">
        <f aca="false">(G306+G309)*G314</f>
        <v>22.081467427439</v>
      </c>
    </row>
    <row r="316" customFormat="false" ht="17.15" hidden="false" customHeight="false" outlineLevel="0" collapsed="false">
      <c r="A316" s="3" t="s">
        <v>729</v>
      </c>
      <c r="B316" s="0" t="s">
        <v>43</v>
      </c>
      <c r="D316" s="20" t="n">
        <f aca="false">D306/(D306+D309)</f>
        <v>0.788005539225042</v>
      </c>
      <c r="E316" s="20" t="n">
        <f aca="false">E306/(E306+E309)</f>
        <v>0.888793120944167</v>
      </c>
      <c r="F316" s="20" t="n">
        <f aca="false">F306/(F306+F309)</f>
        <v>0.918659380469366</v>
      </c>
      <c r="G316" s="20" t="n">
        <f aca="false">G306/(G306+G309)</f>
        <v>0.934845405934041</v>
      </c>
    </row>
    <row r="317" customFormat="false" ht="17.15" hidden="false" customHeight="false" outlineLevel="0" collapsed="false">
      <c r="A317" s="5" t="s">
        <v>730</v>
      </c>
    </row>
    <row r="318" customFormat="false" ht="17.15" hidden="false" customHeight="false" outlineLevel="0" collapsed="false">
      <c r="A318" s="0" t="s">
        <v>731</v>
      </c>
      <c r="B318" s="0" t="s">
        <v>379</v>
      </c>
      <c r="D318" s="21" t="n">
        <f aca="false">a26_bt</f>
        <v>23.265964</v>
      </c>
      <c r="E318" s="21" t="n">
        <f aca="false">D318*(1+g_bt27_A)</f>
        <v>29.78043392</v>
      </c>
      <c r="F318" s="21" t="n">
        <f aca="false">E318*(1+g_bt28_A)</f>
        <v>32.758477312</v>
      </c>
      <c r="G318" s="21" t="n">
        <f aca="false">F318*(1+g_bt29_A)</f>
        <v>34.3964011776</v>
      </c>
      <c r="K318" s="7" t="s">
        <v>732</v>
      </c>
    </row>
    <row r="319" customFormat="false" ht="17.15" hidden="false" customHeight="false" outlineLevel="0" collapsed="false">
      <c r="A319" s="3" t="s">
        <v>617</v>
      </c>
      <c r="B319" s="0" t="s">
        <v>379</v>
      </c>
      <c r="C319" s="21" t="n">
        <f aca="false">a25_lens</f>
        <v>7.039</v>
      </c>
      <c r="D319" s="21" t="n">
        <f aca="false">a26_lens</f>
        <v>8.301</v>
      </c>
      <c r="E319" s="21" t="n">
        <f aca="false">D319*(1+g_lens)</f>
        <v>9.1311</v>
      </c>
      <c r="F319" s="21" t="n">
        <f aca="false">E319*(1+g_lens)</f>
        <v>10.04421</v>
      </c>
      <c r="G319" s="21" t="n">
        <f aca="false">F319*(1+g_lens)</f>
        <v>11.048631</v>
      </c>
      <c r="K319" s="3" t="s">
        <v>733</v>
      </c>
    </row>
    <row r="320" customFormat="false" ht="17.15" hidden="false" customHeight="false" outlineLevel="0" collapsed="false">
      <c r="A320" s="3" t="s">
        <v>574</v>
      </c>
      <c r="B320" s="0" t="s">
        <v>379</v>
      </c>
      <c r="C320" s="23" t="n">
        <f aca="false">a25_rev</f>
        <v>39.351</v>
      </c>
      <c r="D320" s="23" t="n">
        <f aca="false">D313+D318+D319</f>
        <v>54.4258</v>
      </c>
      <c r="E320" s="23" t="n">
        <f aca="false">E313+E318+E319</f>
        <v>70.3778646158</v>
      </c>
      <c r="F320" s="23" t="n">
        <f aca="false">F313+F318+F319</f>
        <v>79.7549243462125</v>
      </c>
      <c r="G320" s="23" t="n">
        <f aca="false">G313+G318+G319</f>
        <v>87.6683971416928</v>
      </c>
      <c r="H320" s="25" t="n">
        <f aca="false">G320*(1+H322)</f>
        <v>95.2208759773961</v>
      </c>
      <c r="I320" s="25" t="n">
        <f aca="false">H320*(1+I322)</f>
        <v>102.179058085177</v>
      </c>
      <c r="J320" s="25" t="n">
        <f aca="false">I320*(1+J322)</f>
        <v>108.309801570288</v>
      </c>
      <c r="K320" s="7" t="s">
        <v>734</v>
      </c>
    </row>
    <row r="321" customFormat="false" ht="17.15" hidden="false" customHeight="false" outlineLevel="0" collapsed="false">
      <c r="A321" s="3" t="s">
        <v>735</v>
      </c>
      <c r="B321" s="0" t="s">
        <v>379</v>
      </c>
      <c r="D321" s="19" t="n">
        <f aca="false">D313+D318+D319-D320</f>
        <v>0</v>
      </c>
      <c r="E321" s="19" t="n">
        <f aca="false">E313+E318+E319-E320</f>
        <v>0</v>
      </c>
      <c r="F321" s="19" t="n">
        <f aca="false">F313+F318+F319-F320</f>
        <v>0</v>
      </c>
      <c r="G321" s="19" t="n">
        <f aca="false">G313+G318+G319-G320</f>
        <v>0</v>
      </c>
    </row>
    <row r="322" customFormat="false" ht="15" hidden="false" customHeight="false" outlineLevel="0" collapsed="false">
      <c r="A322" s="3" t="s">
        <v>736</v>
      </c>
      <c r="B322" s="0" t="s">
        <v>43</v>
      </c>
      <c r="D322" s="20" t="n">
        <f aca="false">D320/C320-1</f>
        <v>0.383085563263958</v>
      </c>
      <c r="E322" s="20" t="n">
        <f aca="false">E320/D320-1</f>
        <v>0.293097476119781</v>
      </c>
      <c r="F322" s="20" t="n">
        <f aca="false">F320/E320-1</f>
        <v>0.133238764512149</v>
      </c>
      <c r="G322" s="20" t="n">
        <f aca="false">G320/F320-1</f>
        <v>0.099222372290497</v>
      </c>
      <c r="H322" s="26" t="n">
        <f aca="false">$G322+(fade_gA-$G322)*1/3</f>
        <v>0.0861482481936647</v>
      </c>
      <c r="I322" s="26" t="n">
        <f aca="false">$G322+(fade_gA-$G322)*2/3</f>
        <v>0.0730741240968323</v>
      </c>
      <c r="J322" s="26" t="n">
        <f aca="false">$G322+(fade_gA-$G322)*3/3</f>
        <v>0.06</v>
      </c>
    </row>
    <row r="323" customFormat="false" ht="17.15" hidden="false" customHeight="false" outlineLevel="0" collapsed="false">
      <c r="A323" s="0" t="s">
        <v>737</v>
      </c>
      <c r="B323" s="0" t="s">
        <v>43</v>
      </c>
      <c r="D323" s="20" t="n">
        <f aca="false">D313/D320</f>
        <v>0.42</v>
      </c>
      <c r="E323" s="20" t="n">
        <f aca="false">E313/E320</f>
        <v>0.447105504942185</v>
      </c>
      <c r="F323" s="20" t="n">
        <f aca="false">F313/F320</f>
        <v>0.463322325701226</v>
      </c>
      <c r="G323" s="20" t="n">
        <f aca="false">G313/G320</f>
        <v>0.481625834858711</v>
      </c>
    </row>
    <row r="324" customFormat="false" ht="17.15" hidden="false" customHeight="false" outlineLevel="0" collapsed="false">
      <c r="A324" s="0" t="s">
        <v>738</v>
      </c>
      <c r="B324" s="0" t="s">
        <v>43</v>
      </c>
      <c r="D324" s="20" t="n">
        <f aca="false">D315/D320</f>
        <v>0.105</v>
      </c>
      <c r="E324" s="20" t="n">
        <f aca="false">E315/E320</f>
        <v>0.198237791353</v>
      </c>
      <c r="F324" s="20" t="n">
        <f aca="false">F315/F320</f>
        <v>0.230365603118783</v>
      </c>
      <c r="G324" s="20" t="n">
        <f aca="false">G315/G320</f>
        <v>0.251874884763208</v>
      </c>
      <c r="K324" s="3" t="s">
        <v>739</v>
      </c>
    </row>
    <row r="325" customFormat="false" ht="17.15" hidden="false" customHeight="false" outlineLevel="0" collapsed="false">
      <c r="A325" s="5" t="s">
        <v>740</v>
      </c>
    </row>
    <row r="326" customFormat="false" ht="15" hidden="false" customHeight="false" outlineLevel="0" collapsed="false">
      <c r="A326" s="3" t="s">
        <v>741</v>
      </c>
      <c r="B326" s="0" t="s">
        <v>379</v>
      </c>
      <c r="C326" s="23" t="n">
        <f aca="false">a25_cx</f>
        <v>6.116</v>
      </c>
      <c r="D326" s="23" t="n">
        <f aca="false">capex26</f>
        <v>11</v>
      </c>
      <c r="E326" s="23" t="n">
        <f aca="false">cx27</f>
        <v>17</v>
      </c>
      <c r="F326" s="23" t="n">
        <f aca="false">cx28</f>
        <v>16</v>
      </c>
      <c r="G326" s="23" t="n">
        <f aca="false">cx29</f>
        <v>12</v>
      </c>
      <c r="H326" s="25" t="n">
        <f aca="false">H320*H345</f>
        <v>13.1304361613124</v>
      </c>
      <c r="I326" s="25" t="n">
        <f aca="false">I320*I345</f>
        <v>14.1936516047827</v>
      </c>
      <c r="J326" s="25" t="n">
        <f aca="false">J320*J345</f>
        <v>15.155214242361</v>
      </c>
    </row>
    <row r="327" customFormat="false" ht="17.15" hidden="false" customHeight="false" outlineLevel="0" collapsed="false">
      <c r="A327" s="3" t="s">
        <v>742</v>
      </c>
      <c r="B327" s="0" t="s">
        <v>379</v>
      </c>
      <c r="C327" s="23" t="n">
        <f aca="false">a25_da</f>
        <v>7.158</v>
      </c>
      <c r="D327" s="23" t="n">
        <f aca="false">da26</f>
        <v>8.32</v>
      </c>
      <c r="E327" s="23" t="n">
        <f aca="false">D327*(1-1/life)+D326/life</f>
        <v>8.655</v>
      </c>
      <c r="F327" s="23" t="n">
        <f aca="false">E327*(1-1/life)+E326/life</f>
        <v>9.698125</v>
      </c>
      <c r="G327" s="23" t="n">
        <f aca="false">F327*(1-1/life)+F326/life</f>
        <v>10.485859375</v>
      </c>
      <c r="H327" s="25" t="n">
        <f aca="false">H320*H328</f>
        <v>11.3891977909614</v>
      </c>
      <c r="I327" s="25" t="n">
        <f aca="false">I320*I328</f>
        <v>12.2214534437014</v>
      </c>
      <c r="J327" s="25" t="n">
        <f aca="false">J320*J328</f>
        <v>12.9547406503235</v>
      </c>
      <c r="K327" s="3" t="s">
        <v>743</v>
      </c>
    </row>
    <row r="328" customFormat="false" ht="17.15" hidden="false" customHeight="false" outlineLevel="0" collapsed="false">
      <c r="A328" s="3" t="s">
        <v>744</v>
      </c>
      <c r="B328" s="0" t="s">
        <v>43</v>
      </c>
      <c r="C328" s="20" t="n">
        <f aca="false">C327/C320</f>
        <v>0.181901349393916</v>
      </c>
      <c r="D328" s="20" t="n">
        <f aca="false">D327/D320</f>
        <v>0.152868676252807</v>
      </c>
      <c r="E328" s="20" t="n">
        <f aca="false">E327/E320</f>
        <v>0.122979008346567</v>
      </c>
      <c r="F328" s="20" t="n">
        <f aca="false">F327/F320</f>
        <v>0.121599074659025</v>
      </c>
      <c r="G328" s="20" t="n">
        <f aca="false">G327/G320</f>
        <v>0.119608202235663</v>
      </c>
      <c r="H328" s="26" t="n">
        <f aca="false">$G328</f>
        <v>0.119608202235663</v>
      </c>
      <c r="I328" s="26" t="n">
        <f aca="false">$G328</f>
        <v>0.119608202235663</v>
      </c>
      <c r="J328" s="26" t="n">
        <f aca="false">$G328</f>
        <v>0.119608202235663</v>
      </c>
    </row>
    <row r="329" customFormat="false" ht="17.15" hidden="false" customHeight="false" outlineLevel="0" collapsed="false">
      <c r="A329" s="0" t="s">
        <v>745</v>
      </c>
      <c r="B329" s="0" t="s">
        <v>379</v>
      </c>
      <c r="E329" s="21" t="n">
        <f aca="false">E314*((E306+E309)*(1-1/(E299*E300))+E310*(1-1/E300))</f>
        <v>3.46578901791548</v>
      </c>
      <c r="F329" s="21" t="n">
        <f aca="false">F314*((F306+F309)*(1-1/(F299*F300))+F310*(1-1/F300))</f>
        <v>2.0005028486505</v>
      </c>
      <c r="G329" s="21" t="n">
        <f aca="false">G314*((G306+G309)*(1-1/(G299*G300))+G310*(1-1/G300))</f>
        <v>-0.893029911187604</v>
      </c>
      <c r="K329" s="7" t="s">
        <v>746</v>
      </c>
    </row>
    <row r="330" customFormat="false" ht="17.15" hidden="false" customHeight="false" outlineLevel="0" collapsed="false">
      <c r="A330" s="3" t="s">
        <v>747</v>
      </c>
      <c r="B330" s="0" t="s">
        <v>379</v>
      </c>
      <c r="C330" s="21" t="n">
        <f aca="false">a25_gp</f>
        <v>8.314</v>
      </c>
      <c r="D330" s="21" t="n">
        <f aca="false">a26_gp</f>
        <v>15.328536</v>
      </c>
      <c r="E330" s="21" t="n">
        <f aca="false">$D330+ft_abf*(E313-E329-$D313)+ft_bt*(E318-$D318)+ft_lens*(E319-$D319)+E329-(E327-$D327)</f>
        <v>24.3352343208577</v>
      </c>
      <c r="F330" s="21" t="n">
        <f aca="false">$D330+ft_abf*(F313-F329-$D313)+ft_bt*(F318-$D318)+ft_lens*(F319-$D319)+F329-(F327-$D327)</f>
        <v>27.0534384318315</v>
      </c>
      <c r="G330" s="21" t="n">
        <f aca="false">$D330+ft_abf*(G313-G329-$D313)+ft_bt*(G318-$D318)+ft_lens*(G319-$D319)+G329-(G327-$D327)</f>
        <v>28.6435568313726</v>
      </c>
      <c r="K330" s="3" t="s">
        <v>748</v>
      </c>
    </row>
    <row r="331" customFormat="false" ht="15" hidden="false" customHeight="false" outlineLevel="0" collapsed="false">
      <c r="A331" s="3" t="s">
        <v>581</v>
      </c>
      <c r="B331" s="0" t="s">
        <v>43</v>
      </c>
      <c r="C331" s="16" t="n">
        <f aca="false">C330/C320</f>
        <v>0.211277985311682</v>
      </c>
      <c r="D331" s="16" t="n">
        <f aca="false">D330/D320</f>
        <v>0.281640986443929</v>
      </c>
      <c r="E331" s="16" t="n">
        <f aca="false">E330/E320</f>
        <v>0.345779663161227</v>
      </c>
      <c r="F331" s="16" t="n">
        <f aca="false">F330/F320</f>
        <v>0.339207122990848</v>
      </c>
      <c r="G331" s="16" t="n">
        <f aca="false">G330/G320</f>
        <v>0.326726138098292</v>
      </c>
    </row>
    <row r="332" customFormat="false" ht="15" hidden="false" customHeight="false" outlineLevel="0" collapsed="false">
      <c r="A332" s="3" t="s">
        <v>583</v>
      </c>
      <c r="B332" s="0" t="s">
        <v>379</v>
      </c>
      <c r="C332" s="21" t="n">
        <f aca="false">a25_opx</f>
        <v>5.644</v>
      </c>
      <c r="D332" s="21" t="n">
        <f aca="false">a26_opx</f>
        <v>6.54036</v>
      </c>
      <c r="E332" s="21" t="n">
        <f aca="false">D332*(1+phi*E322)</f>
        <v>7.69053780534887</v>
      </c>
      <c r="F332" s="21" t="n">
        <f aca="false">E332*(1+phi*F322)</f>
        <v>8.30534445872006</v>
      </c>
      <c r="G332" s="21" t="n">
        <f aca="false">F332*(1+phi*G322)</f>
        <v>8.79979004665042</v>
      </c>
    </row>
    <row r="333" customFormat="false" ht="15" hidden="false" customHeight="false" outlineLevel="0" collapsed="false">
      <c r="A333" s="3" t="s">
        <v>586</v>
      </c>
      <c r="B333" s="0" t="s">
        <v>379</v>
      </c>
      <c r="C333" s="21" t="n">
        <f aca="false">C330-C332</f>
        <v>2.67</v>
      </c>
      <c r="D333" s="21" t="n">
        <f aca="false">D330-D332</f>
        <v>8.788176</v>
      </c>
      <c r="E333" s="21" t="n">
        <f aca="false">E330-E332</f>
        <v>16.6446965155089</v>
      </c>
      <c r="F333" s="21" t="n">
        <f aca="false">F330-F332</f>
        <v>18.7480939731114</v>
      </c>
      <c r="G333" s="21" t="n">
        <f aca="false">G330-G332</f>
        <v>19.8437667847222</v>
      </c>
    </row>
    <row r="334" customFormat="false" ht="15" hidden="false" customHeight="false" outlineLevel="0" collapsed="false">
      <c r="A334" s="3" t="s">
        <v>684</v>
      </c>
      <c r="B334" s="0" t="s">
        <v>43</v>
      </c>
      <c r="C334" s="16" t="n">
        <f aca="false">C333/C320</f>
        <v>0.0678508805367081</v>
      </c>
      <c r="D334" s="16" t="n">
        <f aca="false">D333/D320</f>
        <v>0.161470773052486</v>
      </c>
      <c r="E334" s="16" t="n">
        <f aca="false">E333/E320</f>
        <v>0.236504710769132</v>
      </c>
      <c r="F334" s="16" t="n">
        <f aca="false">F333/F320</f>
        <v>0.235071302829237</v>
      </c>
      <c r="G334" s="16" t="n">
        <f aca="false">G333/G320</f>
        <v>0.226350286211461</v>
      </c>
    </row>
    <row r="335" customFormat="false" ht="15" hidden="false" customHeight="false" outlineLevel="0" collapsed="false">
      <c r="A335" s="3" t="s">
        <v>589</v>
      </c>
      <c r="B335" s="0" t="s">
        <v>379</v>
      </c>
      <c r="C335" s="21" t="n">
        <f aca="false">a25_nonop</f>
        <v>0.417</v>
      </c>
      <c r="D335" s="21" t="n">
        <f aca="false">a26_nonop</f>
        <v>0.37882</v>
      </c>
      <c r="E335" s="21" t="n">
        <f aca="false">nonop27</f>
        <v>0.4</v>
      </c>
      <c r="F335" s="21" t="n">
        <f aca="false">nonop28</f>
        <v>0.4</v>
      </c>
      <c r="G335" s="21" t="n">
        <f aca="false">nonop29</f>
        <v>0.4</v>
      </c>
    </row>
    <row r="336" customFormat="false" ht="15" hidden="false" customHeight="false" outlineLevel="0" collapsed="false">
      <c r="A336" s="3" t="s">
        <v>591</v>
      </c>
      <c r="B336" s="0" t="s">
        <v>379</v>
      </c>
      <c r="C336" s="21" t="n">
        <f aca="false">C333+C335</f>
        <v>3.087</v>
      </c>
      <c r="D336" s="21" t="n">
        <f aca="false">D333+D335</f>
        <v>9.166996</v>
      </c>
      <c r="E336" s="21" t="n">
        <f aca="false">E333+E335</f>
        <v>17.0446965155089</v>
      </c>
      <c r="F336" s="21" t="n">
        <f aca="false">F333+F335</f>
        <v>19.1480939731114</v>
      </c>
      <c r="G336" s="21" t="n">
        <f aca="false">G333+G335</f>
        <v>20.2437667847222</v>
      </c>
    </row>
    <row r="337" customFormat="false" ht="15" hidden="false" customHeight="false" outlineLevel="0" collapsed="false">
      <c r="A337" s="3" t="s">
        <v>592</v>
      </c>
      <c r="B337" s="0" t="s">
        <v>379</v>
      </c>
      <c r="E337" s="21" t="n">
        <f aca="false">E336*tax</f>
        <v>2.04536358186106</v>
      </c>
      <c r="F337" s="21" t="n">
        <f aca="false">F336*tax</f>
        <v>2.29777127677337</v>
      </c>
      <c r="G337" s="21" t="n">
        <f aca="false">G336*tax</f>
        <v>2.42925201416666</v>
      </c>
    </row>
    <row r="338" customFormat="false" ht="15" hidden="false" customHeight="false" outlineLevel="0" collapsed="false">
      <c r="A338" s="3" t="s">
        <v>593</v>
      </c>
      <c r="B338" s="0" t="s">
        <v>379</v>
      </c>
      <c r="C338" s="21" t="n">
        <f aca="false">a25_nic</f>
        <v>2.71712</v>
      </c>
      <c r="D338" s="21" t="n">
        <f aca="false">a26_nic</f>
        <v>8.39979776</v>
      </c>
      <c r="E338" s="21" t="n">
        <f aca="false">E336-E337</f>
        <v>14.9993329336478</v>
      </c>
      <c r="F338" s="21" t="n">
        <f aca="false">F336-F337</f>
        <v>16.8503226963381</v>
      </c>
      <c r="G338" s="21" t="n">
        <f aca="false">G336-G337</f>
        <v>17.8145147705555</v>
      </c>
    </row>
    <row r="339" customFormat="false" ht="17.15" hidden="false" customHeight="false" outlineLevel="0" collapsed="false">
      <c r="A339" s="3" t="s">
        <v>749</v>
      </c>
      <c r="B339" s="0" t="s">
        <v>379</v>
      </c>
      <c r="C339" s="21" t="n">
        <f aca="false">a25_nci</f>
        <v>1.12112</v>
      </c>
      <c r="D339" s="21" t="n">
        <f aca="false">a26_nci</f>
        <v>1.43839238487797</v>
      </c>
      <c r="E339" s="21" t="n">
        <f aca="false">E319*nm_lens*nci_sh</f>
        <v>1.57074538036261</v>
      </c>
      <c r="F339" s="21" t="n">
        <f aca="false">F319*nm_lens*nci_sh</f>
        <v>1.72781991839887</v>
      </c>
      <c r="G339" s="21" t="n">
        <f aca="false">G319*nm_lens*nci_sh</f>
        <v>1.90060191023875</v>
      </c>
      <c r="K339" s="3" t="s">
        <v>750</v>
      </c>
    </row>
    <row r="340" customFormat="false" ht="15" hidden="false" customHeight="false" outlineLevel="0" collapsed="false">
      <c r="A340" s="3" t="s">
        <v>599</v>
      </c>
      <c r="B340" s="0" t="s">
        <v>379</v>
      </c>
      <c r="C340" s="21" t="n">
        <f aca="false">a25_ni</f>
        <v>1.596</v>
      </c>
      <c r="D340" s="21" t="n">
        <f aca="false">a26_ni</f>
        <v>6.96140537512203</v>
      </c>
      <c r="E340" s="21" t="n">
        <f aca="false">E338-E339</f>
        <v>13.4285875532852</v>
      </c>
      <c r="F340" s="21" t="n">
        <f aca="false">F338-F339</f>
        <v>15.1225027779392</v>
      </c>
      <c r="G340" s="21" t="n">
        <f aca="false">G338-G339</f>
        <v>15.9139128603168</v>
      </c>
      <c r="H340" s="30" t="n">
        <f aca="false">H320*H344</f>
        <v>18.5371052925212</v>
      </c>
      <c r="I340" s="30" t="n">
        <f aca="false">I320*I344</f>
        <v>21.235430843729</v>
      </c>
      <c r="J340" s="30" t="n">
        <f aca="false">J320*J344</f>
        <v>23.9339240821388</v>
      </c>
    </row>
    <row r="341" customFormat="false" ht="15" hidden="false" customHeight="false" outlineLevel="0" collapsed="false">
      <c r="A341" s="3" t="s">
        <v>751</v>
      </c>
      <c r="B341" s="3" t="s">
        <v>465</v>
      </c>
      <c r="C341" s="29" t="n">
        <f aca="false">a25_sh</f>
        <v>0.454700854700855</v>
      </c>
      <c r="D341" s="29" t="n">
        <f aca="false">a26_sh</f>
        <v>0.508341020486215</v>
      </c>
      <c r="E341" s="29" t="n">
        <f aca="false">a26_shend*(1+sh_g)</f>
        <v>0.52691</v>
      </c>
      <c r="F341" s="29" t="n">
        <f aca="false">E341*(1+sh_g)</f>
        <v>0.52691</v>
      </c>
      <c r="G341" s="29" t="n">
        <f aca="false">F341*(1+sh_g)</f>
        <v>0.52691</v>
      </c>
      <c r="H341" s="31" t="n">
        <f aca="false">G341*(1+sh_g)</f>
        <v>0.52691</v>
      </c>
      <c r="I341" s="31" t="n">
        <f aca="false">H341*(1+sh_g)</f>
        <v>0.52691</v>
      </c>
      <c r="J341" s="31" t="n">
        <f aca="false">I341*(1+sh_g)</f>
        <v>0.52691</v>
      </c>
    </row>
    <row r="342" customFormat="false" ht="17.15" hidden="false" customHeight="false" outlineLevel="0" collapsed="false">
      <c r="A342" s="0" t="s">
        <v>604</v>
      </c>
      <c r="B342" s="0" t="s">
        <v>471</v>
      </c>
      <c r="C342" s="18" t="n">
        <f aca="false">C340/C341</f>
        <v>3.51</v>
      </c>
      <c r="D342" s="18" t="n">
        <f aca="false">D340/D341</f>
        <v>13.6943608612652</v>
      </c>
      <c r="E342" s="18" t="n">
        <f aca="false">E340/E341</f>
        <v>25.4855431729996</v>
      </c>
      <c r="F342" s="18" t="n">
        <f aca="false">F340/F341</f>
        <v>28.7003525800216</v>
      </c>
      <c r="G342" s="18" t="n">
        <f aca="false">G340/G341</f>
        <v>30.202335997261</v>
      </c>
      <c r="H342" s="28" t="n">
        <f aca="false">H340/H341</f>
        <v>35.1807809540931</v>
      </c>
      <c r="I342" s="28" t="n">
        <f aca="false">I340/I341</f>
        <v>40.3018178507316</v>
      </c>
      <c r="J342" s="28" t="n">
        <f aca="false">J340/J341</f>
        <v>45.4231729937537</v>
      </c>
    </row>
    <row r="343" customFormat="false" ht="17.15" hidden="false" customHeight="false" outlineLevel="0" collapsed="false">
      <c r="A343" s="0" t="s">
        <v>752</v>
      </c>
      <c r="B343" s="0" t="s">
        <v>43</v>
      </c>
      <c r="D343" s="20" t="n">
        <f aca="false">D342/C342-1</f>
        <v>2.90152731090177</v>
      </c>
      <c r="E343" s="20" t="n">
        <f aca="false">E342/D342-1</f>
        <v>0.861024653226862</v>
      </c>
      <c r="F343" s="20" t="n">
        <f aca="false">F342/E342-1</f>
        <v>0.126142471643609</v>
      </c>
      <c r="G343" s="20" t="n">
        <f aca="false">G342/F342-1</f>
        <v>0.0523332740617568</v>
      </c>
      <c r="H343" s="26" t="n">
        <f aca="false">H342/G342-1</f>
        <v>0.16483642051011</v>
      </c>
      <c r="I343" s="26" t="n">
        <f aca="false">I342/H342-1</f>
        <v>0.14556347976814</v>
      </c>
      <c r="J343" s="26" t="n">
        <f aca="false">J342/I342-1</f>
        <v>0.12707504068403</v>
      </c>
    </row>
    <row r="344" customFormat="false" ht="17.15" hidden="false" customHeight="false" outlineLevel="0" collapsed="false">
      <c r="A344" s="3" t="s">
        <v>753</v>
      </c>
      <c r="B344" s="0" t="s">
        <v>43</v>
      </c>
      <c r="C344" s="16" t="n">
        <f aca="false">C340/C320</f>
        <v>0.0405580544331783</v>
      </c>
      <c r="D344" s="16" t="n">
        <f aca="false">D340/D320</f>
        <v>0.127906349105057</v>
      </c>
      <c r="E344" s="16" t="n">
        <f aca="false">E340/E320</f>
        <v>0.190806976406477</v>
      </c>
      <c r="F344" s="16" t="n">
        <f aca="false">F340/F320</f>
        <v>0.189612151248406</v>
      </c>
      <c r="G344" s="16" t="n">
        <f aca="false">G340/G320</f>
        <v>0.181523939973445</v>
      </c>
      <c r="H344" s="27" t="n">
        <f aca="false">$G344+(fade_mA-$G344)*1/3</f>
        <v>0.194674803211447</v>
      </c>
      <c r="I344" s="27" t="n">
        <f aca="false">$G344+(fade_mA-$G344)*2/3</f>
        <v>0.207825666449449</v>
      </c>
      <c r="J344" s="27" t="n">
        <f aca="false">$G344+(fade_mA-$G344)*3/3</f>
        <v>0.220976529687452</v>
      </c>
    </row>
    <row r="345" customFormat="false" ht="17.15" hidden="false" customHeight="false" outlineLevel="0" collapsed="false">
      <c r="A345" s="3" t="s">
        <v>754</v>
      </c>
      <c r="B345" s="0" t="s">
        <v>43</v>
      </c>
      <c r="C345" s="20" t="n">
        <f aca="false">C326/C320</f>
        <v>0.155421717364235</v>
      </c>
      <c r="D345" s="20" t="n">
        <f aca="false">D326/D320</f>
        <v>0.202110028699624</v>
      </c>
      <c r="E345" s="20" t="n">
        <f aca="false">E326/E320</f>
        <v>0.241553222633349</v>
      </c>
      <c r="F345" s="20" t="n">
        <f aca="false">F326/F320</f>
        <v>0.200614571841918</v>
      </c>
      <c r="G345" s="20" t="n">
        <f aca="false">G326/G320</f>
        <v>0.136879427379118</v>
      </c>
      <c r="H345" s="26" t="n">
        <f aca="false">$G345+($G328*(1+tp_g)^(life/2)-$G345)*1/3</f>
        <v>0.137894511329946</v>
      </c>
      <c r="I345" s="26" t="n">
        <f aca="false">$G345+($G328*(1+tp_g)^(life/2)-$G345)*2/3</f>
        <v>0.138909595280774</v>
      </c>
      <c r="J345" s="26" t="n">
        <f aca="false">$G345+($G328*(1+tp_g)^(life/2)-$G345)*3/3</f>
        <v>0.139924679231601</v>
      </c>
      <c r="K345" s="7" t="s">
        <v>755</v>
      </c>
    </row>
    <row r="346" customFormat="false" ht="15" hidden="false" customHeight="false" outlineLevel="0" collapsed="false">
      <c r="A346" s="3" t="s">
        <v>756</v>
      </c>
      <c r="B346" s="0" t="s">
        <v>379</v>
      </c>
      <c r="D346" s="21" t="n">
        <f aca="false">D340+D327-D326</f>
        <v>4.28140537512203</v>
      </c>
      <c r="E346" s="21" t="n">
        <f aca="false">E340+E327-E326</f>
        <v>5.0835875532852</v>
      </c>
      <c r="F346" s="21" t="n">
        <f aca="false">F340+F327-F326</f>
        <v>8.8206277779392</v>
      </c>
      <c r="G346" s="21" t="n">
        <f aca="false">G340+G327-G326</f>
        <v>14.3997722353168</v>
      </c>
      <c r="H346" s="30" t="n">
        <f aca="false">H340+H327-H326</f>
        <v>16.7958669221702</v>
      </c>
      <c r="I346" s="30" t="n">
        <f aca="false">I340+I327-I326</f>
        <v>19.2632326826478</v>
      </c>
      <c r="J346" s="30" t="n">
        <f aca="false">J340+J327-J326</f>
        <v>21.7334504901013</v>
      </c>
      <c r="K346" s="3" t="s">
        <v>757</v>
      </c>
    </row>
    <row r="347" customFormat="false" ht="15" hidden="false" customHeight="false" outlineLevel="0" collapsed="false">
      <c r="A347" s="3" t="s">
        <v>758</v>
      </c>
      <c r="B347" s="0" t="s">
        <v>471</v>
      </c>
      <c r="D347" s="18" t="n">
        <f aca="false">D346/D341</f>
        <v>8.42230943909854</v>
      </c>
      <c r="E347" s="18" t="n">
        <f aca="false">E346/E341</f>
        <v>9.64792384522063</v>
      </c>
      <c r="F347" s="18" t="n">
        <f aca="false">F346/F341</f>
        <v>16.7402929873018</v>
      </c>
      <c r="G347" s="18" t="n">
        <f aca="false">G346/G341</f>
        <v>27.3287131299781</v>
      </c>
      <c r="H347" s="28" t="n">
        <f aca="false">H346/H341</f>
        <v>31.8761589686477</v>
      </c>
      <c r="I347" s="28" t="n">
        <f aca="false">I346/I341</f>
        <v>36.5588671360342</v>
      </c>
      <c r="J347" s="28" t="n">
        <f aca="false">J346/J341</f>
        <v>41.2469880816484</v>
      </c>
    </row>
    <row r="350" customFormat="false" ht="17.15" hidden="false" customHeight="false" outlineLevel="0" collapsed="false">
      <c r="A350" s="1" t="s">
        <v>1097</v>
      </c>
    </row>
    <row r="351" customFormat="false" ht="17.15" hidden="false" customHeight="false" outlineLevel="0" collapsed="false">
      <c r="A351" s="4" t="s">
        <v>20</v>
      </c>
      <c r="B351" s="4" t="s">
        <v>21</v>
      </c>
      <c r="C351" s="13" t="s">
        <v>567</v>
      </c>
      <c r="D351" s="13" t="s">
        <v>671</v>
      </c>
      <c r="E351" s="13" t="s">
        <v>672</v>
      </c>
      <c r="F351" s="13" t="s">
        <v>673</v>
      </c>
      <c r="G351" s="13" t="s">
        <v>674</v>
      </c>
      <c r="H351" s="13" t="s">
        <v>675</v>
      </c>
      <c r="I351" s="13" t="s">
        <v>676</v>
      </c>
      <c r="J351" s="13" t="s">
        <v>677</v>
      </c>
      <c r="K351" s="4" t="s">
        <v>631</v>
      </c>
    </row>
    <row r="352" customFormat="false" ht="17.15" hidden="false" customHeight="false" outlineLevel="0" collapsed="false">
      <c r="A352" s="5" t="s">
        <v>695</v>
      </c>
    </row>
    <row r="353" customFormat="false" ht="17.15" hidden="false" customHeight="false" outlineLevel="0" collapsed="false">
      <c r="A353" s="0" t="s">
        <v>696</v>
      </c>
      <c r="B353" s="3" t="s">
        <v>31</v>
      </c>
      <c r="D353" s="21" t="n">
        <f aca="false">(u_bw_26+u_rb_26+u_ru_26+u_hp_26)*1</f>
        <v>7.6</v>
      </c>
      <c r="E353" s="21" t="n">
        <f aca="false">(u_bw_27+u_rb_27+u_ru_27+u_hp_27)*1*1</f>
        <v>9.7</v>
      </c>
      <c r="F353" s="21" t="n">
        <f aca="false">(u_bw_28+u_rb_28+u_ru_28+u_hp_28)*um28_A*1</f>
        <v>9.5</v>
      </c>
      <c r="G353" s="21" t="n">
        <f aca="false">(u_bw_28*(1+g29_bw)+u_rb_28*(1+g29_rb)+u_ru_28*(1+g29_ru)+u_hp_28*(1+g29_hp))*um29_A*1</f>
        <v>10.6</v>
      </c>
      <c r="K353" s="7" t="s">
        <v>697</v>
      </c>
    </row>
    <row r="354" customFormat="false" ht="17.15" hidden="false" customHeight="false" outlineLevel="0" collapsed="false">
      <c r="A354" s="3" t="s">
        <v>698</v>
      </c>
      <c r="B354" s="3" t="s">
        <v>31</v>
      </c>
      <c r="D354" s="21" t="n">
        <f aca="false">(u_amd_26+u_tpu_26+u_trn_26+u_oth_26)*1</f>
        <v>7.6</v>
      </c>
      <c r="E354" s="21" t="n">
        <f aca="false">(u_amd_27+u_tpu_27+u_trn_27+u_oth_27)*1*1</f>
        <v>14</v>
      </c>
      <c r="F354" s="21" t="n">
        <f aca="false">(u_amd_28+u_tpu_28+u_trn_28+u_oth_28)*um28_A*1</f>
        <v>17</v>
      </c>
      <c r="G354" s="21" t="n">
        <f aca="false">(u_amd_28*(1+g29_amd)+u_tpu_28*(1+g29_tpu)+u_trn_28*(1+g29_trn)+u_oth_28*(1+g29_oth))*um29_A*1</f>
        <v>19.55</v>
      </c>
      <c r="K354" s="7" t="s">
        <v>699</v>
      </c>
    </row>
    <row r="355" customFormat="false" ht="17.15" hidden="false" customHeight="false" outlineLevel="0" collapsed="false">
      <c r="A355" s="0" t="s">
        <v>700</v>
      </c>
      <c r="B355" s="3" t="s">
        <v>31</v>
      </c>
      <c r="D355" s="21" t="n">
        <f aca="false">D353*cpu_r</f>
        <v>3.04</v>
      </c>
      <c r="E355" s="21" t="n">
        <f aca="false">E353*cpu_r</f>
        <v>3.88</v>
      </c>
      <c r="F355" s="21" t="n">
        <f aca="false">F353*cpu_r</f>
        <v>3.8</v>
      </c>
      <c r="G355" s="21" t="n">
        <f aca="false">G353*cpu_r</f>
        <v>4.24</v>
      </c>
      <c r="K355" s="7" t="s">
        <v>701</v>
      </c>
    </row>
    <row r="356" customFormat="false" ht="17.15" hidden="false" customHeight="false" outlineLevel="0" collapsed="false">
      <c r="A356" s="3" t="s">
        <v>702</v>
      </c>
      <c r="B356" s="0" t="s">
        <v>153</v>
      </c>
      <c r="D356" s="19" t="n">
        <f aca="false">1</f>
        <v>1</v>
      </c>
      <c r="E356" s="19" t="n">
        <f aca="false">D356*(1+g_asp)</f>
        <v>1.18</v>
      </c>
      <c r="F356" s="19" t="n">
        <f aca="false">E356*(1+g_asp)</f>
        <v>1.3924</v>
      </c>
      <c r="G356" s="19" t="n">
        <f aca="false">F356*(1+g_asp)</f>
        <v>1.643032</v>
      </c>
      <c r="K356" s="7" t="s">
        <v>703</v>
      </c>
    </row>
    <row r="357" customFormat="false" ht="17.15" hidden="false" customHeight="false" outlineLevel="0" collapsed="false">
      <c r="A357" s="0" t="s">
        <v>704</v>
      </c>
      <c r="B357" s="0" t="s">
        <v>153</v>
      </c>
      <c r="D357" s="18" t="n">
        <f aca="false">1</f>
        <v>1</v>
      </c>
      <c r="E357" s="18" t="n">
        <f aca="false">ibpp_27_hi</f>
        <v>1.05</v>
      </c>
      <c r="F357" s="18" t="n">
        <f aca="false">ibpp_28_hi</f>
        <v>1.05</v>
      </c>
      <c r="G357" s="18" t="n">
        <f aca="false">ibpp_29_hi</f>
        <v>1</v>
      </c>
      <c r="K357" s="7" t="s">
        <v>705</v>
      </c>
    </row>
    <row r="358" customFormat="false" ht="17.15" hidden="false" customHeight="false" outlineLevel="0" collapsed="false">
      <c r="A358" s="3" t="s">
        <v>706</v>
      </c>
      <c r="B358" s="0" t="s">
        <v>153</v>
      </c>
      <c r="D358" s="18" t="n">
        <f aca="false">1</f>
        <v>1</v>
      </c>
      <c r="E358" s="18" t="n">
        <f aca="false">1+carry</f>
        <v>1.15</v>
      </c>
      <c r="F358" s="18" t="n">
        <f aca="false">1+carry</f>
        <v>1.15</v>
      </c>
      <c r="G358" s="18" t="n">
        <f aca="false">1+carry</f>
        <v>1.15</v>
      </c>
      <c r="K358" s="7" t="s">
        <v>707</v>
      </c>
    </row>
    <row r="359" customFormat="false" ht="17.15" hidden="false" customHeight="false" outlineLevel="0" collapsed="false">
      <c r="A359" s="3" t="s">
        <v>708</v>
      </c>
      <c r="B359" s="0" t="s">
        <v>709</v>
      </c>
      <c r="D359" s="23" t="n">
        <f aca="false">v26*D356*D357</f>
        <v>215.308596</v>
      </c>
      <c r="E359" s="23" t="n">
        <f aca="false">v26*E356*E357</f>
        <v>266.767350444</v>
      </c>
      <c r="F359" s="23" t="n">
        <f aca="false">v26*F356*F357</f>
        <v>314.78547352392</v>
      </c>
      <c r="G359" s="23" t="n">
        <f aca="false">v26*G356*G357</f>
        <v>353.758913103072</v>
      </c>
      <c r="K359" s="7" t="s">
        <v>710</v>
      </c>
    </row>
    <row r="360" customFormat="false" ht="17.15" hidden="false" customHeight="false" outlineLevel="0" collapsed="false">
      <c r="A360" s="3" t="s">
        <v>711</v>
      </c>
      <c r="B360" s="0" t="s">
        <v>43</v>
      </c>
      <c r="D360" s="20" t="n">
        <f aca="false">sh_nv_26</f>
        <v>0.02</v>
      </c>
      <c r="E360" s="20" t="n">
        <f aca="false">sh_nv_27</f>
        <v>0.03</v>
      </c>
      <c r="F360" s="20" t="n">
        <f aca="false">sh_nv_28</f>
        <v>0.05</v>
      </c>
      <c r="G360" s="20" t="n">
        <f aca="false">sh_nv_29</f>
        <v>0.06</v>
      </c>
    </row>
    <row r="361" customFormat="false" ht="17.15" hidden="false" customHeight="false" outlineLevel="0" collapsed="false">
      <c r="A361" s="3" t="s">
        <v>712</v>
      </c>
      <c r="B361" s="0" t="s">
        <v>43</v>
      </c>
      <c r="D361" s="20" t="n">
        <f aca="false">sh_ot_26</f>
        <v>0.03</v>
      </c>
      <c r="E361" s="20" t="n">
        <f aca="false">sh_ot_27</f>
        <v>0.05</v>
      </c>
      <c r="F361" s="20" t="n">
        <f aca="false">sh_ot_28</f>
        <v>0.06</v>
      </c>
      <c r="G361" s="20" t="n">
        <f aca="false">sh_ot_29</f>
        <v>0.06</v>
      </c>
    </row>
    <row r="362" customFormat="false" ht="17.15" hidden="false" customHeight="false" outlineLevel="0" collapsed="false">
      <c r="A362" s="3" t="s">
        <v>713</v>
      </c>
      <c r="B362" s="0" t="s">
        <v>43</v>
      </c>
      <c r="D362" s="20" t="n">
        <f aca="false">sh_cpu_26</f>
        <v>0.35</v>
      </c>
      <c r="E362" s="20" t="n">
        <f aca="false">sh_cpu_27</f>
        <v>0.7</v>
      </c>
      <c r="F362" s="20" t="n">
        <f aca="false">sh_cpu_28</f>
        <v>0.75</v>
      </c>
      <c r="G362" s="20" t="n">
        <f aca="false">sh_cpu_29</f>
        <v>0.7</v>
      </c>
    </row>
    <row r="363" customFormat="false" ht="17.15" hidden="false" customHeight="false" outlineLevel="0" collapsed="false">
      <c r="A363" s="3" t="s">
        <v>714</v>
      </c>
      <c r="B363" s="0" t="s">
        <v>661</v>
      </c>
      <c r="D363" s="22" t="n">
        <f aca="false">(D353*D359*D360+D354*D359*v_ot*D361+D355*D359*v_cpu*D362)*D358</f>
        <v>140.7256983456</v>
      </c>
      <c r="E363" s="22" t="n">
        <f aca="false">(E353*E359*E360+E354*E359*v_ot*E361+E355*E359*v_cpu*E362)*E358</f>
        <v>511.038210225057</v>
      </c>
      <c r="F363" s="22" t="n">
        <f aca="false">(F353*F359*F360+F354*F359*v_ot*F361+F355*F359*v_cpu*F362)*F358</f>
        <v>776.859070109682</v>
      </c>
      <c r="G363" s="22" t="n">
        <f aca="false">(G353*G359*G360+G354*G359*v_ot*G361+G355*G359*v_cpu*G362)*G358</f>
        <v>1002.73671436892</v>
      </c>
    </row>
    <row r="364" customFormat="false" ht="17.15" hidden="false" customHeight="false" outlineLevel="0" collapsed="false">
      <c r="A364" s="3" t="s">
        <v>715</v>
      </c>
      <c r="B364" s="0" t="s">
        <v>379</v>
      </c>
      <c r="D364" s="21" t="n">
        <f aca="false">D363*fx/1000</f>
        <v>4.5032223470592</v>
      </c>
      <c r="E364" s="21" t="n">
        <f aca="false">E363*fx/1000</f>
        <v>16.3532227272018</v>
      </c>
      <c r="F364" s="21" t="n">
        <f aca="false">F363*fx/1000</f>
        <v>24.8594902435098</v>
      </c>
      <c r="G364" s="21" t="n">
        <f aca="false">G363*fx/1000</f>
        <v>32.0875748598054</v>
      </c>
    </row>
    <row r="365" customFormat="false" ht="17.15" hidden="false" customHeight="false" outlineLevel="0" collapsed="false">
      <c r="A365" s="5" t="s">
        <v>716</v>
      </c>
    </row>
    <row r="366" customFormat="false" ht="17.15" hidden="false" customHeight="false" outlineLevel="0" collapsed="false">
      <c r="A366" s="0" t="s">
        <v>717</v>
      </c>
      <c r="B366" s="0" t="s">
        <v>379</v>
      </c>
      <c r="D366" s="21" t="n">
        <f aca="false">a26_abf*ai_abf</f>
        <v>5.714709</v>
      </c>
      <c r="K366" s="3" t="s">
        <v>718</v>
      </c>
    </row>
    <row r="367" customFormat="false" ht="17.15" hidden="false" customHeight="false" outlineLevel="0" collapsed="false">
      <c r="A367" s="3" t="s">
        <v>719</v>
      </c>
      <c r="B367" s="0" t="s">
        <v>379</v>
      </c>
      <c r="D367" s="21" t="n">
        <f aca="false">D366-D364</f>
        <v>1.2114866529408</v>
      </c>
      <c r="E367" s="21" t="n">
        <f aca="false">$D367*(swm_27/swm_26)^el_o*1*1*E357*E358</f>
        <v>2.04613516817631</v>
      </c>
      <c r="F367" s="21" t="n">
        <f aca="false">$D367*(swm_28/swm_26)^el_o*um28_A*1*F357*F358</f>
        <v>2.20112740435928</v>
      </c>
      <c r="G367" s="21" t="n">
        <f aca="false">$D367*(swm_29/swm_26)^el_o*um29_A*1*G357*G358</f>
        <v>2.23636218489283</v>
      </c>
      <c r="K367" s="7" t="s">
        <v>720</v>
      </c>
    </row>
    <row r="368" customFormat="false" ht="17.15" hidden="false" customHeight="false" outlineLevel="0" collapsed="false">
      <c r="A368" s="3" t="s">
        <v>721</v>
      </c>
      <c r="B368" s="0" t="s">
        <v>379</v>
      </c>
      <c r="D368" s="21" t="n">
        <f aca="false">a26_abf-D366</f>
        <v>17.144127</v>
      </c>
      <c r="E368" s="21" t="n">
        <f aca="false">$D368*(1+g_nai)^1*E358</f>
        <v>20.898690813</v>
      </c>
      <c r="F368" s="21" t="n">
        <f aca="false">$D368*(1+g_nai)^2*F358</f>
        <v>22.15261226178</v>
      </c>
      <c r="G368" s="21" t="n">
        <f aca="false">$D368*(1+g_nai)^3*G358</f>
        <v>23.4817689974868</v>
      </c>
      <c r="K368" s="3" t="s">
        <v>722</v>
      </c>
    </row>
    <row r="369" customFormat="false" ht="17.15" hidden="false" customHeight="false" outlineLevel="0" collapsed="false">
      <c r="A369" s="0" t="s">
        <v>723</v>
      </c>
      <c r="B369" s="0" t="s">
        <v>379</v>
      </c>
      <c r="D369" s="21" t="n">
        <f aca="false">D364+D367+D368</f>
        <v>22.858836</v>
      </c>
      <c r="E369" s="21" t="n">
        <f aca="false">E364+E367+E368</f>
        <v>39.2980487083782</v>
      </c>
      <c r="F369" s="21" t="n">
        <f aca="false">F364+F367+F368</f>
        <v>49.2132299096491</v>
      </c>
      <c r="G369" s="21" t="n">
        <f aca="false">G364+G367+G368</f>
        <v>57.805706042185</v>
      </c>
    </row>
    <row r="370" customFormat="false" ht="17.15" hidden="false" customHeight="false" outlineLevel="0" collapsed="false">
      <c r="A370" s="0" t="s">
        <v>724</v>
      </c>
      <c r="B370" s="0" t="s">
        <v>379</v>
      </c>
      <c r="D370" s="21" t="n">
        <f aca="false">a26_abf</f>
        <v>22.858836</v>
      </c>
      <c r="E370" s="21" t="n">
        <f aca="false">$D369*cap_27*(1+g_mix)^1*E357*E358</f>
        <v>34.7785760322</v>
      </c>
      <c r="F370" s="21" t="n">
        <f aca="false">$D369*cap_28*(1+g_mix)^2*F357*F358</f>
        <v>45.6468810422625</v>
      </c>
      <c r="G370" s="21" t="n">
        <f aca="false">$D369*cap_29*(1+g_mix)^3*G357*G358</f>
        <v>56.2978199521237</v>
      </c>
      <c r="K370" s="7" t="s">
        <v>725</v>
      </c>
    </row>
    <row r="371" customFormat="false" ht="17.15" hidden="false" customHeight="false" outlineLevel="0" collapsed="false">
      <c r="A371" s="0" t="s">
        <v>726</v>
      </c>
      <c r="B371" s="0" t="s">
        <v>379</v>
      </c>
      <c r="D371" s="21" t="n">
        <f aca="false">a26_abf</f>
        <v>22.858836</v>
      </c>
      <c r="E371" s="21" t="n">
        <f aca="false">MIN(E369,E370)</f>
        <v>34.7785760322</v>
      </c>
      <c r="F371" s="21" t="n">
        <f aca="false">MIN(F369,F370)</f>
        <v>45.6468810422625</v>
      </c>
      <c r="G371" s="21" t="n">
        <f aca="false">MIN(G369,G370)</f>
        <v>56.2978199521237</v>
      </c>
    </row>
    <row r="372" customFormat="false" ht="17.15" hidden="false" customHeight="false" outlineLevel="0" collapsed="false">
      <c r="A372" s="3" t="s">
        <v>727</v>
      </c>
      <c r="B372" s="0" t="s">
        <v>43</v>
      </c>
      <c r="D372" s="20" t="n">
        <f aca="false">D371/D369</f>
        <v>1</v>
      </c>
      <c r="E372" s="20" t="n">
        <f aca="false">E371/E369</f>
        <v>0.884994985127223</v>
      </c>
      <c r="F372" s="20" t="n">
        <f aca="false">F371/F369</f>
        <v>0.927532720897732</v>
      </c>
      <c r="G372" s="20" t="n">
        <f aca="false">G371/G369</f>
        <v>0.973914580526689</v>
      </c>
    </row>
    <row r="373" customFormat="false" ht="17.15" hidden="false" customHeight="false" outlineLevel="0" collapsed="false">
      <c r="A373" s="0" t="s">
        <v>728</v>
      </c>
      <c r="B373" s="0" t="s">
        <v>379</v>
      </c>
      <c r="D373" s="21" t="n">
        <f aca="false">(D364+D367)*D372</f>
        <v>5.714709</v>
      </c>
      <c r="E373" s="21" t="n">
        <f aca="false">(E364+E367)*E372</f>
        <v>16.2833394669706</v>
      </c>
      <c r="F373" s="21" t="n">
        <f aca="false">(F364+F367)*F372</f>
        <v>25.0996083161012</v>
      </c>
      <c r="G373" s="21" t="n">
        <f aca="false">(G364+G367)*G372</f>
        <v>33.4285827489118</v>
      </c>
    </row>
    <row r="374" customFormat="false" ht="17.15" hidden="false" customHeight="false" outlineLevel="0" collapsed="false">
      <c r="A374" s="3" t="s">
        <v>729</v>
      </c>
      <c r="B374" s="0" t="s">
        <v>43</v>
      </c>
      <c r="D374" s="20" t="n">
        <f aca="false">D364/(D364+D367)</f>
        <v>0.788005539225042</v>
      </c>
      <c r="E374" s="20" t="n">
        <f aca="false">E364/(E364+E367)</f>
        <v>0.888793120944167</v>
      </c>
      <c r="F374" s="20" t="n">
        <f aca="false">F364/(F364+F367)</f>
        <v>0.918659380469366</v>
      </c>
      <c r="G374" s="20" t="n">
        <f aca="false">G364/(G364+G367)</f>
        <v>0.934845405934041</v>
      </c>
    </row>
    <row r="375" customFormat="false" ht="17.15" hidden="false" customHeight="false" outlineLevel="0" collapsed="false">
      <c r="A375" s="5" t="s">
        <v>730</v>
      </c>
    </row>
    <row r="376" customFormat="false" ht="17.15" hidden="false" customHeight="false" outlineLevel="0" collapsed="false">
      <c r="A376" s="0" t="s">
        <v>731</v>
      </c>
      <c r="B376" s="0" t="s">
        <v>379</v>
      </c>
      <c r="D376" s="21" t="n">
        <f aca="false">a26_bt</f>
        <v>23.265964</v>
      </c>
      <c r="E376" s="21" t="n">
        <f aca="false">D376*(1+g_bt27_A)</f>
        <v>29.78043392</v>
      </c>
      <c r="F376" s="21" t="n">
        <f aca="false">E376*(1+g_bt28_A)</f>
        <v>32.758477312</v>
      </c>
      <c r="G376" s="21" t="n">
        <f aca="false">F376*(1+g_bt29_A)</f>
        <v>34.3964011776</v>
      </c>
      <c r="K376" s="7" t="s">
        <v>732</v>
      </c>
    </row>
    <row r="377" customFormat="false" ht="17.15" hidden="false" customHeight="false" outlineLevel="0" collapsed="false">
      <c r="A377" s="3" t="s">
        <v>617</v>
      </c>
      <c r="B377" s="0" t="s">
        <v>379</v>
      </c>
      <c r="C377" s="21" t="n">
        <f aca="false">a25_lens</f>
        <v>7.039</v>
      </c>
      <c r="D377" s="21" t="n">
        <f aca="false">a26_lens</f>
        <v>8.301</v>
      </c>
      <c r="E377" s="21" t="n">
        <f aca="false">D377*(1+g_lens)</f>
        <v>9.1311</v>
      </c>
      <c r="F377" s="21" t="n">
        <f aca="false">E377*(1+g_lens)</f>
        <v>10.04421</v>
      </c>
      <c r="G377" s="21" t="n">
        <f aca="false">F377*(1+g_lens)</f>
        <v>11.048631</v>
      </c>
      <c r="K377" s="3" t="s">
        <v>733</v>
      </c>
    </row>
    <row r="378" customFormat="false" ht="17.15" hidden="false" customHeight="false" outlineLevel="0" collapsed="false">
      <c r="A378" s="3" t="s">
        <v>574</v>
      </c>
      <c r="B378" s="0" t="s">
        <v>379</v>
      </c>
      <c r="C378" s="23" t="n">
        <f aca="false">a25_rev</f>
        <v>39.351</v>
      </c>
      <c r="D378" s="23" t="n">
        <f aca="false">D371+D376+D377</f>
        <v>54.4258</v>
      </c>
      <c r="E378" s="23" t="n">
        <f aca="false">E371+E376+E377</f>
        <v>73.6901099522</v>
      </c>
      <c r="F378" s="23" t="n">
        <f aca="false">F371+F376+F377</f>
        <v>88.4495683542625</v>
      </c>
      <c r="G378" s="23" t="n">
        <f aca="false">G371+G376+G377</f>
        <v>101.742852129724</v>
      </c>
      <c r="H378" s="25" t="n">
        <f aca="false">G378*(1+H380)</f>
        <v>113.971816621723</v>
      </c>
      <c r="I378" s="25" t="n">
        <f aca="false">H378*(1+I380)</f>
        <v>124.240382501032</v>
      </c>
      <c r="J378" s="25" t="n">
        <f aca="false">I378*(1+J380)</f>
        <v>131.694805451093</v>
      </c>
      <c r="K378" s="7" t="s">
        <v>734</v>
      </c>
    </row>
    <row r="379" customFormat="false" ht="17.15" hidden="false" customHeight="false" outlineLevel="0" collapsed="false">
      <c r="A379" s="3" t="s">
        <v>735</v>
      </c>
      <c r="B379" s="0" t="s">
        <v>379</v>
      </c>
      <c r="D379" s="19" t="n">
        <f aca="false">D371+D376+D377-D378</f>
        <v>0</v>
      </c>
      <c r="E379" s="19" t="n">
        <f aca="false">E371+E376+E377-E378</f>
        <v>0</v>
      </c>
      <c r="F379" s="19" t="n">
        <f aca="false">F371+F376+F377-F378</f>
        <v>0</v>
      </c>
      <c r="G379" s="19" t="n">
        <f aca="false">G371+G376+G377-G378</f>
        <v>0</v>
      </c>
    </row>
    <row r="380" customFormat="false" ht="15" hidden="false" customHeight="false" outlineLevel="0" collapsed="false">
      <c r="A380" s="3" t="s">
        <v>736</v>
      </c>
      <c r="B380" s="0" t="s">
        <v>43</v>
      </c>
      <c r="D380" s="20" t="n">
        <f aca="false">D378/C378-1</f>
        <v>0.383085563263958</v>
      </c>
      <c r="E380" s="20" t="n">
        <f aca="false">E378/D378-1</f>
        <v>0.353955476119782</v>
      </c>
      <c r="F380" s="20" t="n">
        <f aca="false">F378/E378-1</f>
        <v>0.200290899438695</v>
      </c>
      <c r="G380" s="20" t="n">
        <f aca="false">G378/F378-1</f>
        <v>0.150292240231386</v>
      </c>
      <c r="H380" s="26" t="n">
        <f aca="false">$G380+(fade_gA-$G380)*1/3</f>
        <v>0.120194826820924</v>
      </c>
      <c r="I380" s="26" t="n">
        <f aca="false">$G380+(fade_gA-$G380)*2/3</f>
        <v>0.0900974134104622</v>
      </c>
      <c r="J380" s="26" t="n">
        <f aca="false">$G380+(fade_gA-$G380)*3/3</f>
        <v>0.06</v>
      </c>
    </row>
    <row r="381" customFormat="false" ht="17.15" hidden="false" customHeight="false" outlineLevel="0" collapsed="false">
      <c r="A381" s="0" t="s">
        <v>737</v>
      </c>
      <c r="B381" s="0" t="s">
        <v>43</v>
      </c>
      <c r="D381" s="20" t="n">
        <f aca="false">D371/D378</f>
        <v>0.42</v>
      </c>
      <c r="E381" s="20" t="n">
        <f aca="false">E371/E378</f>
        <v>0.471957173829155</v>
      </c>
      <c r="F381" s="20" t="n">
        <f aca="false">F371/F378</f>
        <v>0.51607805319564</v>
      </c>
      <c r="G381" s="20" t="n">
        <f aca="false">G371/G378</f>
        <v>0.553334399160967</v>
      </c>
    </row>
    <row r="382" customFormat="false" ht="17.15" hidden="false" customHeight="false" outlineLevel="0" collapsed="false">
      <c r="A382" s="0" t="s">
        <v>738</v>
      </c>
      <c r="B382" s="0" t="s">
        <v>43</v>
      </c>
      <c r="D382" s="20" t="n">
        <f aca="false">D373/D378</f>
        <v>0.105</v>
      </c>
      <c r="E382" s="20" t="n">
        <f aca="false">E373/E378</f>
        <v>0.220970486779475</v>
      </c>
      <c r="F382" s="20" t="n">
        <f aca="false">F373/F378</f>
        <v>0.283773101249868</v>
      </c>
      <c r="G382" s="20" t="n">
        <f aca="false">G373/G378</f>
        <v>0.328559520882015</v>
      </c>
      <c r="K382" s="3" t="s">
        <v>739</v>
      </c>
    </row>
    <row r="383" customFormat="false" ht="17.15" hidden="false" customHeight="false" outlineLevel="0" collapsed="false">
      <c r="A383" s="5" t="s">
        <v>740</v>
      </c>
    </row>
    <row r="384" customFormat="false" ht="15" hidden="false" customHeight="false" outlineLevel="0" collapsed="false">
      <c r="A384" s="3" t="s">
        <v>741</v>
      </c>
      <c r="B384" s="0" t="s">
        <v>379</v>
      </c>
      <c r="C384" s="23" t="n">
        <f aca="false">a25_cx</f>
        <v>6.116</v>
      </c>
      <c r="D384" s="23" t="n">
        <f aca="false">capex26</f>
        <v>11</v>
      </c>
      <c r="E384" s="23" t="n">
        <f aca="false">cx27</f>
        <v>17</v>
      </c>
      <c r="F384" s="23" t="n">
        <f aca="false">cx28</f>
        <v>16</v>
      </c>
      <c r="G384" s="23" t="n">
        <f aca="false">cx29</f>
        <v>12</v>
      </c>
      <c r="H384" s="25" t="n">
        <f aca="false">H378*H403</f>
        <v>13.5420249365278</v>
      </c>
      <c r="I384" s="25" t="n">
        <f aca="false">I378*I403</f>
        <v>14.8707949124985</v>
      </c>
      <c r="J384" s="25" t="n">
        <f aca="false">J378*J403</f>
        <v>15.8782312775091</v>
      </c>
    </row>
    <row r="385" customFormat="false" ht="17.15" hidden="false" customHeight="false" outlineLevel="0" collapsed="false">
      <c r="A385" s="3" t="s">
        <v>742</v>
      </c>
      <c r="B385" s="0" t="s">
        <v>379</v>
      </c>
      <c r="C385" s="23" t="n">
        <f aca="false">a25_da</f>
        <v>7.158</v>
      </c>
      <c r="D385" s="23" t="n">
        <f aca="false">da26</f>
        <v>8.32</v>
      </c>
      <c r="E385" s="23" t="n">
        <f aca="false">D385*(1-1/life)+D384/life</f>
        <v>8.655</v>
      </c>
      <c r="F385" s="23" t="n">
        <f aca="false">E385*(1-1/life)+E384/life</f>
        <v>9.698125</v>
      </c>
      <c r="G385" s="23" t="n">
        <f aca="false">F385*(1-1/life)+F384/life</f>
        <v>10.485859375</v>
      </c>
      <c r="H385" s="25" t="n">
        <f aca="false">H378*H386</f>
        <v>11.7462054266467</v>
      </c>
      <c r="I385" s="25" t="n">
        <f aca="false">I378*I386</f>
        <v>12.8045081529755</v>
      </c>
      <c r="J385" s="25" t="n">
        <f aca="false">J378*J386</f>
        <v>13.572778642154</v>
      </c>
      <c r="K385" s="3" t="s">
        <v>743</v>
      </c>
    </row>
    <row r="386" customFormat="false" ht="17.15" hidden="false" customHeight="false" outlineLevel="0" collapsed="false">
      <c r="A386" s="3" t="s">
        <v>744</v>
      </c>
      <c r="B386" s="0" t="s">
        <v>43</v>
      </c>
      <c r="C386" s="20" t="n">
        <f aca="false">C385/C378</f>
        <v>0.181901349393916</v>
      </c>
      <c r="D386" s="20" t="n">
        <f aca="false">D385/D378</f>
        <v>0.152868676252807</v>
      </c>
      <c r="E386" s="20" t="n">
        <f aca="false">E385/E378</f>
        <v>0.117451310706609</v>
      </c>
      <c r="F386" s="20" t="n">
        <f aca="false">F385/F378</f>
        <v>0.109645814902755</v>
      </c>
      <c r="G386" s="20" t="n">
        <f aca="false">G385/G378</f>
        <v>0.103062369055964</v>
      </c>
      <c r="H386" s="26" t="n">
        <f aca="false">$G386</f>
        <v>0.103062369055964</v>
      </c>
      <c r="I386" s="26" t="n">
        <f aca="false">$G386</f>
        <v>0.103062369055964</v>
      </c>
      <c r="J386" s="26" t="n">
        <f aca="false">$G386</f>
        <v>0.103062369055964</v>
      </c>
    </row>
    <row r="387" customFormat="false" ht="17.15" hidden="false" customHeight="false" outlineLevel="0" collapsed="false">
      <c r="A387" s="0" t="s">
        <v>745</v>
      </c>
      <c r="B387" s="0" t="s">
        <v>379</v>
      </c>
      <c r="E387" s="21" t="n">
        <f aca="false">E372*((E364+E367)*(1-1/(E357*E358))+E368*(1-1/E358))</f>
        <v>5.21059436722156</v>
      </c>
      <c r="F387" s="21" t="n">
        <f aca="false">F372*((F364+F367)*(1-1/(F357*F358))+F368*(1-1/F358))</f>
        <v>6.9932622608376</v>
      </c>
      <c r="G387" s="21" t="n">
        <f aca="false">G372*((G364+G367)*(1-1/(G357*G358))+G368*(1-1/G358))</f>
        <v>7.34319390679875</v>
      </c>
      <c r="K387" s="7" t="s">
        <v>746</v>
      </c>
    </row>
    <row r="388" customFormat="false" ht="17.15" hidden="false" customHeight="false" outlineLevel="0" collapsed="false">
      <c r="A388" s="3" t="s">
        <v>747</v>
      </c>
      <c r="B388" s="0" t="s">
        <v>379</v>
      </c>
      <c r="C388" s="21" t="n">
        <f aca="false">a25_gp</f>
        <v>8.314</v>
      </c>
      <c r="D388" s="21" t="n">
        <f aca="false">a26_gp</f>
        <v>15.328536</v>
      </c>
      <c r="E388" s="21" t="n">
        <f aca="false">$D388+ft_abf*(E371-E387-$D371)+ft_bt*(E376-$D376)+ft_lens*(E377-$D377)+E387-(E385-$D385)</f>
        <v>26.8637596637108</v>
      </c>
      <c r="F388" s="21" t="n">
        <f aca="false">$D388+ft_abf*(F371-F387-$D371)+ft_bt*(F376-$D376)+ft_lens*(F377-$D377)+F387-(F385-$D385)</f>
        <v>33.8971401419501</v>
      </c>
      <c r="G388" s="21" t="n">
        <f aca="false">$D388+ft_abf*(G371-G387-$D371)+ft_bt*(G376-$D376)+ft_lens*(G377-$D377)+G387-(G385-$D385)</f>
        <v>39.7988962343812</v>
      </c>
      <c r="K388" s="3" t="s">
        <v>748</v>
      </c>
    </row>
    <row r="389" customFormat="false" ht="15" hidden="false" customHeight="false" outlineLevel="0" collapsed="false">
      <c r="A389" s="3" t="s">
        <v>581</v>
      </c>
      <c r="B389" s="0" t="s">
        <v>43</v>
      </c>
      <c r="C389" s="16" t="n">
        <f aca="false">C388/C378</f>
        <v>0.211277985311682</v>
      </c>
      <c r="D389" s="16" t="n">
        <f aca="false">D388/D378</f>
        <v>0.281640986443929</v>
      </c>
      <c r="E389" s="16" t="n">
        <f aca="false">E388/E378</f>
        <v>0.364550408204524</v>
      </c>
      <c r="F389" s="16" t="n">
        <f aca="false">F388/F378</f>
        <v>0.383236919892968</v>
      </c>
      <c r="G389" s="16" t="n">
        <f aca="false">G388/G378</f>
        <v>0.391171422869461</v>
      </c>
    </row>
    <row r="390" customFormat="false" ht="15" hidden="false" customHeight="false" outlineLevel="0" collapsed="false">
      <c r="A390" s="3" t="s">
        <v>583</v>
      </c>
      <c r="B390" s="0" t="s">
        <v>379</v>
      </c>
      <c r="C390" s="21" t="n">
        <f aca="false">a25_opx</f>
        <v>5.644</v>
      </c>
      <c r="D390" s="21" t="n">
        <f aca="false">a26_opx</f>
        <v>6.54036</v>
      </c>
      <c r="E390" s="21" t="n">
        <f aca="false">D390*(1+phi*E380)</f>
        <v>7.92935774267687</v>
      </c>
      <c r="F390" s="21" t="n">
        <f aca="false">E390*(1+phi*F380)</f>
        <v>8.88226465922802</v>
      </c>
      <c r="G390" s="21" t="n">
        <f aca="false">F390*(1+phi*G380)</f>
        <v>9.6832259316061</v>
      </c>
    </row>
    <row r="391" customFormat="false" ht="15" hidden="false" customHeight="false" outlineLevel="0" collapsed="false">
      <c r="A391" s="3" t="s">
        <v>586</v>
      </c>
      <c r="B391" s="0" t="s">
        <v>379</v>
      </c>
      <c r="C391" s="21" t="n">
        <f aca="false">C388-C390</f>
        <v>2.67</v>
      </c>
      <c r="D391" s="21" t="n">
        <f aca="false">D388-D390</f>
        <v>8.788176</v>
      </c>
      <c r="E391" s="21" t="n">
        <f aca="false">E388-E390</f>
        <v>18.9344019210339</v>
      </c>
      <c r="F391" s="21" t="n">
        <f aca="false">F388-F390</f>
        <v>25.014875482722</v>
      </c>
      <c r="G391" s="21" t="n">
        <f aca="false">G388-G390</f>
        <v>30.1156703027752</v>
      </c>
    </row>
    <row r="392" customFormat="false" ht="15" hidden="false" customHeight="false" outlineLevel="0" collapsed="false">
      <c r="A392" s="3" t="s">
        <v>684</v>
      </c>
      <c r="B392" s="0" t="s">
        <v>43</v>
      </c>
      <c r="C392" s="16" t="n">
        <f aca="false">C391/C378</f>
        <v>0.0678508805367081</v>
      </c>
      <c r="D392" s="16" t="n">
        <f aca="false">D391/D378</f>
        <v>0.161470773052486</v>
      </c>
      <c r="E392" s="16" t="n">
        <f aca="false">E391/E378</f>
        <v>0.256946311157847</v>
      </c>
      <c r="F392" s="16" t="n">
        <f aca="false">F391/F378</f>
        <v>0.282815122200837</v>
      </c>
      <c r="G392" s="16" t="n">
        <f aca="false">G391/G378</f>
        <v>0.29599789736951</v>
      </c>
    </row>
    <row r="393" customFormat="false" ht="15" hidden="false" customHeight="false" outlineLevel="0" collapsed="false">
      <c r="A393" s="3" t="s">
        <v>589</v>
      </c>
      <c r="B393" s="0" t="s">
        <v>379</v>
      </c>
      <c r="C393" s="21" t="n">
        <f aca="false">a25_nonop</f>
        <v>0.417</v>
      </c>
      <c r="D393" s="21" t="n">
        <f aca="false">a26_nonop</f>
        <v>0.37882</v>
      </c>
      <c r="E393" s="21" t="n">
        <f aca="false">nonop27</f>
        <v>0.4</v>
      </c>
      <c r="F393" s="21" t="n">
        <f aca="false">nonop28</f>
        <v>0.4</v>
      </c>
      <c r="G393" s="21" t="n">
        <f aca="false">nonop29</f>
        <v>0.4</v>
      </c>
    </row>
    <row r="394" customFormat="false" ht="15" hidden="false" customHeight="false" outlineLevel="0" collapsed="false">
      <c r="A394" s="3" t="s">
        <v>591</v>
      </c>
      <c r="B394" s="0" t="s">
        <v>379</v>
      </c>
      <c r="C394" s="21" t="n">
        <f aca="false">C391+C393</f>
        <v>3.087</v>
      </c>
      <c r="D394" s="21" t="n">
        <f aca="false">D391+D393</f>
        <v>9.166996</v>
      </c>
      <c r="E394" s="21" t="n">
        <f aca="false">E391+E393</f>
        <v>19.3344019210339</v>
      </c>
      <c r="F394" s="21" t="n">
        <f aca="false">F391+F393</f>
        <v>25.414875482722</v>
      </c>
      <c r="G394" s="21" t="n">
        <f aca="false">G391+G393</f>
        <v>30.5156703027752</v>
      </c>
    </row>
    <row r="395" customFormat="false" ht="15" hidden="false" customHeight="false" outlineLevel="0" collapsed="false">
      <c r="A395" s="3" t="s">
        <v>592</v>
      </c>
      <c r="B395" s="0" t="s">
        <v>379</v>
      </c>
      <c r="E395" s="21" t="n">
        <f aca="false">E394*tax</f>
        <v>2.32012823052407</v>
      </c>
      <c r="F395" s="21" t="n">
        <f aca="false">F394*tax</f>
        <v>3.04978505792664</v>
      </c>
      <c r="G395" s="21" t="n">
        <f aca="false">G394*tax</f>
        <v>3.66188043633302</v>
      </c>
    </row>
    <row r="396" customFormat="false" ht="15" hidden="false" customHeight="false" outlineLevel="0" collapsed="false">
      <c r="A396" s="3" t="s">
        <v>593</v>
      </c>
      <c r="B396" s="0" t="s">
        <v>379</v>
      </c>
      <c r="C396" s="21" t="n">
        <f aca="false">a25_nic</f>
        <v>2.71712</v>
      </c>
      <c r="D396" s="21" t="n">
        <f aca="false">a26_nic</f>
        <v>8.39979776</v>
      </c>
      <c r="E396" s="21" t="n">
        <f aca="false">E394-E395</f>
        <v>17.0142736905098</v>
      </c>
      <c r="F396" s="21" t="n">
        <f aca="false">F394-F395</f>
        <v>22.3650904247954</v>
      </c>
      <c r="G396" s="21" t="n">
        <f aca="false">G394-G395</f>
        <v>26.8537898664421</v>
      </c>
    </row>
    <row r="397" customFormat="false" ht="17.15" hidden="false" customHeight="false" outlineLevel="0" collapsed="false">
      <c r="A397" s="3" t="s">
        <v>749</v>
      </c>
      <c r="B397" s="0" t="s">
        <v>379</v>
      </c>
      <c r="C397" s="21" t="n">
        <f aca="false">a25_nci</f>
        <v>1.12112</v>
      </c>
      <c r="D397" s="21" t="n">
        <f aca="false">a26_nci</f>
        <v>1.43839238487797</v>
      </c>
      <c r="E397" s="21" t="n">
        <f aca="false">E377*nm_lens*nci_sh</f>
        <v>1.57074538036261</v>
      </c>
      <c r="F397" s="21" t="n">
        <f aca="false">F377*nm_lens*nci_sh</f>
        <v>1.72781991839887</v>
      </c>
      <c r="G397" s="21" t="n">
        <f aca="false">G377*nm_lens*nci_sh</f>
        <v>1.90060191023875</v>
      </c>
      <c r="K397" s="3" t="s">
        <v>750</v>
      </c>
    </row>
    <row r="398" customFormat="false" ht="15" hidden="false" customHeight="false" outlineLevel="0" collapsed="false">
      <c r="A398" s="3" t="s">
        <v>599</v>
      </c>
      <c r="B398" s="0" t="s">
        <v>379</v>
      </c>
      <c r="C398" s="21" t="n">
        <f aca="false">a25_ni</f>
        <v>1.596</v>
      </c>
      <c r="D398" s="21" t="n">
        <f aca="false">a26_ni</f>
        <v>6.96140537512203</v>
      </c>
      <c r="E398" s="21" t="n">
        <f aca="false">E396-E397</f>
        <v>15.4435283101472</v>
      </c>
      <c r="F398" s="21" t="n">
        <f aca="false">F396-F397</f>
        <v>20.6372705063965</v>
      </c>
      <c r="G398" s="21" t="n">
        <f aca="false">G396-G397</f>
        <v>24.9531879562034</v>
      </c>
      <c r="H398" s="30" t="n">
        <f aca="false">H378*H402</f>
        <v>27.0299868805671</v>
      </c>
      <c r="I398" s="30" t="n">
        <f aca="false">I378*I402</f>
        <v>28.4597636775722</v>
      </c>
      <c r="J398" s="30" t="n">
        <f aca="false">J378*J402</f>
        <v>29.1014610864467</v>
      </c>
    </row>
    <row r="399" customFormat="false" ht="15" hidden="false" customHeight="false" outlineLevel="0" collapsed="false">
      <c r="A399" s="3" t="s">
        <v>751</v>
      </c>
      <c r="B399" s="3" t="s">
        <v>465</v>
      </c>
      <c r="C399" s="29" t="n">
        <f aca="false">a25_sh</f>
        <v>0.454700854700855</v>
      </c>
      <c r="D399" s="29" t="n">
        <f aca="false">a26_sh</f>
        <v>0.508341020486215</v>
      </c>
      <c r="E399" s="29" t="n">
        <f aca="false">a26_shend*(1+sh_g)</f>
        <v>0.52691</v>
      </c>
      <c r="F399" s="29" t="n">
        <f aca="false">E399*(1+sh_g)</f>
        <v>0.52691</v>
      </c>
      <c r="G399" s="29" t="n">
        <f aca="false">F399*(1+sh_g)</f>
        <v>0.52691</v>
      </c>
      <c r="H399" s="31" t="n">
        <f aca="false">G399*(1+sh_g)</f>
        <v>0.52691</v>
      </c>
      <c r="I399" s="31" t="n">
        <f aca="false">H399*(1+sh_g)</f>
        <v>0.52691</v>
      </c>
      <c r="J399" s="31" t="n">
        <f aca="false">I399*(1+sh_g)</f>
        <v>0.52691</v>
      </c>
    </row>
    <row r="400" customFormat="false" ht="17.15" hidden="false" customHeight="false" outlineLevel="0" collapsed="false">
      <c r="A400" s="0" t="s">
        <v>604</v>
      </c>
      <c r="B400" s="0" t="s">
        <v>471</v>
      </c>
      <c r="C400" s="18" t="n">
        <f aca="false">C398/C399</f>
        <v>3.51</v>
      </c>
      <c r="D400" s="18" t="n">
        <f aca="false">D398/D399</f>
        <v>13.6943608612652</v>
      </c>
      <c r="E400" s="18" t="n">
        <f aca="false">E398/E399</f>
        <v>29.3096132359364</v>
      </c>
      <c r="F400" s="18" t="n">
        <f aca="false">F398/F399</f>
        <v>39.1665948765378</v>
      </c>
      <c r="G400" s="18" t="n">
        <f aca="false">G398/G399</f>
        <v>47.3575903972279</v>
      </c>
      <c r="H400" s="28" t="n">
        <f aca="false">H398/H399</f>
        <v>51.2990584361032</v>
      </c>
      <c r="I400" s="28" t="n">
        <f aca="false">I398/I399</f>
        <v>54.0125707949597</v>
      </c>
      <c r="J400" s="28" t="n">
        <f aca="false">J398/J399</f>
        <v>55.2304209190312</v>
      </c>
    </row>
    <row r="401" customFormat="false" ht="17.15" hidden="false" customHeight="false" outlineLevel="0" collapsed="false">
      <c r="A401" s="0" t="s">
        <v>752</v>
      </c>
      <c r="B401" s="0" t="s">
        <v>43</v>
      </c>
      <c r="D401" s="20" t="n">
        <f aca="false">D400/C400-1</f>
        <v>2.90152731090177</v>
      </c>
      <c r="E401" s="20" t="n">
        <f aca="false">E400/D400-1</f>
        <v>1.14026879624877</v>
      </c>
      <c r="F401" s="20" t="n">
        <f aca="false">F400/E400-1</f>
        <v>0.336305414924949</v>
      </c>
      <c r="G401" s="20" t="n">
        <f aca="false">G400/F400-1</f>
        <v>0.209132183854893</v>
      </c>
      <c r="H401" s="26" t="n">
        <f aca="false">H400/G400-1</f>
        <v>0.0832277995103805</v>
      </c>
      <c r="I401" s="26" t="n">
        <f aca="false">I400/H400-1</f>
        <v>0.0528959486115417</v>
      </c>
      <c r="J401" s="26" t="n">
        <f aca="false">J400/I400-1</f>
        <v>0.0225475311792613</v>
      </c>
    </row>
    <row r="402" customFormat="false" ht="17.15" hidden="false" customHeight="false" outlineLevel="0" collapsed="false">
      <c r="A402" s="3" t="s">
        <v>753</v>
      </c>
      <c r="B402" s="0" t="s">
        <v>43</v>
      </c>
      <c r="C402" s="16" t="n">
        <f aca="false">C398/C378</f>
        <v>0.0405580544331783</v>
      </c>
      <c r="D402" s="16" t="n">
        <f aca="false">D398/D378</f>
        <v>0.127906349105057</v>
      </c>
      <c r="E402" s="16" t="n">
        <f aca="false">E398/E378</f>
        <v>0.209573962098372</v>
      </c>
      <c r="F402" s="16" t="n">
        <f aca="false">F398/F378</f>
        <v>0.23332245583991</v>
      </c>
      <c r="G402" s="16" t="n">
        <f aca="false">G398/G378</f>
        <v>0.245257405644454</v>
      </c>
      <c r="H402" s="27" t="n">
        <f aca="false">$G402+(fade_mA-$G402)*1/3</f>
        <v>0.237163780325453</v>
      </c>
      <c r="I402" s="27" t="n">
        <f aca="false">$G402+(fade_mA-$G402)*2/3</f>
        <v>0.229070155006452</v>
      </c>
      <c r="J402" s="27" t="n">
        <f aca="false">$G402+(fade_mA-$G402)*3/3</f>
        <v>0.220976529687452</v>
      </c>
    </row>
    <row r="403" customFormat="false" ht="17.15" hidden="false" customHeight="false" outlineLevel="0" collapsed="false">
      <c r="A403" s="3" t="s">
        <v>754</v>
      </c>
      <c r="B403" s="0" t="s">
        <v>43</v>
      </c>
      <c r="C403" s="20" t="n">
        <f aca="false">C384/C378</f>
        <v>0.155421717364235</v>
      </c>
      <c r="D403" s="20" t="n">
        <f aca="false">D384/D378</f>
        <v>0.202110028699624</v>
      </c>
      <c r="E403" s="20" t="n">
        <f aca="false">E384/E378</f>
        <v>0.230695815368267</v>
      </c>
      <c r="F403" s="20" t="n">
        <f aca="false">F384/F378</f>
        <v>0.180894042760232</v>
      </c>
      <c r="G403" s="20" t="n">
        <f aca="false">G384/G378</f>
        <v>0.117944403452537</v>
      </c>
      <c r="H403" s="26" t="n">
        <f aca="false">$G403+($G386*(1+tp_g)^(life/2)-$G403)*1/3</f>
        <v>0.118819067186358</v>
      </c>
      <c r="I403" s="26" t="n">
        <f aca="false">$G403+($G386*(1+tp_g)^(life/2)-$G403)*2/3</f>
        <v>0.119693730920179</v>
      </c>
      <c r="J403" s="26" t="n">
        <f aca="false">$G403+($G386*(1+tp_g)^(life/2)-$G403)*3/3</f>
        <v>0.120568394653999</v>
      </c>
      <c r="K403" s="7" t="s">
        <v>755</v>
      </c>
    </row>
    <row r="404" customFormat="false" ht="15" hidden="false" customHeight="false" outlineLevel="0" collapsed="false">
      <c r="A404" s="3" t="s">
        <v>756</v>
      </c>
      <c r="B404" s="0" t="s">
        <v>379</v>
      </c>
      <c r="D404" s="21" t="n">
        <f aca="false">D398+D385-D384</f>
        <v>4.28140537512203</v>
      </c>
      <c r="E404" s="21" t="n">
        <f aca="false">E398+E385-E384</f>
        <v>7.09852831014724</v>
      </c>
      <c r="F404" s="21" t="n">
        <f aca="false">F398+F385-F384</f>
        <v>14.3353955063965</v>
      </c>
      <c r="G404" s="21" t="n">
        <f aca="false">G398+G385-G384</f>
        <v>23.4390473312034</v>
      </c>
      <c r="H404" s="30" t="n">
        <f aca="false">H398+H385-H384</f>
        <v>25.2341673706861</v>
      </c>
      <c r="I404" s="30" t="n">
        <f aca="false">I398+I385-I384</f>
        <v>26.3934769180492</v>
      </c>
      <c r="J404" s="30" t="n">
        <f aca="false">J398+J385-J384</f>
        <v>26.7960084510917</v>
      </c>
      <c r="K404" s="3" t="s">
        <v>757</v>
      </c>
    </row>
    <row r="405" customFormat="false" ht="15" hidden="false" customHeight="false" outlineLevel="0" collapsed="false">
      <c r="A405" s="3" t="s">
        <v>758</v>
      </c>
      <c r="B405" s="0" t="s">
        <v>471</v>
      </c>
      <c r="D405" s="18" t="n">
        <f aca="false">D404/D399</f>
        <v>8.42230943909854</v>
      </c>
      <c r="E405" s="18" t="n">
        <f aca="false">E404/E399</f>
        <v>13.4719939081575</v>
      </c>
      <c r="F405" s="18" t="n">
        <f aca="false">F404/F399</f>
        <v>27.2065352838179</v>
      </c>
      <c r="G405" s="18" t="n">
        <f aca="false">G404/G399</f>
        <v>44.4839675299451</v>
      </c>
      <c r="H405" s="28" t="n">
        <f aca="false">H404/H399</f>
        <v>47.8908492355166</v>
      </c>
      <c r="I405" s="28" t="n">
        <f aca="false">I404/I399</f>
        <v>50.0910533450669</v>
      </c>
      <c r="J405" s="28" t="n">
        <f aca="false">J404/J399</f>
        <v>50.8550007612148</v>
      </c>
    </row>
    <row r="408" customFormat="false" ht="17.15" hidden="false" customHeight="false" outlineLevel="0" collapsed="false">
      <c r="A408" s="1" t="s">
        <v>1098</v>
      </c>
    </row>
    <row r="409" customFormat="false" ht="17.15" hidden="false" customHeight="false" outlineLevel="0" collapsed="false">
      <c r="A409" s="4" t="s">
        <v>20</v>
      </c>
      <c r="B409" s="4" t="s">
        <v>21</v>
      </c>
      <c r="C409" s="13" t="s">
        <v>567</v>
      </c>
      <c r="D409" s="13" t="s">
        <v>671</v>
      </c>
      <c r="E409" s="13" t="s">
        <v>672</v>
      </c>
      <c r="F409" s="13" t="s">
        <v>673</v>
      </c>
      <c r="G409" s="13" t="s">
        <v>674</v>
      </c>
      <c r="H409" s="13" t="s">
        <v>675</v>
      </c>
      <c r="I409" s="13" t="s">
        <v>676</v>
      </c>
      <c r="J409" s="13" t="s">
        <v>677</v>
      </c>
      <c r="K409" s="4" t="s">
        <v>631</v>
      </c>
    </row>
    <row r="410" customFormat="false" ht="17.15" hidden="false" customHeight="false" outlineLevel="0" collapsed="false">
      <c r="A410" s="5" t="s">
        <v>695</v>
      </c>
    </row>
    <row r="411" customFormat="false" ht="17.15" hidden="false" customHeight="false" outlineLevel="0" collapsed="false">
      <c r="A411" s="0" t="s">
        <v>696</v>
      </c>
      <c r="B411" s="3" t="s">
        <v>31</v>
      </c>
      <c r="D411" s="21" t="n">
        <f aca="false">(u_bw_26+u_rb_26+u_ru_26+u_hp_26)*1</f>
        <v>7.6</v>
      </c>
      <c r="E411" s="21" t="n">
        <f aca="false">(u_bw_27+u_rb_27+u_ru_27+u_hp_27)*1*1</f>
        <v>9.7</v>
      </c>
      <c r="F411" s="21" t="n">
        <f aca="false">(u_bw_28+u_rb_28+u_ru_28+u_hp_28)*um28_A*1</f>
        <v>9.5</v>
      </c>
      <c r="G411" s="21" t="n">
        <f aca="false">(u_bw_28*(1+g29_bw)+u_rb_28*(1+g29_rb)+u_ru_28*(1+g29_ru)+u_hp_28*(1+g29_hp))*um29_A*1</f>
        <v>10.6</v>
      </c>
      <c r="K411" s="7" t="s">
        <v>697</v>
      </c>
    </row>
    <row r="412" customFormat="false" ht="17.15" hidden="false" customHeight="false" outlineLevel="0" collapsed="false">
      <c r="A412" s="3" t="s">
        <v>698</v>
      </c>
      <c r="B412" s="3" t="s">
        <v>31</v>
      </c>
      <c r="D412" s="21" t="n">
        <f aca="false">(u_amd_26+u_tpu_26+u_trn_26+u_oth_26)*1</f>
        <v>7.6</v>
      </c>
      <c r="E412" s="21" t="n">
        <f aca="false">(u_amd_27+u_tpu_27+u_trn_27+u_oth_27)*1*1</f>
        <v>14</v>
      </c>
      <c r="F412" s="21" t="n">
        <f aca="false">(u_amd_28+u_tpu_28+u_trn_28+u_oth_28)*um28_A*1</f>
        <v>17</v>
      </c>
      <c r="G412" s="21" t="n">
        <f aca="false">(u_amd_28*(1+g29_amd)+u_tpu_28*(1+g29_tpu)+u_trn_28*(1+g29_trn)+u_oth_28*(1+g29_oth))*um29_A*1</f>
        <v>19.55</v>
      </c>
      <c r="K412" s="7" t="s">
        <v>699</v>
      </c>
    </row>
    <row r="413" customFormat="false" ht="17.15" hidden="false" customHeight="false" outlineLevel="0" collapsed="false">
      <c r="A413" s="0" t="s">
        <v>700</v>
      </c>
      <c r="B413" s="3" t="s">
        <v>31</v>
      </c>
      <c r="D413" s="21" t="n">
        <f aca="false">D411*cpu_r</f>
        <v>3.04</v>
      </c>
      <c r="E413" s="21" t="n">
        <f aca="false">E411*cpu_r</f>
        <v>3.88</v>
      </c>
      <c r="F413" s="21" t="n">
        <f aca="false">F411*cpu_r</f>
        <v>3.8</v>
      </c>
      <c r="G413" s="21" t="n">
        <f aca="false">G411*cpu_r</f>
        <v>4.24</v>
      </c>
      <c r="K413" s="7" t="s">
        <v>701</v>
      </c>
    </row>
    <row r="414" customFormat="false" ht="17.15" hidden="false" customHeight="false" outlineLevel="0" collapsed="false">
      <c r="A414" s="3" t="s">
        <v>702</v>
      </c>
      <c r="B414" s="0" t="s">
        <v>153</v>
      </c>
      <c r="D414" s="19" t="n">
        <f aca="false">1</f>
        <v>1</v>
      </c>
      <c r="E414" s="19" t="n">
        <f aca="false">D414*(1+g_asp)</f>
        <v>1.18</v>
      </c>
      <c r="F414" s="19" t="n">
        <f aca="false">E414*(1+g_asp)</f>
        <v>1.3924</v>
      </c>
      <c r="G414" s="19" t="n">
        <f aca="false">F414*(1+g_asp)</f>
        <v>1.643032</v>
      </c>
      <c r="K414" s="7" t="s">
        <v>703</v>
      </c>
    </row>
    <row r="415" customFormat="false" ht="17.15" hidden="false" customHeight="false" outlineLevel="0" collapsed="false">
      <c r="A415" s="0" t="s">
        <v>704</v>
      </c>
      <c r="B415" s="0" t="s">
        <v>153</v>
      </c>
      <c r="D415" s="18" t="n">
        <f aca="false">1</f>
        <v>1</v>
      </c>
      <c r="E415" s="18" t="n">
        <f aca="false">ibpp_27</f>
        <v>1</v>
      </c>
      <c r="F415" s="18" t="n">
        <f aca="false">ibpp_28</f>
        <v>0.95</v>
      </c>
      <c r="G415" s="18" t="n">
        <f aca="false">ibpp_29</f>
        <v>0.9</v>
      </c>
      <c r="K415" s="7" t="s">
        <v>705</v>
      </c>
    </row>
    <row r="416" customFormat="false" ht="17.15" hidden="false" customHeight="false" outlineLevel="0" collapsed="false">
      <c r="A416" s="3" t="s">
        <v>706</v>
      </c>
      <c r="B416" s="0" t="s">
        <v>153</v>
      </c>
      <c r="D416" s="18" t="n">
        <f aca="false">1</f>
        <v>1</v>
      </c>
      <c r="E416" s="18" t="n">
        <f aca="false">1+carry_lo</f>
        <v>1.08</v>
      </c>
      <c r="F416" s="18" t="n">
        <f aca="false">1+carry_lo</f>
        <v>1.08</v>
      </c>
      <c r="G416" s="18" t="n">
        <f aca="false">1+carry_lo</f>
        <v>1.08</v>
      </c>
      <c r="K416" s="7" t="s">
        <v>707</v>
      </c>
    </row>
    <row r="417" customFormat="false" ht="17.15" hidden="false" customHeight="false" outlineLevel="0" collapsed="false">
      <c r="A417" s="3" t="s">
        <v>708</v>
      </c>
      <c r="B417" s="0" t="s">
        <v>709</v>
      </c>
      <c r="D417" s="23" t="n">
        <f aca="false">v26*D414*D415</f>
        <v>215.308596</v>
      </c>
      <c r="E417" s="23" t="n">
        <f aca="false">v26*E414*E415</f>
        <v>254.06414328</v>
      </c>
      <c r="F417" s="23" t="n">
        <f aca="false">v26*F414*F415</f>
        <v>284.80590461688</v>
      </c>
      <c r="G417" s="23" t="n">
        <f aca="false">v26*G414*G415</f>
        <v>318.383021792765</v>
      </c>
      <c r="K417" s="7" t="s">
        <v>710</v>
      </c>
    </row>
    <row r="418" customFormat="false" ht="17.15" hidden="false" customHeight="false" outlineLevel="0" collapsed="false">
      <c r="A418" s="3" t="s">
        <v>711</v>
      </c>
      <c r="B418" s="0" t="s">
        <v>43</v>
      </c>
      <c r="D418" s="20" t="n">
        <f aca="false">sh_nv_26</f>
        <v>0.02</v>
      </c>
      <c r="E418" s="20" t="n">
        <f aca="false">sh_nv_27</f>
        <v>0.03</v>
      </c>
      <c r="F418" s="20" t="n">
        <f aca="false">sh_nv_28</f>
        <v>0.05</v>
      </c>
      <c r="G418" s="20" t="n">
        <f aca="false">sh_nv_29</f>
        <v>0.06</v>
      </c>
    </row>
    <row r="419" customFormat="false" ht="17.15" hidden="false" customHeight="false" outlineLevel="0" collapsed="false">
      <c r="A419" s="3" t="s">
        <v>712</v>
      </c>
      <c r="B419" s="0" t="s">
        <v>43</v>
      </c>
      <c r="D419" s="20" t="n">
        <f aca="false">sh_ot_26</f>
        <v>0.03</v>
      </c>
      <c r="E419" s="20" t="n">
        <f aca="false">sh_ot_27</f>
        <v>0.05</v>
      </c>
      <c r="F419" s="20" t="n">
        <f aca="false">sh_ot_28</f>
        <v>0.06</v>
      </c>
      <c r="G419" s="20" t="n">
        <f aca="false">sh_ot_29</f>
        <v>0.06</v>
      </c>
    </row>
    <row r="420" customFormat="false" ht="17.15" hidden="false" customHeight="false" outlineLevel="0" collapsed="false">
      <c r="A420" s="3" t="s">
        <v>713</v>
      </c>
      <c r="B420" s="0" t="s">
        <v>43</v>
      </c>
      <c r="D420" s="20" t="n">
        <f aca="false">sh_cpu_26</f>
        <v>0.35</v>
      </c>
      <c r="E420" s="20" t="n">
        <f aca="false">sh_cpu_27</f>
        <v>0.7</v>
      </c>
      <c r="F420" s="20" t="n">
        <f aca="false">sh_cpu_28</f>
        <v>0.75</v>
      </c>
      <c r="G420" s="20" t="n">
        <f aca="false">sh_cpu_29</f>
        <v>0.7</v>
      </c>
    </row>
    <row r="421" customFormat="false" ht="17.15" hidden="false" customHeight="false" outlineLevel="0" collapsed="false">
      <c r="A421" s="3" t="s">
        <v>714</v>
      </c>
      <c r="B421" s="0" t="s">
        <v>661</v>
      </c>
      <c r="D421" s="22" t="n">
        <f aca="false">(D411*D417*D418+D412*D417*v_ot*D419+D413*D417*v_cpu*D420)*D416</f>
        <v>140.7256983456</v>
      </c>
      <c r="E421" s="22" t="n">
        <f aca="false">(E411*E417*E418+E412*E417*v_ot*E419+E413*E417*v_cpu*E420)*E416</f>
        <v>457.07765386589</v>
      </c>
      <c r="F421" s="22" t="n">
        <f aca="false">(F411*F417*F418+F412*F417*v_ot*F419+F413*F417*v_cpu*F420)*F416</f>
        <v>660.088949012451</v>
      </c>
      <c r="G421" s="22" t="n">
        <f aca="false">(G411*G417*G418+G412*G417*v_ot*G419+G413*G417*v_cpu*G420)*G416</f>
        <v>847.530509883991</v>
      </c>
    </row>
    <row r="422" customFormat="false" ht="17.15" hidden="false" customHeight="false" outlineLevel="0" collapsed="false">
      <c r="A422" s="3" t="s">
        <v>715</v>
      </c>
      <c r="B422" s="0" t="s">
        <v>379</v>
      </c>
      <c r="D422" s="21" t="n">
        <f aca="false">D421*fx/1000</f>
        <v>4.5032223470592</v>
      </c>
      <c r="E422" s="21" t="n">
        <f aca="false">E421*fx/1000</f>
        <v>14.6264849237085</v>
      </c>
      <c r="F422" s="21" t="n">
        <f aca="false">F421*fx/1000</f>
        <v>21.1228463683984</v>
      </c>
      <c r="G422" s="21" t="n">
        <f aca="false">G421*fx/1000</f>
        <v>27.1209763162877</v>
      </c>
    </row>
    <row r="423" customFormat="false" ht="17.15" hidden="false" customHeight="false" outlineLevel="0" collapsed="false">
      <c r="A423" s="5" t="s">
        <v>716</v>
      </c>
    </row>
    <row r="424" customFormat="false" ht="17.15" hidden="false" customHeight="false" outlineLevel="0" collapsed="false">
      <c r="A424" s="0" t="s">
        <v>717</v>
      </c>
      <c r="B424" s="0" t="s">
        <v>379</v>
      </c>
      <c r="D424" s="21" t="n">
        <f aca="false">a26_abf*ai_abf</f>
        <v>5.714709</v>
      </c>
      <c r="K424" s="3" t="s">
        <v>718</v>
      </c>
    </row>
    <row r="425" customFormat="false" ht="17.15" hidden="false" customHeight="false" outlineLevel="0" collapsed="false">
      <c r="A425" s="3" t="s">
        <v>719</v>
      </c>
      <c r="B425" s="0" t="s">
        <v>379</v>
      </c>
      <c r="D425" s="21" t="n">
        <f aca="false">D424-D422</f>
        <v>1.2114866529408</v>
      </c>
      <c r="E425" s="21" t="n">
        <f aca="false">$D425*(swm_27/swm_26)^el_o*1*1*E415*E416</f>
        <v>1.83008362867943</v>
      </c>
      <c r="F425" s="21" t="n">
        <f aca="false">$D425*(swm_28/swm_26)^el_o*um28_A*1*F415*F416</f>
        <v>1.87027471376615</v>
      </c>
      <c r="G425" s="21" t="n">
        <f aca="false">$D425*(swm_29/swm_26)^el_o*um29_A*1*G415*G416</f>
        <v>1.89021221192681</v>
      </c>
      <c r="K425" s="7" t="s">
        <v>720</v>
      </c>
    </row>
    <row r="426" customFormat="false" ht="17.15" hidden="false" customHeight="false" outlineLevel="0" collapsed="false">
      <c r="A426" s="3" t="s">
        <v>721</v>
      </c>
      <c r="B426" s="0" t="s">
        <v>379</v>
      </c>
      <c r="D426" s="21" t="n">
        <f aca="false">a26_abf-D424</f>
        <v>17.144127</v>
      </c>
      <c r="E426" s="21" t="n">
        <f aca="false">$D426*(1+g_nai)^1*E416</f>
        <v>19.6265965896</v>
      </c>
      <c r="F426" s="21" t="n">
        <f aca="false">$D426*(1+g_nai)^2*F416</f>
        <v>20.804192384976</v>
      </c>
      <c r="G426" s="21" t="n">
        <f aca="false">$D426*(1+g_nai)^3*G416</f>
        <v>22.0524439280746</v>
      </c>
      <c r="K426" s="3" t="s">
        <v>722</v>
      </c>
    </row>
    <row r="427" customFormat="false" ht="17.15" hidden="false" customHeight="false" outlineLevel="0" collapsed="false">
      <c r="A427" s="0" t="s">
        <v>723</v>
      </c>
      <c r="B427" s="0" t="s">
        <v>379</v>
      </c>
      <c r="D427" s="21" t="n">
        <f aca="false">D422+D425+D426</f>
        <v>22.858836</v>
      </c>
      <c r="E427" s="21" t="n">
        <f aca="false">E422+E425+E426</f>
        <v>36.0831651419879</v>
      </c>
      <c r="F427" s="21" t="n">
        <f aca="false">F422+F425+F426</f>
        <v>43.7973134671406</v>
      </c>
      <c r="G427" s="21" t="n">
        <f aca="false">G422+G425+G426</f>
        <v>51.0636324562891</v>
      </c>
    </row>
    <row r="428" customFormat="false" ht="17.15" hidden="false" customHeight="false" outlineLevel="0" collapsed="false">
      <c r="A428" s="0" t="s">
        <v>724</v>
      </c>
      <c r="B428" s="0" t="s">
        <v>379</v>
      </c>
      <c r="D428" s="21" t="n">
        <f aca="false">a26_abf</f>
        <v>22.858836</v>
      </c>
      <c r="E428" s="21" t="n">
        <f aca="false">$D427*cap_27*(1+g_mix)^1*E415*E416</f>
        <v>31.1063040288</v>
      </c>
      <c r="F428" s="21" t="n">
        <f aca="false">$D427*cap_28*(1+g_mix)^2*F415*F416</f>
        <v>38.78567283591</v>
      </c>
      <c r="G428" s="21" t="n">
        <f aca="false">$D427*cap_29*(1+g_mix)^3*G415*G416</f>
        <v>47.5838965160559</v>
      </c>
      <c r="K428" s="7" t="s">
        <v>725</v>
      </c>
    </row>
    <row r="429" customFormat="false" ht="17.15" hidden="false" customHeight="false" outlineLevel="0" collapsed="false">
      <c r="A429" s="0" t="s">
        <v>726</v>
      </c>
      <c r="B429" s="0" t="s">
        <v>379</v>
      </c>
      <c r="D429" s="21" t="n">
        <f aca="false">a26_abf</f>
        <v>22.858836</v>
      </c>
      <c r="E429" s="21" t="n">
        <f aca="false">MIN(E427,E428)</f>
        <v>31.1063040288</v>
      </c>
      <c r="F429" s="21" t="n">
        <f aca="false">MIN(F427,F428)</f>
        <v>38.78567283591</v>
      </c>
      <c r="G429" s="21" t="n">
        <f aca="false">MIN(G427,G428)</f>
        <v>47.5838965160559</v>
      </c>
    </row>
    <row r="430" customFormat="false" ht="17.15" hidden="false" customHeight="false" outlineLevel="0" collapsed="false">
      <c r="A430" s="3" t="s">
        <v>727</v>
      </c>
      <c r="B430" s="0" t="s">
        <v>43</v>
      </c>
      <c r="D430" s="20" t="n">
        <f aca="false">D429/D427</f>
        <v>1</v>
      </c>
      <c r="E430" s="20" t="n">
        <f aca="false">E429/E427</f>
        <v>0.862072490215205</v>
      </c>
      <c r="F430" s="20" t="n">
        <f aca="false">F429/F427</f>
        <v>0.885571962422065</v>
      </c>
      <c r="G430" s="20" t="n">
        <f aca="false">G429/G427</f>
        <v>0.931854907830698</v>
      </c>
    </row>
    <row r="431" customFormat="false" ht="17.15" hidden="false" customHeight="false" outlineLevel="0" collapsed="false">
      <c r="A431" s="0" t="s">
        <v>728</v>
      </c>
      <c r="B431" s="0" t="s">
        <v>379</v>
      </c>
      <c r="D431" s="21" t="n">
        <f aca="false">(D422+D425)*D430</f>
        <v>5.714709</v>
      </c>
      <c r="E431" s="21" t="n">
        <f aca="false">(E422+E425)*E430</f>
        <v>14.1867550323543</v>
      </c>
      <c r="F431" s="21" t="n">
        <f aca="false">(F422+F425)*F430</f>
        <v>20.3620633589406</v>
      </c>
      <c r="G431" s="21" t="n">
        <f aca="false">(G422+G425)*G430</f>
        <v>27.0342184120184</v>
      </c>
    </row>
    <row r="432" customFormat="false" ht="17.15" hidden="false" customHeight="false" outlineLevel="0" collapsed="false">
      <c r="A432" s="3" t="s">
        <v>729</v>
      </c>
      <c r="B432" s="0" t="s">
        <v>43</v>
      </c>
      <c r="D432" s="20" t="n">
        <f aca="false">D422/(D422+D425)</f>
        <v>0.788005539225042</v>
      </c>
      <c r="E432" s="20" t="n">
        <f aca="false">E422/(E422+E425)</f>
        <v>0.888793120944167</v>
      </c>
      <c r="F432" s="20" t="n">
        <f aca="false">F422/(F422+F425)</f>
        <v>0.918659380469366</v>
      </c>
      <c r="G432" s="20" t="n">
        <f aca="false">G422/(G422+G425)</f>
        <v>0.934845405934042</v>
      </c>
    </row>
    <row r="433" customFormat="false" ht="17.15" hidden="false" customHeight="false" outlineLevel="0" collapsed="false">
      <c r="A433" s="5" t="s">
        <v>730</v>
      </c>
    </row>
    <row r="434" customFormat="false" ht="17.15" hidden="false" customHeight="false" outlineLevel="0" collapsed="false">
      <c r="A434" s="0" t="s">
        <v>731</v>
      </c>
      <c r="B434" s="0" t="s">
        <v>379</v>
      </c>
      <c r="D434" s="21" t="n">
        <f aca="false">a26_bt</f>
        <v>23.265964</v>
      </c>
      <c r="E434" s="21" t="n">
        <f aca="false">D434*(1+g_bt27_A)</f>
        <v>29.78043392</v>
      </c>
      <c r="F434" s="21" t="n">
        <f aca="false">E434*(1+g_bt28_A)</f>
        <v>32.758477312</v>
      </c>
      <c r="G434" s="21" t="n">
        <f aca="false">F434*(1+g_bt29_A)</f>
        <v>34.3964011776</v>
      </c>
      <c r="K434" s="7" t="s">
        <v>732</v>
      </c>
    </row>
    <row r="435" customFormat="false" ht="17.15" hidden="false" customHeight="false" outlineLevel="0" collapsed="false">
      <c r="A435" s="3" t="s">
        <v>617</v>
      </c>
      <c r="B435" s="0" t="s">
        <v>379</v>
      </c>
      <c r="C435" s="21" t="n">
        <f aca="false">a25_lens</f>
        <v>7.039</v>
      </c>
      <c r="D435" s="21" t="n">
        <f aca="false">a26_lens</f>
        <v>8.301</v>
      </c>
      <c r="E435" s="21" t="n">
        <f aca="false">D435*(1+g_lens)</f>
        <v>9.1311</v>
      </c>
      <c r="F435" s="21" t="n">
        <f aca="false">E435*(1+g_lens)</f>
        <v>10.04421</v>
      </c>
      <c r="G435" s="21" t="n">
        <f aca="false">F435*(1+g_lens)</f>
        <v>11.048631</v>
      </c>
      <c r="K435" s="3" t="s">
        <v>733</v>
      </c>
    </row>
    <row r="436" customFormat="false" ht="17.15" hidden="false" customHeight="false" outlineLevel="0" collapsed="false">
      <c r="A436" s="3" t="s">
        <v>574</v>
      </c>
      <c r="B436" s="0" t="s">
        <v>379</v>
      </c>
      <c r="C436" s="23" t="n">
        <f aca="false">a25_rev</f>
        <v>39.351</v>
      </c>
      <c r="D436" s="23" t="n">
        <f aca="false">D429+D434+D435</f>
        <v>54.4258</v>
      </c>
      <c r="E436" s="23" t="n">
        <f aca="false">E429+E434+E435</f>
        <v>70.0178379488</v>
      </c>
      <c r="F436" s="23" t="n">
        <f aca="false">F429+F434+F435</f>
        <v>81.58836014791</v>
      </c>
      <c r="G436" s="23" t="n">
        <f aca="false">G429+G434+G435</f>
        <v>93.0289286936559</v>
      </c>
      <c r="H436" s="25" t="n">
        <f aca="false">G436*(1+H438)</f>
        <v>103.586040560004</v>
      </c>
      <c r="I436" s="25" t="n">
        <f aca="false">H436*(1+I438)</f>
        <v>112.571198963493</v>
      </c>
      <c r="J436" s="25" t="n">
        <f aca="false">I436*(1+J438)</f>
        <v>119.325470901303</v>
      </c>
      <c r="K436" s="7" t="s">
        <v>734</v>
      </c>
    </row>
    <row r="437" customFormat="false" ht="17.15" hidden="false" customHeight="false" outlineLevel="0" collapsed="false">
      <c r="A437" s="3" t="s">
        <v>735</v>
      </c>
      <c r="B437" s="0" t="s">
        <v>379</v>
      </c>
      <c r="D437" s="19" t="n">
        <f aca="false">D429+D434+D435-D436</f>
        <v>0</v>
      </c>
      <c r="E437" s="19" t="n">
        <f aca="false">E429+E434+E435-E436</f>
        <v>0</v>
      </c>
      <c r="F437" s="19" t="n">
        <f aca="false">F429+F434+F435-F436</f>
        <v>0</v>
      </c>
      <c r="G437" s="19" t="n">
        <f aca="false">G429+G434+G435-G436</f>
        <v>0</v>
      </c>
    </row>
    <row r="438" customFormat="false" ht="15" hidden="false" customHeight="false" outlineLevel="0" collapsed="false">
      <c r="A438" s="3" t="s">
        <v>736</v>
      </c>
      <c r="B438" s="0" t="s">
        <v>43</v>
      </c>
      <c r="D438" s="20" t="n">
        <f aca="false">D436/C436-1</f>
        <v>0.383085563263958</v>
      </c>
      <c r="E438" s="20" t="n">
        <f aca="false">E436/D436-1</f>
        <v>0.286482476119782</v>
      </c>
      <c r="F438" s="20" t="n">
        <f aca="false">F436/E436-1</f>
        <v>0.165251063701379</v>
      </c>
      <c r="G438" s="20" t="n">
        <f aca="false">G436/F436-1</f>
        <v>0.140223048054962</v>
      </c>
      <c r="H438" s="26" t="n">
        <f aca="false">$G438+(fade_gA-$G438)*1/3</f>
        <v>0.113482032036641</v>
      </c>
      <c r="I438" s="26" t="n">
        <f aca="false">$G438+(fade_gA-$G438)*2/3</f>
        <v>0.0867410160183206</v>
      </c>
      <c r="J438" s="26" t="n">
        <f aca="false">$G438+(fade_gA-$G438)*3/3</f>
        <v>0.06</v>
      </c>
    </row>
    <row r="439" customFormat="false" ht="17.15" hidden="false" customHeight="false" outlineLevel="0" collapsed="false">
      <c r="A439" s="0" t="s">
        <v>737</v>
      </c>
      <c r="B439" s="0" t="s">
        <v>43</v>
      </c>
      <c r="D439" s="20" t="n">
        <f aca="false">D429/D436</f>
        <v>0.42</v>
      </c>
      <c r="E439" s="20" t="n">
        <f aca="false">E429/E436</f>
        <v>0.444262561371093</v>
      </c>
      <c r="F439" s="20" t="n">
        <f aca="false">F429/F436</f>
        <v>0.475382429130775</v>
      </c>
      <c r="G439" s="20" t="n">
        <f aca="false">G429/G436</f>
        <v>0.511495694771995</v>
      </c>
    </row>
    <row r="440" customFormat="false" ht="17.15" hidden="false" customHeight="false" outlineLevel="0" collapsed="false">
      <c r="A440" s="0" t="s">
        <v>738</v>
      </c>
      <c r="B440" s="0" t="s">
        <v>43</v>
      </c>
      <c r="D440" s="20" t="n">
        <f aca="false">D431/D436</f>
        <v>0.105</v>
      </c>
      <c r="E440" s="20" t="n">
        <f aca="false">E431/E436</f>
        <v>0.20261629676038</v>
      </c>
      <c r="F440" s="20" t="n">
        <f aca="false">F431/F436</f>
        <v>0.249570690255652</v>
      </c>
      <c r="G440" s="20" t="n">
        <f aca="false">G431/G436</f>
        <v>0.290600126128959</v>
      </c>
      <c r="K440" s="3" t="s">
        <v>739</v>
      </c>
    </row>
    <row r="441" customFormat="false" ht="17.15" hidden="false" customHeight="false" outlineLevel="0" collapsed="false">
      <c r="A441" s="5" t="s">
        <v>740</v>
      </c>
    </row>
    <row r="442" customFormat="false" ht="15" hidden="false" customHeight="false" outlineLevel="0" collapsed="false">
      <c r="A442" s="3" t="s">
        <v>741</v>
      </c>
      <c r="B442" s="0" t="s">
        <v>379</v>
      </c>
      <c r="C442" s="23" t="n">
        <f aca="false">a25_cx</f>
        <v>6.116</v>
      </c>
      <c r="D442" s="23" t="n">
        <f aca="false">capex26</f>
        <v>11</v>
      </c>
      <c r="E442" s="23" t="n">
        <f aca="false">cx27</f>
        <v>17</v>
      </c>
      <c r="F442" s="23" t="n">
        <f aca="false">cx28</f>
        <v>16</v>
      </c>
      <c r="G442" s="23" t="n">
        <f aca="false">cx29</f>
        <v>12</v>
      </c>
      <c r="H442" s="25" t="n">
        <f aca="false">H436*H461</f>
        <v>13.4608740222528</v>
      </c>
      <c r="I442" s="25" t="n">
        <f aca="false">I436*I461</f>
        <v>14.7361686851116</v>
      </c>
      <c r="J442" s="25" t="n">
        <f aca="false">J436*J461</f>
        <v>15.7344846663127</v>
      </c>
    </row>
    <row r="443" customFormat="false" ht="17.15" hidden="false" customHeight="false" outlineLevel="0" collapsed="false">
      <c r="A443" s="3" t="s">
        <v>742</v>
      </c>
      <c r="B443" s="0" t="s">
        <v>379</v>
      </c>
      <c r="C443" s="23" t="n">
        <f aca="false">a25_da</f>
        <v>7.158</v>
      </c>
      <c r="D443" s="23" t="n">
        <f aca="false">da26</f>
        <v>8.32</v>
      </c>
      <c r="E443" s="23" t="n">
        <f aca="false">D443*(1-1/life)+D442/life</f>
        <v>8.655</v>
      </c>
      <c r="F443" s="23" t="n">
        <f aca="false">E443*(1-1/life)+E442/life</f>
        <v>9.698125</v>
      </c>
      <c r="G443" s="23" t="n">
        <f aca="false">F443*(1-1/life)+F442/life</f>
        <v>10.485859375</v>
      </c>
      <c r="H443" s="25" t="n">
        <f aca="false">H436*H444</f>
        <v>11.6758160045255</v>
      </c>
      <c r="I443" s="25" t="n">
        <f aca="false">I436*I444</f>
        <v>12.688588147601</v>
      </c>
      <c r="J443" s="25" t="n">
        <f aca="false">J436*J444</f>
        <v>13.449903436457</v>
      </c>
      <c r="K443" s="3" t="s">
        <v>743</v>
      </c>
    </row>
    <row r="444" customFormat="false" ht="17.15" hidden="false" customHeight="false" outlineLevel="0" collapsed="false">
      <c r="A444" s="3" t="s">
        <v>744</v>
      </c>
      <c r="B444" s="0" t="s">
        <v>43</v>
      </c>
      <c r="C444" s="20" t="n">
        <f aca="false">C443/C436</f>
        <v>0.181901349393916</v>
      </c>
      <c r="D444" s="20" t="n">
        <f aca="false">D443/D436</f>
        <v>0.152868676252807</v>
      </c>
      <c r="E444" s="20" t="n">
        <f aca="false">E443/E436</f>
        <v>0.123611357527619</v>
      </c>
      <c r="F444" s="20" t="n">
        <f aca="false">F443/F436</f>
        <v>0.118866526823415</v>
      </c>
      <c r="G444" s="20" t="n">
        <f aca="false">G443/G436</f>
        <v>0.112716114462953</v>
      </c>
      <c r="H444" s="26" t="n">
        <f aca="false">$G444</f>
        <v>0.112716114462953</v>
      </c>
      <c r="I444" s="26" t="n">
        <f aca="false">$G444</f>
        <v>0.112716114462953</v>
      </c>
      <c r="J444" s="26" t="n">
        <f aca="false">$G444</f>
        <v>0.112716114462953</v>
      </c>
    </row>
    <row r="445" customFormat="false" ht="17.15" hidden="false" customHeight="false" outlineLevel="0" collapsed="false">
      <c r="A445" s="0" t="s">
        <v>745</v>
      </c>
      <c r="B445" s="0" t="s">
        <v>379</v>
      </c>
      <c r="E445" s="21" t="n">
        <f aca="false">E430*((E422+E425)*(1-1/(E415*E416))+E426*(1-1/E416))</f>
        <v>2.3041706688</v>
      </c>
      <c r="F445" s="21" t="n">
        <f aca="false">F430*((F422+F425)*(1-1/(F415*F416))+F426*(1-1/F416))</f>
        <v>1.88070952006056</v>
      </c>
      <c r="G445" s="21" t="n">
        <f aca="false">G430*((G422+G425)*(1-1/(G415*G416))+G426*(1-1/G416))</f>
        <v>0.743434884726536</v>
      </c>
      <c r="K445" s="7" t="s">
        <v>746</v>
      </c>
    </row>
    <row r="446" customFormat="false" ht="17.15" hidden="false" customHeight="false" outlineLevel="0" collapsed="false">
      <c r="A446" s="3" t="s">
        <v>747</v>
      </c>
      <c r="B446" s="0" t="s">
        <v>379</v>
      </c>
      <c r="C446" s="21" t="n">
        <f aca="false">a25_gp</f>
        <v>8.314</v>
      </c>
      <c r="D446" s="21" t="n">
        <f aca="false">a26_gp</f>
        <v>15.328536</v>
      </c>
      <c r="E446" s="21" t="n">
        <f aca="false">$D446+ft_abf*(E429-E445-$D429)+ft_bt*(E434-$D434)+ft_lens*(E435-$D435)+E445-(E443-$D443)</f>
        <v>23.5744118128</v>
      </c>
      <c r="F446" s="21" t="n">
        <f aca="false">$D446+ft_abf*(F429-F445-$D429)+ft_bt*(F434-$D434)+ft_lens*(F435-$D435)+F445-(F443-$D443)</f>
        <v>27.9102596683853</v>
      </c>
      <c r="G446" s="21" t="n">
        <f aca="false">$D446+ft_abf*(G429-G445-$D429)+ft_bt*(G434-$D434)+ft_lens*(G435-$D435)+G445-(G443-$D443)</f>
        <v>32.1420550053112</v>
      </c>
      <c r="K446" s="3" t="s">
        <v>748</v>
      </c>
    </row>
    <row r="447" customFormat="false" ht="15" hidden="false" customHeight="false" outlineLevel="0" collapsed="false">
      <c r="A447" s="3" t="s">
        <v>581</v>
      </c>
      <c r="B447" s="0" t="s">
        <v>43</v>
      </c>
      <c r="C447" s="16" t="n">
        <f aca="false">C446/C436</f>
        <v>0.211277985311682</v>
      </c>
      <c r="D447" s="16" t="n">
        <f aca="false">D446/D436</f>
        <v>0.281640986443929</v>
      </c>
      <c r="E447" s="16" t="n">
        <f aca="false">E446/E436</f>
        <v>0.336691513240363</v>
      </c>
      <c r="F447" s="16" t="n">
        <f aca="false">F446/F436</f>
        <v>0.34208629291957</v>
      </c>
      <c r="G447" s="16" t="n">
        <f aca="false">G446/G436</f>
        <v>0.34550602115558</v>
      </c>
    </row>
    <row r="448" customFormat="false" ht="15" hidden="false" customHeight="false" outlineLevel="0" collapsed="false">
      <c r="A448" s="3" t="s">
        <v>583</v>
      </c>
      <c r="B448" s="0" t="s">
        <v>379</v>
      </c>
      <c r="C448" s="21" t="n">
        <f aca="false">a25_opx</f>
        <v>5.644</v>
      </c>
      <c r="D448" s="21" t="n">
        <f aca="false">a26_opx</f>
        <v>6.54036</v>
      </c>
      <c r="E448" s="21" t="n">
        <f aca="false">D448*(1+phi*E438)</f>
        <v>7.66457911650887</v>
      </c>
      <c r="F448" s="21" t="n">
        <f aca="false">E448*(1+phi*F438)</f>
        <v>8.42452702760475</v>
      </c>
      <c r="G448" s="21" t="n">
        <f aca="false">F448*(1+phi*G438)</f>
        <v>9.13331474254403</v>
      </c>
    </row>
    <row r="449" customFormat="false" ht="15" hidden="false" customHeight="false" outlineLevel="0" collapsed="false">
      <c r="A449" s="3" t="s">
        <v>586</v>
      </c>
      <c r="B449" s="0" t="s">
        <v>379</v>
      </c>
      <c r="C449" s="21" t="n">
        <f aca="false">C446-C448</f>
        <v>2.67</v>
      </c>
      <c r="D449" s="21" t="n">
        <f aca="false">D446-D448</f>
        <v>8.788176</v>
      </c>
      <c r="E449" s="21" t="n">
        <f aca="false">E446-E448</f>
        <v>15.9098326962911</v>
      </c>
      <c r="F449" s="21" t="n">
        <f aca="false">F446-F448</f>
        <v>19.4857326407805</v>
      </c>
      <c r="G449" s="21" t="n">
        <f aca="false">G446-G448</f>
        <v>23.0087402627672</v>
      </c>
    </row>
    <row r="450" customFormat="false" ht="15" hidden="false" customHeight="false" outlineLevel="0" collapsed="false">
      <c r="A450" s="3" t="s">
        <v>684</v>
      </c>
      <c r="B450" s="0" t="s">
        <v>43</v>
      </c>
      <c r="C450" s="16" t="n">
        <f aca="false">C449/C436</f>
        <v>0.0678508805367081</v>
      </c>
      <c r="D450" s="16" t="n">
        <f aca="false">D449/D436</f>
        <v>0.161470773052486</v>
      </c>
      <c r="E450" s="16" t="n">
        <f aca="false">E449/E436</f>
        <v>0.227225420869537</v>
      </c>
      <c r="F450" s="16" t="n">
        <f aca="false">F449/F436</f>
        <v>0.238829811084023</v>
      </c>
      <c r="G450" s="16" t="n">
        <f aca="false">G449/G436</f>
        <v>0.247328874854992</v>
      </c>
    </row>
    <row r="451" customFormat="false" ht="15" hidden="false" customHeight="false" outlineLevel="0" collapsed="false">
      <c r="A451" s="3" t="s">
        <v>589</v>
      </c>
      <c r="B451" s="0" t="s">
        <v>379</v>
      </c>
      <c r="C451" s="21" t="n">
        <f aca="false">a25_nonop</f>
        <v>0.417</v>
      </c>
      <c r="D451" s="21" t="n">
        <f aca="false">a26_nonop</f>
        <v>0.37882</v>
      </c>
      <c r="E451" s="21" t="n">
        <f aca="false">nonop27</f>
        <v>0.4</v>
      </c>
      <c r="F451" s="21" t="n">
        <f aca="false">nonop28</f>
        <v>0.4</v>
      </c>
      <c r="G451" s="21" t="n">
        <f aca="false">nonop29</f>
        <v>0.4</v>
      </c>
    </row>
    <row r="452" customFormat="false" ht="15" hidden="false" customHeight="false" outlineLevel="0" collapsed="false">
      <c r="A452" s="3" t="s">
        <v>591</v>
      </c>
      <c r="B452" s="0" t="s">
        <v>379</v>
      </c>
      <c r="C452" s="21" t="n">
        <f aca="false">C449+C451</f>
        <v>3.087</v>
      </c>
      <c r="D452" s="21" t="n">
        <f aca="false">D449+D451</f>
        <v>9.166996</v>
      </c>
      <c r="E452" s="21" t="n">
        <f aca="false">E449+E451</f>
        <v>16.3098326962911</v>
      </c>
      <c r="F452" s="21" t="n">
        <f aca="false">F449+F451</f>
        <v>19.8857326407805</v>
      </c>
      <c r="G452" s="21" t="n">
        <f aca="false">G449+G451</f>
        <v>23.4087402627672</v>
      </c>
    </row>
    <row r="453" customFormat="false" ht="15" hidden="false" customHeight="false" outlineLevel="0" collapsed="false">
      <c r="A453" s="3" t="s">
        <v>592</v>
      </c>
      <c r="B453" s="0" t="s">
        <v>379</v>
      </c>
      <c r="E453" s="21" t="n">
        <f aca="false">E452*tax</f>
        <v>1.95717992355494</v>
      </c>
      <c r="F453" s="21" t="n">
        <f aca="false">F452*tax</f>
        <v>2.38628791689366</v>
      </c>
      <c r="G453" s="21" t="n">
        <f aca="false">G452*tax</f>
        <v>2.80904883153206</v>
      </c>
    </row>
    <row r="454" customFormat="false" ht="15" hidden="false" customHeight="false" outlineLevel="0" collapsed="false">
      <c r="A454" s="3" t="s">
        <v>593</v>
      </c>
      <c r="B454" s="0" t="s">
        <v>379</v>
      </c>
      <c r="C454" s="21" t="n">
        <f aca="false">a25_nic</f>
        <v>2.71712</v>
      </c>
      <c r="D454" s="21" t="n">
        <f aca="false">a26_nic</f>
        <v>8.39979776</v>
      </c>
      <c r="E454" s="21" t="n">
        <f aca="false">E452-E453</f>
        <v>14.3526527727362</v>
      </c>
      <c r="F454" s="21" t="n">
        <f aca="false">F452-F453</f>
        <v>17.4994447238869</v>
      </c>
      <c r="G454" s="21" t="n">
        <f aca="false">G452-G453</f>
        <v>20.5996914312351</v>
      </c>
    </row>
    <row r="455" customFormat="false" ht="17.15" hidden="false" customHeight="false" outlineLevel="0" collapsed="false">
      <c r="A455" s="3" t="s">
        <v>749</v>
      </c>
      <c r="B455" s="0" t="s">
        <v>379</v>
      </c>
      <c r="C455" s="21" t="n">
        <f aca="false">a25_nci</f>
        <v>1.12112</v>
      </c>
      <c r="D455" s="21" t="n">
        <f aca="false">a26_nci</f>
        <v>1.43839238487797</v>
      </c>
      <c r="E455" s="21" t="n">
        <f aca="false">E435*nm_lens*nci_sh</f>
        <v>1.57074538036261</v>
      </c>
      <c r="F455" s="21" t="n">
        <f aca="false">F435*nm_lens*nci_sh</f>
        <v>1.72781991839887</v>
      </c>
      <c r="G455" s="21" t="n">
        <f aca="false">G435*nm_lens*nci_sh</f>
        <v>1.90060191023875</v>
      </c>
      <c r="K455" s="3" t="s">
        <v>750</v>
      </c>
    </row>
    <row r="456" customFormat="false" ht="15" hidden="false" customHeight="false" outlineLevel="0" collapsed="false">
      <c r="A456" s="3" t="s">
        <v>599</v>
      </c>
      <c r="B456" s="0" t="s">
        <v>379</v>
      </c>
      <c r="C456" s="21" t="n">
        <f aca="false">a25_ni</f>
        <v>1.596</v>
      </c>
      <c r="D456" s="21" t="n">
        <f aca="false">a26_ni</f>
        <v>6.96140537512203</v>
      </c>
      <c r="E456" s="21" t="n">
        <f aca="false">E454-E455</f>
        <v>12.7819073923736</v>
      </c>
      <c r="F456" s="21" t="n">
        <f aca="false">F454-F455</f>
        <v>15.771624805488</v>
      </c>
      <c r="G456" s="21" t="n">
        <f aca="false">G454-G455</f>
        <v>18.6990895209964</v>
      </c>
      <c r="H456" s="30" t="n">
        <f aca="false">H436*H460</f>
        <v>21.5107613870538</v>
      </c>
      <c r="I456" s="30" t="n">
        <f aca="false">I436*I460</f>
        <v>24.1261097874015</v>
      </c>
      <c r="J456" s="30" t="n">
        <f aca="false">J436*J460</f>
        <v>26.3681284630909</v>
      </c>
    </row>
    <row r="457" customFormat="false" ht="15" hidden="false" customHeight="false" outlineLevel="0" collapsed="false">
      <c r="A457" s="3" t="s">
        <v>751</v>
      </c>
      <c r="B457" s="3" t="s">
        <v>465</v>
      </c>
      <c r="C457" s="29" t="n">
        <f aca="false">a25_sh</f>
        <v>0.454700854700855</v>
      </c>
      <c r="D457" s="29" t="n">
        <f aca="false">a26_sh</f>
        <v>0.508341020486215</v>
      </c>
      <c r="E457" s="29" t="n">
        <f aca="false">a26_shend*(1+sh_g)</f>
        <v>0.52691</v>
      </c>
      <c r="F457" s="29" t="n">
        <f aca="false">E457*(1+sh_g)</f>
        <v>0.52691</v>
      </c>
      <c r="G457" s="29" t="n">
        <f aca="false">F457*(1+sh_g)</f>
        <v>0.52691</v>
      </c>
      <c r="H457" s="31" t="n">
        <f aca="false">G457*(1+sh_g)</f>
        <v>0.52691</v>
      </c>
      <c r="I457" s="31" t="n">
        <f aca="false">H457*(1+sh_g)</f>
        <v>0.52691</v>
      </c>
      <c r="J457" s="31" t="n">
        <f aca="false">I457*(1+sh_g)</f>
        <v>0.52691</v>
      </c>
    </row>
    <row r="458" customFormat="false" ht="17.15" hidden="false" customHeight="false" outlineLevel="0" collapsed="false">
      <c r="A458" s="0" t="s">
        <v>604</v>
      </c>
      <c r="B458" s="0" t="s">
        <v>471</v>
      </c>
      <c r="C458" s="18" t="n">
        <f aca="false">C456/C457</f>
        <v>3.51</v>
      </c>
      <c r="D458" s="18" t="n">
        <f aca="false">D456/D457</f>
        <v>13.6943608612652</v>
      </c>
      <c r="E458" s="18" t="n">
        <f aca="false">E456/E457</f>
        <v>24.2582364965053</v>
      </c>
      <c r="F458" s="18" t="n">
        <f aca="false">F456/F457</f>
        <v>29.9322935709856</v>
      </c>
      <c r="G458" s="18" t="n">
        <f aca="false">G456/G457</f>
        <v>35.4882039076813</v>
      </c>
      <c r="H458" s="28" t="n">
        <f aca="false">H456/H457</f>
        <v>40.8243559375487</v>
      </c>
      <c r="I458" s="28" t="n">
        <f aca="false">I456/I457</f>
        <v>45.7879140411104</v>
      </c>
      <c r="J458" s="28" t="n">
        <f aca="false">J456/J457</f>
        <v>50.0429455942968</v>
      </c>
    </row>
    <row r="459" customFormat="false" ht="17.15" hidden="false" customHeight="false" outlineLevel="0" collapsed="false">
      <c r="A459" s="0" t="s">
        <v>752</v>
      </c>
      <c r="B459" s="0" t="s">
        <v>43</v>
      </c>
      <c r="D459" s="20" t="n">
        <f aca="false">D458/C458-1</f>
        <v>2.90152731090177</v>
      </c>
      <c r="E459" s="20" t="n">
        <f aca="false">E458/D458-1</f>
        <v>0.771403334720078</v>
      </c>
      <c r="F459" s="20" t="n">
        <f aca="false">F458/E458-1</f>
        <v>0.2339022902715</v>
      </c>
      <c r="G459" s="20" t="n">
        <f aca="false">G458/F458-1</f>
        <v>0.185615924269877</v>
      </c>
      <c r="H459" s="26" t="n">
        <f aca="false">H458/G458-1</f>
        <v>0.150364105316483</v>
      </c>
      <c r="I459" s="26" t="n">
        <f aca="false">I458/H458-1</f>
        <v>0.121583255622077</v>
      </c>
      <c r="J459" s="26" t="n">
        <f aca="false">J458/I458-1</f>
        <v>0.0929291417243006</v>
      </c>
    </row>
    <row r="460" customFormat="false" ht="17.15" hidden="false" customHeight="false" outlineLevel="0" collapsed="false">
      <c r="A460" s="3" t="s">
        <v>753</v>
      </c>
      <c r="B460" s="0" t="s">
        <v>43</v>
      </c>
      <c r="C460" s="16" t="n">
        <f aca="false">C456/C436</f>
        <v>0.0405580544331783</v>
      </c>
      <c r="D460" s="16" t="n">
        <f aca="false">D456/D436</f>
        <v>0.127906349105057</v>
      </c>
      <c r="E460" s="16" t="n">
        <f aca="false">E456/E436</f>
        <v>0.182552157661884</v>
      </c>
      <c r="F460" s="16" t="n">
        <f aca="false">F456/F436</f>
        <v>0.193307290119521</v>
      </c>
      <c r="G460" s="16" t="n">
        <f aca="false">G456/G436</f>
        <v>0.201002954495719</v>
      </c>
      <c r="H460" s="27" t="n">
        <f aca="false">$G460+(fade_mA-$G460)*1/3</f>
        <v>0.207660812892963</v>
      </c>
      <c r="I460" s="27" t="n">
        <f aca="false">$G460+(fade_mA-$G460)*2/3</f>
        <v>0.214318671290207</v>
      </c>
      <c r="J460" s="27" t="n">
        <f aca="false">$G460+(fade_mA-$G460)*3/3</f>
        <v>0.220976529687452</v>
      </c>
    </row>
    <row r="461" customFormat="false" ht="17.15" hidden="false" customHeight="false" outlineLevel="0" collapsed="false">
      <c r="A461" s="3" t="s">
        <v>754</v>
      </c>
      <c r="B461" s="0" t="s">
        <v>43</v>
      </c>
      <c r="C461" s="20" t="n">
        <f aca="false">C442/C436</f>
        <v>0.155421717364235</v>
      </c>
      <c r="D461" s="20" t="n">
        <f aca="false">D442/D436</f>
        <v>0.202110028699624</v>
      </c>
      <c r="E461" s="20" t="n">
        <f aca="false">E442/E436</f>
        <v>0.242795271862452</v>
      </c>
      <c r="F461" s="20" t="n">
        <f aca="false">F442/F436</f>
        <v>0.196106405018975</v>
      </c>
      <c r="G461" s="20" t="n">
        <f aca="false">G442/G436</f>
        <v>0.128992133613792</v>
      </c>
      <c r="H461" s="26" t="n">
        <f aca="false">$G461+($G444*(1+tp_g)^(life/2)-$G461)*1/3</f>
        <v>0.129948726194003</v>
      </c>
      <c r="I461" s="26" t="n">
        <f aca="false">$G461+($G444*(1+tp_g)^(life/2)-$G461)*2/3</f>
        <v>0.130905318774214</v>
      </c>
      <c r="J461" s="26" t="n">
        <f aca="false">$G461+($G444*(1+tp_g)^(life/2)-$G461)*3/3</f>
        <v>0.131861911354425</v>
      </c>
      <c r="K461" s="7" t="s">
        <v>755</v>
      </c>
    </row>
    <row r="462" customFormat="false" ht="15" hidden="false" customHeight="false" outlineLevel="0" collapsed="false">
      <c r="A462" s="3" t="s">
        <v>756</v>
      </c>
      <c r="B462" s="0" t="s">
        <v>379</v>
      </c>
      <c r="D462" s="21" t="n">
        <f aca="false">D456+D443-D442</f>
        <v>4.28140537512203</v>
      </c>
      <c r="E462" s="21" t="n">
        <f aca="false">E456+E443-E442</f>
        <v>4.4369073923736</v>
      </c>
      <c r="F462" s="21" t="n">
        <f aca="false">F456+F443-F442</f>
        <v>9.469749805488</v>
      </c>
      <c r="G462" s="21" t="n">
        <f aca="false">G456+G443-G442</f>
        <v>17.1849488959964</v>
      </c>
      <c r="H462" s="30" t="n">
        <f aca="false">H456+H443-H442</f>
        <v>19.7257033693264</v>
      </c>
      <c r="I462" s="30" t="n">
        <f aca="false">I456+I443-I442</f>
        <v>22.0785292498908</v>
      </c>
      <c r="J462" s="30" t="n">
        <f aca="false">J456+J443-J442</f>
        <v>24.0835472332353</v>
      </c>
      <c r="K462" s="3" t="s">
        <v>757</v>
      </c>
    </row>
    <row r="463" customFormat="false" ht="15" hidden="false" customHeight="false" outlineLevel="0" collapsed="false">
      <c r="A463" s="3" t="s">
        <v>758</v>
      </c>
      <c r="B463" s="0" t="s">
        <v>471</v>
      </c>
      <c r="D463" s="18" t="n">
        <f aca="false">D462/D457</f>
        <v>8.42230943909854</v>
      </c>
      <c r="E463" s="18" t="n">
        <f aca="false">E462/E457</f>
        <v>8.42061716872635</v>
      </c>
      <c r="F463" s="18" t="n">
        <f aca="false">F462/F457</f>
        <v>17.9722339782657</v>
      </c>
      <c r="G463" s="18" t="n">
        <f aca="false">G462/G457</f>
        <v>32.6145810403985</v>
      </c>
      <c r="H463" s="28" t="n">
        <f aca="false">H462/H457</f>
        <v>37.4365705136104</v>
      </c>
      <c r="I463" s="28" t="n">
        <f aca="false">I462/I457</f>
        <v>41.9018983315762</v>
      </c>
      <c r="J463" s="28" t="n">
        <f aca="false">J462/J457</f>
        <v>45.7071363861671</v>
      </c>
    </row>
    <row r="466" customFormat="false" ht="17.15" hidden="false" customHeight="false" outlineLevel="0" collapsed="false">
      <c r="A466" s="1" t="s">
        <v>1099</v>
      </c>
    </row>
    <row r="467" customFormat="false" ht="17.15" hidden="false" customHeight="false" outlineLevel="0" collapsed="false">
      <c r="A467" s="4" t="s">
        <v>20</v>
      </c>
      <c r="B467" s="4" t="s">
        <v>21</v>
      </c>
      <c r="C467" s="13" t="s">
        <v>567</v>
      </c>
      <c r="D467" s="13" t="s">
        <v>671</v>
      </c>
      <c r="E467" s="13" t="s">
        <v>672</v>
      </c>
      <c r="F467" s="13" t="s">
        <v>673</v>
      </c>
      <c r="G467" s="13" t="s">
        <v>674</v>
      </c>
      <c r="H467" s="13" t="s">
        <v>675</v>
      </c>
      <c r="I467" s="13" t="s">
        <v>676</v>
      </c>
      <c r="J467" s="13" t="s">
        <v>677</v>
      </c>
      <c r="K467" s="4" t="s">
        <v>631</v>
      </c>
    </row>
    <row r="468" customFormat="false" ht="17.15" hidden="false" customHeight="false" outlineLevel="0" collapsed="false">
      <c r="A468" s="5" t="s">
        <v>695</v>
      </c>
    </row>
    <row r="469" customFormat="false" ht="17.15" hidden="false" customHeight="false" outlineLevel="0" collapsed="false">
      <c r="A469" s="0" t="s">
        <v>696</v>
      </c>
      <c r="B469" s="3" t="s">
        <v>31</v>
      </c>
      <c r="D469" s="21" t="n">
        <f aca="false">(u_bw_26+u_rb_26+u_ru_26+u_hp_26)*1</f>
        <v>7.6</v>
      </c>
      <c r="E469" s="21" t="n">
        <f aca="false">(u_bw_27+u_rb_27+u_ru_27+u_hp_27)*1*1</f>
        <v>9.7</v>
      </c>
      <c r="F469" s="21" t="n">
        <f aca="false">(u_bw_28+u_rb_28+u_ru_28+u_hp_28)*um28_A*1</f>
        <v>9.5</v>
      </c>
      <c r="G469" s="21" t="n">
        <f aca="false">(u_bw_28*(1+g29_bw)+u_rb_28*(1+g29_rb)+u_ru_28*(1+g29_ru)+u_hp_28*(1+g29_hp))*um29_A*1</f>
        <v>10.6</v>
      </c>
      <c r="K469" s="7" t="s">
        <v>697</v>
      </c>
    </row>
    <row r="470" customFormat="false" ht="17.15" hidden="false" customHeight="false" outlineLevel="0" collapsed="false">
      <c r="A470" s="3" t="s">
        <v>698</v>
      </c>
      <c r="B470" s="3" t="s">
        <v>31</v>
      </c>
      <c r="D470" s="21" t="n">
        <f aca="false">(u_amd_26+u_tpu_26+u_trn_26+u_oth_26)*1</f>
        <v>7.6</v>
      </c>
      <c r="E470" s="21" t="n">
        <f aca="false">(u_amd_27+u_tpu_27+u_trn_27+u_oth_27)*1*1</f>
        <v>14</v>
      </c>
      <c r="F470" s="21" t="n">
        <f aca="false">(u_amd_28+u_tpu_28+u_trn_28+u_oth_28)*um28_A*1</f>
        <v>17</v>
      </c>
      <c r="G470" s="21" t="n">
        <f aca="false">(u_amd_28*(1+g29_amd)+u_tpu_28*(1+g29_tpu)+u_trn_28*(1+g29_trn)+u_oth_28*(1+g29_oth))*um29_A*1</f>
        <v>19.55</v>
      </c>
      <c r="K470" s="7" t="s">
        <v>699</v>
      </c>
    </row>
    <row r="471" customFormat="false" ht="17.15" hidden="false" customHeight="false" outlineLevel="0" collapsed="false">
      <c r="A471" s="0" t="s">
        <v>700</v>
      </c>
      <c r="B471" s="3" t="s">
        <v>31</v>
      </c>
      <c r="D471" s="21" t="n">
        <f aca="false">D469*cpu_r</f>
        <v>3.04</v>
      </c>
      <c r="E471" s="21" t="n">
        <f aca="false">E469*cpu_r</f>
        <v>3.88</v>
      </c>
      <c r="F471" s="21" t="n">
        <f aca="false">F469*cpu_r</f>
        <v>3.8</v>
      </c>
      <c r="G471" s="21" t="n">
        <f aca="false">G469*cpu_r</f>
        <v>4.24</v>
      </c>
      <c r="K471" s="7" t="s">
        <v>701</v>
      </c>
    </row>
    <row r="472" customFormat="false" ht="17.15" hidden="false" customHeight="false" outlineLevel="0" collapsed="false">
      <c r="A472" s="3" t="s">
        <v>702</v>
      </c>
      <c r="B472" s="0" t="s">
        <v>153</v>
      </c>
      <c r="D472" s="19" t="n">
        <f aca="false">1</f>
        <v>1</v>
      </c>
      <c r="E472" s="19" t="n">
        <f aca="false">D472*(1+g_asp)</f>
        <v>1.18</v>
      </c>
      <c r="F472" s="19" t="n">
        <f aca="false">E472*(1+g_asp)</f>
        <v>1.3924</v>
      </c>
      <c r="G472" s="19" t="n">
        <f aca="false">F472*(1+g_asp)</f>
        <v>1.643032</v>
      </c>
      <c r="K472" s="7" t="s">
        <v>703</v>
      </c>
    </row>
    <row r="473" customFormat="false" ht="17.15" hidden="false" customHeight="false" outlineLevel="0" collapsed="false">
      <c r="A473" s="0" t="s">
        <v>704</v>
      </c>
      <c r="B473" s="0" t="s">
        <v>153</v>
      </c>
      <c r="D473" s="18" t="n">
        <f aca="false">1</f>
        <v>1</v>
      </c>
      <c r="E473" s="18" t="n">
        <f aca="false">ibpp_27</f>
        <v>1</v>
      </c>
      <c r="F473" s="18" t="n">
        <f aca="false">ibpp_28</f>
        <v>0.95</v>
      </c>
      <c r="G473" s="18" t="n">
        <f aca="false">ibpp_29</f>
        <v>0.9</v>
      </c>
      <c r="K473" s="7" t="s">
        <v>705</v>
      </c>
    </row>
    <row r="474" customFormat="false" ht="17.15" hidden="false" customHeight="false" outlineLevel="0" collapsed="false">
      <c r="A474" s="3" t="s">
        <v>706</v>
      </c>
      <c r="B474" s="0" t="s">
        <v>153</v>
      </c>
      <c r="D474" s="18" t="n">
        <f aca="false">1</f>
        <v>1</v>
      </c>
      <c r="E474" s="18" t="n">
        <f aca="false">1+carry_hi</f>
        <v>1.22</v>
      </c>
      <c r="F474" s="18" t="n">
        <f aca="false">1+carry_hi</f>
        <v>1.22</v>
      </c>
      <c r="G474" s="18" t="n">
        <f aca="false">1+carry_hi</f>
        <v>1.22</v>
      </c>
      <c r="K474" s="7" t="s">
        <v>707</v>
      </c>
    </row>
    <row r="475" customFormat="false" ht="17.15" hidden="false" customHeight="false" outlineLevel="0" collapsed="false">
      <c r="A475" s="3" t="s">
        <v>708</v>
      </c>
      <c r="B475" s="0" t="s">
        <v>709</v>
      </c>
      <c r="D475" s="23" t="n">
        <f aca="false">v26*D472*D473</f>
        <v>215.308596</v>
      </c>
      <c r="E475" s="23" t="n">
        <f aca="false">v26*E472*E473</f>
        <v>254.06414328</v>
      </c>
      <c r="F475" s="23" t="n">
        <f aca="false">v26*F472*F473</f>
        <v>284.80590461688</v>
      </c>
      <c r="G475" s="23" t="n">
        <f aca="false">v26*G472*G473</f>
        <v>318.383021792765</v>
      </c>
      <c r="K475" s="7" t="s">
        <v>710</v>
      </c>
    </row>
    <row r="476" customFormat="false" ht="17.15" hidden="false" customHeight="false" outlineLevel="0" collapsed="false">
      <c r="A476" s="3" t="s">
        <v>711</v>
      </c>
      <c r="B476" s="0" t="s">
        <v>43</v>
      </c>
      <c r="D476" s="20" t="n">
        <f aca="false">sh_nv_26</f>
        <v>0.02</v>
      </c>
      <c r="E476" s="20" t="n">
        <f aca="false">sh_nv_27</f>
        <v>0.03</v>
      </c>
      <c r="F476" s="20" t="n">
        <f aca="false">sh_nv_28</f>
        <v>0.05</v>
      </c>
      <c r="G476" s="20" t="n">
        <f aca="false">sh_nv_29</f>
        <v>0.06</v>
      </c>
    </row>
    <row r="477" customFormat="false" ht="17.15" hidden="false" customHeight="false" outlineLevel="0" collapsed="false">
      <c r="A477" s="3" t="s">
        <v>712</v>
      </c>
      <c r="B477" s="0" t="s">
        <v>43</v>
      </c>
      <c r="D477" s="20" t="n">
        <f aca="false">sh_ot_26</f>
        <v>0.03</v>
      </c>
      <c r="E477" s="20" t="n">
        <f aca="false">sh_ot_27</f>
        <v>0.05</v>
      </c>
      <c r="F477" s="20" t="n">
        <f aca="false">sh_ot_28</f>
        <v>0.06</v>
      </c>
      <c r="G477" s="20" t="n">
        <f aca="false">sh_ot_29</f>
        <v>0.06</v>
      </c>
    </row>
    <row r="478" customFormat="false" ht="17.15" hidden="false" customHeight="false" outlineLevel="0" collapsed="false">
      <c r="A478" s="3" t="s">
        <v>713</v>
      </c>
      <c r="B478" s="0" t="s">
        <v>43</v>
      </c>
      <c r="D478" s="20" t="n">
        <f aca="false">sh_cpu_26</f>
        <v>0.35</v>
      </c>
      <c r="E478" s="20" t="n">
        <f aca="false">sh_cpu_27</f>
        <v>0.7</v>
      </c>
      <c r="F478" s="20" t="n">
        <f aca="false">sh_cpu_28</f>
        <v>0.75</v>
      </c>
      <c r="G478" s="20" t="n">
        <f aca="false">sh_cpu_29</f>
        <v>0.7</v>
      </c>
    </row>
    <row r="479" customFormat="false" ht="17.15" hidden="false" customHeight="false" outlineLevel="0" collapsed="false">
      <c r="A479" s="3" t="s">
        <v>714</v>
      </c>
      <c r="B479" s="0" t="s">
        <v>661</v>
      </c>
      <c r="D479" s="22" t="n">
        <f aca="false">(D469*D475*D476+D470*D475*v_ot*D477+D471*D475*v_cpu*D478)*D474</f>
        <v>140.7256983456</v>
      </c>
      <c r="E479" s="22" t="n">
        <f aca="false">(E469*E475*E476+E470*E475*v_ot*E477+E471*E475*v_cpu*E478)*E474</f>
        <v>516.328460848505</v>
      </c>
      <c r="F479" s="22" t="n">
        <f aca="false">(F469*F475*F476+F470*F475*v_ot*F477+F471*F475*v_cpu*F478)*F474</f>
        <v>745.656034995546</v>
      </c>
      <c r="G479" s="22" t="n">
        <f aca="false">(G469*G475*G476+G470*G475*v_ot*G477+G471*G475*v_cpu*G478)*G474</f>
        <v>957.395575980064</v>
      </c>
    </row>
    <row r="480" customFormat="false" ht="17.15" hidden="false" customHeight="false" outlineLevel="0" collapsed="false">
      <c r="A480" s="3" t="s">
        <v>715</v>
      </c>
      <c r="B480" s="0" t="s">
        <v>379</v>
      </c>
      <c r="D480" s="21" t="n">
        <f aca="false">D479*fx/1000</f>
        <v>4.5032223470592</v>
      </c>
      <c r="E480" s="21" t="n">
        <f aca="false">E479*fx/1000</f>
        <v>16.5225107471522</v>
      </c>
      <c r="F480" s="21" t="n">
        <f aca="false">F479*fx/1000</f>
        <v>23.8609931198575</v>
      </c>
      <c r="G480" s="21" t="n">
        <f aca="false">G479*fx/1000</f>
        <v>30.636658431362</v>
      </c>
    </row>
    <row r="481" customFormat="false" ht="17.15" hidden="false" customHeight="false" outlineLevel="0" collapsed="false">
      <c r="A481" s="5" t="s">
        <v>716</v>
      </c>
    </row>
    <row r="482" customFormat="false" ht="17.15" hidden="false" customHeight="false" outlineLevel="0" collapsed="false">
      <c r="A482" s="0" t="s">
        <v>717</v>
      </c>
      <c r="B482" s="0" t="s">
        <v>379</v>
      </c>
      <c r="D482" s="21" t="n">
        <f aca="false">a26_abf*ai_abf</f>
        <v>5.714709</v>
      </c>
      <c r="K482" s="3" t="s">
        <v>718</v>
      </c>
    </row>
    <row r="483" customFormat="false" ht="17.15" hidden="false" customHeight="false" outlineLevel="0" collapsed="false">
      <c r="A483" s="3" t="s">
        <v>719</v>
      </c>
      <c r="B483" s="0" t="s">
        <v>379</v>
      </c>
      <c r="D483" s="21" t="n">
        <f aca="false">D482-D480</f>
        <v>1.2114866529408</v>
      </c>
      <c r="E483" s="21" t="n">
        <f aca="false">$D483*(swm_27/swm_26)^el_o*1*1*E473*E474</f>
        <v>2.0673166916564</v>
      </c>
      <c r="F483" s="21" t="n">
        <f aca="false">$D483*(swm_28/swm_26)^el_o*um28_A*1*F473*F474</f>
        <v>2.11271773221732</v>
      </c>
      <c r="G483" s="21" t="n">
        <f aca="false">$D483*(swm_29/swm_26)^el_o*um29_A*1*G473*G474</f>
        <v>2.13523972088029</v>
      </c>
      <c r="K483" s="7" t="s">
        <v>720</v>
      </c>
    </row>
    <row r="484" customFormat="false" ht="17.15" hidden="false" customHeight="false" outlineLevel="0" collapsed="false">
      <c r="A484" s="3" t="s">
        <v>721</v>
      </c>
      <c r="B484" s="0" t="s">
        <v>379</v>
      </c>
      <c r="D484" s="21" t="n">
        <f aca="false">a26_abf-D482</f>
        <v>17.144127</v>
      </c>
      <c r="E484" s="21" t="n">
        <f aca="false">$D484*(1+g_nai)^1*E474</f>
        <v>22.1707850364</v>
      </c>
      <c r="F484" s="21" t="n">
        <f aca="false">$D484*(1+g_nai)^2*F474</f>
        <v>23.501032138584</v>
      </c>
      <c r="G484" s="21" t="n">
        <f aca="false">$D484*(1+g_nai)^3*G474</f>
        <v>24.911094066899</v>
      </c>
      <c r="K484" s="3" t="s">
        <v>722</v>
      </c>
    </row>
    <row r="485" customFormat="false" ht="17.15" hidden="false" customHeight="false" outlineLevel="0" collapsed="false">
      <c r="A485" s="0" t="s">
        <v>723</v>
      </c>
      <c r="B485" s="0" t="s">
        <v>379</v>
      </c>
      <c r="D485" s="21" t="n">
        <f aca="false">D480+D483+D484</f>
        <v>22.858836</v>
      </c>
      <c r="E485" s="21" t="n">
        <f aca="false">E480+E483+E484</f>
        <v>40.7606124752086</v>
      </c>
      <c r="F485" s="21" t="n">
        <f aca="false">F480+F483+F484</f>
        <v>49.4747429906588</v>
      </c>
      <c r="G485" s="21" t="n">
        <f aca="false">G480+G483+G484</f>
        <v>57.6829922191414</v>
      </c>
    </row>
    <row r="486" customFormat="false" ht="17.15" hidden="false" customHeight="false" outlineLevel="0" collapsed="false">
      <c r="A486" s="0" t="s">
        <v>724</v>
      </c>
      <c r="B486" s="0" t="s">
        <v>379</v>
      </c>
      <c r="D486" s="21" t="n">
        <f aca="false">a26_abf</f>
        <v>22.858836</v>
      </c>
      <c r="E486" s="21" t="n">
        <f aca="false">$D485*cap_27*(1+g_mix)^1*E473*E474</f>
        <v>35.1386026992</v>
      </c>
      <c r="F486" s="21" t="n">
        <f aca="false">$D485*cap_28*(1+g_mix)^2*F473*F474</f>
        <v>43.813445240565</v>
      </c>
      <c r="G486" s="21" t="n">
        <f aca="false">$D485*cap_29*(1+g_mix)^3*G473*G474</f>
        <v>53.7521793977669</v>
      </c>
      <c r="K486" s="7" t="s">
        <v>725</v>
      </c>
    </row>
    <row r="487" customFormat="false" ht="17.15" hidden="false" customHeight="false" outlineLevel="0" collapsed="false">
      <c r="A487" s="0" t="s">
        <v>726</v>
      </c>
      <c r="B487" s="0" t="s">
        <v>379</v>
      </c>
      <c r="D487" s="21" t="n">
        <f aca="false">a26_abf</f>
        <v>22.858836</v>
      </c>
      <c r="E487" s="21" t="n">
        <f aca="false">MIN(E485,E486)</f>
        <v>35.1386026992</v>
      </c>
      <c r="F487" s="21" t="n">
        <f aca="false">MIN(F485,F486)</f>
        <v>43.813445240565</v>
      </c>
      <c r="G487" s="21" t="n">
        <f aca="false">MIN(G485,G486)</f>
        <v>53.7521793977669</v>
      </c>
    </row>
    <row r="488" customFormat="false" ht="17.15" hidden="false" customHeight="false" outlineLevel="0" collapsed="false">
      <c r="A488" s="3" t="s">
        <v>727</v>
      </c>
      <c r="B488" s="0" t="s">
        <v>43</v>
      </c>
      <c r="D488" s="20" t="n">
        <f aca="false">D487/D485</f>
        <v>1</v>
      </c>
      <c r="E488" s="20" t="n">
        <f aca="false">E487/E485</f>
        <v>0.862072490215205</v>
      </c>
      <c r="F488" s="20" t="n">
        <f aca="false">F487/F485</f>
        <v>0.885571962422065</v>
      </c>
      <c r="G488" s="20" t="n">
        <f aca="false">G487/G485</f>
        <v>0.931854907830698</v>
      </c>
    </row>
    <row r="489" customFormat="false" ht="17.15" hidden="false" customHeight="false" outlineLevel="0" collapsed="false">
      <c r="A489" s="0" t="s">
        <v>728</v>
      </c>
      <c r="B489" s="0" t="s">
        <v>379</v>
      </c>
      <c r="D489" s="21" t="n">
        <f aca="false">(D480+D483)*D488</f>
        <v>5.714709</v>
      </c>
      <c r="E489" s="21" t="n">
        <f aca="false">(E480+E483)*E488</f>
        <v>16.0257788328446</v>
      </c>
      <c r="F489" s="21" t="n">
        <f aca="false">(F480+F483)*F488</f>
        <v>23.0015900906552</v>
      </c>
      <c r="G489" s="21" t="n">
        <f aca="false">(G480+G483)*G488</f>
        <v>30.5386541320948</v>
      </c>
    </row>
    <row r="490" customFormat="false" ht="17.15" hidden="false" customHeight="false" outlineLevel="0" collapsed="false">
      <c r="A490" s="3" t="s">
        <v>729</v>
      </c>
      <c r="B490" s="0" t="s">
        <v>43</v>
      </c>
      <c r="D490" s="20" t="n">
        <f aca="false">D480/(D480+D483)</f>
        <v>0.788005539225042</v>
      </c>
      <c r="E490" s="20" t="n">
        <f aca="false">E480/(E480+E483)</f>
        <v>0.888793120944167</v>
      </c>
      <c r="F490" s="20" t="n">
        <f aca="false">F480/(F480+F483)</f>
        <v>0.918659380469366</v>
      </c>
      <c r="G490" s="20" t="n">
        <f aca="false">G480/(G480+G483)</f>
        <v>0.934845405934041</v>
      </c>
    </row>
    <row r="491" customFormat="false" ht="17.15" hidden="false" customHeight="false" outlineLevel="0" collapsed="false">
      <c r="A491" s="5" t="s">
        <v>730</v>
      </c>
    </row>
    <row r="492" customFormat="false" ht="17.15" hidden="false" customHeight="false" outlineLevel="0" collapsed="false">
      <c r="A492" s="0" t="s">
        <v>731</v>
      </c>
      <c r="B492" s="0" t="s">
        <v>379</v>
      </c>
      <c r="D492" s="21" t="n">
        <f aca="false">a26_bt</f>
        <v>23.265964</v>
      </c>
      <c r="E492" s="21" t="n">
        <f aca="false">D492*(1+g_bt27_A)</f>
        <v>29.78043392</v>
      </c>
      <c r="F492" s="21" t="n">
        <f aca="false">E492*(1+g_bt28_A)</f>
        <v>32.758477312</v>
      </c>
      <c r="G492" s="21" t="n">
        <f aca="false">F492*(1+g_bt29_A)</f>
        <v>34.3964011776</v>
      </c>
      <c r="K492" s="7" t="s">
        <v>732</v>
      </c>
    </row>
    <row r="493" customFormat="false" ht="17.15" hidden="false" customHeight="false" outlineLevel="0" collapsed="false">
      <c r="A493" s="3" t="s">
        <v>617</v>
      </c>
      <c r="B493" s="0" t="s">
        <v>379</v>
      </c>
      <c r="C493" s="21" t="n">
        <f aca="false">a25_lens</f>
        <v>7.039</v>
      </c>
      <c r="D493" s="21" t="n">
        <f aca="false">a26_lens</f>
        <v>8.301</v>
      </c>
      <c r="E493" s="21" t="n">
        <f aca="false">D493*(1+g_lens)</f>
        <v>9.1311</v>
      </c>
      <c r="F493" s="21" t="n">
        <f aca="false">E493*(1+g_lens)</f>
        <v>10.04421</v>
      </c>
      <c r="G493" s="21" t="n">
        <f aca="false">F493*(1+g_lens)</f>
        <v>11.048631</v>
      </c>
      <c r="K493" s="3" t="s">
        <v>733</v>
      </c>
    </row>
    <row r="494" customFormat="false" ht="17.15" hidden="false" customHeight="false" outlineLevel="0" collapsed="false">
      <c r="A494" s="3" t="s">
        <v>574</v>
      </c>
      <c r="B494" s="0" t="s">
        <v>379</v>
      </c>
      <c r="C494" s="23" t="n">
        <f aca="false">a25_rev</f>
        <v>39.351</v>
      </c>
      <c r="D494" s="23" t="n">
        <f aca="false">D487+D492+D493</f>
        <v>54.4258</v>
      </c>
      <c r="E494" s="23" t="n">
        <f aca="false">E487+E492+E493</f>
        <v>74.0501366192</v>
      </c>
      <c r="F494" s="23" t="n">
        <f aca="false">F487+F492+F493</f>
        <v>86.616132552565</v>
      </c>
      <c r="G494" s="23" t="n">
        <f aca="false">G487+G492+G493</f>
        <v>99.1972115753669</v>
      </c>
      <c r="H494" s="25" t="n">
        <f aca="false">G494*(1+H496)</f>
        <v>110.786817946191</v>
      </c>
      <c r="I494" s="25" t="n">
        <f aca="false">H494*(1+I496)</f>
        <v>120.582255667594</v>
      </c>
      <c r="J494" s="25" t="n">
        <f aca="false">I494*(1+J496)</f>
        <v>127.817191007649</v>
      </c>
      <c r="K494" s="7" t="s">
        <v>734</v>
      </c>
    </row>
    <row r="495" customFormat="false" ht="17.15" hidden="false" customHeight="false" outlineLevel="0" collapsed="false">
      <c r="A495" s="3" t="s">
        <v>735</v>
      </c>
      <c r="B495" s="0" t="s">
        <v>379</v>
      </c>
      <c r="D495" s="19" t="n">
        <f aca="false">D487+D492+D493-D494</f>
        <v>0</v>
      </c>
      <c r="E495" s="19" t="n">
        <f aca="false">E487+E492+E493-E494</f>
        <v>0</v>
      </c>
      <c r="F495" s="19" t="n">
        <f aca="false">F487+F492+F493-F494</f>
        <v>0</v>
      </c>
      <c r="G495" s="19" t="n">
        <f aca="false">G487+G492+G493-G494</f>
        <v>0</v>
      </c>
    </row>
    <row r="496" customFormat="false" ht="15" hidden="false" customHeight="false" outlineLevel="0" collapsed="false">
      <c r="A496" s="3" t="s">
        <v>736</v>
      </c>
      <c r="B496" s="0" t="s">
        <v>43</v>
      </c>
      <c r="D496" s="20" t="n">
        <f aca="false">D494/C494-1</f>
        <v>0.383085563263958</v>
      </c>
      <c r="E496" s="20" t="n">
        <f aca="false">E494/D494-1</f>
        <v>0.360570476119782</v>
      </c>
      <c r="F496" s="20" t="n">
        <f aca="false">F494/E494-1</f>
        <v>0.169695783250005</v>
      </c>
      <c r="G496" s="20" t="n">
        <f aca="false">G494/F494-1</f>
        <v>0.145250990225946</v>
      </c>
      <c r="H496" s="26" t="n">
        <f aca="false">$G496+(fade_gA-$G496)*1/3</f>
        <v>0.116833993483964</v>
      </c>
      <c r="I496" s="26" t="n">
        <f aca="false">$G496+(fade_gA-$G496)*2/3</f>
        <v>0.088416996741982</v>
      </c>
      <c r="J496" s="26" t="n">
        <f aca="false">$G496+(fade_gA-$G496)*3/3</f>
        <v>0.06</v>
      </c>
    </row>
    <row r="497" customFormat="false" ht="17.15" hidden="false" customHeight="false" outlineLevel="0" collapsed="false">
      <c r="A497" s="0" t="s">
        <v>737</v>
      </c>
      <c r="B497" s="0" t="s">
        <v>43</v>
      </c>
      <c r="D497" s="20" t="n">
        <f aca="false">D487/D494</f>
        <v>0.42</v>
      </c>
      <c r="E497" s="20" t="n">
        <f aca="false">E487/E494</f>
        <v>0.47452448170216</v>
      </c>
      <c r="F497" s="20" t="n">
        <f aca="false">F487/F494</f>
        <v>0.505834697871967</v>
      </c>
      <c r="G497" s="20" t="n">
        <f aca="false">G487/G494</f>
        <v>0.541871878696184</v>
      </c>
    </row>
    <row r="498" customFormat="false" ht="17.15" hidden="false" customHeight="false" outlineLevel="0" collapsed="false">
      <c r="A498" s="0" t="s">
        <v>738</v>
      </c>
      <c r="B498" s="0" t="s">
        <v>43</v>
      </c>
      <c r="D498" s="20" t="n">
        <f aca="false">D489/D494</f>
        <v>0.105</v>
      </c>
      <c r="E498" s="20" t="n">
        <f aca="false">E489/E494</f>
        <v>0.216417950925015</v>
      </c>
      <c r="F498" s="20" t="n">
        <f aca="false">F489/F494</f>
        <v>0.265557805605048</v>
      </c>
      <c r="G498" s="20" t="n">
        <f aca="false">G489/G494</f>
        <v>0.307857989625974</v>
      </c>
      <c r="K498" s="3" t="s">
        <v>739</v>
      </c>
    </row>
    <row r="499" customFormat="false" ht="17.15" hidden="false" customHeight="false" outlineLevel="0" collapsed="false">
      <c r="A499" s="5" t="s">
        <v>740</v>
      </c>
    </row>
    <row r="500" customFormat="false" ht="15" hidden="false" customHeight="false" outlineLevel="0" collapsed="false">
      <c r="A500" s="3" t="s">
        <v>741</v>
      </c>
      <c r="B500" s="0" t="s">
        <v>379</v>
      </c>
      <c r="C500" s="23" t="n">
        <f aca="false">a25_cx</f>
        <v>6.116</v>
      </c>
      <c r="D500" s="23" t="n">
        <f aca="false">capex26</f>
        <v>11</v>
      </c>
      <c r="E500" s="23" t="n">
        <f aca="false">cx27</f>
        <v>17</v>
      </c>
      <c r="F500" s="23" t="n">
        <f aca="false">cx28</f>
        <v>16</v>
      </c>
      <c r="G500" s="23" t="n">
        <f aca="false">cx29</f>
        <v>12</v>
      </c>
      <c r="H500" s="25" t="n">
        <f aca="false">H494*H519</f>
        <v>13.5013958532943</v>
      </c>
      <c r="I500" s="25" t="n">
        <f aca="false">I494*I519</f>
        <v>14.8033242403683</v>
      </c>
      <c r="J500" s="25" t="n">
        <f aca="false">J494*J519</f>
        <v>15.8061897395257</v>
      </c>
    </row>
    <row r="501" customFormat="false" ht="17.15" hidden="false" customHeight="false" outlineLevel="0" collapsed="false">
      <c r="A501" s="3" t="s">
        <v>742</v>
      </c>
      <c r="B501" s="0" t="s">
        <v>379</v>
      </c>
      <c r="C501" s="23" t="n">
        <f aca="false">a25_da</f>
        <v>7.158</v>
      </c>
      <c r="D501" s="23" t="n">
        <f aca="false">da26</f>
        <v>8.32</v>
      </c>
      <c r="E501" s="23" t="n">
        <f aca="false">D501*(1-1/life)+D500/life</f>
        <v>8.655</v>
      </c>
      <c r="F501" s="23" t="n">
        <f aca="false">E501*(1-1/life)+E500/life</f>
        <v>9.698125</v>
      </c>
      <c r="G501" s="23" t="n">
        <f aca="false">F501*(1-1/life)+F500/life</f>
        <v>10.485859375</v>
      </c>
      <c r="H501" s="25" t="n">
        <f aca="false">H494*H502</f>
        <v>11.7109642008925</v>
      </c>
      <c r="I501" s="25" t="n">
        <f aca="false">I494*I502</f>
        <v>12.7464124844883</v>
      </c>
      <c r="J501" s="25" t="n">
        <f aca="false">J494*J502</f>
        <v>13.5111972335576</v>
      </c>
      <c r="K501" s="3" t="s">
        <v>743</v>
      </c>
    </row>
    <row r="502" customFormat="false" ht="17.15" hidden="false" customHeight="false" outlineLevel="0" collapsed="false">
      <c r="A502" s="3" t="s">
        <v>744</v>
      </c>
      <c r="B502" s="0" t="s">
        <v>43</v>
      </c>
      <c r="C502" s="20" t="n">
        <f aca="false">C501/C494</f>
        <v>0.181901349393916</v>
      </c>
      <c r="D502" s="20" t="n">
        <f aca="false">D501/D494</f>
        <v>0.152868676252807</v>
      </c>
      <c r="E502" s="20" t="n">
        <f aca="false">E501/E494</f>
        <v>0.116880270518716</v>
      </c>
      <c r="F502" s="20" t="n">
        <f aca="false">F501/F494</f>
        <v>0.111966728531945</v>
      </c>
      <c r="G502" s="20" t="n">
        <f aca="false">G501/G494</f>
        <v>0.105707198906828</v>
      </c>
      <c r="H502" s="26" t="n">
        <f aca="false">$G502</f>
        <v>0.105707198906828</v>
      </c>
      <c r="I502" s="26" t="n">
        <f aca="false">$G502</f>
        <v>0.105707198906828</v>
      </c>
      <c r="J502" s="26" t="n">
        <f aca="false">$G502</f>
        <v>0.105707198906828</v>
      </c>
    </row>
    <row r="503" customFormat="false" ht="17.15" hidden="false" customHeight="false" outlineLevel="0" collapsed="false">
      <c r="A503" s="0" t="s">
        <v>745</v>
      </c>
      <c r="B503" s="0" t="s">
        <v>379</v>
      </c>
      <c r="E503" s="21" t="n">
        <f aca="false">E488*((E480+E483)*(1-1/(E473*E474))+E484*(1-1/E474))</f>
        <v>6.3364693392</v>
      </c>
      <c r="F503" s="21" t="n">
        <f aca="false">F488*((F480+F483)*(1-1/(F473*F474))+F484*(1-1/F474))</f>
        <v>6.90848192471555</v>
      </c>
      <c r="G503" s="21" t="n">
        <f aca="false">G488*((G480+G483)*(1-1/(G473*G474))+G484*(1-1/G474))</f>
        <v>6.91171776643748</v>
      </c>
      <c r="K503" s="7" t="s">
        <v>746</v>
      </c>
    </row>
    <row r="504" customFormat="false" ht="17.15" hidden="false" customHeight="false" outlineLevel="0" collapsed="false">
      <c r="A504" s="3" t="s">
        <v>747</v>
      </c>
      <c r="B504" s="0" t="s">
        <v>379</v>
      </c>
      <c r="C504" s="21" t="n">
        <f aca="false">a25_gp</f>
        <v>8.314</v>
      </c>
      <c r="D504" s="21" t="n">
        <f aca="false">a26_gp</f>
        <v>15.328536</v>
      </c>
      <c r="E504" s="21" t="n">
        <f aca="false">$D504+ft_abf*(E487-E503-$D487)+ft_bt*(E492-$D492)+ft_lens*(E493-$D493)+E503-(E501-$D501)</f>
        <v>27.6067104832</v>
      </c>
      <c r="F504" s="21" t="n">
        <f aca="false">$D504+ft_abf*(F487-F503-$D487)+ft_bt*(F492-$D492)+ft_lens*(F493-$D493)+F503-(F501-$D501)</f>
        <v>32.9380320730403</v>
      </c>
      <c r="G504" s="21" t="n">
        <f aca="false">$D504+ft_abf*(G487-G503-$D487)+ft_bt*(G492-$D492)+ft_lens*(G493-$D493)+G503-(G501-$D501)</f>
        <v>38.3103378870222</v>
      </c>
      <c r="K504" s="3" t="s">
        <v>748</v>
      </c>
    </row>
    <row r="505" customFormat="false" ht="15" hidden="false" customHeight="false" outlineLevel="0" collapsed="false">
      <c r="A505" s="3" t="s">
        <v>581</v>
      </c>
      <c r="B505" s="0" t="s">
        <v>43</v>
      </c>
      <c r="C505" s="16" t="n">
        <f aca="false">C504/C494</f>
        <v>0.211277985311682</v>
      </c>
      <c r="D505" s="16" t="n">
        <f aca="false">D504/D494</f>
        <v>0.281640986443929</v>
      </c>
      <c r="E505" s="16" t="n">
        <f aca="false">E504/E494</f>
        <v>0.372811067522623</v>
      </c>
      <c r="F505" s="16" t="n">
        <f aca="false">F504/F494</f>
        <v>0.380275949783963</v>
      </c>
      <c r="G505" s="16" t="n">
        <f aca="false">G504/G494</f>
        <v>0.386203778096275</v>
      </c>
    </row>
    <row r="506" customFormat="false" ht="15" hidden="false" customHeight="false" outlineLevel="0" collapsed="false">
      <c r="A506" s="3" t="s">
        <v>583</v>
      </c>
      <c r="B506" s="0" t="s">
        <v>379</v>
      </c>
      <c r="C506" s="21" t="n">
        <f aca="false">a25_opx</f>
        <v>5.644</v>
      </c>
      <c r="D506" s="21" t="n">
        <f aca="false">a26_opx</f>
        <v>6.54036</v>
      </c>
      <c r="E506" s="21" t="n">
        <f aca="false">D506*(1+phi*E496)</f>
        <v>7.95531643151687</v>
      </c>
      <c r="F506" s="21" t="n">
        <f aca="false">E506*(1+phi*F496)</f>
        <v>8.7653066232256</v>
      </c>
      <c r="G506" s="21" t="n">
        <f aca="false">F506*(1+phi*G496)</f>
        <v>9.52920830322014</v>
      </c>
    </row>
    <row r="507" customFormat="false" ht="15" hidden="false" customHeight="false" outlineLevel="0" collapsed="false">
      <c r="A507" s="3" t="s">
        <v>586</v>
      </c>
      <c r="B507" s="0" t="s">
        <v>379</v>
      </c>
      <c r="C507" s="21" t="n">
        <f aca="false">C504-C506</f>
        <v>2.67</v>
      </c>
      <c r="D507" s="21" t="n">
        <f aca="false">D504-D506</f>
        <v>8.788176</v>
      </c>
      <c r="E507" s="21" t="n">
        <f aca="false">E504-E506</f>
        <v>19.6513940516831</v>
      </c>
      <c r="F507" s="21" t="n">
        <f aca="false">F504-F506</f>
        <v>24.1727254498147</v>
      </c>
      <c r="G507" s="21" t="n">
        <f aca="false">G504-G506</f>
        <v>28.781129583802</v>
      </c>
    </row>
    <row r="508" customFormat="false" ht="15" hidden="false" customHeight="false" outlineLevel="0" collapsed="false">
      <c r="A508" s="3" t="s">
        <v>684</v>
      </c>
      <c r="B508" s="0" t="s">
        <v>43</v>
      </c>
      <c r="C508" s="16" t="n">
        <f aca="false">C507/C494</f>
        <v>0.0678508805367081</v>
      </c>
      <c r="D508" s="16" t="n">
        <f aca="false">D507/D494</f>
        <v>0.161470773052486</v>
      </c>
      <c r="E508" s="16" t="n">
        <f aca="false">E507/E494</f>
        <v>0.265379578605502</v>
      </c>
      <c r="F508" s="16" t="n">
        <f aca="false">F507/F494</f>
        <v>0.279078789798712</v>
      </c>
      <c r="G508" s="16" t="n">
        <f aca="false">G507/G494</f>
        <v>0.290140510269637</v>
      </c>
    </row>
    <row r="509" customFormat="false" ht="15" hidden="false" customHeight="false" outlineLevel="0" collapsed="false">
      <c r="A509" s="3" t="s">
        <v>589</v>
      </c>
      <c r="B509" s="0" t="s">
        <v>379</v>
      </c>
      <c r="C509" s="21" t="n">
        <f aca="false">a25_nonop</f>
        <v>0.417</v>
      </c>
      <c r="D509" s="21" t="n">
        <f aca="false">a26_nonop</f>
        <v>0.37882</v>
      </c>
      <c r="E509" s="21" t="n">
        <f aca="false">nonop27</f>
        <v>0.4</v>
      </c>
      <c r="F509" s="21" t="n">
        <f aca="false">nonop28</f>
        <v>0.4</v>
      </c>
      <c r="G509" s="21" t="n">
        <f aca="false">nonop29</f>
        <v>0.4</v>
      </c>
    </row>
    <row r="510" customFormat="false" ht="15" hidden="false" customHeight="false" outlineLevel="0" collapsed="false">
      <c r="A510" s="3" t="s">
        <v>591</v>
      </c>
      <c r="B510" s="0" t="s">
        <v>379</v>
      </c>
      <c r="C510" s="21" t="n">
        <f aca="false">C507+C509</f>
        <v>3.087</v>
      </c>
      <c r="D510" s="21" t="n">
        <f aca="false">D507+D509</f>
        <v>9.166996</v>
      </c>
      <c r="E510" s="21" t="n">
        <f aca="false">E507+E509</f>
        <v>20.0513940516831</v>
      </c>
      <c r="F510" s="21" t="n">
        <f aca="false">F507+F509</f>
        <v>24.5727254498147</v>
      </c>
      <c r="G510" s="21" t="n">
        <f aca="false">G507+G509</f>
        <v>29.181129583802</v>
      </c>
    </row>
    <row r="511" customFormat="false" ht="15" hidden="false" customHeight="false" outlineLevel="0" collapsed="false">
      <c r="A511" s="3" t="s">
        <v>592</v>
      </c>
      <c r="B511" s="0" t="s">
        <v>379</v>
      </c>
      <c r="E511" s="21" t="n">
        <f aca="false">E510*tax</f>
        <v>2.40616728620198</v>
      </c>
      <c r="F511" s="21" t="n">
        <f aca="false">F510*tax</f>
        <v>2.94872705397776</v>
      </c>
      <c r="G511" s="21" t="n">
        <f aca="false">G510*tax</f>
        <v>3.50173555005624</v>
      </c>
    </row>
    <row r="512" customFormat="false" ht="15" hidden="false" customHeight="false" outlineLevel="0" collapsed="false">
      <c r="A512" s="3" t="s">
        <v>593</v>
      </c>
      <c r="B512" s="0" t="s">
        <v>379</v>
      </c>
      <c r="C512" s="21" t="n">
        <f aca="false">a25_nic</f>
        <v>2.71712</v>
      </c>
      <c r="D512" s="21" t="n">
        <f aca="false">a26_nic</f>
        <v>8.39979776</v>
      </c>
      <c r="E512" s="21" t="n">
        <f aca="false">E510-E511</f>
        <v>17.6452267654812</v>
      </c>
      <c r="F512" s="21" t="n">
        <f aca="false">F510-F511</f>
        <v>21.6239983958369</v>
      </c>
      <c r="G512" s="21" t="n">
        <f aca="false">G510-G511</f>
        <v>25.6793940337458</v>
      </c>
    </row>
    <row r="513" customFormat="false" ht="17.15" hidden="false" customHeight="false" outlineLevel="0" collapsed="false">
      <c r="A513" s="3" t="s">
        <v>749</v>
      </c>
      <c r="B513" s="0" t="s">
        <v>379</v>
      </c>
      <c r="C513" s="21" t="n">
        <f aca="false">a25_nci</f>
        <v>1.12112</v>
      </c>
      <c r="D513" s="21" t="n">
        <f aca="false">a26_nci</f>
        <v>1.43839238487797</v>
      </c>
      <c r="E513" s="21" t="n">
        <f aca="false">E493*nm_lens*nci_sh</f>
        <v>1.57074538036261</v>
      </c>
      <c r="F513" s="21" t="n">
        <f aca="false">F493*nm_lens*nci_sh</f>
        <v>1.72781991839887</v>
      </c>
      <c r="G513" s="21" t="n">
        <f aca="false">G493*nm_lens*nci_sh</f>
        <v>1.90060191023875</v>
      </c>
      <c r="K513" s="3" t="s">
        <v>750</v>
      </c>
    </row>
    <row r="514" customFormat="false" ht="15" hidden="false" customHeight="false" outlineLevel="0" collapsed="false">
      <c r="A514" s="3" t="s">
        <v>599</v>
      </c>
      <c r="B514" s="0" t="s">
        <v>379</v>
      </c>
      <c r="C514" s="21" t="n">
        <f aca="false">a25_ni</f>
        <v>1.596</v>
      </c>
      <c r="D514" s="21" t="n">
        <f aca="false">a26_ni</f>
        <v>6.96140537512203</v>
      </c>
      <c r="E514" s="21" t="n">
        <f aca="false">E512-E513</f>
        <v>16.0744813851186</v>
      </c>
      <c r="F514" s="21" t="n">
        <f aca="false">F512-F513</f>
        <v>19.896178477438</v>
      </c>
      <c r="G514" s="21" t="n">
        <f aca="false">G512-G513</f>
        <v>23.778792123507</v>
      </c>
      <c r="H514" s="30" t="n">
        <f aca="false">H494*H518</f>
        <v>25.8650710999692</v>
      </c>
      <c r="I514" s="30" t="n">
        <f aca="false">I494*I518</f>
        <v>27.3989157032281</v>
      </c>
      <c r="J514" s="30" t="n">
        <f aca="false">J494*J518</f>
        <v>28.2445993032684</v>
      </c>
    </row>
    <row r="515" customFormat="false" ht="15" hidden="false" customHeight="false" outlineLevel="0" collapsed="false">
      <c r="A515" s="3" t="s">
        <v>751</v>
      </c>
      <c r="B515" s="3" t="s">
        <v>465</v>
      </c>
      <c r="C515" s="29" t="n">
        <f aca="false">a25_sh</f>
        <v>0.454700854700855</v>
      </c>
      <c r="D515" s="29" t="n">
        <f aca="false">a26_sh</f>
        <v>0.508341020486215</v>
      </c>
      <c r="E515" s="29" t="n">
        <f aca="false">a26_shend*(1+sh_g)</f>
        <v>0.52691</v>
      </c>
      <c r="F515" s="29" t="n">
        <f aca="false">E515*(1+sh_g)</f>
        <v>0.52691</v>
      </c>
      <c r="G515" s="29" t="n">
        <f aca="false">F515*(1+sh_g)</f>
        <v>0.52691</v>
      </c>
      <c r="H515" s="31" t="n">
        <f aca="false">G515*(1+sh_g)</f>
        <v>0.52691</v>
      </c>
      <c r="I515" s="31" t="n">
        <f aca="false">H515*(1+sh_g)</f>
        <v>0.52691</v>
      </c>
      <c r="J515" s="31" t="n">
        <f aca="false">I515*(1+sh_g)</f>
        <v>0.52691</v>
      </c>
    </row>
    <row r="516" customFormat="false" ht="17.15" hidden="false" customHeight="false" outlineLevel="0" collapsed="false">
      <c r="A516" s="0" t="s">
        <v>604</v>
      </c>
      <c r="B516" s="0" t="s">
        <v>471</v>
      </c>
      <c r="C516" s="18" t="n">
        <f aca="false">C514/C515</f>
        <v>3.51</v>
      </c>
      <c r="D516" s="18" t="n">
        <f aca="false">D514/D515</f>
        <v>13.6943608612652</v>
      </c>
      <c r="E516" s="18" t="n">
        <f aca="false">E514/E515</f>
        <v>30.507072147271</v>
      </c>
      <c r="F516" s="18" t="n">
        <f aca="false">F514/F515</f>
        <v>37.7601079452621</v>
      </c>
      <c r="G516" s="18" t="n">
        <f aca="false">G514/G515</f>
        <v>45.1287546706402</v>
      </c>
      <c r="H516" s="28" t="n">
        <f aca="false">H514/H515</f>
        <v>49.0882144957757</v>
      </c>
      <c r="I516" s="28" t="n">
        <f aca="false">I514/I515</f>
        <v>51.9992327024123</v>
      </c>
      <c r="J516" s="28" t="n">
        <f aca="false">J514/J515</f>
        <v>53.6042195123806</v>
      </c>
    </row>
    <row r="517" customFormat="false" ht="17.15" hidden="false" customHeight="false" outlineLevel="0" collapsed="false">
      <c r="A517" s="0" t="s">
        <v>752</v>
      </c>
      <c r="B517" s="0" t="s">
        <v>43</v>
      </c>
      <c r="D517" s="20" t="n">
        <f aca="false">D516/C516-1</f>
        <v>2.90152731090177</v>
      </c>
      <c r="E517" s="20" t="n">
        <f aca="false">E516/D516-1</f>
        <v>1.22771054862158</v>
      </c>
      <c r="F517" s="20" t="n">
        <f aca="false">F516/E516-1</f>
        <v>0.237749324582101</v>
      </c>
      <c r="G517" s="20" t="n">
        <f aca="false">G516/F516-1</f>
        <v>0.195143688044004</v>
      </c>
      <c r="H517" s="26" t="n">
        <f aca="false">H516/G516-1</f>
        <v>0.0877369618114321</v>
      </c>
      <c r="I517" s="26" t="n">
        <f aca="false">I516/H516-1</f>
        <v>0.0593017740925803</v>
      </c>
      <c r="J517" s="26" t="n">
        <f aca="false">J516/I516-1</f>
        <v>0.0308655864049667</v>
      </c>
    </row>
    <row r="518" customFormat="false" ht="17.15" hidden="false" customHeight="false" outlineLevel="0" collapsed="false">
      <c r="A518" s="3" t="s">
        <v>753</v>
      </c>
      <c r="B518" s="0" t="s">
        <v>43</v>
      </c>
      <c r="C518" s="16" t="n">
        <f aca="false">C514/C494</f>
        <v>0.0405580544331783</v>
      </c>
      <c r="D518" s="16" t="n">
        <f aca="false">D514/D494</f>
        <v>0.127906349105057</v>
      </c>
      <c r="E518" s="16" t="n">
        <f aca="false">E514/E494</f>
        <v>0.217075647919206</v>
      </c>
      <c r="F518" s="16" t="n">
        <f aca="false">F514/F494</f>
        <v>0.229705228011232</v>
      </c>
      <c r="G518" s="16" t="n">
        <f aca="false">G514/G494</f>
        <v>0.239712303862903</v>
      </c>
      <c r="H518" s="27" t="n">
        <f aca="false">$G518+(fade_mA-$G518)*1/3</f>
        <v>0.233467045804419</v>
      </c>
      <c r="I518" s="27" t="n">
        <f aca="false">$G518+(fade_mA-$G518)*2/3</f>
        <v>0.227221787745935</v>
      </c>
      <c r="J518" s="27" t="n">
        <f aca="false">$G518+(fade_mA-$G518)*3/3</f>
        <v>0.220976529687452</v>
      </c>
    </row>
    <row r="519" customFormat="false" ht="17.15" hidden="false" customHeight="false" outlineLevel="0" collapsed="false">
      <c r="A519" s="3" t="s">
        <v>754</v>
      </c>
      <c r="B519" s="0" t="s">
        <v>43</v>
      </c>
      <c r="C519" s="20" t="n">
        <f aca="false">C500/C494</f>
        <v>0.155421717364235</v>
      </c>
      <c r="D519" s="20" t="n">
        <f aca="false">D500/D494</f>
        <v>0.202110028699624</v>
      </c>
      <c r="E519" s="20" t="n">
        <f aca="false">E500/E494</f>
        <v>0.229574188193897</v>
      </c>
      <c r="F519" s="20" t="n">
        <f aca="false">F500/F494</f>
        <v>0.184723094052832</v>
      </c>
      <c r="G519" s="20" t="n">
        <f aca="false">G500/G494</f>
        <v>0.120971142327754</v>
      </c>
      <c r="H519" s="26" t="n">
        <f aca="false">$G519+($G502*(1+tp_g)^(life/2)-$G519)*1/3</f>
        <v>0.121868252050094</v>
      </c>
      <c r="I519" s="26" t="n">
        <f aca="false">$G519+($G502*(1+tp_g)^(life/2)-$G519)*2/3</f>
        <v>0.122765361772435</v>
      </c>
      <c r="J519" s="26" t="n">
        <f aca="false">$G519+($G502*(1+tp_g)^(life/2)-$G519)*3/3</f>
        <v>0.123662471494775</v>
      </c>
      <c r="K519" s="7" t="s">
        <v>755</v>
      </c>
    </row>
    <row r="520" customFormat="false" ht="15" hidden="false" customHeight="false" outlineLevel="0" collapsed="false">
      <c r="A520" s="3" t="s">
        <v>756</v>
      </c>
      <c r="B520" s="0" t="s">
        <v>379</v>
      </c>
      <c r="D520" s="21" t="n">
        <f aca="false">D514+D501-D500</f>
        <v>4.28140537512203</v>
      </c>
      <c r="E520" s="21" t="n">
        <f aca="false">E514+E501-E500</f>
        <v>7.72948138511855</v>
      </c>
      <c r="F520" s="21" t="n">
        <f aca="false">F514+F501-F500</f>
        <v>13.594303477438</v>
      </c>
      <c r="G520" s="21" t="n">
        <f aca="false">G514+G501-G500</f>
        <v>22.264651498507</v>
      </c>
      <c r="H520" s="30" t="n">
        <f aca="false">H514+H501-H500</f>
        <v>24.0746394475674</v>
      </c>
      <c r="I520" s="30" t="n">
        <f aca="false">I514+I501-I500</f>
        <v>25.342003947348</v>
      </c>
      <c r="J520" s="30" t="n">
        <f aca="false">J514+J501-J500</f>
        <v>25.9496067973004</v>
      </c>
      <c r="K520" s="3" t="s">
        <v>757</v>
      </c>
    </row>
    <row r="521" customFormat="false" ht="15" hidden="false" customHeight="false" outlineLevel="0" collapsed="false">
      <c r="A521" s="3" t="s">
        <v>758</v>
      </c>
      <c r="B521" s="0" t="s">
        <v>471</v>
      </c>
      <c r="D521" s="18" t="n">
        <f aca="false">D520/D515</f>
        <v>8.42230943909854</v>
      </c>
      <c r="E521" s="18" t="n">
        <f aca="false">E520/E515</f>
        <v>14.669452819492</v>
      </c>
      <c r="F521" s="18" t="n">
        <f aca="false">F520/F515</f>
        <v>25.8000483525423</v>
      </c>
      <c r="G521" s="18" t="n">
        <f aca="false">G520/G515</f>
        <v>42.2551318033574</v>
      </c>
      <c r="H521" s="28" t="n">
        <f aca="false">H520/H515</f>
        <v>45.6902306799404</v>
      </c>
      <c r="I521" s="28" t="n">
        <f aca="false">I520/I515</f>
        <v>48.0955076717997</v>
      </c>
      <c r="J521" s="28" t="n">
        <f aca="false">J520/J515</f>
        <v>49.2486511876798</v>
      </c>
    </row>
    <row r="524" customFormat="false" ht="17.15" hidden="false" customHeight="false" outlineLevel="0" collapsed="false">
      <c r="A524" s="1" t="s">
        <v>1100</v>
      </c>
    </row>
    <row r="525" customFormat="false" ht="17.15" hidden="false" customHeight="false" outlineLevel="0" collapsed="false">
      <c r="A525" s="4" t="s">
        <v>20</v>
      </c>
      <c r="B525" s="4" t="s">
        <v>21</v>
      </c>
      <c r="C525" s="13" t="s">
        <v>567</v>
      </c>
      <c r="D525" s="13" t="s">
        <v>671</v>
      </c>
      <c r="E525" s="13" t="s">
        <v>672</v>
      </c>
      <c r="F525" s="13" t="s">
        <v>673</v>
      </c>
      <c r="G525" s="13" t="s">
        <v>674</v>
      </c>
      <c r="H525" s="13" t="s">
        <v>675</v>
      </c>
      <c r="I525" s="13" t="s">
        <v>676</v>
      </c>
      <c r="J525" s="13" t="s">
        <v>677</v>
      </c>
      <c r="K525" s="4" t="s">
        <v>631</v>
      </c>
    </row>
    <row r="526" customFormat="false" ht="17.15" hidden="false" customHeight="false" outlineLevel="0" collapsed="false">
      <c r="A526" s="5" t="s">
        <v>695</v>
      </c>
    </row>
    <row r="527" customFormat="false" ht="17.15" hidden="false" customHeight="false" outlineLevel="0" collapsed="false">
      <c r="A527" s="0" t="s">
        <v>696</v>
      </c>
      <c r="B527" s="3" t="s">
        <v>31</v>
      </c>
      <c r="D527" s="21" t="n">
        <f aca="false">(u_bw_26+u_rb_26+u_ru_26+u_hp_26)*1</f>
        <v>7.6</v>
      </c>
      <c r="E527" s="21" t="n">
        <f aca="false">(u_bw_27+u_rb_27+u_ru_27+u_hp_27)*1*1</f>
        <v>9.7</v>
      </c>
      <c r="F527" s="21" t="n">
        <f aca="false">(u_bw_28+u_rb_28+u_ru_28+u_hp_28)*um28_A*1</f>
        <v>9.5</v>
      </c>
      <c r="G527" s="21" t="n">
        <f aca="false">(u_bw_28*(1+g29_bw)+u_rb_28*(1+g29_rb)+u_ru_28*(1+g29_ru)+u_hp_28*(1+g29_hp))*um29_A*1</f>
        <v>10.6</v>
      </c>
      <c r="K527" s="7" t="s">
        <v>697</v>
      </c>
    </row>
    <row r="528" customFormat="false" ht="17.15" hidden="false" customHeight="false" outlineLevel="0" collapsed="false">
      <c r="A528" s="3" t="s">
        <v>698</v>
      </c>
      <c r="B528" s="3" t="s">
        <v>31</v>
      </c>
      <c r="D528" s="21" t="n">
        <f aca="false">(u_amd_26+u_tpu_26+u_trn_26+u_oth_26)*1</f>
        <v>7.6</v>
      </c>
      <c r="E528" s="21" t="n">
        <f aca="false">(u_amd_27+u_tpu_27+u_trn_27+u_oth_27)*1*1</f>
        <v>14</v>
      </c>
      <c r="F528" s="21" t="n">
        <f aca="false">(u_amd_28+u_tpu_28+u_trn_28+u_oth_28)*um28_A*1</f>
        <v>17</v>
      </c>
      <c r="G528" s="21" t="n">
        <f aca="false">(u_amd_28*(1+g29_amd)+u_tpu_28*(1+g29_tpu)+u_trn_28*(1+g29_trn)+u_oth_28*(1+g29_oth))*um29_A*1</f>
        <v>19.55</v>
      </c>
      <c r="K528" s="7" t="s">
        <v>699</v>
      </c>
    </row>
    <row r="529" customFormat="false" ht="17.15" hidden="false" customHeight="false" outlineLevel="0" collapsed="false">
      <c r="A529" s="0" t="s">
        <v>700</v>
      </c>
      <c r="B529" s="3" t="s">
        <v>31</v>
      </c>
      <c r="D529" s="21" t="n">
        <f aca="false">D527*cpu_r</f>
        <v>3.04</v>
      </c>
      <c r="E529" s="21" t="n">
        <f aca="false">E527*cpu_r</f>
        <v>3.88</v>
      </c>
      <c r="F529" s="21" t="n">
        <f aca="false">F527*cpu_r</f>
        <v>3.8</v>
      </c>
      <c r="G529" s="21" t="n">
        <f aca="false">G527*cpu_r</f>
        <v>4.24</v>
      </c>
      <c r="K529" s="7" t="s">
        <v>701</v>
      </c>
    </row>
    <row r="530" customFormat="false" ht="17.15" hidden="false" customHeight="false" outlineLevel="0" collapsed="false">
      <c r="A530" s="3" t="s">
        <v>702</v>
      </c>
      <c r="B530" s="0" t="s">
        <v>153</v>
      </c>
      <c r="D530" s="19" t="n">
        <f aca="false">1</f>
        <v>1</v>
      </c>
      <c r="E530" s="19" t="n">
        <f aca="false">D530*(1+g_asp)</f>
        <v>1.18</v>
      </c>
      <c r="F530" s="19" t="n">
        <f aca="false">E530*(1+g_asp)</f>
        <v>1.3924</v>
      </c>
      <c r="G530" s="19" t="n">
        <f aca="false">F530*(1+g_asp)</f>
        <v>1.643032</v>
      </c>
      <c r="K530" s="7" t="s">
        <v>703</v>
      </c>
    </row>
    <row r="531" customFormat="false" ht="17.15" hidden="false" customHeight="false" outlineLevel="0" collapsed="false">
      <c r="A531" s="0" t="s">
        <v>704</v>
      </c>
      <c r="B531" s="0" t="s">
        <v>153</v>
      </c>
      <c r="D531" s="18" t="n">
        <f aca="false">1</f>
        <v>1</v>
      </c>
      <c r="E531" s="18" t="n">
        <f aca="false">ibpp_27</f>
        <v>1</v>
      </c>
      <c r="F531" s="18" t="n">
        <f aca="false">ibpp_28</f>
        <v>0.95</v>
      </c>
      <c r="G531" s="18" t="n">
        <f aca="false">ibpp_29</f>
        <v>0.9</v>
      </c>
      <c r="K531" s="7" t="s">
        <v>705</v>
      </c>
    </row>
    <row r="532" customFormat="false" ht="17.15" hidden="false" customHeight="false" outlineLevel="0" collapsed="false">
      <c r="A532" s="3" t="s">
        <v>706</v>
      </c>
      <c r="B532" s="0" t="s">
        <v>153</v>
      </c>
      <c r="D532" s="18" t="n">
        <f aca="false">1</f>
        <v>1</v>
      </c>
      <c r="E532" s="18" t="n">
        <f aca="false">1+carry</f>
        <v>1.15</v>
      </c>
      <c r="F532" s="18" t="n">
        <f aca="false">1+carry</f>
        <v>1.15</v>
      </c>
      <c r="G532" s="18" t="n">
        <f aca="false">1+carry</f>
        <v>1.15</v>
      </c>
      <c r="K532" s="7" t="s">
        <v>707</v>
      </c>
    </row>
    <row r="533" customFormat="false" ht="17.15" hidden="false" customHeight="false" outlineLevel="0" collapsed="false">
      <c r="A533" s="3" t="s">
        <v>708</v>
      </c>
      <c r="B533" s="0" t="s">
        <v>709</v>
      </c>
      <c r="D533" s="23" t="n">
        <f aca="false">v26*D530*D531</f>
        <v>215.308596</v>
      </c>
      <c r="E533" s="23" t="n">
        <f aca="false">v26*E530*E531</f>
        <v>254.06414328</v>
      </c>
      <c r="F533" s="23" t="n">
        <f aca="false">v26*F530*F531</f>
        <v>284.80590461688</v>
      </c>
      <c r="G533" s="23" t="n">
        <f aca="false">v26*G530*G531</f>
        <v>318.383021792765</v>
      </c>
      <c r="K533" s="7" t="s">
        <v>710</v>
      </c>
    </row>
    <row r="534" customFormat="false" ht="17.15" hidden="false" customHeight="false" outlineLevel="0" collapsed="false">
      <c r="A534" s="3" t="s">
        <v>711</v>
      </c>
      <c r="B534" s="0" t="s">
        <v>43</v>
      </c>
      <c r="D534" s="20" t="n">
        <f aca="false">sh_nv_26</f>
        <v>0.02</v>
      </c>
      <c r="E534" s="20" t="n">
        <f aca="false">sh_nv_27</f>
        <v>0.03</v>
      </c>
      <c r="F534" s="20" t="n">
        <f aca="false">sh_nv_28</f>
        <v>0.05</v>
      </c>
      <c r="G534" s="20" t="n">
        <f aca="false">sh_nv_29</f>
        <v>0.06</v>
      </c>
    </row>
    <row r="535" customFormat="false" ht="17.15" hidden="false" customHeight="false" outlineLevel="0" collapsed="false">
      <c r="A535" s="3" t="s">
        <v>712</v>
      </c>
      <c r="B535" s="0" t="s">
        <v>43</v>
      </c>
      <c r="D535" s="20" t="n">
        <f aca="false">sh_ot_26</f>
        <v>0.03</v>
      </c>
      <c r="E535" s="20" t="n">
        <f aca="false">sh_ot_27</f>
        <v>0.05</v>
      </c>
      <c r="F535" s="20" t="n">
        <f aca="false">sh_ot_28</f>
        <v>0.06</v>
      </c>
      <c r="G535" s="20" t="n">
        <f aca="false">sh_ot_29</f>
        <v>0.06</v>
      </c>
    </row>
    <row r="536" customFormat="false" ht="17.15" hidden="false" customHeight="false" outlineLevel="0" collapsed="false">
      <c r="A536" s="3" t="s">
        <v>713</v>
      </c>
      <c r="B536" s="0" t="s">
        <v>43</v>
      </c>
      <c r="D536" s="20" t="n">
        <f aca="false">sh_cpu_26</f>
        <v>0.35</v>
      </c>
      <c r="E536" s="20" t="n">
        <f aca="false">sh_cpu_27</f>
        <v>0.7</v>
      </c>
      <c r="F536" s="20" t="n">
        <f aca="false">sh_cpu_28</f>
        <v>0.75</v>
      </c>
      <c r="G536" s="20" t="n">
        <f aca="false">sh_cpu_29</f>
        <v>0.7</v>
      </c>
    </row>
    <row r="537" customFormat="false" ht="17.15" hidden="false" customHeight="false" outlineLevel="0" collapsed="false">
      <c r="A537" s="3" t="s">
        <v>714</v>
      </c>
      <c r="B537" s="0" t="s">
        <v>661</v>
      </c>
      <c r="D537" s="22" t="n">
        <f aca="false">(D527*D533*D534+D528*D533*v_ot*D535+D529*D533*v_cpu*D536)*D532</f>
        <v>140.7256983456</v>
      </c>
      <c r="E537" s="22" t="n">
        <f aca="false">(E527*E533*E534+E528*E533*v_ot*E535+E529*E533*v_cpu*E536)*E532</f>
        <v>486.703057357198</v>
      </c>
      <c r="F537" s="22" t="n">
        <f aca="false">(F527*F533*F534+F528*F533*v_ot*F535+F529*F533*v_cpu*F536)*F532</f>
        <v>702.872492003998</v>
      </c>
      <c r="G537" s="22" t="n">
        <f aca="false">(G527*G533*G534+G528*G533*v_ot*G535+G529*G533*v_cpu*G536)*G532</f>
        <v>902.463042932027</v>
      </c>
    </row>
    <row r="538" customFormat="false" ht="17.15" hidden="false" customHeight="false" outlineLevel="0" collapsed="false">
      <c r="A538" s="3" t="s">
        <v>715</v>
      </c>
      <c r="B538" s="0" t="s">
        <v>379</v>
      </c>
      <c r="D538" s="21" t="n">
        <f aca="false">D537*fx/1000</f>
        <v>4.5032223470592</v>
      </c>
      <c r="E538" s="21" t="n">
        <f aca="false">E537*fx/1000</f>
        <v>15.5744978354303</v>
      </c>
      <c r="F538" s="21" t="n">
        <f aca="false">F537*fx/1000</f>
        <v>22.4919197441279</v>
      </c>
      <c r="G538" s="21" t="n">
        <f aca="false">G537*fx/1000</f>
        <v>28.8788173738249</v>
      </c>
    </row>
    <row r="539" customFormat="false" ht="17.15" hidden="false" customHeight="false" outlineLevel="0" collapsed="false">
      <c r="A539" s="5" t="s">
        <v>716</v>
      </c>
    </row>
    <row r="540" customFormat="false" ht="17.15" hidden="false" customHeight="false" outlineLevel="0" collapsed="false">
      <c r="A540" s="0" t="s">
        <v>717</v>
      </c>
      <c r="B540" s="0" t="s">
        <v>379</v>
      </c>
      <c r="D540" s="21" t="n">
        <f aca="false">a26_abf*ai_abf</f>
        <v>5.714709</v>
      </c>
      <c r="K540" s="3" t="s">
        <v>718</v>
      </c>
    </row>
    <row r="541" customFormat="false" ht="17.15" hidden="false" customHeight="false" outlineLevel="0" collapsed="false">
      <c r="A541" s="3" t="s">
        <v>719</v>
      </c>
      <c r="B541" s="0" t="s">
        <v>379</v>
      </c>
      <c r="D541" s="21" t="n">
        <f aca="false">D540-D538</f>
        <v>1.2114866529408</v>
      </c>
      <c r="E541" s="21" t="n">
        <f aca="false">$D541*(swm_27/swm_26)^el_o*1*1*E531*E532</f>
        <v>1.94870016016792</v>
      </c>
      <c r="F541" s="21" t="n">
        <f aca="false">$D541*(swm_28/swm_26)^el_o*um28_A*1*F531*F532</f>
        <v>1.99149622299173</v>
      </c>
      <c r="G541" s="21" t="n">
        <f aca="false">$D541*(swm_29/swm_26)^el_o*um29_A*1*G531*G532</f>
        <v>2.01272596640355</v>
      </c>
      <c r="K541" s="7" t="s">
        <v>720</v>
      </c>
    </row>
    <row r="542" customFormat="false" ht="17.15" hidden="false" customHeight="false" outlineLevel="0" collapsed="false">
      <c r="A542" s="3" t="s">
        <v>721</v>
      </c>
      <c r="B542" s="0" t="s">
        <v>379</v>
      </c>
      <c r="D542" s="21" t="n">
        <f aca="false">a26_abf-D540</f>
        <v>17.144127</v>
      </c>
      <c r="E542" s="21" t="n">
        <f aca="false">$D542*(1+g_nai)^1*E532</f>
        <v>20.898690813</v>
      </c>
      <c r="F542" s="21" t="n">
        <f aca="false">$D542*(1+g_nai)^2*F532</f>
        <v>22.15261226178</v>
      </c>
      <c r="G542" s="21" t="n">
        <f aca="false">$D542*(1+g_nai)^3*G532</f>
        <v>23.4817689974868</v>
      </c>
      <c r="K542" s="3" t="s">
        <v>722</v>
      </c>
    </row>
    <row r="543" customFormat="false" ht="17.15" hidden="false" customHeight="false" outlineLevel="0" collapsed="false">
      <c r="A543" s="0" t="s">
        <v>723</v>
      </c>
      <c r="B543" s="0" t="s">
        <v>379</v>
      </c>
      <c r="D543" s="21" t="n">
        <f aca="false">D538+D541+D542</f>
        <v>22.858836</v>
      </c>
      <c r="E543" s="21" t="n">
        <f aca="false">E538+E541+E542</f>
        <v>38.4218888085982</v>
      </c>
      <c r="F543" s="21" t="n">
        <f aca="false">F538+F541+F542</f>
        <v>46.6360282288997</v>
      </c>
      <c r="G543" s="21" t="n">
        <f aca="false">G538+G541+G542</f>
        <v>54.3733123377152</v>
      </c>
    </row>
    <row r="544" customFormat="false" ht="17.15" hidden="false" customHeight="false" outlineLevel="0" collapsed="false">
      <c r="A544" s="0" t="s">
        <v>724</v>
      </c>
      <c r="B544" s="0" t="s">
        <v>379</v>
      </c>
      <c r="D544" s="21" t="n">
        <f aca="false">a26_abf</f>
        <v>22.858836</v>
      </c>
      <c r="E544" s="21" t="n">
        <f aca="false">$D543*cap_27*(1+g_mix)^1*E531*E532</f>
        <v>33.122453364</v>
      </c>
      <c r="F544" s="21" t="n">
        <f aca="false">$D543*cap_28*(1+g_mix)^2*F531*F532</f>
        <v>41.2995590382375</v>
      </c>
      <c r="G544" s="21" t="n">
        <f aca="false">$D543*cap_29*(1+g_mix)^3*G531*G532</f>
        <v>50.6680379569114</v>
      </c>
      <c r="K544" s="7" t="s">
        <v>725</v>
      </c>
    </row>
    <row r="545" customFormat="false" ht="17.15" hidden="false" customHeight="false" outlineLevel="0" collapsed="false">
      <c r="A545" s="0" t="s">
        <v>726</v>
      </c>
      <c r="B545" s="0" t="s">
        <v>379</v>
      </c>
      <c r="D545" s="21" t="n">
        <f aca="false">a26_abf</f>
        <v>22.858836</v>
      </c>
      <c r="E545" s="21" t="n">
        <f aca="false">MIN(E543,E544)</f>
        <v>33.122453364</v>
      </c>
      <c r="F545" s="21" t="n">
        <f aca="false">MIN(F543,F544)</f>
        <v>41.2995590382375</v>
      </c>
      <c r="G545" s="21" t="n">
        <f aca="false">MIN(G543,G544)</f>
        <v>50.6680379569114</v>
      </c>
    </row>
    <row r="546" customFormat="false" ht="17.15" hidden="false" customHeight="false" outlineLevel="0" collapsed="false">
      <c r="A546" s="3" t="s">
        <v>727</v>
      </c>
      <c r="B546" s="0" t="s">
        <v>43</v>
      </c>
      <c r="D546" s="20" t="n">
        <f aca="false">D545/D543</f>
        <v>1</v>
      </c>
      <c r="E546" s="20" t="n">
        <f aca="false">E545/E543</f>
        <v>0.862072490215205</v>
      </c>
      <c r="F546" s="20" t="n">
        <f aca="false">F545/F543</f>
        <v>0.885571962422065</v>
      </c>
      <c r="G546" s="20" t="n">
        <f aca="false">G545/G543</f>
        <v>0.931854907830698</v>
      </c>
    </row>
    <row r="547" customFormat="false" ht="17.15" hidden="false" customHeight="false" outlineLevel="0" collapsed="false">
      <c r="A547" s="0" t="s">
        <v>728</v>
      </c>
      <c r="B547" s="0" t="s">
        <v>379</v>
      </c>
      <c r="D547" s="21" t="n">
        <f aca="false">(D538+D541)*D546</f>
        <v>5.714709</v>
      </c>
      <c r="E547" s="21" t="n">
        <f aca="false">(E538+E541)*E546</f>
        <v>15.1062669325995</v>
      </c>
      <c r="F547" s="21" t="n">
        <f aca="false">(F538+F541)*F546</f>
        <v>21.6818267247979</v>
      </c>
      <c r="G547" s="21" t="n">
        <f aca="false">(G538+G541)*G546</f>
        <v>28.7864362720566</v>
      </c>
    </row>
    <row r="548" customFormat="false" ht="17.15" hidden="false" customHeight="false" outlineLevel="0" collapsed="false">
      <c r="A548" s="3" t="s">
        <v>729</v>
      </c>
      <c r="B548" s="0" t="s">
        <v>43</v>
      </c>
      <c r="D548" s="20" t="n">
        <f aca="false">D538/(D538+D541)</f>
        <v>0.788005539225042</v>
      </c>
      <c r="E548" s="20" t="n">
        <f aca="false">E538/(E538+E541)</f>
        <v>0.888793120944167</v>
      </c>
      <c r="F548" s="20" t="n">
        <f aca="false">F538/(F538+F541)</f>
        <v>0.918659380469366</v>
      </c>
      <c r="G548" s="20" t="n">
        <f aca="false">G538/(G538+G541)</f>
        <v>0.934845405934042</v>
      </c>
    </row>
    <row r="549" customFormat="false" ht="17.15" hidden="false" customHeight="false" outlineLevel="0" collapsed="false">
      <c r="A549" s="5" t="s">
        <v>730</v>
      </c>
    </row>
    <row r="550" customFormat="false" ht="17.15" hidden="false" customHeight="false" outlineLevel="0" collapsed="false">
      <c r="A550" s="0" t="s">
        <v>731</v>
      </c>
      <c r="B550" s="0" t="s">
        <v>379</v>
      </c>
      <c r="D550" s="21" t="n">
        <f aca="false">a26_bt</f>
        <v>23.265964</v>
      </c>
      <c r="E550" s="21" t="n">
        <f aca="false">D550*(1+g_bt27_A)</f>
        <v>29.78043392</v>
      </c>
      <c r="F550" s="21" t="n">
        <f aca="false">E550*(1+g_bt28_A)</f>
        <v>32.758477312</v>
      </c>
      <c r="G550" s="21" t="n">
        <f aca="false">F550*(1+g_bt29_A)</f>
        <v>34.3964011776</v>
      </c>
      <c r="K550" s="7" t="s">
        <v>732</v>
      </c>
    </row>
    <row r="551" customFormat="false" ht="17.15" hidden="false" customHeight="false" outlineLevel="0" collapsed="false">
      <c r="A551" s="3" t="s">
        <v>617</v>
      </c>
      <c r="B551" s="0" t="s">
        <v>379</v>
      </c>
      <c r="C551" s="21" t="n">
        <f aca="false">a25_lens</f>
        <v>7.039</v>
      </c>
      <c r="D551" s="21" t="n">
        <f aca="false">a26_lens</f>
        <v>8.301</v>
      </c>
      <c r="E551" s="21" t="n">
        <f aca="false">D551*(1+g_lens)</f>
        <v>9.1311</v>
      </c>
      <c r="F551" s="21" t="n">
        <f aca="false">E551*(1+g_lens)</f>
        <v>10.04421</v>
      </c>
      <c r="G551" s="21" t="n">
        <f aca="false">F551*(1+g_lens)</f>
        <v>11.048631</v>
      </c>
      <c r="K551" s="3" t="s">
        <v>733</v>
      </c>
    </row>
    <row r="552" customFormat="false" ht="17.15" hidden="false" customHeight="false" outlineLevel="0" collapsed="false">
      <c r="A552" s="3" t="s">
        <v>574</v>
      </c>
      <c r="B552" s="0" t="s">
        <v>379</v>
      </c>
      <c r="C552" s="23" t="n">
        <f aca="false">a25_rev</f>
        <v>39.351</v>
      </c>
      <c r="D552" s="23" t="n">
        <f aca="false">D545+D550+D551</f>
        <v>54.4258</v>
      </c>
      <c r="E552" s="23" t="n">
        <f aca="false">E545+E550+E551</f>
        <v>72.033987284</v>
      </c>
      <c r="F552" s="23" t="n">
        <f aca="false">F545+F550+F551</f>
        <v>84.1022463502375</v>
      </c>
      <c r="G552" s="23" t="n">
        <f aca="false">G545+G550+G551</f>
        <v>96.1130701345114</v>
      </c>
      <c r="H552" s="25" t="n">
        <f aca="false">G552*(1+H554)</f>
        <v>107.186075216063</v>
      </c>
      <c r="I552" s="25" t="n">
        <f aca="false">H552*(1+I554)</f>
        <v>116.576010002736</v>
      </c>
      <c r="J552" s="25" t="n">
        <f aca="false">I552*(1+J554)</f>
        <v>123.5705706029</v>
      </c>
      <c r="K552" s="7" t="s">
        <v>734</v>
      </c>
    </row>
    <row r="553" customFormat="false" ht="17.15" hidden="false" customHeight="false" outlineLevel="0" collapsed="false">
      <c r="A553" s="3" t="s">
        <v>735</v>
      </c>
      <c r="B553" s="0" t="s">
        <v>379</v>
      </c>
      <c r="D553" s="19" t="n">
        <f aca="false">D545+D550+D551-D552</f>
        <v>0</v>
      </c>
      <c r="E553" s="19" t="n">
        <f aca="false">E545+E550+E551-E552</f>
        <v>0</v>
      </c>
      <c r="F553" s="19" t="n">
        <f aca="false">F545+F550+F551-F552</f>
        <v>0</v>
      </c>
      <c r="G553" s="19" t="n">
        <f aca="false">G545+G550+G551-G552</f>
        <v>0</v>
      </c>
    </row>
    <row r="554" customFormat="false" ht="15" hidden="false" customHeight="false" outlineLevel="0" collapsed="false">
      <c r="A554" s="3" t="s">
        <v>736</v>
      </c>
      <c r="B554" s="0" t="s">
        <v>43</v>
      </c>
      <c r="D554" s="20" t="n">
        <f aca="false">D552/C552-1</f>
        <v>0.383085563263958</v>
      </c>
      <c r="E554" s="20" t="n">
        <f aca="false">E552/D552-1</f>
        <v>0.323526476119781</v>
      </c>
      <c r="F554" s="20" t="n">
        <f aca="false">F552/E552-1</f>
        <v>0.167535624796909</v>
      </c>
      <c r="G554" s="20" t="n">
        <f aca="false">G552/F552-1</f>
        <v>0.142812163830389</v>
      </c>
      <c r="H554" s="26" t="n">
        <f aca="false">$G554+(fade_gA-$G554)*1/3</f>
        <v>0.115208109220259</v>
      </c>
      <c r="I554" s="26" t="n">
        <f aca="false">$G554+(fade_gA-$G554)*2/3</f>
        <v>0.0876040546101297</v>
      </c>
      <c r="J554" s="26" t="n">
        <f aca="false">$G554+(fade_gA-$G554)*3/3</f>
        <v>0.06</v>
      </c>
    </row>
    <row r="555" customFormat="false" ht="17.15" hidden="false" customHeight="false" outlineLevel="0" collapsed="false">
      <c r="A555" s="0" t="s">
        <v>737</v>
      </c>
      <c r="B555" s="0" t="s">
        <v>43</v>
      </c>
      <c r="D555" s="20" t="n">
        <f aca="false">D545/D552</f>
        <v>0.42</v>
      </c>
      <c r="E555" s="20" t="n">
        <f aca="false">E545/E552</f>
        <v>0.459817019893845</v>
      </c>
      <c r="F555" s="20" t="n">
        <f aca="false">F545/F552</f>
        <v>0.491063685341395</v>
      </c>
      <c r="G555" s="20" t="n">
        <f aca="false">G545/G552</f>
        <v>0.527171152539409</v>
      </c>
    </row>
    <row r="556" customFormat="false" ht="17.15" hidden="false" customHeight="false" outlineLevel="0" collapsed="false">
      <c r="A556" s="0" t="s">
        <v>738</v>
      </c>
      <c r="B556" s="0" t="s">
        <v>43</v>
      </c>
      <c r="D556" s="20" t="n">
        <f aca="false">D547/D552</f>
        <v>0.105</v>
      </c>
      <c r="E556" s="20" t="n">
        <f aca="false">E547/E552</f>
        <v>0.209710270140146</v>
      </c>
      <c r="F556" s="20" t="n">
        <f aca="false">F547/F552</f>
        <v>0.257803182028047</v>
      </c>
      <c r="G556" s="20" t="n">
        <f aca="false">G547/G552</f>
        <v>0.299505948897165</v>
      </c>
      <c r="K556" s="3" t="s">
        <v>739</v>
      </c>
    </row>
    <row r="557" customFormat="false" ht="17.15" hidden="false" customHeight="false" outlineLevel="0" collapsed="false">
      <c r="A557" s="5" t="s">
        <v>740</v>
      </c>
    </row>
    <row r="558" customFormat="false" ht="15" hidden="false" customHeight="false" outlineLevel="0" collapsed="false">
      <c r="A558" s="3" t="s">
        <v>741</v>
      </c>
      <c r="B558" s="0" t="s">
        <v>379</v>
      </c>
      <c r="C558" s="23" t="n">
        <f aca="false">a25_cx</f>
        <v>6.116</v>
      </c>
      <c r="D558" s="23" t="n">
        <f aca="false">capex26</f>
        <v>11</v>
      </c>
      <c r="E558" s="23" t="n">
        <f aca="false">cx27</f>
        <v>17</v>
      </c>
      <c r="F558" s="23" t="n">
        <f aca="false">cx28</f>
        <v>16</v>
      </c>
      <c r="G558" s="23" t="n">
        <f aca="false">cx29</f>
        <v>12</v>
      </c>
      <c r="H558" s="25" t="n">
        <f aca="false">H552*H577</f>
        <v>13.4817405534162</v>
      </c>
      <c r="I558" s="25" t="n">
        <f aca="false">I552*I577</f>
        <v>14.77073304233</v>
      </c>
      <c r="J558" s="25" t="n">
        <f aca="false">J552*J577</f>
        <v>15.7713906192965</v>
      </c>
    </row>
    <row r="559" customFormat="false" ht="17.15" hidden="false" customHeight="false" outlineLevel="0" collapsed="false">
      <c r="A559" s="3" t="s">
        <v>742</v>
      </c>
      <c r="B559" s="0" t="s">
        <v>379</v>
      </c>
      <c r="C559" s="23" t="n">
        <f aca="false">a25_da</f>
        <v>7.158</v>
      </c>
      <c r="D559" s="23" t="n">
        <f aca="false">da26</f>
        <v>8.32</v>
      </c>
      <c r="E559" s="23" t="n">
        <f aca="false">D559*(1-1/life)+D558/life</f>
        <v>8.655</v>
      </c>
      <c r="F559" s="23" t="n">
        <f aca="false">E559*(1-1/life)+E558/life</f>
        <v>9.698125</v>
      </c>
      <c r="G559" s="23" t="n">
        <f aca="false">F559*(1-1/life)+F558/life</f>
        <v>10.485859375</v>
      </c>
      <c r="H559" s="25" t="n">
        <f aca="false">H552*H560</f>
        <v>11.6939154071433</v>
      </c>
      <c r="I559" s="25" t="n">
        <f aca="false">I552*I560</f>
        <v>12.7183498110769</v>
      </c>
      <c r="J559" s="25" t="n">
        <f aca="false">J552*J560</f>
        <v>13.4814507997415</v>
      </c>
      <c r="K559" s="3" t="s">
        <v>743</v>
      </c>
    </row>
    <row r="560" customFormat="false" ht="17.15" hidden="false" customHeight="false" outlineLevel="0" collapsed="false">
      <c r="A560" s="3" t="s">
        <v>744</v>
      </c>
      <c r="B560" s="0" t="s">
        <v>43</v>
      </c>
      <c r="C560" s="20" t="n">
        <f aca="false">C559/C552</f>
        <v>0.181901349393916</v>
      </c>
      <c r="D560" s="20" t="n">
        <f aca="false">D559/D552</f>
        <v>0.152868676252807</v>
      </c>
      <c r="E560" s="20" t="n">
        <f aca="false">E559/E552</f>
        <v>0.120151616290196</v>
      </c>
      <c r="F560" s="20" t="n">
        <f aca="false">F559/F552</f>
        <v>0.115313507318376</v>
      </c>
      <c r="G560" s="20" t="n">
        <f aca="false">G559/G552</f>
        <v>0.109099203264706</v>
      </c>
      <c r="H560" s="26" t="n">
        <f aca="false">$G560</f>
        <v>0.109099203264706</v>
      </c>
      <c r="I560" s="26" t="n">
        <f aca="false">$G560</f>
        <v>0.109099203264706</v>
      </c>
      <c r="J560" s="26" t="n">
        <f aca="false">$G560</f>
        <v>0.109099203264706</v>
      </c>
    </row>
    <row r="561" customFormat="false" ht="17.15" hidden="false" customHeight="false" outlineLevel="0" collapsed="false">
      <c r="A561" s="0" t="s">
        <v>745</v>
      </c>
      <c r="B561" s="0" t="s">
        <v>379</v>
      </c>
      <c r="E561" s="21" t="n">
        <f aca="false">E546*((E538+E541)*(1-1/(E531*E532))+E542*(1-1/E532))</f>
        <v>4.320320004</v>
      </c>
      <c r="F561" s="21" t="n">
        <f aca="false">F546*((F538+F541)*(1-1/(F531*F532))+F542*(1-1/F532))</f>
        <v>4.39459572238805</v>
      </c>
      <c r="G561" s="21" t="n">
        <f aca="false">G546*((G538+G541)*(1-1/(G531*G532))+G542*(1-1/G532))</f>
        <v>3.827576325582</v>
      </c>
      <c r="K561" s="7" t="s">
        <v>746</v>
      </c>
    </row>
    <row r="562" customFormat="false" ht="17.15" hidden="false" customHeight="false" outlineLevel="0" collapsed="false">
      <c r="A562" s="3" t="s">
        <v>747</v>
      </c>
      <c r="B562" s="0" t="s">
        <v>379</v>
      </c>
      <c r="C562" s="21" t="n">
        <f aca="false">a25_gp</f>
        <v>8.314</v>
      </c>
      <c r="D562" s="21" t="n">
        <f aca="false">a26_gp</f>
        <v>15.328536</v>
      </c>
      <c r="E562" s="21" t="n">
        <f aca="false">$D562+ft_abf_lo*(E545-E561-$D545)+ft_bt*(E550-$D550)+ft_lens*(E551-$D551)+E561-(E559-$D559)</f>
        <v>24.996231412</v>
      </c>
      <c r="F562" s="21" t="n">
        <f aca="false">$D562+ft_abf_lo*(F545-F561-$D545)+ft_bt*(F550-$D550)+ft_lens*(F551-$D551)+F561-(F559-$D559)</f>
        <v>29.0195331391278</v>
      </c>
      <c r="G562" s="21" t="n">
        <f aca="false">$D562+ft_abf_lo*(G545-G561-$D545)+ft_bt*(G550-$D550)+ft_lens*(G551-$D551)+G561-(G559-$D559)</f>
        <v>32.8280338830338</v>
      </c>
      <c r="K562" s="3" t="s">
        <v>748</v>
      </c>
    </row>
    <row r="563" customFormat="false" ht="15" hidden="false" customHeight="false" outlineLevel="0" collapsed="false">
      <c r="A563" s="3" t="s">
        <v>581</v>
      </c>
      <c r="B563" s="0" t="s">
        <v>43</v>
      </c>
      <c r="C563" s="16" t="n">
        <f aca="false">C562/C552</f>
        <v>0.211277985311682</v>
      </c>
      <c r="D563" s="16" t="n">
        <f aca="false">D562/D552</f>
        <v>0.281640986443929</v>
      </c>
      <c r="E563" s="16" t="n">
        <f aca="false">E562/E552</f>
        <v>0.347006078026061</v>
      </c>
      <c r="F563" s="16" t="n">
        <f aca="false">F562/F552</f>
        <v>0.345050630613101</v>
      </c>
      <c r="G563" s="16" t="n">
        <f aca="false">G562/G552</f>
        <v>0.34155639640988</v>
      </c>
    </row>
    <row r="564" customFormat="false" ht="15" hidden="false" customHeight="false" outlineLevel="0" collapsed="false">
      <c r="A564" s="3" t="s">
        <v>583</v>
      </c>
      <c r="B564" s="0" t="s">
        <v>379</v>
      </c>
      <c r="C564" s="21" t="n">
        <f aca="false">a25_opx</f>
        <v>5.644</v>
      </c>
      <c r="D564" s="21" t="n">
        <f aca="false">a26_opx</f>
        <v>6.54036</v>
      </c>
      <c r="E564" s="21" t="n">
        <f aca="false">D564*(1+phi*E554)</f>
        <v>7.80994777401287</v>
      </c>
      <c r="F564" s="21" t="n">
        <f aca="false">E564*(1+phi*F554)</f>
        <v>8.59501446198315</v>
      </c>
      <c r="G564" s="21" t="n">
        <f aca="false">F564*(1+phi*G554)</f>
        <v>9.33149803006473</v>
      </c>
    </row>
    <row r="565" customFormat="false" ht="15" hidden="false" customHeight="false" outlineLevel="0" collapsed="false">
      <c r="A565" s="3" t="s">
        <v>586</v>
      </c>
      <c r="B565" s="0" t="s">
        <v>379</v>
      </c>
      <c r="C565" s="21" t="n">
        <f aca="false">C562-C564</f>
        <v>2.67</v>
      </c>
      <c r="D565" s="21" t="n">
        <f aca="false">D562-D564</f>
        <v>8.788176</v>
      </c>
      <c r="E565" s="21" t="n">
        <f aca="false">E562-E564</f>
        <v>17.1862836379871</v>
      </c>
      <c r="F565" s="21" t="n">
        <f aca="false">F562-F564</f>
        <v>20.4245186771447</v>
      </c>
      <c r="G565" s="21" t="n">
        <f aca="false">G562-G564</f>
        <v>23.496535852969</v>
      </c>
    </row>
    <row r="566" customFormat="false" ht="15" hidden="false" customHeight="false" outlineLevel="0" collapsed="false">
      <c r="A566" s="3" t="s">
        <v>684</v>
      </c>
      <c r="B566" s="0" t="s">
        <v>43</v>
      </c>
      <c r="C566" s="16" t="n">
        <f aca="false">C565/C552</f>
        <v>0.0678508805367081</v>
      </c>
      <c r="D566" s="16" t="n">
        <f aca="false">D565/D552</f>
        <v>0.161470773052486</v>
      </c>
      <c r="E566" s="16" t="n">
        <f aca="false">E565/E552</f>
        <v>0.238585760499815</v>
      </c>
      <c r="F566" s="16" t="n">
        <f aca="false">F565/F552</f>
        <v>0.242853426198491</v>
      </c>
      <c r="G566" s="16" t="n">
        <f aca="false">G565/G552</f>
        <v>0.244467644411789</v>
      </c>
    </row>
    <row r="567" customFormat="false" ht="15" hidden="false" customHeight="false" outlineLevel="0" collapsed="false">
      <c r="A567" s="3" t="s">
        <v>589</v>
      </c>
      <c r="B567" s="0" t="s">
        <v>379</v>
      </c>
      <c r="C567" s="21" t="n">
        <f aca="false">a25_nonop</f>
        <v>0.417</v>
      </c>
      <c r="D567" s="21" t="n">
        <f aca="false">a26_nonop</f>
        <v>0.37882</v>
      </c>
      <c r="E567" s="21" t="n">
        <f aca="false">nonop27</f>
        <v>0.4</v>
      </c>
      <c r="F567" s="21" t="n">
        <f aca="false">nonop28</f>
        <v>0.4</v>
      </c>
      <c r="G567" s="21" t="n">
        <f aca="false">nonop29</f>
        <v>0.4</v>
      </c>
    </row>
    <row r="568" customFormat="false" ht="15" hidden="false" customHeight="false" outlineLevel="0" collapsed="false">
      <c r="A568" s="3" t="s">
        <v>591</v>
      </c>
      <c r="B568" s="0" t="s">
        <v>379</v>
      </c>
      <c r="C568" s="21" t="n">
        <f aca="false">C565+C567</f>
        <v>3.087</v>
      </c>
      <c r="D568" s="21" t="n">
        <f aca="false">D565+D567</f>
        <v>9.166996</v>
      </c>
      <c r="E568" s="21" t="n">
        <f aca="false">E565+E567</f>
        <v>17.5862836379871</v>
      </c>
      <c r="F568" s="21" t="n">
        <f aca="false">F565+F567</f>
        <v>20.8245186771447</v>
      </c>
      <c r="G568" s="21" t="n">
        <f aca="false">G565+G567</f>
        <v>23.896535852969</v>
      </c>
    </row>
    <row r="569" customFormat="false" ht="15" hidden="false" customHeight="false" outlineLevel="0" collapsed="false">
      <c r="A569" s="3" t="s">
        <v>592</v>
      </c>
      <c r="B569" s="0" t="s">
        <v>379</v>
      </c>
      <c r="E569" s="21" t="n">
        <f aca="false">E568*tax</f>
        <v>2.11035403655846</v>
      </c>
      <c r="F569" s="21" t="n">
        <f aca="false">F568*tax</f>
        <v>2.49894224125736</v>
      </c>
      <c r="G569" s="21" t="n">
        <f aca="false">G568*tax</f>
        <v>2.86758430235628</v>
      </c>
    </row>
    <row r="570" customFormat="false" ht="15" hidden="false" customHeight="false" outlineLevel="0" collapsed="false">
      <c r="A570" s="3" t="s">
        <v>593</v>
      </c>
      <c r="B570" s="0" t="s">
        <v>379</v>
      </c>
      <c r="C570" s="21" t="n">
        <f aca="false">a25_nic</f>
        <v>2.71712</v>
      </c>
      <c r="D570" s="21" t="n">
        <f aca="false">a26_nic</f>
        <v>8.39979776</v>
      </c>
      <c r="E570" s="21" t="n">
        <f aca="false">E568-E569</f>
        <v>15.4759296014287</v>
      </c>
      <c r="F570" s="21" t="n">
        <f aca="false">F568-F569</f>
        <v>18.3255764358873</v>
      </c>
      <c r="G570" s="21" t="n">
        <f aca="false">G568-G569</f>
        <v>21.0289515506127</v>
      </c>
    </row>
    <row r="571" customFormat="false" ht="17.15" hidden="false" customHeight="false" outlineLevel="0" collapsed="false">
      <c r="A571" s="3" t="s">
        <v>749</v>
      </c>
      <c r="B571" s="0" t="s">
        <v>379</v>
      </c>
      <c r="C571" s="21" t="n">
        <f aca="false">a25_nci</f>
        <v>1.12112</v>
      </c>
      <c r="D571" s="21" t="n">
        <f aca="false">a26_nci</f>
        <v>1.43839238487797</v>
      </c>
      <c r="E571" s="21" t="n">
        <f aca="false">E551*nm_lens*nci_sh</f>
        <v>1.57074538036261</v>
      </c>
      <c r="F571" s="21" t="n">
        <f aca="false">F551*nm_lens*nci_sh</f>
        <v>1.72781991839887</v>
      </c>
      <c r="G571" s="21" t="n">
        <f aca="false">G551*nm_lens*nci_sh</f>
        <v>1.90060191023875</v>
      </c>
      <c r="K571" s="3" t="s">
        <v>750</v>
      </c>
    </row>
    <row r="572" customFormat="false" ht="15" hidden="false" customHeight="false" outlineLevel="0" collapsed="false">
      <c r="A572" s="3" t="s">
        <v>599</v>
      </c>
      <c r="B572" s="0" t="s">
        <v>379</v>
      </c>
      <c r="C572" s="21" t="n">
        <f aca="false">a25_ni</f>
        <v>1.596</v>
      </c>
      <c r="D572" s="21" t="n">
        <f aca="false">a26_ni</f>
        <v>6.96140537512203</v>
      </c>
      <c r="E572" s="21" t="n">
        <f aca="false">E570-E571</f>
        <v>13.9051842210661</v>
      </c>
      <c r="F572" s="21" t="n">
        <f aca="false">F570-F571</f>
        <v>16.5977565174885</v>
      </c>
      <c r="G572" s="21" t="n">
        <f aca="false">G570-G571</f>
        <v>19.128349640374</v>
      </c>
      <c r="H572" s="30" t="n">
        <f aca="false">H552*H576</f>
        <v>22.1165960673182</v>
      </c>
      <c r="I572" s="30" t="n">
        <f aca="false">I552*I576</f>
        <v>24.907330846102</v>
      </c>
      <c r="J572" s="30" t="n">
        <f aca="false">J552*J576</f>
        <v>27.3061958633271</v>
      </c>
    </row>
    <row r="573" customFormat="false" ht="15" hidden="false" customHeight="false" outlineLevel="0" collapsed="false">
      <c r="A573" s="3" t="s">
        <v>751</v>
      </c>
      <c r="B573" s="3" t="s">
        <v>465</v>
      </c>
      <c r="C573" s="29" t="n">
        <f aca="false">a25_sh</f>
        <v>0.454700854700855</v>
      </c>
      <c r="D573" s="29" t="n">
        <f aca="false">a26_sh</f>
        <v>0.508341020486215</v>
      </c>
      <c r="E573" s="29" t="n">
        <f aca="false">a26_shend*(1+sh_g)</f>
        <v>0.52691</v>
      </c>
      <c r="F573" s="29" t="n">
        <f aca="false">E573*(1+sh_g)</f>
        <v>0.52691</v>
      </c>
      <c r="G573" s="29" t="n">
        <f aca="false">F573*(1+sh_g)</f>
        <v>0.52691</v>
      </c>
      <c r="H573" s="31" t="n">
        <f aca="false">G573*(1+sh_g)</f>
        <v>0.52691</v>
      </c>
      <c r="I573" s="31" t="n">
        <f aca="false">H573*(1+sh_g)</f>
        <v>0.52691</v>
      </c>
      <c r="J573" s="31" t="n">
        <f aca="false">I573*(1+sh_g)</f>
        <v>0.52691</v>
      </c>
    </row>
    <row r="574" customFormat="false" ht="17.15" hidden="false" customHeight="false" outlineLevel="0" collapsed="false">
      <c r="A574" s="0" t="s">
        <v>604</v>
      </c>
      <c r="B574" s="0" t="s">
        <v>471</v>
      </c>
      <c r="C574" s="18" t="n">
        <f aca="false">C572/C573</f>
        <v>3.51</v>
      </c>
      <c r="D574" s="18" t="n">
        <f aca="false">D572/D573</f>
        <v>13.6943608612652</v>
      </c>
      <c r="E574" s="18" t="n">
        <f aca="false">E572/E573</f>
        <v>26.3900556471998</v>
      </c>
      <c r="F574" s="18" t="n">
        <f aca="false">F572/F573</f>
        <v>31.5001736871353</v>
      </c>
      <c r="G574" s="18" t="n">
        <f aca="false">G572/G573</f>
        <v>36.3028783670342</v>
      </c>
      <c r="H574" s="28" t="n">
        <f aca="false">H572/H573</f>
        <v>41.9741437196452</v>
      </c>
      <c r="I574" s="28" t="n">
        <f aca="false">I572/I573</f>
        <v>47.2705601451899</v>
      </c>
      <c r="J574" s="28" t="n">
        <f aca="false">J572/J573</f>
        <v>51.8232636756317</v>
      </c>
    </row>
    <row r="575" customFormat="false" ht="17.15" hidden="false" customHeight="false" outlineLevel="0" collapsed="false">
      <c r="A575" s="0" t="s">
        <v>752</v>
      </c>
      <c r="B575" s="0" t="s">
        <v>43</v>
      </c>
      <c r="D575" s="20" t="n">
        <f aca="false">D574/C574-1</f>
        <v>2.90152731090177</v>
      </c>
      <c r="E575" s="20" t="n">
        <f aca="false">E574/D574-1</f>
        <v>0.927074648795382</v>
      </c>
      <c r="F575" s="20" t="n">
        <f aca="false">F574/E574-1</f>
        <v>0.193638016844336</v>
      </c>
      <c r="G575" s="20" t="n">
        <f aca="false">G574/F574-1</f>
        <v>0.152465974556208</v>
      </c>
      <c r="H575" s="26" t="n">
        <f aca="false">H574/G574-1</f>
        <v>0.15622081795478</v>
      </c>
      <c r="I575" s="26" t="n">
        <f aca="false">I574/H574-1</f>
        <v>0.126182834387777</v>
      </c>
      <c r="J575" s="26" t="n">
        <f aca="false">J574/I574-1</f>
        <v>0.0963116052879076</v>
      </c>
    </row>
    <row r="576" customFormat="false" ht="17.15" hidden="false" customHeight="false" outlineLevel="0" collapsed="false">
      <c r="A576" s="3" t="s">
        <v>753</v>
      </c>
      <c r="B576" s="0" t="s">
        <v>43</v>
      </c>
      <c r="C576" s="16" t="n">
        <f aca="false">C572/C552</f>
        <v>0.0405580544331783</v>
      </c>
      <c r="D576" s="16" t="n">
        <f aca="false">D572/D552</f>
        <v>0.127906349105057</v>
      </c>
      <c r="E576" s="16" t="n">
        <f aca="false">E572/E552</f>
        <v>0.193036436623225</v>
      </c>
      <c r="F576" s="16" t="n">
        <f aca="false">F572/F552</f>
        <v>0.197352118852668</v>
      </c>
      <c r="G576" s="16" t="n">
        <f aca="false">G572/G552</f>
        <v>0.199019234466276</v>
      </c>
      <c r="H576" s="27" t="n">
        <f aca="false">$G576+(fade_mA-$G576)*1/3</f>
        <v>0.206338332873335</v>
      </c>
      <c r="I576" s="27" t="n">
        <f aca="false">$G576+(fade_mA-$G576)*2/3</f>
        <v>0.213657431280393</v>
      </c>
      <c r="J576" s="27" t="n">
        <f aca="false">$G576+(fade_mA-$G576)*3/3</f>
        <v>0.220976529687452</v>
      </c>
    </row>
    <row r="577" customFormat="false" ht="17.15" hidden="false" customHeight="false" outlineLevel="0" collapsed="false">
      <c r="A577" s="3" t="s">
        <v>754</v>
      </c>
      <c r="B577" s="0" t="s">
        <v>43</v>
      </c>
      <c r="C577" s="20" t="n">
        <f aca="false">C558/C552</f>
        <v>0.155421717364235</v>
      </c>
      <c r="D577" s="20" t="n">
        <f aca="false">D558/D552</f>
        <v>0.202110028699624</v>
      </c>
      <c r="E577" s="20" t="n">
        <f aca="false">E558/E552</f>
        <v>0.235999708484498</v>
      </c>
      <c r="F577" s="20" t="n">
        <f aca="false">F558/F552</f>
        <v>0.190244621212247</v>
      </c>
      <c r="G577" s="20" t="n">
        <f aca="false">G558/G552</f>
        <v>0.124852946464054</v>
      </c>
      <c r="H577" s="26" t="n">
        <f aca="false">$G577+($G560*(1+tp_g)^(life/2)-$G577)*1/3</f>
        <v>0.125778843252168</v>
      </c>
      <c r="I577" s="26" t="n">
        <f aca="false">$G577+($G560*(1+tp_g)^(life/2)-$G577)*2/3</f>
        <v>0.126704740040282</v>
      </c>
      <c r="J577" s="26" t="n">
        <f aca="false">$G577+($G560*(1+tp_g)^(life/2)-$G577)*3/3</f>
        <v>0.127630636828396</v>
      </c>
      <c r="K577" s="7" t="s">
        <v>755</v>
      </c>
    </row>
    <row r="578" customFormat="false" ht="15" hidden="false" customHeight="false" outlineLevel="0" collapsed="false">
      <c r="A578" s="3" t="s">
        <v>756</v>
      </c>
      <c r="B578" s="0" t="s">
        <v>379</v>
      </c>
      <c r="D578" s="21" t="n">
        <f aca="false">D572+D559-D558</f>
        <v>4.28140537512203</v>
      </c>
      <c r="E578" s="21" t="n">
        <f aca="false">E572+E559-E558</f>
        <v>5.56018422106607</v>
      </c>
      <c r="F578" s="21" t="n">
        <f aca="false">F572+F559-F558</f>
        <v>10.2958815174885</v>
      </c>
      <c r="G578" s="21" t="n">
        <f aca="false">G572+G559-G558</f>
        <v>17.614209015374</v>
      </c>
      <c r="H578" s="30" t="n">
        <f aca="false">H572+H559-H558</f>
        <v>20.3287709210453</v>
      </c>
      <c r="I578" s="30" t="n">
        <f aca="false">I572+I559-I558</f>
        <v>22.8549476148489</v>
      </c>
      <c r="J578" s="30" t="n">
        <f aca="false">J572+J559-J558</f>
        <v>25.0162560437722</v>
      </c>
      <c r="K578" s="3" t="s">
        <v>757</v>
      </c>
    </row>
    <row r="579" customFormat="false" ht="15" hidden="false" customHeight="false" outlineLevel="0" collapsed="false">
      <c r="A579" s="3" t="s">
        <v>758</v>
      </c>
      <c r="B579" s="0" t="s">
        <v>471</v>
      </c>
      <c r="D579" s="18" t="n">
        <f aca="false">D578/D573</f>
        <v>8.42230943909854</v>
      </c>
      <c r="E579" s="18" t="n">
        <f aca="false">E578/E573</f>
        <v>10.5524363194209</v>
      </c>
      <c r="F579" s="18" t="n">
        <f aca="false">F578/F573</f>
        <v>19.5401140944155</v>
      </c>
      <c r="G579" s="18" t="n">
        <f aca="false">G578/G573</f>
        <v>33.4292554997514</v>
      </c>
      <c r="H579" s="28" t="n">
        <f aca="false">H578/H573</f>
        <v>38.5811066805437</v>
      </c>
      <c r="I579" s="28" t="n">
        <f aca="false">I578/I573</f>
        <v>43.3754296081853</v>
      </c>
      <c r="J579" s="28" t="n">
        <f aca="false">J578/J573</f>
        <v>47.4772846288212</v>
      </c>
    </row>
    <row r="582" customFormat="false" ht="17.15" hidden="false" customHeight="false" outlineLevel="0" collapsed="false">
      <c r="A582" s="1" t="s">
        <v>1101</v>
      </c>
    </row>
    <row r="583" customFormat="false" ht="17.15" hidden="false" customHeight="false" outlineLevel="0" collapsed="false">
      <c r="A583" s="4" t="s">
        <v>20</v>
      </c>
      <c r="B583" s="4" t="s">
        <v>21</v>
      </c>
      <c r="C583" s="13" t="s">
        <v>567</v>
      </c>
      <c r="D583" s="13" t="s">
        <v>671</v>
      </c>
      <c r="E583" s="13" t="s">
        <v>672</v>
      </c>
      <c r="F583" s="13" t="s">
        <v>673</v>
      </c>
      <c r="G583" s="13" t="s">
        <v>674</v>
      </c>
      <c r="H583" s="13" t="s">
        <v>675</v>
      </c>
      <c r="I583" s="13" t="s">
        <v>676</v>
      </c>
      <c r="J583" s="13" t="s">
        <v>677</v>
      </c>
      <c r="K583" s="4" t="s">
        <v>631</v>
      </c>
    </row>
    <row r="584" customFormat="false" ht="17.15" hidden="false" customHeight="false" outlineLevel="0" collapsed="false">
      <c r="A584" s="5" t="s">
        <v>695</v>
      </c>
    </row>
    <row r="585" customFormat="false" ht="17.15" hidden="false" customHeight="false" outlineLevel="0" collapsed="false">
      <c r="A585" s="0" t="s">
        <v>696</v>
      </c>
      <c r="B585" s="3" t="s">
        <v>31</v>
      </c>
      <c r="D585" s="21" t="n">
        <f aca="false">(u_bw_26+u_rb_26+u_ru_26+u_hp_26)*1</f>
        <v>7.6</v>
      </c>
      <c r="E585" s="21" t="n">
        <f aca="false">(u_bw_27+u_rb_27+u_ru_27+u_hp_27)*1*1</f>
        <v>9.7</v>
      </c>
      <c r="F585" s="21" t="n">
        <f aca="false">(u_bw_28+u_rb_28+u_ru_28+u_hp_28)*um28_A*1</f>
        <v>9.5</v>
      </c>
      <c r="G585" s="21" t="n">
        <f aca="false">(u_bw_28*(1+g29_bw)+u_rb_28*(1+g29_rb)+u_ru_28*(1+g29_ru)+u_hp_28*(1+g29_hp))*um29_A*1</f>
        <v>10.6</v>
      </c>
      <c r="K585" s="7" t="s">
        <v>697</v>
      </c>
    </row>
    <row r="586" customFormat="false" ht="17.15" hidden="false" customHeight="false" outlineLevel="0" collapsed="false">
      <c r="A586" s="3" t="s">
        <v>698</v>
      </c>
      <c r="B586" s="3" t="s">
        <v>31</v>
      </c>
      <c r="D586" s="21" t="n">
        <f aca="false">(u_amd_26+u_tpu_26+u_trn_26+u_oth_26)*1</f>
        <v>7.6</v>
      </c>
      <c r="E586" s="21" t="n">
        <f aca="false">(u_amd_27+u_tpu_27+u_trn_27+u_oth_27)*1*1</f>
        <v>14</v>
      </c>
      <c r="F586" s="21" t="n">
        <f aca="false">(u_amd_28+u_tpu_28+u_trn_28+u_oth_28)*um28_A*1</f>
        <v>17</v>
      </c>
      <c r="G586" s="21" t="n">
        <f aca="false">(u_amd_28*(1+g29_amd)+u_tpu_28*(1+g29_tpu)+u_trn_28*(1+g29_trn)+u_oth_28*(1+g29_oth))*um29_A*1</f>
        <v>19.55</v>
      </c>
      <c r="K586" s="7" t="s">
        <v>699</v>
      </c>
    </row>
    <row r="587" customFormat="false" ht="17.15" hidden="false" customHeight="false" outlineLevel="0" collapsed="false">
      <c r="A587" s="0" t="s">
        <v>700</v>
      </c>
      <c r="B587" s="3" t="s">
        <v>31</v>
      </c>
      <c r="D587" s="21" t="n">
        <f aca="false">D585*cpu_r</f>
        <v>3.04</v>
      </c>
      <c r="E587" s="21" t="n">
        <f aca="false">E585*cpu_r</f>
        <v>3.88</v>
      </c>
      <c r="F587" s="21" t="n">
        <f aca="false">F585*cpu_r</f>
        <v>3.8</v>
      </c>
      <c r="G587" s="21" t="n">
        <f aca="false">G585*cpu_r</f>
        <v>4.24</v>
      </c>
      <c r="K587" s="7" t="s">
        <v>701</v>
      </c>
    </row>
    <row r="588" customFormat="false" ht="17.15" hidden="false" customHeight="false" outlineLevel="0" collapsed="false">
      <c r="A588" s="3" t="s">
        <v>702</v>
      </c>
      <c r="B588" s="0" t="s">
        <v>153</v>
      </c>
      <c r="D588" s="19" t="n">
        <f aca="false">1</f>
        <v>1</v>
      </c>
      <c r="E588" s="19" t="n">
        <f aca="false">D588*(1+g_asp)</f>
        <v>1.18</v>
      </c>
      <c r="F588" s="19" t="n">
        <f aca="false">E588*(1+g_asp)</f>
        <v>1.3924</v>
      </c>
      <c r="G588" s="19" t="n">
        <f aca="false">F588*(1+g_asp)</f>
        <v>1.643032</v>
      </c>
      <c r="K588" s="7" t="s">
        <v>703</v>
      </c>
    </row>
    <row r="589" customFormat="false" ht="17.15" hidden="false" customHeight="false" outlineLevel="0" collapsed="false">
      <c r="A589" s="0" t="s">
        <v>704</v>
      </c>
      <c r="B589" s="0" t="s">
        <v>153</v>
      </c>
      <c r="D589" s="18" t="n">
        <f aca="false">1</f>
        <v>1</v>
      </c>
      <c r="E589" s="18" t="n">
        <f aca="false">ibpp_27</f>
        <v>1</v>
      </c>
      <c r="F589" s="18" t="n">
        <f aca="false">ibpp_28</f>
        <v>0.95</v>
      </c>
      <c r="G589" s="18" t="n">
        <f aca="false">ibpp_29</f>
        <v>0.9</v>
      </c>
      <c r="K589" s="7" t="s">
        <v>705</v>
      </c>
    </row>
    <row r="590" customFormat="false" ht="17.15" hidden="false" customHeight="false" outlineLevel="0" collapsed="false">
      <c r="A590" s="3" t="s">
        <v>706</v>
      </c>
      <c r="B590" s="0" t="s">
        <v>153</v>
      </c>
      <c r="D590" s="18" t="n">
        <f aca="false">1</f>
        <v>1</v>
      </c>
      <c r="E590" s="18" t="n">
        <f aca="false">1+carry</f>
        <v>1.15</v>
      </c>
      <c r="F590" s="18" t="n">
        <f aca="false">1+carry</f>
        <v>1.15</v>
      </c>
      <c r="G590" s="18" t="n">
        <f aca="false">1+carry</f>
        <v>1.15</v>
      </c>
      <c r="K590" s="7" t="s">
        <v>707</v>
      </c>
    </row>
    <row r="591" customFormat="false" ht="17.15" hidden="false" customHeight="false" outlineLevel="0" collapsed="false">
      <c r="A591" s="3" t="s">
        <v>708</v>
      </c>
      <c r="B591" s="0" t="s">
        <v>709</v>
      </c>
      <c r="D591" s="23" t="n">
        <f aca="false">v26*D588*D589</f>
        <v>215.308596</v>
      </c>
      <c r="E591" s="23" t="n">
        <f aca="false">v26*E588*E589</f>
        <v>254.06414328</v>
      </c>
      <c r="F591" s="23" t="n">
        <f aca="false">v26*F588*F589</f>
        <v>284.80590461688</v>
      </c>
      <c r="G591" s="23" t="n">
        <f aca="false">v26*G588*G589</f>
        <v>318.383021792765</v>
      </c>
      <c r="K591" s="7" t="s">
        <v>710</v>
      </c>
    </row>
    <row r="592" customFormat="false" ht="17.15" hidden="false" customHeight="false" outlineLevel="0" collapsed="false">
      <c r="A592" s="3" t="s">
        <v>711</v>
      </c>
      <c r="B592" s="0" t="s">
        <v>43</v>
      </c>
      <c r="D592" s="20" t="n">
        <f aca="false">sh_nv_26</f>
        <v>0.02</v>
      </c>
      <c r="E592" s="20" t="n">
        <f aca="false">sh_nv_27</f>
        <v>0.03</v>
      </c>
      <c r="F592" s="20" t="n">
        <f aca="false">sh_nv_28</f>
        <v>0.05</v>
      </c>
      <c r="G592" s="20" t="n">
        <f aca="false">sh_nv_29</f>
        <v>0.06</v>
      </c>
    </row>
    <row r="593" customFormat="false" ht="17.15" hidden="false" customHeight="false" outlineLevel="0" collapsed="false">
      <c r="A593" s="3" t="s">
        <v>712</v>
      </c>
      <c r="B593" s="0" t="s">
        <v>43</v>
      </c>
      <c r="D593" s="20" t="n">
        <f aca="false">sh_ot_26</f>
        <v>0.03</v>
      </c>
      <c r="E593" s="20" t="n">
        <f aca="false">sh_ot_27</f>
        <v>0.05</v>
      </c>
      <c r="F593" s="20" t="n">
        <f aca="false">sh_ot_28</f>
        <v>0.06</v>
      </c>
      <c r="G593" s="20" t="n">
        <f aca="false">sh_ot_29</f>
        <v>0.06</v>
      </c>
    </row>
    <row r="594" customFormat="false" ht="17.15" hidden="false" customHeight="false" outlineLevel="0" collapsed="false">
      <c r="A594" s="3" t="s">
        <v>713</v>
      </c>
      <c r="B594" s="0" t="s">
        <v>43</v>
      </c>
      <c r="D594" s="20" t="n">
        <f aca="false">sh_cpu_26</f>
        <v>0.35</v>
      </c>
      <c r="E594" s="20" t="n">
        <f aca="false">sh_cpu_27</f>
        <v>0.7</v>
      </c>
      <c r="F594" s="20" t="n">
        <f aca="false">sh_cpu_28</f>
        <v>0.75</v>
      </c>
      <c r="G594" s="20" t="n">
        <f aca="false">sh_cpu_29</f>
        <v>0.7</v>
      </c>
    </row>
    <row r="595" customFormat="false" ht="17.15" hidden="false" customHeight="false" outlineLevel="0" collapsed="false">
      <c r="A595" s="3" t="s">
        <v>714</v>
      </c>
      <c r="B595" s="0" t="s">
        <v>661</v>
      </c>
      <c r="D595" s="22" t="n">
        <f aca="false">(D585*D591*D592+D586*D591*v_ot*D593+D587*D591*v_cpu*D594)*D590</f>
        <v>140.7256983456</v>
      </c>
      <c r="E595" s="22" t="n">
        <f aca="false">(E585*E591*E592+E586*E591*v_ot*E593+E587*E591*v_cpu*E594)*E590</f>
        <v>486.703057357198</v>
      </c>
      <c r="F595" s="22" t="n">
        <f aca="false">(F585*F591*F592+F586*F591*v_ot*F593+F587*F591*v_cpu*F594)*F590</f>
        <v>702.872492003998</v>
      </c>
      <c r="G595" s="22" t="n">
        <f aca="false">(G585*G591*G592+G586*G591*v_ot*G593+G587*G591*v_cpu*G594)*G590</f>
        <v>902.463042932027</v>
      </c>
    </row>
    <row r="596" customFormat="false" ht="17.15" hidden="false" customHeight="false" outlineLevel="0" collapsed="false">
      <c r="A596" s="3" t="s">
        <v>715</v>
      </c>
      <c r="B596" s="0" t="s">
        <v>379</v>
      </c>
      <c r="D596" s="21" t="n">
        <f aca="false">D595*fx/1000</f>
        <v>4.5032223470592</v>
      </c>
      <c r="E596" s="21" t="n">
        <f aca="false">E595*fx/1000</f>
        <v>15.5744978354303</v>
      </c>
      <c r="F596" s="21" t="n">
        <f aca="false">F595*fx/1000</f>
        <v>22.4919197441279</v>
      </c>
      <c r="G596" s="21" t="n">
        <f aca="false">G595*fx/1000</f>
        <v>28.8788173738249</v>
      </c>
    </row>
    <row r="597" customFormat="false" ht="17.15" hidden="false" customHeight="false" outlineLevel="0" collapsed="false">
      <c r="A597" s="5" t="s">
        <v>716</v>
      </c>
    </row>
    <row r="598" customFormat="false" ht="17.15" hidden="false" customHeight="false" outlineLevel="0" collapsed="false">
      <c r="A598" s="0" t="s">
        <v>717</v>
      </c>
      <c r="B598" s="0" t="s">
        <v>379</v>
      </c>
      <c r="D598" s="21" t="n">
        <f aca="false">a26_abf*ai_abf</f>
        <v>5.714709</v>
      </c>
      <c r="K598" s="3" t="s">
        <v>718</v>
      </c>
    </row>
    <row r="599" customFormat="false" ht="17.15" hidden="false" customHeight="false" outlineLevel="0" collapsed="false">
      <c r="A599" s="3" t="s">
        <v>719</v>
      </c>
      <c r="B599" s="0" t="s">
        <v>379</v>
      </c>
      <c r="D599" s="21" t="n">
        <f aca="false">D598-D596</f>
        <v>1.2114866529408</v>
      </c>
      <c r="E599" s="21" t="n">
        <f aca="false">$D599*(swm_27/swm_26)^el_o*1*1*E589*E590</f>
        <v>1.94870016016792</v>
      </c>
      <c r="F599" s="21" t="n">
        <f aca="false">$D599*(swm_28/swm_26)^el_o*um28_A*1*F589*F590</f>
        <v>1.99149622299173</v>
      </c>
      <c r="G599" s="21" t="n">
        <f aca="false">$D599*(swm_29/swm_26)^el_o*um29_A*1*G589*G590</f>
        <v>2.01272596640355</v>
      </c>
      <c r="K599" s="7" t="s">
        <v>720</v>
      </c>
    </row>
    <row r="600" customFormat="false" ht="17.15" hidden="false" customHeight="false" outlineLevel="0" collapsed="false">
      <c r="A600" s="3" t="s">
        <v>721</v>
      </c>
      <c r="B600" s="0" t="s">
        <v>379</v>
      </c>
      <c r="D600" s="21" t="n">
        <f aca="false">a26_abf-D598</f>
        <v>17.144127</v>
      </c>
      <c r="E600" s="21" t="n">
        <f aca="false">$D600*(1+g_nai)^1*E590</f>
        <v>20.898690813</v>
      </c>
      <c r="F600" s="21" t="n">
        <f aca="false">$D600*(1+g_nai)^2*F590</f>
        <v>22.15261226178</v>
      </c>
      <c r="G600" s="21" t="n">
        <f aca="false">$D600*(1+g_nai)^3*G590</f>
        <v>23.4817689974868</v>
      </c>
      <c r="K600" s="3" t="s">
        <v>722</v>
      </c>
    </row>
    <row r="601" customFormat="false" ht="17.15" hidden="false" customHeight="false" outlineLevel="0" collapsed="false">
      <c r="A601" s="0" t="s">
        <v>723</v>
      </c>
      <c r="B601" s="0" t="s">
        <v>379</v>
      </c>
      <c r="D601" s="21" t="n">
        <f aca="false">D596+D599+D600</f>
        <v>22.858836</v>
      </c>
      <c r="E601" s="21" t="n">
        <f aca="false">E596+E599+E600</f>
        <v>38.4218888085982</v>
      </c>
      <c r="F601" s="21" t="n">
        <f aca="false">F596+F599+F600</f>
        <v>46.6360282288997</v>
      </c>
      <c r="G601" s="21" t="n">
        <f aca="false">G596+G599+G600</f>
        <v>54.3733123377152</v>
      </c>
    </row>
    <row r="602" customFormat="false" ht="17.15" hidden="false" customHeight="false" outlineLevel="0" collapsed="false">
      <c r="A602" s="0" t="s">
        <v>724</v>
      </c>
      <c r="B602" s="0" t="s">
        <v>379</v>
      </c>
      <c r="D602" s="21" t="n">
        <f aca="false">a26_abf</f>
        <v>22.858836</v>
      </c>
      <c r="E602" s="21" t="n">
        <f aca="false">$D601*cap_27*(1+g_mix)^1*E589*E590</f>
        <v>33.122453364</v>
      </c>
      <c r="F602" s="21" t="n">
        <f aca="false">$D601*cap_28*(1+g_mix)^2*F589*F590</f>
        <v>41.2995590382375</v>
      </c>
      <c r="G602" s="21" t="n">
        <f aca="false">$D601*cap_29*(1+g_mix)^3*G589*G590</f>
        <v>50.6680379569114</v>
      </c>
      <c r="K602" s="7" t="s">
        <v>725</v>
      </c>
    </row>
    <row r="603" customFormat="false" ht="17.15" hidden="false" customHeight="false" outlineLevel="0" collapsed="false">
      <c r="A603" s="0" t="s">
        <v>726</v>
      </c>
      <c r="B603" s="0" t="s">
        <v>379</v>
      </c>
      <c r="D603" s="21" t="n">
        <f aca="false">a26_abf</f>
        <v>22.858836</v>
      </c>
      <c r="E603" s="21" t="n">
        <f aca="false">MIN(E601,E602)</f>
        <v>33.122453364</v>
      </c>
      <c r="F603" s="21" t="n">
        <f aca="false">MIN(F601,F602)</f>
        <v>41.2995590382375</v>
      </c>
      <c r="G603" s="21" t="n">
        <f aca="false">MIN(G601,G602)</f>
        <v>50.6680379569114</v>
      </c>
    </row>
    <row r="604" customFormat="false" ht="17.15" hidden="false" customHeight="false" outlineLevel="0" collapsed="false">
      <c r="A604" s="3" t="s">
        <v>727</v>
      </c>
      <c r="B604" s="0" t="s">
        <v>43</v>
      </c>
      <c r="D604" s="20" t="n">
        <f aca="false">D603/D601</f>
        <v>1</v>
      </c>
      <c r="E604" s="20" t="n">
        <f aca="false">E603/E601</f>
        <v>0.862072490215205</v>
      </c>
      <c r="F604" s="20" t="n">
        <f aca="false">F603/F601</f>
        <v>0.885571962422065</v>
      </c>
      <c r="G604" s="20" t="n">
        <f aca="false">G603/G601</f>
        <v>0.931854907830698</v>
      </c>
    </row>
    <row r="605" customFormat="false" ht="17.15" hidden="false" customHeight="false" outlineLevel="0" collapsed="false">
      <c r="A605" s="0" t="s">
        <v>728</v>
      </c>
      <c r="B605" s="0" t="s">
        <v>379</v>
      </c>
      <c r="D605" s="21" t="n">
        <f aca="false">(D596+D599)*D604</f>
        <v>5.714709</v>
      </c>
      <c r="E605" s="21" t="n">
        <f aca="false">(E596+E599)*E604</f>
        <v>15.1062669325995</v>
      </c>
      <c r="F605" s="21" t="n">
        <f aca="false">(F596+F599)*F604</f>
        <v>21.6818267247979</v>
      </c>
      <c r="G605" s="21" t="n">
        <f aca="false">(G596+G599)*G604</f>
        <v>28.7864362720566</v>
      </c>
    </row>
    <row r="606" customFormat="false" ht="17.15" hidden="false" customHeight="false" outlineLevel="0" collapsed="false">
      <c r="A606" s="3" t="s">
        <v>729</v>
      </c>
      <c r="B606" s="0" t="s">
        <v>43</v>
      </c>
      <c r="D606" s="20" t="n">
        <f aca="false">D596/(D596+D599)</f>
        <v>0.788005539225042</v>
      </c>
      <c r="E606" s="20" t="n">
        <f aca="false">E596/(E596+E599)</f>
        <v>0.888793120944167</v>
      </c>
      <c r="F606" s="20" t="n">
        <f aca="false">F596/(F596+F599)</f>
        <v>0.918659380469366</v>
      </c>
      <c r="G606" s="20" t="n">
        <f aca="false">G596/(G596+G599)</f>
        <v>0.934845405934042</v>
      </c>
    </row>
    <row r="607" customFormat="false" ht="17.15" hidden="false" customHeight="false" outlineLevel="0" collapsed="false">
      <c r="A607" s="5" t="s">
        <v>730</v>
      </c>
    </row>
    <row r="608" customFormat="false" ht="17.15" hidden="false" customHeight="false" outlineLevel="0" collapsed="false">
      <c r="A608" s="0" t="s">
        <v>731</v>
      </c>
      <c r="B608" s="0" t="s">
        <v>379</v>
      </c>
      <c r="D608" s="21" t="n">
        <f aca="false">a26_bt</f>
        <v>23.265964</v>
      </c>
      <c r="E608" s="21" t="n">
        <f aca="false">D608*(1+g_bt27_A)</f>
        <v>29.78043392</v>
      </c>
      <c r="F608" s="21" t="n">
        <f aca="false">E608*(1+g_bt28_A)</f>
        <v>32.758477312</v>
      </c>
      <c r="G608" s="21" t="n">
        <f aca="false">F608*(1+g_bt29_A)</f>
        <v>34.3964011776</v>
      </c>
      <c r="K608" s="7" t="s">
        <v>732</v>
      </c>
    </row>
    <row r="609" customFormat="false" ht="17.15" hidden="false" customHeight="false" outlineLevel="0" collapsed="false">
      <c r="A609" s="3" t="s">
        <v>617</v>
      </c>
      <c r="B609" s="0" t="s">
        <v>379</v>
      </c>
      <c r="C609" s="21" t="n">
        <f aca="false">a25_lens</f>
        <v>7.039</v>
      </c>
      <c r="D609" s="21" t="n">
        <f aca="false">a26_lens</f>
        <v>8.301</v>
      </c>
      <c r="E609" s="21" t="n">
        <f aca="false">D609*(1+g_lens)</f>
        <v>9.1311</v>
      </c>
      <c r="F609" s="21" t="n">
        <f aca="false">E609*(1+g_lens)</f>
        <v>10.04421</v>
      </c>
      <c r="G609" s="21" t="n">
        <f aca="false">F609*(1+g_lens)</f>
        <v>11.048631</v>
      </c>
      <c r="K609" s="3" t="s">
        <v>733</v>
      </c>
    </row>
    <row r="610" customFormat="false" ht="17.15" hidden="false" customHeight="false" outlineLevel="0" collapsed="false">
      <c r="A610" s="3" t="s">
        <v>574</v>
      </c>
      <c r="B610" s="0" t="s">
        <v>379</v>
      </c>
      <c r="C610" s="23" t="n">
        <f aca="false">a25_rev</f>
        <v>39.351</v>
      </c>
      <c r="D610" s="23" t="n">
        <f aca="false">D603+D608+D609</f>
        <v>54.4258</v>
      </c>
      <c r="E610" s="23" t="n">
        <f aca="false">E603+E608+E609</f>
        <v>72.033987284</v>
      </c>
      <c r="F610" s="23" t="n">
        <f aca="false">F603+F608+F609</f>
        <v>84.1022463502375</v>
      </c>
      <c r="G610" s="23" t="n">
        <f aca="false">G603+G608+G609</f>
        <v>96.1130701345114</v>
      </c>
      <c r="H610" s="25" t="n">
        <f aca="false">G610*(1+H612)</f>
        <v>107.186075216063</v>
      </c>
      <c r="I610" s="25" t="n">
        <f aca="false">H610*(1+I612)</f>
        <v>116.576010002736</v>
      </c>
      <c r="J610" s="25" t="n">
        <f aca="false">I610*(1+J612)</f>
        <v>123.5705706029</v>
      </c>
      <c r="K610" s="7" t="s">
        <v>734</v>
      </c>
    </row>
    <row r="611" customFormat="false" ht="17.15" hidden="false" customHeight="false" outlineLevel="0" collapsed="false">
      <c r="A611" s="3" t="s">
        <v>735</v>
      </c>
      <c r="B611" s="0" t="s">
        <v>379</v>
      </c>
      <c r="D611" s="19" t="n">
        <f aca="false">D603+D608+D609-D610</f>
        <v>0</v>
      </c>
      <c r="E611" s="19" t="n">
        <f aca="false">E603+E608+E609-E610</f>
        <v>0</v>
      </c>
      <c r="F611" s="19" t="n">
        <f aca="false">F603+F608+F609-F610</f>
        <v>0</v>
      </c>
      <c r="G611" s="19" t="n">
        <f aca="false">G603+G608+G609-G610</f>
        <v>0</v>
      </c>
    </row>
    <row r="612" customFormat="false" ht="15" hidden="false" customHeight="false" outlineLevel="0" collapsed="false">
      <c r="A612" s="3" t="s">
        <v>736</v>
      </c>
      <c r="B612" s="0" t="s">
        <v>43</v>
      </c>
      <c r="D612" s="20" t="n">
        <f aca="false">D610/C610-1</f>
        <v>0.383085563263958</v>
      </c>
      <c r="E612" s="20" t="n">
        <f aca="false">E610/D610-1</f>
        <v>0.323526476119781</v>
      </c>
      <c r="F612" s="20" t="n">
        <f aca="false">F610/E610-1</f>
        <v>0.167535624796909</v>
      </c>
      <c r="G612" s="20" t="n">
        <f aca="false">G610/F610-1</f>
        <v>0.142812163830389</v>
      </c>
      <c r="H612" s="26" t="n">
        <f aca="false">$G612+(fade_gA-$G612)*1/3</f>
        <v>0.115208109220259</v>
      </c>
      <c r="I612" s="26" t="n">
        <f aca="false">$G612+(fade_gA-$G612)*2/3</f>
        <v>0.0876040546101297</v>
      </c>
      <c r="J612" s="26" t="n">
        <f aca="false">$G612+(fade_gA-$G612)*3/3</f>
        <v>0.06</v>
      </c>
    </row>
    <row r="613" customFormat="false" ht="17.15" hidden="false" customHeight="false" outlineLevel="0" collapsed="false">
      <c r="A613" s="0" t="s">
        <v>737</v>
      </c>
      <c r="B613" s="0" t="s">
        <v>43</v>
      </c>
      <c r="D613" s="20" t="n">
        <f aca="false">D603/D610</f>
        <v>0.42</v>
      </c>
      <c r="E613" s="20" t="n">
        <f aca="false">E603/E610</f>
        <v>0.459817019893845</v>
      </c>
      <c r="F613" s="20" t="n">
        <f aca="false">F603/F610</f>
        <v>0.491063685341395</v>
      </c>
      <c r="G613" s="20" t="n">
        <f aca="false">G603/G610</f>
        <v>0.527171152539409</v>
      </c>
    </row>
    <row r="614" customFormat="false" ht="17.15" hidden="false" customHeight="false" outlineLevel="0" collapsed="false">
      <c r="A614" s="0" t="s">
        <v>738</v>
      </c>
      <c r="B614" s="0" t="s">
        <v>43</v>
      </c>
      <c r="D614" s="20" t="n">
        <f aca="false">D605/D610</f>
        <v>0.105</v>
      </c>
      <c r="E614" s="20" t="n">
        <f aca="false">E605/E610</f>
        <v>0.209710270140146</v>
      </c>
      <c r="F614" s="20" t="n">
        <f aca="false">F605/F610</f>
        <v>0.257803182028047</v>
      </c>
      <c r="G614" s="20" t="n">
        <f aca="false">G605/G610</f>
        <v>0.299505948897165</v>
      </c>
      <c r="K614" s="3" t="s">
        <v>739</v>
      </c>
    </row>
    <row r="615" customFormat="false" ht="17.15" hidden="false" customHeight="false" outlineLevel="0" collapsed="false">
      <c r="A615" s="5" t="s">
        <v>740</v>
      </c>
    </row>
    <row r="616" customFormat="false" ht="15" hidden="false" customHeight="false" outlineLevel="0" collapsed="false">
      <c r="A616" s="3" t="s">
        <v>741</v>
      </c>
      <c r="B616" s="0" t="s">
        <v>379</v>
      </c>
      <c r="C616" s="23" t="n">
        <f aca="false">a25_cx</f>
        <v>6.116</v>
      </c>
      <c r="D616" s="23" t="n">
        <f aca="false">capex26</f>
        <v>11</v>
      </c>
      <c r="E616" s="23" t="n">
        <f aca="false">cx27</f>
        <v>17</v>
      </c>
      <c r="F616" s="23" t="n">
        <f aca="false">cx28</f>
        <v>16</v>
      </c>
      <c r="G616" s="23" t="n">
        <f aca="false">cx29</f>
        <v>12</v>
      </c>
      <c r="H616" s="25" t="n">
        <f aca="false">H610*H635</f>
        <v>13.4817405534162</v>
      </c>
      <c r="I616" s="25" t="n">
        <f aca="false">I610*I635</f>
        <v>14.77073304233</v>
      </c>
      <c r="J616" s="25" t="n">
        <f aca="false">J610*J635</f>
        <v>15.7713906192965</v>
      </c>
    </row>
    <row r="617" customFormat="false" ht="17.15" hidden="false" customHeight="false" outlineLevel="0" collapsed="false">
      <c r="A617" s="3" t="s">
        <v>742</v>
      </c>
      <c r="B617" s="0" t="s">
        <v>379</v>
      </c>
      <c r="C617" s="23" t="n">
        <f aca="false">a25_da</f>
        <v>7.158</v>
      </c>
      <c r="D617" s="23" t="n">
        <f aca="false">da26</f>
        <v>8.32</v>
      </c>
      <c r="E617" s="23" t="n">
        <f aca="false">D617*(1-1/life)+D616/life</f>
        <v>8.655</v>
      </c>
      <c r="F617" s="23" t="n">
        <f aca="false">E617*(1-1/life)+E616/life</f>
        <v>9.698125</v>
      </c>
      <c r="G617" s="23" t="n">
        <f aca="false">F617*(1-1/life)+F616/life</f>
        <v>10.485859375</v>
      </c>
      <c r="H617" s="25" t="n">
        <f aca="false">H610*H618</f>
        <v>11.6939154071433</v>
      </c>
      <c r="I617" s="25" t="n">
        <f aca="false">I610*I618</f>
        <v>12.7183498110769</v>
      </c>
      <c r="J617" s="25" t="n">
        <f aca="false">J610*J618</f>
        <v>13.4814507997415</v>
      </c>
      <c r="K617" s="3" t="s">
        <v>743</v>
      </c>
    </row>
    <row r="618" customFormat="false" ht="17.15" hidden="false" customHeight="false" outlineLevel="0" collapsed="false">
      <c r="A618" s="3" t="s">
        <v>744</v>
      </c>
      <c r="B618" s="0" t="s">
        <v>43</v>
      </c>
      <c r="C618" s="20" t="n">
        <f aca="false">C617/C610</f>
        <v>0.181901349393916</v>
      </c>
      <c r="D618" s="20" t="n">
        <f aca="false">D617/D610</f>
        <v>0.152868676252807</v>
      </c>
      <c r="E618" s="20" t="n">
        <f aca="false">E617/E610</f>
        <v>0.120151616290196</v>
      </c>
      <c r="F618" s="20" t="n">
        <f aca="false">F617/F610</f>
        <v>0.115313507318376</v>
      </c>
      <c r="G618" s="20" t="n">
        <f aca="false">G617/G610</f>
        <v>0.109099203264706</v>
      </c>
      <c r="H618" s="26" t="n">
        <f aca="false">$G618</f>
        <v>0.109099203264706</v>
      </c>
      <c r="I618" s="26" t="n">
        <f aca="false">$G618</f>
        <v>0.109099203264706</v>
      </c>
      <c r="J618" s="26" t="n">
        <f aca="false">$G618</f>
        <v>0.109099203264706</v>
      </c>
    </row>
    <row r="619" customFormat="false" ht="17.15" hidden="false" customHeight="false" outlineLevel="0" collapsed="false">
      <c r="A619" s="0" t="s">
        <v>745</v>
      </c>
      <c r="B619" s="0" t="s">
        <v>379</v>
      </c>
      <c r="E619" s="21" t="n">
        <f aca="false">E604*((E596+E599)*(1-1/(E589*E590))+E600*(1-1/E590))</f>
        <v>4.320320004</v>
      </c>
      <c r="F619" s="21" t="n">
        <f aca="false">F604*((F596+F599)*(1-1/(F589*F590))+F600*(1-1/F590))</f>
        <v>4.39459572238805</v>
      </c>
      <c r="G619" s="21" t="n">
        <f aca="false">G604*((G596+G599)*(1-1/(G589*G590))+G600*(1-1/G590))</f>
        <v>3.827576325582</v>
      </c>
      <c r="K619" s="7" t="s">
        <v>746</v>
      </c>
    </row>
    <row r="620" customFormat="false" ht="17.15" hidden="false" customHeight="false" outlineLevel="0" collapsed="false">
      <c r="A620" s="3" t="s">
        <v>747</v>
      </c>
      <c r="B620" s="0" t="s">
        <v>379</v>
      </c>
      <c r="C620" s="21" t="n">
        <f aca="false">a25_gp</f>
        <v>8.314</v>
      </c>
      <c r="D620" s="21" t="n">
        <f aca="false">a26_gp</f>
        <v>15.328536</v>
      </c>
      <c r="E620" s="21" t="n">
        <f aca="false">$D620+ft_abf_hi*(E603-E619-$D603)+ft_bt*(E608-$D608)+ft_lens*(E609-$D609)+E619-(E617-$D617)</f>
        <v>26.184890884</v>
      </c>
      <c r="F620" s="21" t="n">
        <f aca="false">$D620+ft_abf_hi*(F603-F619-$D603)+ft_bt*(F608-$D608)+ft_lens*(F609-$D609)+F619-(F617-$D617)</f>
        <v>31.8287586022977</v>
      </c>
      <c r="G620" s="21" t="n">
        <f aca="false">$D620+ft_abf_hi*(G603-G619-$D603)+ft_bt*(G608-$D608)+ft_lens*(G609-$D609)+G619-(G617-$D617)</f>
        <v>37.6243590092996</v>
      </c>
      <c r="K620" s="3" t="s">
        <v>748</v>
      </c>
    </row>
    <row r="621" customFormat="false" ht="15" hidden="false" customHeight="false" outlineLevel="0" collapsed="false">
      <c r="A621" s="3" t="s">
        <v>581</v>
      </c>
      <c r="B621" s="0" t="s">
        <v>43</v>
      </c>
      <c r="C621" s="16" t="n">
        <f aca="false">C620/C610</f>
        <v>0.211277985311682</v>
      </c>
      <c r="D621" s="16" t="n">
        <f aca="false">D620/D610</f>
        <v>0.281640986443929</v>
      </c>
      <c r="E621" s="16" t="n">
        <f aca="false">E620/E610</f>
        <v>0.36350744796014</v>
      </c>
      <c r="F621" s="16" t="n">
        <f aca="false">F620/F610</f>
        <v>0.378453132746886</v>
      </c>
      <c r="G621" s="16" t="n">
        <f aca="false">G620/G610</f>
        <v>0.391459340094369</v>
      </c>
    </row>
    <row r="622" customFormat="false" ht="15" hidden="false" customHeight="false" outlineLevel="0" collapsed="false">
      <c r="A622" s="3" t="s">
        <v>583</v>
      </c>
      <c r="B622" s="0" t="s">
        <v>379</v>
      </c>
      <c r="C622" s="21" t="n">
        <f aca="false">a25_opx</f>
        <v>5.644</v>
      </c>
      <c r="D622" s="21" t="n">
        <f aca="false">a26_opx</f>
        <v>6.54036</v>
      </c>
      <c r="E622" s="21" t="n">
        <f aca="false">D622*(1+phi*E612)</f>
        <v>7.80994777401287</v>
      </c>
      <c r="F622" s="21" t="n">
        <f aca="false">E622*(1+phi*F612)</f>
        <v>8.59501446198315</v>
      </c>
      <c r="G622" s="21" t="n">
        <f aca="false">F622*(1+phi*G612)</f>
        <v>9.33149803006473</v>
      </c>
    </row>
    <row r="623" customFormat="false" ht="15" hidden="false" customHeight="false" outlineLevel="0" collapsed="false">
      <c r="A623" s="3" t="s">
        <v>586</v>
      </c>
      <c r="B623" s="0" t="s">
        <v>379</v>
      </c>
      <c r="C623" s="21" t="n">
        <f aca="false">C620-C622</f>
        <v>2.67</v>
      </c>
      <c r="D623" s="21" t="n">
        <f aca="false">D620-D622</f>
        <v>8.788176</v>
      </c>
      <c r="E623" s="21" t="n">
        <f aca="false">E620-E622</f>
        <v>18.3749431099871</v>
      </c>
      <c r="F623" s="21" t="n">
        <f aca="false">F620-F622</f>
        <v>23.2337441403146</v>
      </c>
      <c r="G623" s="21" t="n">
        <f aca="false">G620-G622</f>
        <v>28.2928609792349</v>
      </c>
    </row>
    <row r="624" customFormat="false" ht="15" hidden="false" customHeight="false" outlineLevel="0" collapsed="false">
      <c r="A624" s="3" t="s">
        <v>684</v>
      </c>
      <c r="B624" s="0" t="s">
        <v>43</v>
      </c>
      <c r="C624" s="16" t="n">
        <f aca="false">C623/C610</f>
        <v>0.0678508805367081</v>
      </c>
      <c r="D624" s="16" t="n">
        <f aca="false">D623/D610</f>
        <v>0.161470773052486</v>
      </c>
      <c r="E624" s="16" t="n">
        <f aca="false">E623/E610</f>
        <v>0.255087130433893</v>
      </c>
      <c r="F624" s="16" t="n">
        <f aca="false">F623/F610</f>
        <v>0.276255928332275</v>
      </c>
      <c r="G624" s="16" t="n">
        <f aca="false">G623/G610</f>
        <v>0.294370588096278</v>
      </c>
    </row>
    <row r="625" customFormat="false" ht="15" hidden="false" customHeight="false" outlineLevel="0" collapsed="false">
      <c r="A625" s="3" t="s">
        <v>589</v>
      </c>
      <c r="B625" s="0" t="s">
        <v>379</v>
      </c>
      <c r="C625" s="21" t="n">
        <f aca="false">a25_nonop</f>
        <v>0.417</v>
      </c>
      <c r="D625" s="21" t="n">
        <f aca="false">a26_nonop</f>
        <v>0.37882</v>
      </c>
      <c r="E625" s="21" t="n">
        <f aca="false">nonop27</f>
        <v>0.4</v>
      </c>
      <c r="F625" s="21" t="n">
        <f aca="false">nonop28</f>
        <v>0.4</v>
      </c>
      <c r="G625" s="21" t="n">
        <f aca="false">nonop29</f>
        <v>0.4</v>
      </c>
    </row>
    <row r="626" customFormat="false" ht="15" hidden="false" customHeight="false" outlineLevel="0" collapsed="false">
      <c r="A626" s="3" t="s">
        <v>591</v>
      </c>
      <c r="B626" s="0" t="s">
        <v>379</v>
      </c>
      <c r="C626" s="21" t="n">
        <f aca="false">C623+C625</f>
        <v>3.087</v>
      </c>
      <c r="D626" s="21" t="n">
        <f aca="false">D623+D625</f>
        <v>9.166996</v>
      </c>
      <c r="E626" s="21" t="n">
        <f aca="false">E623+E625</f>
        <v>18.7749431099871</v>
      </c>
      <c r="F626" s="21" t="n">
        <f aca="false">F623+F625</f>
        <v>23.6337441403146</v>
      </c>
      <c r="G626" s="21" t="n">
        <f aca="false">G623+G625</f>
        <v>28.6928609792349</v>
      </c>
    </row>
    <row r="627" customFormat="false" ht="15" hidden="false" customHeight="false" outlineLevel="0" collapsed="false">
      <c r="A627" s="3" t="s">
        <v>592</v>
      </c>
      <c r="B627" s="0" t="s">
        <v>379</v>
      </c>
      <c r="E627" s="21" t="n">
        <f aca="false">E626*tax</f>
        <v>2.25299317319846</v>
      </c>
      <c r="F627" s="21" t="n">
        <f aca="false">F626*tax</f>
        <v>2.83604929683775</v>
      </c>
      <c r="G627" s="21" t="n">
        <f aca="false">G626*tax</f>
        <v>3.44314331750819</v>
      </c>
    </row>
    <row r="628" customFormat="false" ht="15" hidden="false" customHeight="false" outlineLevel="0" collapsed="false">
      <c r="A628" s="3" t="s">
        <v>593</v>
      </c>
      <c r="B628" s="0" t="s">
        <v>379</v>
      </c>
      <c r="C628" s="21" t="n">
        <f aca="false">a25_nic</f>
        <v>2.71712</v>
      </c>
      <c r="D628" s="21" t="n">
        <f aca="false">a26_nic</f>
        <v>8.39979776</v>
      </c>
      <c r="E628" s="21" t="n">
        <f aca="false">E626-E627</f>
        <v>16.5219499367887</v>
      </c>
      <c r="F628" s="21" t="n">
        <f aca="false">F626-F627</f>
        <v>20.7976948434768</v>
      </c>
      <c r="G628" s="21" t="n">
        <f aca="false">G626-G627</f>
        <v>25.2497176617267</v>
      </c>
    </row>
    <row r="629" customFormat="false" ht="17.15" hidden="false" customHeight="false" outlineLevel="0" collapsed="false">
      <c r="A629" s="3" t="s">
        <v>749</v>
      </c>
      <c r="B629" s="0" t="s">
        <v>379</v>
      </c>
      <c r="C629" s="21" t="n">
        <f aca="false">a25_nci</f>
        <v>1.12112</v>
      </c>
      <c r="D629" s="21" t="n">
        <f aca="false">a26_nci</f>
        <v>1.43839238487797</v>
      </c>
      <c r="E629" s="21" t="n">
        <f aca="false">E609*nm_lens*nci_sh</f>
        <v>1.57074538036261</v>
      </c>
      <c r="F629" s="21" t="n">
        <f aca="false">F609*nm_lens*nci_sh</f>
        <v>1.72781991839887</v>
      </c>
      <c r="G629" s="21" t="n">
        <f aca="false">G609*nm_lens*nci_sh</f>
        <v>1.90060191023875</v>
      </c>
      <c r="K629" s="3" t="s">
        <v>750</v>
      </c>
    </row>
    <row r="630" customFormat="false" ht="15" hidden="false" customHeight="false" outlineLevel="0" collapsed="false">
      <c r="A630" s="3" t="s">
        <v>599</v>
      </c>
      <c r="B630" s="0" t="s">
        <v>379</v>
      </c>
      <c r="C630" s="21" t="n">
        <f aca="false">a25_ni</f>
        <v>1.596</v>
      </c>
      <c r="D630" s="21" t="n">
        <f aca="false">a26_ni</f>
        <v>6.96140537512203</v>
      </c>
      <c r="E630" s="21" t="n">
        <f aca="false">E628-E629</f>
        <v>14.9512045564261</v>
      </c>
      <c r="F630" s="21" t="n">
        <f aca="false">F628-F629</f>
        <v>19.069874925078</v>
      </c>
      <c r="G630" s="21" t="n">
        <f aca="false">G628-G629</f>
        <v>23.349115751488</v>
      </c>
      <c r="H630" s="30" t="n">
        <f aca="false">H610*H634</f>
        <v>25.2546177968091</v>
      </c>
      <c r="I630" s="30" t="n">
        <f aca="false">I610*I634</f>
        <v>26.6137934243265</v>
      </c>
      <c r="J630" s="30" t="n">
        <f aca="false">J610*J634</f>
        <v>27.3061958633271</v>
      </c>
    </row>
    <row r="631" customFormat="false" ht="15" hidden="false" customHeight="false" outlineLevel="0" collapsed="false">
      <c r="A631" s="3" t="s">
        <v>751</v>
      </c>
      <c r="B631" s="3" t="s">
        <v>465</v>
      </c>
      <c r="C631" s="29" t="n">
        <f aca="false">a25_sh</f>
        <v>0.454700854700855</v>
      </c>
      <c r="D631" s="29" t="n">
        <f aca="false">a26_sh</f>
        <v>0.508341020486215</v>
      </c>
      <c r="E631" s="29" t="n">
        <f aca="false">a26_shend*(1+sh_g)</f>
        <v>0.52691</v>
      </c>
      <c r="F631" s="29" t="n">
        <f aca="false">E631*(1+sh_g)</f>
        <v>0.52691</v>
      </c>
      <c r="G631" s="29" t="n">
        <f aca="false">F631*(1+sh_g)</f>
        <v>0.52691</v>
      </c>
      <c r="H631" s="31" t="n">
        <f aca="false">G631*(1+sh_g)</f>
        <v>0.52691</v>
      </c>
      <c r="I631" s="31" t="n">
        <f aca="false">H631*(1+sh_g)</f>
        <v>0.52691</v>
      </c>
      <c r="J631" s="31" t="n">
        <f aca="false">I631*(1+sh_g)</f>
        <v>0.52691</v>
      </c>
    </row>
    <row r="632" customFormat="false" ht="17.15" hidden="false" customHeight="false" outlineLevel="0" collapsed="false">
      <c r="A632" s="0" t="s">
        <v>604</v>
      </c>
      <c r="B632" s="0" t="s">
        <v>471</v>
      </c>
      <c r="C632" s="18" t="n">
        <f aca="false">C630/C631</f>
        <v>3.51</v>
      </c>
      <c r="D632" s="18" t="n">
        <f aca="false">D630/D631</f>
        <v>13.6943608612652</v>
      </c>
      <c r="E632" s="18" t="n">
        <f aca="false">E630/E631</f>
        <v>28.3752529965764</v>
      </c>
      <c r="F632" s="18" t="n">
        <f aca="false">F630/F631</f>
        <v>36.1919017006281</v>
      </c>
      <c r="G632" s="18" t="n">
        <f aca="false">G630/G631</f>
        <v>44.3132902231652</v>
      </c>
      <c r="H632" s="28" t="n">
        <f aca="false">H630/H631</f>
        <v>47.9296612264127</v>
      </c>
      <c r="I632" s="28" t="n">
        <f aca="false">I630/I631</f>
        <v>50.5091826390209</v>
      </c>
      <c r="J632" s="28" t="n">
        <f aca="false">J630/J631</f>
        <v>51.8232636756317</v>
      </c>
    </row>
    <row r="633" customFormat="false" ht="17.15" hidden="false" customHeight="false" outlineLevel="0" collapsed="false">
      <c r="A633" s="0" t="s">
        <v>752</v>
      </c>
      <c r="B633" s="0" t="s">
        <v>43</v>
      </c>
      <c r="D633" s="20" t="n">
        <f aca="false">D632/C632-1</f>
        <v>2.90152731090177</v>
      </c>
      <c r="E633" s="20" t="n">
        <f aca="false">E632/D632-1</f>
        <v>1.07203923454627</v>
      </c>
      <c r="F633" s="20" t="n">
        <f aca="false">F632/E632-1</f>
        <v>0.275474150133387</v>
      </c>
      <c r="G633" s="20" t="n">
        <f aca="false">G632/F632-1</f>
        <v>0.224397949290299</v>
      </c>
      <c r="H633" s="26" t="n">
        <f aca="false">H632/G632-1</f>
        <v>0.0816091737949325</v>
      </c>
      <c r="I633" s="26" t="n">
        <f aca="false">I632/H632-1</f>
        <v>0.053818895160199</v>
      </c>
      <c r="J633" s="26" t="n">
        <f aca="false">J632/I632-1</f>
        <v>0.0260166759379636</v>
      </c>
    </row>
    <row r="634" customFormat="false" ht="17.15" hidden="false" customHeight="false" outlineLevel="0" collapsed="false">
      <c r="A634" s="3" t="s">
        <v>753</v>
      </c>
      <c r="B634" s="0" t="s">
        <v>43</v>
      </c>
      <c r="C634" s="16" t="n">
        <f aca="false">C630/C610</f>
        <v>0.0405580544331783</v>
      </c>
      <c r="D634" s="16" t="n">
        <f aca="false">D630/D610</f>
        <v>0.127906349105057</v>
      </c>
      <c r="E634" s="16" t="n">
        <f aca="false">E630/E610</f>
        <v>0.207557642165214</v>
      </c>
      <c r="F634" s="16" t="n">
        <f aca="false">F630/F610</f>
        <v>0.226746320730399</v>
      </c>
      <c r="G634" s="16" t="n">
        <f aca="false">G630/G610</f>
        <v>0.242933824908627</v>
      </c>
      <c r="H634" s="27" t="n">
        <f aca="false">$G634+(fade_mA-$G634)*1/3</f>
        <v>0.235614726501568</v>
      </c>
      <c r="I634" s="27" t="n">
        <f aca="false">$G634+(fade_mA-$G634)*2/3</f>
        <v>0.22829562809451</v>
      </c>
      <c r="J634" s="27" t="n">
        <f aca="false">$G634+(fade_mA-$G634)*3/3</f>
        <v>0.220976529687452</v>
      </c>
    </row>
    <row r="635" customFormat="false" ht="17.15" hidden="false" customHeight="false" outlineLevel="0" collapsed="false">
      <c r="A635" s="3" t="s">
        <v>754</v>
      </c>
      <c r="B635" s="0" t="s">
        <v>43</v>
      </c>
      <c r="C635" s="20" t="n">
        <f aca="false">C616/C610</f>
        <v>0.155421717364235</v>
      </c>
      <c r="D635" s="20" t="n">
        <f aca="false">D616/D610</f>
        <v>0.202110028699624</v>
      </c>
      <c r="E635" s="20" t="n">
        <f aca="false">E616/E610</f>
        <v>0.235999708484498</v>
      </c>
      <c r="F635" s="20" t="n">
        <f aca="false">F616/F610</f>
        <v>0.190244621212247</v>
      </c>
      <c r="G635" s="20" t="n">
        <f aca="false">G616/G610</f>
        <v>0.124852946464054</v>
      </c>
      <c r="H635" s="26" t="n">
        <f aca="false">$G635+($G618*(1+tp_g)^(life/2)-$G635)*1/3</f>
        <v>0.125778843252168</v>
      </c>
      <c r="I635" s="26" t="n">
        <f aca="false">$G635+($G618*(1+tp_g)^(life/2)-$G635)*2/3</f>
        <v>0.126704740040282</v>
      </c>
      <c r="J635" s="26" t="n">
        <f aca="false">$G635+($G618*(1+tp_g)^(life/2)-$G635)*3/3</f>
        <v>0.127630636828396</v>
      </c>
      <c r="K635" s="7" t="s">
        <v>755</v>
      </c>
    </row>
    <row r="636" customFormat="false" ht="15" hidden="false" customHeight="false" outlineLevel="0" collapsed="false">
      <c r="A636" s="3" t="s">
        <v>756</v>
      </c>
      <c r="B636" s="0" t="s">
        <v>379</v>
      </c>
      <c r="D636" s="21" t="n">
        <f aca="false">D630+D617-D616</f>
        <v>4.28140537512203</v>
      </c>
      <c r="E636" s="21" t="n">
        <f aca="false">E630+E617-E616</f>
        <v>6.60620455642607</v>
      </c>
      <c r="F636" s="21" t="n">
        <f aca="false">F630+F617-F616</f>
        <v>12.767999925078</v>
      </c>
      <c r="G636" s="21" t="n">
        <f aca="false">G630+G617-G616</f>
        <v>21.8349751264879</v>
      </c>
      <c r="H636" s="30" t="n">
        <f aca="false">H630+H617-H616</f>
        <v>23.4667926505362</v>
      </c>
      <c r="I636" s="30" t="n">
        <f aca="false">I630+I617-I616</f>
        <v>24.5614101930734</v>
      </c>
      <c r="J636" s="30" t="n">
        <f aca="false">J630+J617-J616</f>
        <v>25.0162560437722</v>
      </c>
      <c r="K636" s="3" t="s">
        <v>757</v>
      </c>
    </row>
    <row r="637" customFormat="false" ht="15" hidden="false" customHeight="false" outlineLevel="0" collapsed="false">
      <c r="A637" s="3" t="s">
        <v>758</v>
      </c>
      <c r="B637" s="0" t="s">
        <v>471</v>
      </c>
      <c r="D637" s="18" t="n">
        <f aca="false">D636/D631</f>
        <v>8.42230943909854</v>
      </c>
      <c r="E637" s="18" t="n">
        <f aca="false">E636/E631</f>
        <v>12.5376336687975</v>
      </c>
      <c r="F637" s="18" t="n">
        <f aca="false">F636/F631</f>
        <v>24.2318421079083</v>
      </c>
      <c r="G637" s="18" t="n">
        <f aca="false">G636/G631</f>
        <v>41.4396673558823</v>
      </c>
      <c r="H637" s="28" t="n">
        <f aca="false">H636/H631</f>
        <v>44.5366241873113</v>
      </c>
      <c r="I637" s="28" t="n">
        <f aca="false">I636/I631</f>
        <v>46.6140521020163</v>
      </c>
      <c r="J637" s="28" t="n">
        <f aca="false">J636/J631</f>
        <v>47.4772846288212</v>
      </c>
    </row>
    <row r="640" customFormat="false" ht="17.15" hidden="false" customHeight="false" outlineLevel="0" collapsed="false">
      <c r="A640" s="1" t="s">
        <v>1102</v>
      </c>
    </row>
    <row r="641" customFormat="false" ht="17.15" hidden="false" customHeight="false" outlineLevel="0" collapsed="false">
      <c r="A641" s="4" t="s">
        <v>20</v>
      </c>
      <c r="B641" s="4" t="s">
        <v>21</v>
      </c>
      <c r="C641" s="13" t="s">
        <v>567</v>
      </c>
      <c r="D641" s="13" t="s">
        <v>671</v>
      </c>
      <c r="E641" s="13" t="s">
        <v>672</v>
      </c>
      <c r="F641" s="13" t="s">
        <v>673</v>
      </c>
      <c r="G641" s="13" t="s">
        <v>674</v>
      </c>
      <c r="H641" s="13" t="s">
        <v>675</v>
      </c>
      <c r="I641" s="13" t="s">
        <v>676</v>
      </c>
      <c r="J641" s="13" t="s">
        <v>677</v>
      </c>
      <c r="K641" s="4" t="s">
        <v>631</v>
      </c>
    </row>
    <row r="642" customFormat="false" ht="17.15" hidden="false" customHeight="false" outlineLevel="0" collapsed="false">
      <c r="A642" s="5" t="s">
        <v>695</v>
      </c>
    </row>
    <row r="643" customFormat="false" ht="17.15" hidden="false" customHeight="false" outlineLevel="0" collapsed="false">
      <c r="A643" s="0" t="s">
        <v>696</v>
      </c>
      <c r="B643" s="3" t="s">
        <v>31</v>
      </c>
      <c r="D643" s="21" t="n">
        <f aca="false">(u_bw_26+u_rb_26+u_ru_26+u_hp_26)*1</f>
        <v>7.6</v>
      </c>
      <c r="E643" s="21" t="n">
        <f aca="false">(u_bw_27+u_rb_27+u_ru_27+u_hp_27)*1*1</f>
        <v>9.7</v>
      </c>
      <c r="F643" s="21" t="n">
        <f aca="false">(u_bw_28+u_rb_28+u_ru_28+u_hp_28)*um28_A*1</f>
        <v>9.5</v>
      </c>
      <c r="G643" s="21" t="n">
        <f aca="false">(u_bw_28*(1+g29_bw)+u_rb_28*(1+g29_rb)+u_ru_28*(1+g29_ru)+u_hp_28*(1+g29_hp))*um29_A*1</f>
        <v>10.6</v>
      </c>
      <c r="K643" s="7" t="s">
        <v>697</v>
      </c>
    </row>
    <row r="644" customFormat="false" ht="17.15" hidden="false" customHeight="false" outlineLevel="0" collapsed="false">
      <c r="A644" s="3" t="s">
        <v>698</v>
      </c>
      <c r="B644" s="3" t="s">
        <v>31</v>
      </c>
      <c r="D644" s="21" t="n">
        <f aca="false">(u_amd_26+u_tpu_26+u_trn_26+u_oth_26)*1</f>
        <v>7.6</v>
      </c>
      <c r="E644" s="21" t="n">
        <f aca="false">(u_amd_27+u_tpu_27+u_trn_27+u_oth_27)*1*1</f>
        <v>14</v>
      </c>
      <c r="F644" s="21" t="n">
        <f aca="false">(u_amd_28+u_tpu_28+u_trn_28+u_oth_28)*um28_A*1</f>
        <v>17</v>
      </c>
      <c r="G644" s="21" t="n">
        <f aca="false">(u_amd_28*(1+g29_amd)+u_tpu_28*(1+g29_tpu)+u_trn_28*(1+g29_trn)+u_oth_28*(1+g29_oth))*um29_A*1</f>
        <v>19.55</v>
      </c>
      <c r="K644" s="7" t="s">
        <v>699</v>
      </c>
    </row>
    <row r="645" customFormat="false" ht="17.15" hidden="false" customHeight="false" outlineLevel="0" collapsed="false">
      <c r="A645" s="0" t="s">
        <v>700</v>
      </c>
      <c r="B645" s="3" t="s">
        <v>31</v>
      </c>
      <c r="D645" s="21" t="n">
        <f aca="false">D643*cpu_r</f>
        <v>3.04</v>
      </c>
      <c r="E645" s="21" t="n">
        <f aca="false">E643*cpu_r</f>
        <v>3.88</v>
      </c>
      <c r="F645" s="21" t="n">
        <f aca="false">F643*cpu_r</f>
        <v>3.8</v>
      </c>
      <c r="G645" s="21" t="n">
        <f aca="false">G643*cpu_r</f>
        <v>4.24</v>
      </c>
      <c r="K645" s="7" t="s">
        <v>701</v>
      </c>
    </row>
    <row r="646" customFormat="false" ht="17.15" hidden="false" customHeight="false" outlineLevel="0" collapsed="false">
      <c r="A646" s="3" t="s">
        <v>702</v>
      </c>
      <c r="B646" s="0" t="s">
        <v>153</v>
      </c>
      <c r="D646" s="19" t="n">
        <f aca="false">1</f>
        <v>1</v>
      </c>
      <c r="E646" s="19" t="n">
        <f aca="false">D646*(1+g_asp)</f>
        <v>1.18</v>
      </c>
      <c r="F646" s="19" t="n">
        <f aca="false">E646*(1+g_asp)</f>
        <v>1.3924</v>
      </c>
      <c r="G646" s="19" t="n">
        <f aca="false">F646*(1+g_asp)</f>
        <v>1.643032</v>
      </c>
      <c r="K646" s="7" t="s">
        <v>703</v>
      </c>
    </row>
    <row r="647" customFormat="false" ht="17.15" hidden="false" customHeight="false" outlineLevel="0" collapsed="false">
      <c r="A647" s="0" t="s">
        <v>704</v>
      </c>
      <c r="B647" s="0" t="s">
        <v>153</v>
      </c>
      <c r="D647" s="18" t="n">
        <f aca="false">1</f>
        <v>1</v>
      </c>
      <c r="E647" s="18" t="n">
        <f aca="false">ibpp_27</f>
        <v>1</v>
      </c>
      <c r="F647" s="18" t="n">
        <f aca="false">ibpp_28</f>
        <v>0.95</v>
      </c>
      <c r="G647" s="18" t="n">
        <f aca="false">ibpp_29</f>
        <v>0.9</v>
      </c>
      <c r="K647" s="7" t="s">
        <v>705</v>
      </c>
    </row>
    <row r="648" customFormat="false" ht="17.15" hidden="false" customHeight="false" outlineLevel="0" collapsed="false">
      <c r="A648" s="3" t="s">
        <v>706</v>
      </c>
      <c r="B648" s="0" t="s">
        <v>153</v>
      </c>
      <c r="D648" s="18" t="n">
        <f aca="false">1</f>
        <v>1</v>
      </c>
      <c r="E648" s="18" t="n">
        <f aca="false">1+carry</f>
        <v>1.15</v>
      </c>
      <c r="F648" s="18" t="n">
        <f aca="false">1+carry</f>
        <v>1.15</v>
      </c>
      <c r="G648" s="18" t="n">
        <f aca="false">1+carry</f>
        <v>1.15</v>
      </c>
      <c r="K648" s="7" t="s">
        <v>707</v>
      </c>
    </row>
    <row r="649" customFormat="false" ht="17.15" hidden="false" customHeight="false" outlineLevel="0" collapsed="false">
      <c r="A649" s="3" t="s">
        <v>708</v>
      </c>
      <c r="B649" s="0" t="s">
        <v>709</v>
      </c>
      <c r="D649" s="23" t="n">
        <f aca="false">v26*D646*D647</f>
        <v>215.308596</v>
      </c>
      <c r="E649" s="23" t="n">
        <f aca="false">v26*E646*E647</f>
        <v>254.06414328</v>
      </c>
      <c r="F649" s="23" t="n">
        <f aca="false">v26*F646*F647</f>
        <v>284.80590461688</v>
      </c>
      <c r="G649" s="23" t="n">
        <f aca="false">v26*G646*G647</f>
        <v>318.383021792765</v>
      </c>
      <c r="K649" s="7" t="s">
        <v>710</v>
      </c>
    </row>
    <row r="650" customFormat="false" ht="17.15" hidden="false" customHeight="false" outlineLevel="0" collapsed="false">
      <c r="A650" s="3" t="s">
        <v>711</v>
      </c>
      <c r="B650" s="0" t="s">
        <v>43</v>
      </c>
      <c r="D650" s="20" t="n">
        <f aca="false">sh_nv_26</f>
        <v>0.02</v>
      </c>
      <c r="E650" s="20" t="n">
        <f aca="false">sh_nv_27</f>
        <v>0.03</v>
      </c>
      <c r="F650" s="20" t="n">
        <f aca="false">sh_nv_28</f>
        <v>0.05</v>
      </c>
      <c r="G650" s="20" t="n">
        <f aca="false">sh_nv_29</f>
        <v>0.06</v>
      </c>
    </row>
    <row r="651" customFormat="false" ht="17.15" hidden="false" customHeight="false" outlineLevel="0" collapsed="false">
      <c r="A651" s="3" t="s">
        <v>712</v>
      </c>
      <c r="B651" s="0" t="s">
        <v>43</v>
      </c>
      <c r="D651" s="20" t="n">
        <f aca="false">sh_ot_26</f>
        <v>0.03</v>
      </c>
      <c r="E651" s="20" t="n">
        <f aca="false">sh_ot_27</f>
        <v>0.05</v>
      </c>
      <c r="F651" s="20" t="n">
        <f aca="false">sh_ot_28</f>
        <v>0.06</v>
      </c>
      <c r="G651" s="20" t="n">
        <f aca="false">sh_ot_29</f>
        <v>0.06</v>
      </c>
    </row>
    <row r="652" customFormat="false" ht="17.15" hidden="false" customHeight="false" outlineLevel="0" collapsed="false">
      <c r="A652" s="3" t="s">
        <v>713</v>
      </c>
      <c r="B652" s="0" t="s">
        <v>43</v>
      </c>
      <c r="D652" s="20" t="n">
        <f aca="false">sh_cpu_26</f>
        <v>0.35</v>
      </c>
      <c r="E652" s="20" t="n">
        <f aca="false">sh_cpu_27</f>
        <v>0.7</v>
      </c>
      <c r="F652" s="20" t="n">
        <f aca="false">sh_cpu_28</f>
        <v>0.75</v>
      </c>
      <c r="G652" s="20" t="n">
        <f aca="false">sh_cpu_29</f>
        <v>0.7</v>
      </c>
    </row>
    <row r="653" customFormat="false" ht="17.15" hidden="false" customHeight="false" outlineLevel="0" collapsed="false">
      <c r="A653" s="3" t="s">
        <v>714</v>
      </c>
      <c r="B653" s="0" t="s">
        <v>661</v>
      </c>
      <c r="D653" s="22" t="n">
        <f aca="false">(D643*D649*D650+D644*D649*v_ot*D651+D645*D649*v_cpu*D652)*D648</f>
        <v>140.7256983456</v>
      </c>
      <c r="E653" s="22" t="n">
        <f aca="false">(E643*E649*E650+E644*E649*v_ot*E651+E645*E649*v_cpu*E652)*E648</f>
        <v>486.703057357198</v>
      </c>
      <c r="F653" s="22" t="n">
        <f aca="false">(F643*F649*F650+F644*F649*v_ot*F651+F645*F649*v_cpu*F652)*F648</f>
        <v>702.872492003998</v>
      </c>
      <c r="G653" s="22" t="n">
        <f aca="false">(G643*G649*G650+G644*G649*v_ot*G651+G645*G649*v_cpu*G652)*G648</f>
        <v>902.463042932027</v>
      </c>
    </row>
    <row r="654" customFormat="false" ht="17.15" hidden="false" customHeight="false" outlineLevel="0" collapsed="false">
      <c r="A654" s="3" t="s">
        <v>715</v>
      </c>
      <c r="B654" s="0" t="s">
        <v>379</v>
      </c>
      <c r="D654" s="21" t="n">
        <f aca="false">D653*fx/1000</f>
        <v>4.5032223470592</v>
      </c>
      <c r="E654" s="21" t="n">
        <f aca="false">E653*fx/1000</f>
        <v>15.5744978354303</v>
      </c>
      <c r="F654" s="21" t="n">
        <f aca="false">F653*fx/1000</f>
        <v>22.4919197441279</v>
      </c>
      <c r="G654" s="21" t="n">
        <f aca="false">G653*fx/1000</f>
        <v>28.8788173738249</v>
      </c>
    </row>
    <row r="655" customFormat="false" ht="17.15" hidden="false" customHeight="false" outlineLevel="0" collapsed="false">
      <c r="A655" s="5" t="s">
        <v>716</v>
      </c>
    </row>
    <row r="656" customFormat="false" ht="17.15" hidden="false" customHeight="false" outlineLevel="0" collapsed="false">
      <c r="A656" s="0" t="s">
        <v>717</v>
      </c>
      <c r="B656" s="0" t="s">
        <v>379</v>
      </c>
      <c r="D656" s="21" t="n">
        <f aca="false">a26_abf*ai_abf</f>
        <v>5.714709</v>
      </c>
      <c r="K656" s="3" t="s">
        <v>718</v>
      </c>
    </row>
    <row r="657" customFormat="false" ht="17.15" hidden="false" customHeight="false" outlineLevel="0" collapsed="false">
      <c r="A657" s="3" t="s">
        <v>719</v>
      </c>
      <c r="B657" s="0" t="s">
        <v>379</v>
      </c>
      <c r="D657" s="21" t="n">
        <f aca="false">D656-D654</f>
        <v>1.2114866529408</v>
      </c>
      <c r="E657" s="21" t="n">
        <f aca="false">$D657*(swm_27/swm_26)^el_o*1*1*E647*E648</f>
        <v>1.94870016016792</v>
      </c>
      <c r="F657" s="21" t="n">
        <f aca="false">$D657*(swm_28/swm_26)^el_o*um28_A*1*F647*F648</f>
        <v>1.99149622299173</v>
      </c>
      <c r="G657" s="21" t="n">
        <f aca="false">$D657*(swm_29/swm_26)^el_o*um29_A*1*G647*G648</f>
        <v>2.01272596640355</v>
      </c>
      <c r="K657" s="7" t="s">
        <v>720</v>
      </c>
    </row>
    <row r="658" customFormat="false" ht="17.15" hidden="false" customHeight="false" outlineLevel="0" collapsed="false">
      <c r="A658" s="3" t="s">
        <v>721</v>
      </c>
      <c r="B658" s="0" t="s">
        <v>379</v>
      </c>
      <c r="D658" s="21" t="n">
        <f aca="false">a26_abf-D656</f>
        <v>17.144127</v>
      </c>
      <c r="E658" s="21" t="n">
        <f aca="false">$D658*(1+g_nai)^1*E648</f>
        <v>20.898690813</v>
      </c>
      <c r="F658" s="21" t="n">
        <f aca="false">$D658*(1+g_nai)^2*F648</f>
        <v>22.15261226178</v>
      </c>
      <c r="G658" s="21" t="n">
        <f aca="false">$D658*(1+g_nai)^3*G648</f>
        <v>23.4817689974868</v>
      </c>
      <c r="K658" s="3" t="s">
        <v>722</v>
      </c>
    </row>
    <row r="659" customFormat="false" ht="17.15" hidden="false" customHeight="false" outlineLevel="0" collapsed="false">
      <c r="A659" s="0" t="s">
        <v>723</v>
      </c>
      <c r="B659" s="0" t="s">
        <v>379</v>
      </c>
      <c r="D659" s="21" t="n">
        <f aca="false">D654+D657+D658</f>
        <v>22.858836</v>
      </c>
      <c r="E659" s="21" t="n">
        <f aca="false">E654+E657+E658</f>
        <v>38.4218888085982</v>
      </c>
      <c r="F659" s="21" t="n">
        <f aca="false">F654+F657+F658</f>
        <v>46.6360282288997</v>
      </c>
      <c r="G659" s="21" t="n">
        <f aca="false">G654+G657+G658</f>
        <v>54.3733123377152</v>
      </c>
    </row>
    <row r="660" customFormat="false" ht="17.15" hidden="false" customHeight="false" outlineLevel="0" collapsed="false">
      <c r="A660" s="0" t="s">
        <v>724</v>
      </c>
      <c r="B660" s="0" t="s">
        <v>379</v>
      </c>
      <c r="D660" s="21" t="n">
        <f aca="false">a26_abf</f>
        <v>22.858836</v>
      </c>
      <c r="E660" s="21" t="n">
        <f aca="false">$D659*cap_27*(1+g_mix)^1*E647*E648</f>
        <v>33.122453364</v>
      </c>
      <c r="F660" s="21" t="n">
        <f aca="false">$D659*cap_28*(1+g_mix)^2*F647*F648</f>
        <v>41.2995590382375</v>
      </c>
      <c r="G660" s="21" t="n">
        <f aca="false">$D659*cap_29*(1+g_mix)^3*G647*G648</f>
        <v>50.6680379569114</v>
      </c>
      <c r="K660" s="7" t="s">
        <v>725</v>
      </c>
    </row>
    <row r="661" customFormat="false" ht="17.15" hidden="false" customHeight="false" outlineLevel="0" collapsed="false">
      <c r="A661" s="0" t="s">
        <v>726</v>
      </c>
      <c r="B661" s="0" t="s">
        <v>379</v>
      </c>
      <c r="D661" s="21" t="n">
        <f aca="false">a26_abf</f>
        <v>22.858836</v>
      </c>
      <c r="E661" s="21" t="n">
        <f aca="false">MIN(E659,E660)</f>
        <v>33.122453364</v>
      </c>
      <c r="F661" s="21" t="n">
        <f aca="false">MIN(F659,F660)</f>
        <v>41.2995590382375</v>
      </c>
      <c r="G661" s="21" t="n">
        <f aca="false">MIN(G659,G660)</f>
        <v>50.6680379569114</v>
      </c>
    </row>
    <row r="662" customFormat="false" ht="17.15" hidden="false" customHeight="false" outlineLevel="0" collapsed="false">
      <c r="A662" s="3" t="s">
        <v>727</v>
      </c>
      <c r="B662" s="0" t="s">
        <v>43</v>
      </c>
      <c r="D662" s="20" t="n">
        <f aca="false">D661/D659</f>
        <v>1</v>
      </c>
      <c r="E662" s="20" t="n">
        <f aca="false">E661/E659</f>
        <v>0.862072490215205</v>
      </c>
      <c r="F662" s="20" t="n">
        <f aca="false">F661/F659</f>
        <v>0.885571962422065</v>
      </c>
      <c r="G662" s="20" t="n">
        <f aca="false">G661/G659</f>
        <v>0.931854907830698</v>
      </c>
    </row>
    <row r="663" customFormat="false" ht="17.15" hidden="false" customHeight="false" outlineLevel="0" collapsed="false">
      <c r="A663" s="0" t="s">
        <v>728</v>
      </c>
      <c r="B663" s="0" t="s">
        <v>379</v>
      </c>
      <c r="D663" s="21" t="n">
        <f aca="false">(D654+D657)*D662</f>
        <v>5.714709</v>
      </c>
      <c r="E663" s="21" t="n">
        <f aca="false">(E654+E657)*E662</f>
        <v>15.1062669325995</v>
      </c>
      <c r="F663" s="21" t="n">
        <f aca="false">(F654+F657)*F662</f>
        <v>21.6818267247979</v>
      </c>
      <c r="G663" s="21" t="n">
        <f aca="false">(G654+G657)*G662</f>
        <v>28.7864362720566</v>
      </c>
    </row>
    <row r="664" customFormat="false" ht="17.15" hidden="false" customHeight="false" outlineLevel="0" collapsed="false">
      <c r="A664" s="3" t="s">
        <v>729</v>
      </c>
      <c r="B664" s="0" t="s">
        <v>43</v>
      </c>
      <c r="D664" s="20" t="n">
        <f aca="false">D654/(D654+D657)</f>
        <v>0.788005539225042</v>
      </c>
      <c r="E664" s="20" t="n">
        <f aca="false">E654/(E654+E657)</f>
        <v>0.888793120944167</v>
      </c>
      <c r="F664" s="20" t="n">
        <f aca="false">F654/(F654+F657)</f>
        <v>0.918659380469366</v>
      </c>
      <c r="G664" s="20" t="n">
        <f aca="false">G654/(G654+G657)</f>
        <v>0.934845405934042</v>
      </c>
    </row>
    <row r="665" customFormat="false" ht="17.15" hidden="false" customHeight="false" outlineLevel="0" collapsed="false">
      <c r="A665" s="5" t="s">
        <v>730</v>
      </c>
    </row>
    <row r="666" customFormat="false" ht="17.15" hidden="false" customHeight="false" outlineLevel="0" collapsed="false">
      <c r="A666" s="0" t="s">
        <v>731</v>
      </c>
      <c r="B666" s="0" t="s">
        <v>379</v>
      </c>
      <c r="D666" s="21" t="n">
        <f aca="false">a26_bt</f>
        <v>23.265964</v>
      </c>
      <c r="E666" s="21" t="n">
        <f aca="false">D666*(1+g_bt27_A)</f>
        <v>29.78043392</v>
      </c>
      <c r="F666" s="21" t="n">
        <f aca="false">E666*(1+g_bt28_A)</f>
        <v>32.758477312</v>
      </c>
      <c r="G666" s="21" t="n">
        <f aca="false">F666*(1+g_bt29_A)</f>
        <v>34.3964011776</v>
      </c>
      <c r="K666" s="7" t="s">
        <v>732</v>
      </c>
    </row>
    <row r="667" customFormat="false" ht="17.15" hidden="false" customHeight="false" outlineLevel="0" collapsed="false">
      <c r="A667" s="3" t="s">
        <v>617</v>
      </c>
      <c r="B667" s="0" t="s">
        <v>379</v>
      </c>
      <c r="C667" s="21" t="n">
        <f aca="false">a25_lens</f>
        <v>7.039</v>
      </c>
      <c r="D667" s="21" t="n">
        <f aca="false">a26_lens</f>
        <v>8.301</v>
      </c>
      <c r="E667" s="21" t="n">
        <f aca="false">D667*(1+g_lens)</f>
        <v>9.1311</v>
      </c>
      <c r="F667" s="21" t="n">
        <f aca="false">E667*(1+g_lens)</f>
        <v>10.04421</v>
      </c>
      <c r="G667" s="21" t="n">
        <f aca="false">F667*(1+g_lens)</f>
        <v>11.048631</v>
      </c>
      <c r="K667" s="3" t="s">
        <v>733</v>
      </c>
    </row>
    <row r="668" customFormat="false" ht="17.15" hidden="false" customHeight="false" outlineLevel="0" collapsed="false">
      <c r="A668" s="3" t="s">
        <v>574</v>
      </c>
      <c r="B668" s="0" t="s">
        <v>379</v>
      </c>
      <c r="C668" s="23" t="n">
        <f aca="false">a25_rev</f>
        <v>39.351</v>
      </c>
      <c r="D668" s="23" t="n">
        <f aca="false">D661+D666+D667</f>
        <v>54.4258</v>
      </c>
      <c r="E668" s="23" t="n">
        <f aca="false">E661+E666+E667</f>
        <v>72.033987284</v>
      </c>
      <c r="F668" s="23" t="n">
        <f aca="false">F661+F666+F667</f>
        <v>84.1022463502375</v>
      </c>
      <c r="G668" s="23" t="n">
        <f aca="false">G661+G666+G667</f>
        <v>96.1130701345114</v>
      </c>
      <c r="H668" s="25" t="n">
        <f aca="false">G668*(1+H670)</f>
        <v>107.186075216063</v>
      </c>
      <c r="I668" s="25" t="n">
        <f aca="false">H668*(1+I670)</f>
        <v>116.576010002736</v>
      </c>
      <c r="J668" s="25" t="n">
        <f aca="false">I668*(1+J670)</f>
        <v>123.5705706029</v>
      </c>
      <c r="K668" s="7" t="s">
        <v>734</v>
      </c>
    </row>
    <row r="669" customFormat="false" ht="17.15" hidden="false" customHeight="false" outlineLevel="0" collapsed="false">
      <c r="A669" s="3" t="s">
        <v>735</v>
      </c>
      <c r="B669" s="0" t="s">
        <v>379</v>
      </c>
      <c r="D669" s="19" t="n">
        <f aca="false">D661+D666+D667-D668</f>
        <v>0</v>
      </c>
      <c r="E669" s="19" t="n">
        <f aca="false">E661+E666+E667-E668</f>
        <v>0</v>
      </c>
      <c r="F669" s="19" t="n">
        <f aca="false">F661+F666+F667-F668</f>
        <v>0</v>
      </c>
      <c r="G669" s="19" t="n">
        <f aca="false">G661+G666+G667-G668</f>
        <v>0</v>
      </c>
    </row>
    <row r="670" customFormat="false" ht="15" hidden="false" customHeight="false" outlineLevel="0" collapsed="false">
      <c r="A670" s="3" t="s">
        <v>736</v>
      </c>
      <c r="B670" s="0" t="s">
        <v>43</v>
      </c>
      <c r="D670" s="20" t="n">
        <f aca="false">D668/C668-1</f>
        <v>0.383085563263958</v>
      </c>
      <c r="E670" s="20" t="n">
        <f aca="false">E668/D668-1</f>
        <v>0.323526476119781</v>
      </c>
      <c r="F670" s="20" t="n">
        <f aca="false">F668/E668-1</f>
        <v>0.167535624796909</v>
      </c>
      <c r="G670" s="20" t="n">
        <f aca="false">G668/F668-1</f>
        <v>0.142812163830389</v>
      </c>
      <c r="H670" s="26" t="n">
        <f aca="false">$G670+(fade_gA-$G670)*1/3</f>
        <v>0.115208109220259</v>
      </c>
      <c r="I670" s="26" t="n">
        <f aca="false">$G670+(fade_gA-$G670)*2/3</f>
        <v>0.0876040546101297</v>
      </c>
      <c r="J670" s="26" t="n">
        <f aca="false">$G670+(fade_gA-$G670)*3/3</f>
        <v>0.06</v>
      </c>
    </row>
    <row r="671" customFormat="false" ht="17.15" hidden="false" customHeight="false" outlineLevel="0" collapsed="false">
      <c r="A671" s="0" t="s">
        <v>737</v>
      </c>
      <c r="B671" s="0" t="s">
        <v>43</v>
      </c>
      <c r="D671" s="20" t="n">
        <f aca="false">D661/D668</f>
        <v>0.42</v>
      </c>
      <c r="E671" s="20" t="n">
        <f aca="false">E661/E668</f>
        <v>0.459817019893845</v>
      </c>
      <c r="F671" s="20" t="n">
        <f aca="false">F661/F668</f>
        <v>0.491063685341395</v>
      </c>
      <c r="G671" s="20" t="n">
        <f aca="false">G661/G668</f>
        <v>0.527171152539409</v>
      </c>
    </row>
    <row r="672" customFormat="false" ht="17.15" hidden="false" customHeight="false" outlineLevel="0" collapsed="false">
      <c r="A672" s="0" t="s">
        <v>738</v>
      </c>
      <c r="B672" s="0" t="s">
        <v>43</v>
      </c>
      <c r="D672" s="20" t="n">
        <f aca="false">D663/D668</f>
        <v>0.105</v>
      </c>
      <c r="E672" s="20" t="n">
        <f aca="false">E663/E668</f>
        <v>0.209710270140146</v>
      </c>
      <c r="F672" s="20" t="n">
        <f aca="false">F663/F668</f>
        <v>0.257803182028047</v>
      </c>
      <c r="G672" s="20" t="n">
        <f aca="false">G663/G668</f>
        <v>0.299505948897165</v>
      </c>
      <c r="K672" s="3" t="s">
        <v>739</v>
      </c>
    </row>
    <row r="673" customFormat="false" ht="17.15" hidden="false" customHeight="false" outlineLevel="0" collapsed="false">
      <c r="A673" s="5" t="s">
        <v>740</v>
      </c>
    </row>
    <row r="674" customFormat="false" ht="15" hidden="false" customHeight="false" outlineLevel="0" collapsed="false">
      <c r="A674" s="3" t="s">
        <v>741</v>
      </c>
      <c r="B674" s="0" t="s">
        <v>379</v>
      </c>
      <c r="C674" s="23" t="n">
        <f aca="false">a25_cx</f>
        <v>6.116</v>
      </c>
      <c r="D674" s="23" t="n">
        <f aca="false">capex26</f>
        <v>11</v>
      </c>
      <c r="E674" s="23" t="n">
        <f aca="false">cx27</f>
        <v>17</v>
      </c>
      <c r="F674" s="23" t="n">
        <f aca="false">cx28</f>
        <v>16</v>
      </c>
      <c r="G674" s="23" t="n">
        <f aca="false">cx29</f>
        <v>12</v>
      </c>
      <c r="H674" s="25" t="n">
        <f aca="false">H668*H693</f>
        <v>13.4817405534162</v>
      </c>
      <c r="I674" s="25" t="n">
        <f aca="false">I668*I693</f>
        <v>14.77073304233</v>
      </c>
      <c r="J674" s="25" t="n">
        <f aca="false">J668*J693</f>
        <v>15.7713906192965</v>
      </c>
    </row>
    <row r="675" customFormat="false" ht="17.15" hidden="false" customHeight="false" outlineLevel="0" collapsed="false">
      <c r="A675" s="3" t="s">
        <v>742</v>
      </c>
      <c r="B675" s="0" t="s">
        <v>379</v>
      </c>
      <c r="C675" s="23" t="n">
        <f aca="false">a25_da</f>
        <v>7.158</v>
      </c>
      <c r="D675" s="23" t="n">
        <f aca="false">da26</f>
        <v>8.32</v>
      </c>
      <c r="E675" s="23" t="n">
        <f aca="false">D675*(1-1/life)+D674/life</f>
        <v>8.655</v>
      </c>
      <c r="F675" s="23" t="n">
        <f aca="false">E675*(1-1/life)+E674/life</f>
        <v>9.698125</v>
      </c>
      <c r="G675" s="23" t="n">
        <f aca="false">F675*(1-1/life)+F674/life</f>
        <v>10.485859375</v>
      </c>
      <c r="H675" s="25" t="n">
        <f aca="false">H668*H676</f>
        <v>11.6939154071433</v>
      </c>
      <c r="I675" s="25" t="n">
        <f aca="false">I668*I676</f>
        <v>12.7183498110769</v>
      </c>
      <c r="J675" s="25" t="n">
        <f aca="false">J668*J676</f>
        <v>13.4814507997415</v>
      </c>
      <c r="K675" s="3" t="s">
        <v>743</v>
      </c>
    </row>
    <row r="676" customFormat="false" ht="17.15" hidden="false" customHeight="false" outlineLevel="0" collapsed="false">
      <c r="A676" s="3" t="s">
        <v>744</v>
      </c>
      <c r="B676" s="0" t="s">
        <v>43</v>
      </c>
      <c r="C676" s="20" t="n">
        <f aca="false">C675/C668</f>
        <v>0.181901349393916</v>
      </c>
      <c r="D676" s="20" t="n">
        <f aca="false">D675/D668</f>
        <v>0.152868676252807</v>
      </c>
      <c r="E676" s="20" t="n">
        <f aca="false">E675/E668</f>
        <v>0.120151616290196</v>
      </c>
      <c r="F676" s="20" t="n">
        <f aca="false">F675/F668</f>
        <v>0.115313507318376</v>
      </c>
      <c r="G676" s="20" t="n">
        <f aca="false">G675/G668</f>
        <v>0.109099203264706</v>
      </c>
      <c r="H676" s="26" t="n">
        <f aca="false">$G676</f>
        <v>0.109099203264706</v>
      </c>
      <c r="I676" s="26" t="n">
        <f aca="false">$G676</f>
        <v>0.109099203264706</v>
      </c>
      <c r="J676" s="26" t="n">
        <f aca="false">$G676</f>
        <v>0.109099203264706</v>
      </c>
    </row>
    <row r="677" customFormat="false" ht="17.15" hidden="false" customHeight="false" outlineLevel="0" collapsed="false">
      <c r="A677" s="0" t="s">
        <v>745</v>
      </c>
      <c r="B677" s="0" t="s">
        <v>379</v>
      </c>
      <c r="E677" s="21" t="n">
        <f aca="false">E662*((E654+E657)*(1-1/(E647*E648))+E658*(1-1/E648))</f>
        <v>4.320320004</v>
      </c>
      <c r="F677" s="21" t="n">
        <f aca="false">F662*((F654+F657)*(1-1/(F647*F648))+F658*(1-1/F648))</f>
        <v>4.39459572238805</v>
      </c>
      <c r="G677" s="21" t="n">
        <f aca="false">G662*((G654+G657)*(1-1/(G647*G648))+G658*(1-1/G648))</f>
        <v>3.827576325582</v>
      </c>
      <c r="K677" s="7" t="s">
        <v>746</v>
      </c>
    </row>
    <row r="678" customFormat="false" ht="17.15" hidden="false" customHeight="false" outlineLevel="0" collapsed="false">
      <c r="A678" s="3" t="s">
        <v>747</v>
      </c>
      <c r="B678" s="0" t="s">
        <v>379</v>
      </c>
      <c r="C678" s="21" t="n">
        <f aca="false">a25_gp</f>
        <v>8.314</v>
      </c>
      <c r="D678" s="21" t="n">
        <f aca="false">a26_gp</f>
        <v>15.328536</v>
      </c>
      <c r="E678" s="21" t="n">
        <f aca="false">$D678+ft_abf*(E661-E677-$D661)+ft_bt_lo*(E666-$D666)+ft_lens*(E667-$D667)+E677-(E675-$D675)</f>
        <v>24.61339066</v>
      </c>
      <c r="F678" s="21" t="n">
        <f aca="false">$D678+ft_abf*(F661-F677-$D661)+ft_bt_lo*(F666-$D666)+ft_lens*(F667-$D667)+F677-(F675-$D675)</f>
        <v>29.0002688739128</v>
      </c>
      <c r="G678" s="21" t="n">
        <f aca="false">$D678+ft_abf*(G661-G677-$D661)+ft_bt_lo*(G666-$D666)+ft_lens*(G667-$D667)+G677-(G675-$D675)</f>
        <v>33.5566308695267</v>
      </c>
      <c r="K678" s="3" t="s">
        <v>748</v>
      </c>
    </row>
    <row r="679" customFormat="false" ht="15" hidden="false" customHeight="false" outlineLevel="0" collapsed="false">
      <c r="A679" s="3" t="s">
        <v>581</v>
      </c>
      <c r="B679" s="0" t="s">
        <v>43</v>
      </c>
      <c r="C679" s="16" t="n">
        <f aca="false">C678/C668</f>
        <v>0.211277985311682</v>
      </c>
      <c r="D679" s="16" t="n">
        <f aca="false">D678/D668</f>
        <v>0.281640986443929</v>
      </c>
      <c r="E679" s="16" t="n">
        <f aca="false">E678/E668</f>
        <v>0.341691354151474</v>
      </c>
      <c r="F679" s="16" t="n">
        <f aca="false">F678/F668</f>
        <v>0.344821572935678</v>
      </c>
      <c r="G679" s="16" t="n">
        <f aca="false">G678/G668</f>
        <v>0.349137019788919</v>
      </c>
    </row>
    <row r="680" customFormat="false" ht="15" hidden="false" customHeight="false" outlineLevel="0" collapsed="false">
      <c r="A680" s="3" t="s">
        <v>583</v>
      </c>
      <c r="B680" s="0" t="s">
        <v>379</v>
      </c>
      <c r="C680" s="21" t="n">
        <f aca="false">a25_opx</f>
        <v>5.644</v>
      </c>
      <c r="D680" s="21" t="n">
        <f aca="false">a26_opx</f>
        <v>6.54036</v>
      </c>
      <c r="E680" s="21" t="n">
        <f aca="false">D680*(1+phi*E670)</f>
        <v>7.80994777401287</v>
      </c>
      <c r="F680" s="21" t="n">
        <f aca="false">E680*(1+phi*F670)</f>
        <v>8.59501446198315</v>
      </c>
      <c r="G680" s="21" t="n">
        <f aca="false">F680*(1+phi*G670)</f>
        <v>9.33149803006473</v>
      </c>
    </row>
    <row r="681" customFormat="false" ht="15" hidden="false" customHeight="false" outlineLevel="0" collapsed="false">
      <c r="A681" s="3" t="s">
        <v>586</v>
      </c>
      <c r="B681" s="0" t="s">
        <v>379</v>
      </c>
      <c r="C681" s="21" t="n">
        <f aca="false">C678-C680</f>
        <v>2.67</v>
      </c>
      <c r="D681" s="21" t="n">
        <f aca="false">D678-D680</f>
        <v>8.788176</v>
      </c>
      <c r="E681" s="21" t="n">
        <f aca="false">E678-E680</f>
        <v>16.8034428859871</v>
      </c>
      <c r="F681" s="21" t="n">
        <f aca="false">F678-F680</f>
        <v>20.4052544119296</v>
      </c>
      <c r="G681" s="21" t="n">
        <f aca="false">G678-G680</f>
        <v>24.225132839462</v>
      </c>
    </row>
    <row r="682" customFormat="false" ht="15" hidden="false" customHeight="false" outlineLevel="0" collapsed="false">
      <c r="A682" s="3" t="s">
        <v>684</v>
      </c>
      <c r="B682" s="0" t="s">
        <v>43</v>
      </c>
      <c r="C682" s="16" t="n">
        <f aca="false">C681/C668</f>
        <v>0.0678508805367081</v>
      </c>
      <c r="D682" s="16" t="n">
        <f aca="false">D681/D668</f>
        <v>0.161470773052486</v>
      </c>
      <c r="E682" s="16" t="n">
        <f aca="false">E681/E668</f>
        <v>0.233271036625227</v>
      </c>
      <c r="F682" s="16" t="n">
        <f aca="false">F681/F668</f>
        <v>0.242624368521068</v>
      </c>
      <c r="G682" s="16" t="n">
        <f aca="false">G681/G668</f>
        <v>0.252048267790828</v>
      </c>
    </row>
    <row r="683" customFormat="false" ht="15" hidden="false" customHeight="false" outlineLevel="0" collapsed="false">
      <c r="A683" s="3" t="s">
        <v>589</v>
      </c>
      <c r="B683" s="0" t="s">
        <v>379</v>
      </c>
      <c r="C683" s="21" t="n">
        <f aca="false">a25_nonop</f>
        <v>0.417</v>
      </c>
      <c r="D683" s="21" t="n">
        <f aca="false">a26_nonop</f>
        <v>0.37882</v>
      </c>
      <c r="E683" s="21" t="n">
        <f aca="false">nonop27</f>
        <v>0.4</v>
      </c>
      <c r="F683" s="21" t="n">
        <f aca="false">nonop28</f>
        <v>0.4</v>
      </c>
      <c r="G683" s="21" t="n">
        <f aca="false">nonop29</f>
        <v>0.4</v>
      </c>
    </row>
    <row r="684" customFormat="false" ht="15" hidden="false" customHeight="false" outlineLevel="0" collapsed="false">
      <c r="A684" s="3" t="s">
        <v>591</v>
      </c>
      <c r="B684" s="0" t="s">
        <v>379</v>
      </c>
      <c r="C684" s="21" t="n">
        <f aca="false">C681+C683</f>
        <v>3.087</v>
      </c>
      <c r="D684" s="21" t="n">
        <f aca="false">D681+D683</f>
        <v>9.166996</v>
      </c>
      <c r="E684" s="21" t="n">
        <f aca="false">E681+E683</f>
        <v>17.2034428859871</v>
      </c>
      <c r="F684" s="21" t="n">
        <f aca="false">F681+F683</f>
        <v>20.8052544119296</v>
      </c>
      <c r="G684" s="21" t="n">
        <f aca="false">G681+G683</f>
        <v>24.625132839462</v>
      </c>
    </row>
    <row r="685" customFormat="false" ht="15" hidden="false" customHeight="false" outlineLevel="0" collapsed="false">
      <c r="A685" s="3" t="s">
        <v>592</v>
      </c>
      <c r="B685" s="0" t="s">
        <v>379</v>
      </c>
      <c r="E685" s="21" t="n">
        <f aca="false">E684*tax</f>
        <v>2.06441314631846</v>
      </c>
      <c r="F685" s="21" t="n">
        <f aca="false">F684*tax</f>
        <v>2.49663052943156</v>
      </c>
      <c r="G685" s="21" t="n">
        <f aca="false">G684*tax</f>
        <v>2.95501594073544</v>
      </c>
    </row>
    <row r="686" customFormat="false" ht="15" hidden="false" customHeight="false" outlineLevel="0" collapsed="false">
      <c r="A686" s="3" t="s">
        <v>593</v>
      </c>
      <c r="B686" s="0" t="s">
        <v>379</v>
      </c>
      <c r="C686" s="21" t="n">
        <f aca="false">a25_nic</f>
        <v>2.71712</v>
      </c>
      <c r="D686" s="21" t="n">
        <f aca="false">a26_nic</f>
        <v>8.39979776</v>
      </c>
      <c r="E686" s="21" t="n">
        <f aca="false">E684-E685</f>
        <v>15.1390297396687</v>
      </c>
      <c r="F686" s="21" t="n">
        <f aca="false">F684-F685</f>
        <v>18.3086238824981</v>
      </c>
      <c r="G686" s="21" t="n">
        <f aca="false">G684-G685</f>
        <v>21.6701168987265</v>
      </c>
    </row>
    <row r="687" customFormat="false" ht="17.15" hidden="false" customHeight="false" outlineLevel="0" collapsed="false">
      <c r="A687" s="3" t="s">
        <v>749</v>
      </c>
      <c r="B687" s="0" t="s">
        <v>379</v>
      </c>
      <c r="C687" s="21" t="n">
        <f aca="false">a25_nci</f>
        <v>1.12112</v>
      </c>
      <c r="D687" s="21" t="n">
        <f aca="false">a26_nci</f>
        <v>1.43839238487797</v>
      </c>
      <c r="E687" s="21" t="n">
        <f aca="false">E667*nm_lens*nci_sh</f>
        <v>1.57074538036261</v>
      </c>
      <c r="F687" s="21" t="n">
        <f aca="false">F667*nm_lens*nci_sh</f>
        <v>1.72781991839887</v>
      </c>
      <c r="G687" s="21" t="n">
        <f aca="false">G667*nm_lens*nci_sh</f>
        <v>1.90060191023875</v>
      </c>
      <c r="K687" s="3" t="s">
        <v>750</v>
      </c>
    </row>
    <row r="688" customFormat="false" ht="15" hidden="false" customHeight="false" outlineLevel="0" collapsed="false">
      <c r="A688" s="3" t="s">
        <v>599</v>
      </c>
      <c r="B688" s="0" t="s">
        <v>379</v>
      </c>
      <c r="C688" s="21" t="n">
        <f aca="false">a25_ni</f>
        <v>1.596</v>
      </c>
      <c r="D688" s="21" t="n">
        <f aca="false">a26_ni</f>
        <v>6.96140537512203</v>
      </c>
      <c r="E688" s="21" t="n">
        <f aca="false">E686-E687</f>
        <v>13.5682843593061</v>
      </c>
      <c r="F688" s="21" t="n">
        <f aca="false">F686-F687</f>
        <v>16.5808039640992</v>
      </c>
      <c r="G688" s="21" t="n">
        <f aca="false">G686-G687</f>
        <v>19.7695149884878</v>
      </c>
      <c r="H688" s="30" t="n">
        <f aca="false">H668*H692</f>
        <v>22.5932845976966</v>
      </c>
      <c r="I688" s="30" t="n">
        <f aca="false">I668*I692</f>
        <v>25.1665550353148</v>
      </c>
      <c r="J688" s="30" t="n">
        <f aca="false">J668*J692</f>
        <v>27.3061958633271</v>
      </c>
    </row>
    <row r="689" customFormat="false" ht="15" hidden="false" customHeight="false" outlineLevel="0" collapsed="false">
      <c r="A689" s="3" t="s">
        <v>751</v>
      </c>
      <c r="B689" s="3" t="s">
        <v>465</v>
      </c>
      <c r="C689" s="29" t="n">
        <f aca="false">a25_sh</f>
        <v>0.454700854700855</v>
      </c>
      <c r="D689" s="29" t="n">
        <f aca="false">a26_sh</f>
        <v>0.508341020486215</v>
      </c>
      <c r="E689" s="29" t="n">
        <f aca="false">a26_shend*(1+sh_g)</f>
        <v>0.52691</v>
      </c>
      <c r="F689" s="29" t="n">
        <f aca="false">E689*(1+sh_g)</f>
        <v>0.52691</v>
      </c>
      <c r="G689" s="29" t="n">
        <f aca="false">F689*(1+sh_g)</f>
        <v>0.52691</v>
      </c>
      <c r="H689" s="31" t="n">
        <f aca="false">G689*(1+sh_g)</f>
        <v>0.52691</v>
      </c>
      <c r="I689" s="31" t="n">
        <f aca="false">H689*(1+sh_g)</f>
        <v>0.52691</v>
      </c>
      <c r="J689" s="31" t="n">
        <f aca="false">I689*(1+sh_g)</f>
        <v>0.52691</v>
      </c>
    </row>
    <row r="690" customFormat="false" ht="17.15" hidden="false" customHeight="false" outlineLevel="0" collapsed="false">
      <c r="A690" s="0" t="s">
        <v>604</v>
      </c>
      <c r="B690" s="0" t="s">
        <v>471</v>
      </c>
      <c r="C690" s="18" t="n">
        <f aca="false">C688/C689</f>
        <v>3.51</v>
      </c>
      <c r="D690" s="18" t="n">
        <f aca="false">D688/D689</f>
        <v>13.6943608612652</v>
      </c>
      <c r="E690" s="18" t="n">
        <f aca="false">E688/E689</f>
        <v>25.7506677787593</v>
      </c>
      <c r="F690" s="18" t="n">
        <f aca="false">F688/F689</f>
        <v>31.4680001596083</v>
      </c>
      <c r="G690" s="18" t="n">
        <f aca="false">G688/G689</f>
        <v>37.5197187156968</v>
      </c>
      <c r="H690" s="28" t="n">
        <f aca="false">H688/H689</f>
        <v>42.8788305359484</v>
      </c>
      <c r="I690" s="28" t="n">
        <f aca="false">I688/I689</f>
        <v>47.7625306699718</v>
      </c>
      <c r="J690" s="28" t="n">
        <f aca="false">J688/J689</f>
        <v>51.8232636756317</v>
      </c>
    </row>
    <row r="691" customFormat="false" ht="17.15" hidden="false" customHeight="false" outlineLevel="0" collapsed="false">
      <c r="A691" s="0" t="s">
        <v>752</v>
      </c>
      <c r="B691" s="0" t="s">
        <v>43</v>
      </c>
      <c r="D691" s="20" t="n">
        <f aca="false">D690/C690-1</f>
        <v>2.90152731090177</v>
      </c>
      <c r="E691" s="20" t="n">
        <f aca="false">E690/D690-1</f>
        <v>0.880384783169812</v>
      </c>
      <c r="F691" s="20" t="n">
        <f aca="false">F690/E690-1</f>
        <v>0.222026567620315</v>
      </c>
      <c r="G691" s="20" t="n">
        <f aca="false">G690/F690-1</f>
        <v>0.192313414433509</v>
      </c>
      <c r="H691" s="26" t="n">
        <f aca="false">H690/G690-1</f>
        <v>0.142834541507627</v>
      </c>
      <c r="I691" s="26" t="n">
        <f aca="false">I690/H690-1</f>
        <v>0.113895366850759</v>
      </c>
      <c r="J691" s="26" t="n">
        <f aca="false">J690/I690-1</f>
        <v>0.0850192179664575</v>
      </c>
    </row>
    <row r="692" customFormat="false" ht="17.15" hidden="false" customHeight="false" outlineLevel="0" collapsed="false">
      <c r="A692" s="3" t="s">
        <v>753</v>
      </c>
      <c r="B692" s="0" t="s">
        <v>43</v>
      </c>
      <c r="C692" s="16" t="n">
        <f aca="false">C688/C668</f>
        <v>0.0405580544331783</v>
      </c>
      <c r="D692" s="16" t="n">
        <f aca="false">D688/D668</f>
        <v>0.127906349105057</v>
      </c>
      <c r="E692" s="16" t="n">
        <f aca="false">E688/E668</f>
        <v>0.188359479613588</v>
      </c>
      <c r="F692" s="16" t="n">
        <f aca="false">F688/F668</f>
        <v>0.197150548096536</v>
      </c>
      <c r="G692" s="16" t="n">
        <f aca="false">G688/G668</f>
        <v>0.205690183039831</v>
      </c>
      <c r="H692" s="27" t="n">
        <f aca="false">$G692+(fade_mA-$G692)*1/3</f>
        <v>0.210785631922371</v>
      </c>
      <c r="I692" s="27" t="n">
        <f aca="false">$G692+(fade_mA-$G692)*2/3</f>
        <v>0.215881080804911</v>
      </c>
      <c r="J692" s="27" t="n">
        <f aca="false">$G692+(fade_mA-$G692)*3/3</f>
        <v>0.220976529687452</v>
      </c>
    </row>
    <row r="693" customFormat="false" ht="17.15" hidden="false" customHeight="false" outlineLevel="0" collapsed="false">
      <c r="A693" s="3" t="s">
        <v>754</v>
      </c>
      <c r="B693" s="0" t="s">
        <v>43</v>
      </c>
      <c r="C693" s="20" t="n">
        <f aca="false">C674/C668</f>
        <v>0.155421717364235</v>
      </c>
      <c r="D693" s="20" t="n">
        <f aca="false">D674/D668</f>
        <v>0.202110028699624</v>
      </c>
      <c r="E693" s="20" t="n">
        <f aca="false">E674/E668</f>
        <v>0.235999708484498</v>
      </c>
      <c r="F693" s="20" t="n">
        <f aca="false">F674/F668</f>
        <v>0.190244621212247</v>
      </c>
      <c r="G693" s="20" t="n">
        <f aca="false">G674/G668</f>
        <v>0.124852946464054</v>
      </c>
      <c r="H693" s="26" t="n">
        <f aca="false">$G693+($G676*(1+tp_g)^(life/2)-$G693)*1/3</f>
        <v>0.125778843252168</v>
      </c>
      <c r="I693" s="26" t="n">
        <f aca="false">$G693+($G676*(1+tp_g)^(life/2)-$G693)*2/3</f>
        <v>0.126704740040282</v>
      </c>
      <c r="J693" s="26" t="n">
        <f aca="false">$G693+($G676*(1+tp_g)^(life/2)-$G693)*3/3</f>
        <v>0.127630636828396</v>
      </c>
      <c r="K693" s="7" t="s">
        <v>755</v>
      </c>
    </row>
    <row r="694" customFormat="false" ht="15" hidden="false" customHeight="false" outlineLevel="0" collapsed="false">
      <c r="A694" s="3" t="s">
        <v>756</v>
      </c>
      <c r="B694" s="0" t="s">
        <v>379</v>
      </c>
      <c r="D694" s="21" t="n">
        <f aca="false">D688+D675-D674</f>
        <v>4.28140537512203</v>
      </c>
      <c r="E694" s="21" t="n">
        <f aca="false">E688+E675-E674</f>
        <v>5.22328435930607</v>
      </c>
      <c r="F694" s="21" t="n">
        <f aca="false">F688+F675-F674</f>
        <v>10.2789289640992</v>
      </c>
      <c r="G694" s="21" t="n">
        <f aca="false">G688+G675-G674</f>
        <v>18.2553743634878</v>
      </c>
      <c r="H694" s="30" t="n">
        <f aca="false">H688+H675-H674</f>
        <v>20.8054594514236</v>
      </c>
      <c r="I694" s="30" t="n">
        <f aca="false">I688+I675-I674</f>
        <v>23.1141718040617</v>
      </c>
      <c r="J694" s="30" t="n">
        <f aca="false">J688+J675-J674</f>
        <v>25.0162560437722</v>
      </c>
      <c r="K694" s="3" t="s">
        <v>757</v>
      </c>
    </row>
    <row r="695" customFormat="false" ht="15" hidden="false" customHeight="false" outlineLevel="0" collapsed="false">
      <c r="A695" s="3" t="s">
        <v>758</v>
      </c>
      <c r="B695" s="0" t="s">
        <v>471</v>
      </c>
      <c r="D695" s="18" t="n">
        <f aca="false">D694/D689</f>
        <v>8.42230943909854</v>
      </c>
      <c r="E695" s="18" t="n">
        <f aca="false">E694/E689</f>
        <v>9.91304845098038</v>
      </c>
      <c r="F695" s="18" t="n">
        <f aca="false">F694/F689</f>
        <v>19.5079405668885</v>
      </c>
      <c r="G695" s="18" t="n">
        <f aca="false">G694/G689</f>
        <v>34.6460958484139</v>
      </c>
      <c r="H695" s="28" t="n">
        <f aca="false">H694/H689</f>
        <v>39.485793496847</v>
      </c>
      <c r="I695" s="28" t="n">
        <f aca="false">I694/I689</f>
        <v>43.8674001329672</v>
      </c>
      <c r="J695" s="28" t="n">
        <f aca="false">J694/J689</f>
        <v>47.4772846288212</v>
      </c>
    </row>
    <row r="698" customFormat="false" ht="17.15" hidden="false" customHeight="false" outlineLevel="0" collapsed="false">
      <c r="A698" s="1" t="s">
        <v>1103</v>
      </c>
    </row>
    <row r="699" customFormat="false" ht="17.15" hidden="false" customHeight="false" outlineLevel="0" collapsed="false">
      <c r="A699" s="4" t="s">
        <v>20</v>
      </c>
      <c r="B699" s="4" t="s">
        <v>21</v>
      </c>
      <c r="C699" s="13" t="s">
        <v>567</v>
      </c>
      <c r="D699" s="13" t="s">
        <v>671</v>
      </c>
      <c r="E699" s="13" t="s">
        <v>672</v>
      </c>
      <c r="F699" s="13" t="s">
        <v>673</v>
      </c>
      <c r="G699" s="13" t="s">
        <v>674</v>
      </c>
      <c r="H699" s="13" t="s">
        <v>675</v>
      </c>
      <c r="I699" s="13" t="s">
        <v>676</v>
      </c>
      <c r="J699" s="13" t="s">
        <v>677</v>
      </c>
      <c r="K699" s="4" t="s">
        <v>631</v>
      </c>
    </row>
    <row r="700" customFormat="false" ht="17.15" hidden="false" customHeight="false" outlineLevel="0" collapsed="false">
      <c r="A700" s="5" t="s">
        <v>695</v>
      </c>
    </row>
    <row r="701" customFormat="false" ht="17.15" hidden="false" customHeight="false" outlineLevel="0" collapsed="false">
      <c r="A701" s="0" t="s">
        <v>696</v>
      </c>
      <c r="B701" s="3" t="s">
        <v>31</v>
      </c>
      <c r="D701" s="21" t="n">
        <f aca="false">(u_bw_26+u_rb_26+u_ru_26+u_hp_26)*1</f>
        <v>7.6</v>
      </c>
      <c r="E701" s="21" t="n">
        <f aca="false">(u_bw_27+u_rb_27+u_ru_27+u_hp_27)*1*1</f>
        <v>9.7</v>
      </c>
      <c r="F701" s="21" t="n">
        <f aca="false">(u_bw_28+u_rb_28+u_ru_28+u_hp_28)*um28_A*1</f>
        <v>9.5</v>
      </c>
      <c r="G701" s="21" t="n">
        <f aca="false">(u_bw_28*(1+g29_bw)+u_rb_28*(1+g29_rb)+u_ru_28*(1+g29_ru)+u_hp_28*(1+g29_hp))*um29_A*1</f>
        <v>10.6</v>
      </c>
      <c r="K701" s="7" t="s">
        <v>697</v>
      </c>
    </row>
    <row r="702" customFormat="false" ht="17.15" hidden="false" customHeight="false" outlineLevel="0" collapsed="false">
      <c r="A702" s="3" t="s">
        <v>698</v>
      </c>
      <c r="B702" s="3" t="s">
        <v>31</v>
      </c>
      <c r="D702" s="21" t="n">
        <f aca="false">(u_amd_26+u_tpu_26+u_trn_26+u_oth_26)*1</f>
        <v>7.6</v>
      </c>
      <c r="E702" s="21" t="n">
        <f aca="false">(u_amd_27+u_tpu_27+u_trn_27+u_oth_27)*1*1</f>
        <v>14</v>
      </c>
      <c r="F702" s="21" t="n">
        <f aca="false">(u_amd_28+u_tpu_28+u_trn_28+u_oth_28)*um28_A*1</f>
        <v>17</v>
      </c>
      <c r="G702" s="21" t="n">
        <f aca="false">(u_amd_28*(1+g29_amd)+u_tpu_28*(1+g29_tpu)+u_trn_28*(1+g29_trn)+u_oth_28*(1+g29_oth))*um29_A*1</f>
        <v>19.55</v>
      </c>
      <c r="K702" s="7" t="s">
        <v>699</v>
      </c>
    </row>
    <row r="703" customFormat="false" ht="17.15" hidden="false" customHeight="false" outlineLevel="0" collapsed="false">
      <c r="A703" s="0" t="s">
        <v>700</v>
      </c>
      <c r="B703" s="3" t="s">
        <v>31</v>
      </c>
      <c r="D703" s="21" t="n">
        <f aca="false">D701*cpu_r</f>
        <v>3.04</v>
      </c>
      <c r="E703" s="21" t="n">
        <f aca="false">E701*cpu_r</f>
        <v>3.88</v>
      </c>
      <c r="F703" s="21" t="n">
        <f aca="false">F701*cpu_r</f>
        <v>3.8</v>
      </c>
      <c r="G703" s="21" t="n">
        <f aca="false">G701*cpu_r</f>
        <v>4.24</v>
      </c>
      <c r="K703" s="7" t="s">
        <v>701</v>
      </c>
    </row>
    <row r="704" customFormat="false" ht="17.15" hidden="false" customHeight="false" outlineLevel="0" collapsed="false">
      <c r="A704" s="3" t="s">
        <v>702</v>
      </c>
      <c r="B704" s="0" t="s">
        <v>153</v>
      </c>
      <c r="D704" s="19" t="n">
        <f aca="false">1</f>
        <v>1</v>
      </c>
      <c r="E704" s="19" t="n">
        <f aca="false">D704*(1+g_asp)</f>
        <v>1.18</v>
      </c>
      <c r="F704" s="19" t="n">
        <f aca="false">E704*(1+g_asp)</f>
        <v>1.3924</v>
      </c>
      <c r="G704" s="19" t="n">
        <f aca="false">F704*(1+g_asp)</f>
        <v>1.643032</v>
      </c>
      <c r="K704" s="7" t="s">
        <v>703</v>
      </c>
    </row>
    <row r="705" customFormat="false" ht="17.15" hidden="false" customHeight="false" outlineLevel="0" collapsed="false">
      <c r="A705" s="0" t="s">
        <v>704</v>
      </c>
      <c r="B705" s="0" t="s">
        <v>153</v>
      </c>
      <c r="D705" s="18" t="n">
        <f aca="false">1</f>
        <v>1</v>
      </c>
      <c r="E705" s="18" t="n">
        <f aca="false">ibpp_27</f>
        <v>1</v>
      </c>
      <c r="F705" s="18" t="n">
        <f aca="false">ibpp_28</f>
        <v>0.95</v>
      </c>
      <c r="G705" s="18" t="n">
        <f aca="false">ibpp_29</f>
        <v>0.9</v>
      </c>
      <c r="K705" s="7" t="s">
        <v>705</v>
      </c>
    </row>
    <row r="706" customFormat="false" ht="17.15" hidden="false" customHeight="false" outlineLevel="0" collapsed="false">
      <c r="A706" s="3" t="s">
        <v>706</v>
      </c>
      <c r="B706" s="0" t="s">
        <v>153</v>
      </c>
      <c r="D706" s="18" t="n">
        <f aca="false">1</f>
        <v>1</v>
      </c>
      <c r="E706" s="18" t="n">
        <f aca="false">1+carry</f>
        <v>1.15</v>
      </c>
      <c r="F706" s="18" t="n">
        <f aca="false">1+carry</f>
        <v>1.15</v>
      </c>
      <c r="G706" s="18" t="n">
        <f aca="false">1+carry</f>
        <v>1.15</v>
      </c>
      <c r="K706" s="7" t="s">
        <v>707</v>
      </c>
    </row>
    <row r="707" customFormat="false" ht="17.15" hidden="false" customHeight="false" outlineLevel="0" collapsed="false">
      <c r="A707" s="3" t="s">
        <v>708</v>
      </c>
      <c r="B707" s="0" t="s">
        <v>709</v>
      </c>
      <c r="D707" s="23" t="n">
        <f aca="false">v26*D704*D705</f>
        <v>215.308596</v>
      </c>
      <c r="E707" s="23" t="n">
        <f aca="false">v26*E704*E705</f>
        <v>254.06414328</v>
      </c>
      <c r="F707" s="23" t="n">
        <f aca="false">v26*F704*F705</f>
        <v>284.80590461688</v>
      </c>
      <c r="G707" s="23" t="n">
        <f aca="false">v26*G704*G705</f>
        <v>318.383021792765</v>
      </c>
      <c r="K707" s="7" t="s">
        <v>710</v>
      </c>
    </row>
    <row r="708" customFormat="false" ht="17.15" hidden="false" customHeight="false" outlineLevel="0" collapsed="false">
      <c r="A708" s="3" t="s">
        <v>711</v>
      </c>
      <c r="B708" s="0" t="s">
        <v>43</v>
      </c>
      <c r="D708" s="20" t="n">
        <f aca="false">sh_nv_26</f>
        <v>0.02</v>
      </c>
      <c r="E708" s="20" t="n">
        <f aca="false">sh_nv_27</f>
        <v>0.03</v>
      </c>
      <c r="F708" s="20" t="n">
        <f aca="false">sh_nv_28</f>
        <v>0.05</v>
      </c>
      <c r="G708" s="20" t="n">
        <f aca="false">sh_nv_29</f>
        <v>0.06</v>
      </c>
    </row>
    <row r="709" customFormat="false" ht="17.15" hidden="false" customHeight="false" outlineLevel="0" collapsed="false">
      <c r="A709" s="3" t="s">
        <v>712</v>
      </c>
      <c r="B709" s="0" t="s">
        <v>43</v>
      </c>
      <c r="D709" s="20" t="n">
        <f aca="false">sh_ot_26</f>
        <v>0.03</v>
      </c>
      <c r="E709" s="20" t="n">
        <f aca="false">sh_ot_27</f>
        <v>0.05</v>
      </c>
      <c r="F709" s="20" t="n">
        <f aca="false">sh_ot_28</f>
        <v>0.06</v>
      </c>
      <c r="G709" s="20" t="n">
        <f aca="false">sh_ot_29</f>
        <v>0.06</v>
      </c>
    </row>
    <row r="710" customFormat="false" ht="17.15" hidden="false" customHeight="false" outlineLevel="0" collapsed="false">
      <c r="A710" s="3" t="s">
        <v>713</v>
      </c>
      <c r="B710" s="0" t="s">
        <v>43</v>
      </c>
      <c r="D710" s="20" t="n">
        <f aca="false">sh_cpu_26</f>
        <v>0.35</v>
      </c>
      <c r="E710" s="20" t="n">
        <f aca="false">sh_cpu_27</f>
        <v>0.7</v>
      </c>
      <c r="F710" s="20" t="n">
        <f aca="false">sh_cpu_28</f>
        <v>0.75</v>
      </c>
      <c r="G710" s="20" t="n">
        <f aca="false">sh_cpu_29</f>
        <v>0.7</v>
      </c>
    </row>
    <row r="711" customFormat="false" ht="17.15" hidden="false" customHeight="false" outlineLevel="0" collapsed="false">
      <c r="A711" s="3" t="s">
        <v>714</v>
      </c>
      <c r="B711" s="0" t="s">
        <v>661</v>
      </c>
      <c r="D711" s="22" t="n">
        <f aca="false">(D701*D707*D708+D702*D707*v_ot*D709+D703*D707*v_cpu*D710)*D706</f>
        <v>140.7256983456</v>
      </c>
      <c r="E711" s="22" t="n">
        <f aca="false">(E701*E707*E708+E702*E707*v_ot*E709+E703*E707*v_cpu*E710)*E706</f>
        <v>486.703057357198</v>
      </c>
      <c r="F711" s="22" t="n">
        <f aca="false">(F701*F707*F708+F702*F707*v_ot*F709+F703*F707*v_cpu*F710)*F706</f>
        <v>702.872492003998</v>
      </c>
      <c r="G711" s="22" t="n">
        <f aca="false">(G701*G707*G708+G702*G707*v_ot*G709+G703*G707*v_cpu*G710)*G706</f>
        <v>902.463042932027</v>
      </c>
    </row>
    <row r="712" customFormat="false" ht="17.15" hidden="false" customHeight="false" outlineLevel="0" collapsed="false">
      <c r="A712" s="3" t="s">
        <v>715</v>
      </c>
      <c r="B712" s="0" t="s">
        <v>379</v>
      </c>
      <c r="D712" s="21" t="n">
        <f aca="false">D711*fx/1000</f>
        <v>4.5032223470592</v>
      </c>
      <c r="E712" s="21" t="n">
        <f aca="false">E711*fx/1000</f>
        <v>15.5744978354303</v>
      </c>
      <c r="F712" s="21" t="n">
        <f aca="false">F711*fx/1000</f>
        <v>22.4919197441279</v>
      </c>
      <c r="G712" s="21" t="n">
        <f aca="false">G711*fx/1000</f>
        <v>28.8788173738249</v>
      </c>
    </row>
    <row r="713" customFormat="false" ht="17.15" hidden="false" customHeight="false" outlineLevel="0" collapsed="false">
      <c r="A713" s="5" t="s">
        <v>716</v>
      </c>
    </row>
    <row r="714" customFormat="false" ht="17.15" hidden="false" customHeight="false" outlineLevel="0" collapsed="false">
      <c r="A714" s="0" t="s">
        <v>717</v>
      </c>
      <c r="B714" s="0" t="s">
        <v>379</v>
      </c>
      <c r="D714" s="21" t="n">
        <f aca="false">a26_abf*ai_abf</f>
        <v>5.714709</v>
      </c>
      <c r="K714" s="3" t="s">
        <v>718</v>
      </c>
    </row>
    <row r="715" customFormat="false" ht="17.15" hidden="false" customHeight="false" outlineLevel="0" collapsed="false">
      <c r="A715" s="3" t="s">
        <v>719</v>
      </c>
      <c r="B715" s="0" t="s">
        <v>379</v>
      </c>
      <c r="D715" s="21" t="n">
        <f aca="false">D714-D712</f>
        <v>1.2114866529408</v>
      </c>
      <c r="E715" s="21" t="n">
        <f aca="false">$D715*(swm_27/swm_26)^el_o*1*1*E705*E706</f>
        <v>1.94870016016792</v>
      </c>
      <c r="F715" s="21" t="n">
        <f aca="false">$D715*(swm_28/swm_26)^el_o*um28_A*1*F705*F706</f>
        <v>1.99149622299173</v>
      </c>
      <c r="G715" s="21" t="n">
        <f aca="false">$D715*(swm_29/swm_26)^el_o*um29_A*1*G705*G706</f>
        <v>2.01272596640355</v>
      </c>
      <c r="K715" s="7" t="s">
        <v>720</v>
      </c>
    </row>
    <row r="716" customFormat="false" ht="17.15" hidden="false" customHeight="false" outlineLevel="0" collapsed="false">
      <c r="A716" s="3" t="s">
        <v>721</v>
      </c>
      <c r="B716" s="0" t="s">
        <v>379</v>
      </c>
      <c r="D716" s="21" t="n">
        <f aca="false">a26_abf-D714</f>
        <v>17.144127</v>
      </c>
      <c r="E716" s="21" t="n">
        <f aca="false">$D716*(1+g_nai)^1*E706</f>
        <v>20.898690813</v>
      </c>
      <c r="F716" s="21" t="n">
        <f aca="false">$D716*(1+g_nai)^2*F706</f>
        <v>22.15261226178</v>
      </c>
      <c r="G716" s="21" t="n">
        <f aca="false">$D716*(1+g_nai)^3*G706</f>
        <v>23.4817689974868</v>
      </c>
      <c r="K716" s="3" t="s">
        <v>722</v>
      </c>
    </row>
    <row r="717" customFormat="false" ht="17.15" hidden="false" customHeight="false" outlineLevel="0" collapsed="false">
      <c r="A717" s="0" t="s">
        <v>723</v>
      </c>
      <c r="B717" s="0" t="s">
        <v>379</v>
      </c>
      <c r="D717" s="21" t="n">
        <f aca="false">D712+D715+D716</f>
        <v>22.858836</v>
      </c>
      <c r="E717" s="21" t="n">
        <f aca="false">E712+E715+E716</f>
        <v>38.4218888085982</v>
      </c>
      <c r="F717" s="21" t="n">
        <f aca="false">F712+F715+F716</f>
        <v>46.6360282288997</v>
      </c>
      <c r="G717" s="21" t="n">
        <f aca="false">G712+G715+G716</f>
        <v>54.3733123377152</v>
      </c>
    </row>
    <row r="718" customFormat="false" ht="17.15" hidden="false" customHeight="false" outlineLevel="0" collapsed="false">
      <c r="A718" s="0" t="s">
        <v>724</v>
      </c>
      <c r="B718" s="0" t="s">
        <v>379</v>
      </c>
      <c r="D718" s="21" t="n">
        <f aca="false">a26_abf</f>
        <v>22.858836</v>
      </c>
      <c r="E718" s="21" t="n">
        <f aca="false">$D717*cap_27*(1+g_mix)^1*E705*E706</f>
        <v>33.122453364</v>
      </c>
      <c r="F718" s="21" t="n">
        <f aca="false">$D717*cap_28*(1+g_mix)^2*F705*F706</f>
        <v>41.2995590382375</v>
      </c>
      <c r="G718" s="21" t="n">
        <f aca="false">$D717*cap_29*(1+g_mix)^3*G705*G706</f>
        <v>50.6680379569114</v>
      </c>
      <c r="K718" s="7" t="s">
        <v>725</v>
      </c>
    </row>
    <row r="719" customFormat="false" ht="17.15" hidden="false" customHeight="false" outlineLevel="0" collapsed="false">
      <c r="A719" s="0" t="s">
        <v>726</v>
      </c>
      <c r="B719" s="0" t="s">
        <v>379</v>
      </c>
      <c r="D719" s="21" t="n">
        <f aca="false">a26_abf</f>
        <v>22.858836</v>
      </c>
      <c r="E719" s="21" t="n">
        <f aca="false">MIN(E717,E718)</f>
        <v>33.122453364</v>
      </c>
      <c r="F719" s="21" t="n">
        <f aca="false">MIN(F717,F718)</f>
        <v>41.2995590382375</v>
      </c>
      <c r="G719" s="21" t="n">
        <f aca="false">MIN(G717,G718)</f>
        <v>50.6680379569114</v>
      </c>
    </row>
    <row r="720" customFormat="false" ht="17.15" hidden="false" customHeight="false" outlineLevel="0" collapsed="false">
      <c r="A720" s="3" t="s">
        <v>727</v>
      </c>
      <c r="B720" s="0" t="s">
        <v>43</v>
      </c>
      <c r="D720" s="20" t="n">
        <f aca="false">D719/D717</f>
        <v>1</v>
      </c>
      <c r="E720" s="20" t="n">
        <f aca="false">E719/E717</f>
        <v>0.862072490215205</v>
      </c>
      <c r="F720" s="20" t="n">
        <f aca="false">F719/F717</f>
        <v>0.885571962422065</v>
      </c>
      <c r="G720" s="20" t="n">
        <f aca="false">G719/G717</f>
        <v>0.931854907830698</v>
      </c>
    </row>
    <row r="721" customFormat="false" ht="17.15" hidden="false" customHeight="false" outlineLevel="0" collapsed="false">
      <c r="A721" s="0" t="s">
        <v>728</v>
      </c>
      <c r="B721" s="0" t="s">
        <v>379</v>
      </c>
      <c r="D721" s="21" t="n">
        <f aca="false">(D712+D715)*D720</f>
        <v>5.714709</v>
      </c>
      <c r="E721" s="21" t="n">
        <f aca="false">(E712+E715)*E720</f>
        <v>15.1062669325995</v>
      </c>
      <c r="F721" s="21" t="n">
        <f aca="false">(F712+F715)*F720</f>
        <v>21.6818267247979</v>
      </c>
      <c r="G721" s="21" t="n">
        <f aca="false">(G712+G715)*G720</f>
        <v>28.7864362720566</v>
      </c>
    </row>
    <row r="722" customFormat="false" ht="17.15" hidden="false" customHeight="false" outlineLevel="0" collapsed="false">
      <c r="A722" s="3" t="s">
        <v>729</v>
      </c>
      <c r="B722" s="0" t="s">
        <v>43</v>
      </c>
      <c r="D722" s="20" t="n">
        <f aca="false">D712/(D712+D715)</f>
        <v>0.788005539225042</v>
      </c>
      <c r="E722" s="20" t="n">
        <f aca="false">E712/(E712+E715)</f>
        <v>0.888793120944167</v>
      </c>
      <c r="F722" s="20" t="n">
        <f aca="false">F712/(F712+F715)</f>
        <v>0.918659380469366</v>
      </c>
      <c r="G722" s="20" t="n">
        <f aca="false">G712/(G712+G715)</f>
        <v>0.934845405934042</v>
      </c>
    </row>
    <row r="723" customFormat="false" ht="17.15" hidden="false" customHeight="false" outlineLevel="0" collapsed="false">
      <c r="A723" s="5" t="s">
        <v>730</v>
      </c>
    </row>
    <row r="724" customFormat="false" ht="17.15" hidden="false" customHeight="false" outlineLevel="0" collapsed="false">
      <c r="A724" s="0" t="s">
        <v>731</v>
      </c>
      <c r="B724" s="0" t="s">
        <v>379</v>
      </c>
      <c r="D724" s="21" t="n">
        <f aca="false">a26_bt</f>
        <v>23.265964</v>
      </c>
      <c r="E724" s="21" t="n">
        <f aca="false">D724*(1+g_bt27_A)</f>
        <v>29.78043392</v>
      </c>
      <c r="F724" s="21" t="n">
        <f aca="false">E724*(1+g_bt28_A)</f>
        <v>32.758477312</v>
      </c>
      <c r="G724" s="21" t="n">
        <f aca="false">F724*(1+g_bt29_A)</f>
        <v>34.3964011776</v>
      </c>
      <c r="K724" s="7" t="s">
        <v>732</v>
      </c>
    </row>
    <row r="725" customFormat="false" ht="17.15" hidden="false" customHeight="false" outlineLevel="0" collapsed="false">
      <c r="A725" s="3" t="s">
        <v>617</v>
      </c>
      <c r="B725" s="0" t="s">
        <v>379</v>
      </c>
      <c r="C725" s="21" t="n">
        <f aca="false">a25_lens</f>
        <v>7.039</v>
      </c>
      <c r="D725" s="21" t="n">
        <f aca="false">a26_lens</f>
        <v>8.301</v>
      </c>
      <c r="E725" s="21" t="n">
        <f aca="false">D725*(1+g_lens)</f>
        <v>9.1311</v>
      </c>
      <c r="F725" s="21" t="n">
        <f aca="false">E725*(1+g_lens)</f>
        <v>10.04421</v>
      </c>
      <c r="G725" s="21" t="n">
        <f aca="false">F725*(1+g_lens)</f>
        <v>11.048631</v>
      </c>
      <c r="K725" s="3" t="s">
        <v>733</v>
      </c>
    </row>
    <row r="726" customFormat="false" ht="17.15" hidden="false" customHeight="false" outlineLevel="0" collapsed="false">
      <c r="A726" s="3" t="s">
        <v>574</v>
      </c>
      <c r="B726" s="0" t="s">
        <v>379</v>
      </c>
      <c r="C726" s="23" t="n">
        <f aca="false">a25_rev</f>
        <v>39.351</v>
      </c>
      <c r="D726" s="23" t="n">
        <f aca="false">D719+D724+D725</f>
        <v>54.4258</v>
      </c>
      <c r="E726" s="23" t="n">
        <f aca="false">E719+E724+E725</f>
        <v>72.033987284</v>
      </c>
      <c r="F726" s="23" t="n">
        <f aca="false">F719+F724+F725</f>
        <v>84.1022463502375</v>
      </c>
      <c r="G726" s="23" t="n">
        <f aca="false">G719+G724+G725</f>
        <v>96.1130701345114</v>
      </c>
      <c r="H726" s="25" t="n">
        <f aca="false">G726*(1+H728)</f>
        <v>107.186075216063</v>
      </c>
      <c r="I726" s="25" t="n">
        <f aca="false">H726*(1+I728)</f>
        <v>116.576010002736</v>
      </c>
      <c r="J726" s="25" t="n">
        <f aca="false">I726*(1+J728)</f>
        <v>123.5705706029</v>
      </c>
      <c r="K726" s="7" t="s">
        <v>734</v>
      </c>
    </row>
    <row r="727" customFormat="false" ht="17.15" hidden="false" customHeight="false" outlineLevel="0" collapsed="false">
      <c r="A727" s="3" t="s">
        <v>735</v>
      </c>
      <c r="B727" s="0" t="s">
        <v>379</v>
      </c>
      <c r="D727" s="19" t="n">
        <f aca="false">D719+D724+D725-D726</f>
        <v>0</v>
      </c>
      <c r="E727" s="19" t="n">
        <f aca="false">E719+E724+E725-E726</f>
        <v>0</v>
      </c>
      <c r="F727" s="19" t="n">
        <f aca="false">F719+F724+F725-F726</f>
        <v>0</v>
      </c>
      <c r="G727" s="19" t="n">
        <f aca="false">G719+G724+G725-G726</f>
        <v>0</v>
      </c>
    </row>
    <row r="728" customFormat="false" ht="15" hidden="false" customHeight="false" outlineLevel="0" collapsed="false">
      <c r="A728" s="3" t="s">
        <v>736</v>
      </c>
      <c r="B728" s="0" t="s">
        <v>43</v>
      </c>
      <c r="D728" s="20" t="n">
        <f aca="false">D726/C726-1</f>
        <v>0.383085563263958</v>
      </c>
      <c r="E728" s="20" t="n">
        <f aca="false">E726/D726-1</f>
        <v>0.323526476119781</v>
      </c>
      <c r="F728" s="20" t="n">
        <f aca="false">F726/E726-1</f>
        <v>0.167535624796909</v>
      </c>
      <c r="G728" s="20" t="n">
        <f aca="false">G726/F726-1</f>
        <v>0.142812163830389</v>
      </c>
      <c r="H728" s="26" t="n">
        <f aca="false">$G728+(fade_gA-$G728)*1/3</f>
        <v>0.115208109220259</v>
      </c>
      <c r="I728" s="26" t="n">
        <f aca="false">$G728+(fade_gA-$G728)*2/3</f>
        <v>0.0876040546101297</v>
      </c>
      <c r="J728" s="26" t="n">
        <f aca="false">$G728+(fade_gA-$G728)*3/3</f>
        <v>0.06</v>
      </c>
    </row>
    <row r="729" customFormat="false" ht="17.15" hidden="false" customHeight="false" outlineLevel="0" collapsed="false">
      <c r="A729" s="0" t="s">
        <v>737</v>
      </c>
      <c r="B729" s="0" t="s">
        <v>43</v>
      </c>
      <c r="D729" s="20" t="n">
        <f aca="false">D719/D726</f>
        <v>0.42</v>
      </c>
      <c r="E729" s="20" t="n">
        <f aca="false">E719/E726</f>
        <v>0.459817019893845</v>
      </c>
      <c r="F729" s="20" t="n">
        <f aca="false">F719/F726</f>
        <v>0.491063685341395</v>
      </c>
      <c r="G729" s="20" t="n">
        <f aca="false">G719/G726</f>
        <v>0.527171152539409</v>
      </c>
    </row>
    <row r="730" customFormat="false" ht="17.15" hidden="false" customHeight="false" outlineLevel="0" collapsed="false">
      <c r="A730" s="0" t="s">
        <v>738</v>
      </c>
      <c r="B730" s="0" t="s">
        <v>43</v>
      </c>
      <c r="D730" s="20" t="n">
        <f aca="false">D721/D726</f>
        <v>0.105</v>
      </c>
      <c r="E730" s="20" t="n">
        <f aca="false">E721/E726</f>
        <v>0.209710270140146</v>
      </c>
      <c r="F730" s="20" t="n">
        <f aca="false">F721/F726</f>
        <v>0.257803182028047</v>
      </c>
      <c r="G730" s="20" t="n">
        <f aca="false">G721/G726</f>
        <v>0.299505948897165</v>
      </c>
      <c r="K730" s="3" t="s">
        <v>739</v>
      </c>
    </row>
    <row r="731" customFormat="false" ht="17.15" hidden="false" customHeight="false" outlineLevel="0" collapsed="false">
      <c r="A731" s="5" t="s">
        <v>740</v>
      </c>
    </row>
    <row r="732" customFormat="false" ht="15" hidden="false" customHeight="false" outlineLevel="0" collapsed="false">
      <c r="A732" s="3" t="s">
        <v>741</v>
      </c>
      <c r="B732" s="0" t="s">
        <v>379</v>
      </c>
      <c r="C732" s="23" t="n">
        <f aca="false">a25_cx</f>
        <v>6.116</v>
      </c>
      <c r="D732" s="23" t="n">
        <f aca="false">capex26</f>
        <v>11</v>
      </c>
      <c r="E732" s="23" t="n">
        <f aca="false">cx27</f>
        <v>17</v>
      </c>
      <c r="F732" s="23" t="n">
        <f aca="false">cx28</f>
        <v>16</v>
      </c>
      <c r="G732" s="23" t="n">
        <f aca="false">cx29</f>
        <v>12</v>
      </c>
      <c r="H732" s="25" t="n">
        <f aca="false">H726*H751</f>
        <v>13.4817405534162</v>
      </c>
      <c r="I732" s="25" t="n">
        <f aca="false">I726*I751</f>
        <v>14.77073304233</v>
      </c>
      <c r="J732" s="25" t="n">
        <f aca="false">J726*J751</f>
        <v>15.7713906192965</v>
      </c>
    </row>
    <row r="733" customFormat="false" ht="17.15" hidden="false" customHeight="false" outlineLevel="0" collapsed="false">
      <c r="A733" s="3" t="s">
        <v>742</v>
      </c>
      <c r="B733" s="0" t="s">
        <v>379</v>
      </c>
      <c r="C733" s="23" t="n">
        <f aca="false">a25_da</f>
        <v>7.158</v>
      </c>
      <c r="D733" s="23" t="n">
        <f aca="false">da26</f>
        <v>8.32</v>
      </c>
      <c r="E733" s="23" t="n">
        <f aca="false">D733*(1-1/life)+D732/life</f>
        <v>8.655</v>
      </c>
      <c r="F733" s="23" t="n">
        <f aca="false">E733*(1-1/life)+E732/life</f>
        <v>9.698125</v>
      </c>
      <c r="G733" s="23" t="n">
        <f aca="false">F733*(1-1/life)+F732/life</f>
        <v>10.485859375</v>
      </c>
      <c r="H733" s="25" t="n">
        <f aca="false">H726*H734</f>
        <v>11.6939154071433</v>
      </c>
      <c r="I733" s="25" t="n">
        <f aca="false">I726*I734</f>
        <v>12.7183498110769</v>
      </c>
      <c r="J733" s="25" t="n">
        <f aca="false">J726*J734</f>
        <v>13.4814507997415</v>
      </c>
      <c r="K733" s="3" t="s">
        <v>743</v>
      </c>
    </row>
    <row r="734" customFormat="false" ht="17.15" hidden="false" customHeight="false" outlineLevel="0" collapsed="false">
      <c r="A734" s="3" t="s">
        <v>744</v>
      </c>
      <c r="B734" s="0" t="s">
        <v>43</v>
      </c>
      <c r="C734" s="20" t="n">
        <f aca="false">C733/C726</f>
        <v>0.181901349393916</v>
      </c>
      <c r="D734" s="20" t="n">
        <f aca="false">D733/D726</f>
        <v>0.152868676252807</v>
      </c>
      <c r="E734" s="20" t="n">
        <f aca="false">E733/E726</f>
        <v>0.120151616290196</v>
      </c>
      <c r="F734" s="20" t="n">
        <f aca="false">F733/F726</f>
        <v>0.115313507318376</v>
      </c>
      <c r="G734" s="20" t="n">
        <f aca="false">G733/G726</f>
        <v>0.109099203264706</v>
      </c>
      <c r="H734" s="26" t="n">
        <f aca="false">$G734</f>
        <v>0.109099203264706</v>
      </c>
      <c r="I734" s="26" t="n">
        <f aca="false">$G734</f>
        <v>0.109099203264706</v>
      </c>
      <c r="J734" s="26" t="n">
        <f aca="false">$G734</f>
        <v>0.109099203264706</v>
      </c>
    </row>
    <row r="735" customFormat="false" ht="17.15" hidden="false" customHeight="false" outlineLevel="0" collapsed="false">
      <c r="A735" s="0" t="s">
        <v>745</v>
      </c>
      <c r="B735" s="0" t="s">
        <v>379</v>
      </c>
      <c r="E735" s="21" t="n">
        <f aca="false">E720*((E712+E715)*(1-1/(E705*E706))+E716*(1-1/E706))</f>
        <v>4.320320004</v>
      </c>
      <c r="F735" s="21" t="n">
        <f aca="false">F720*((F712+F715)*(1-1/(F705*F706))+F716*(1-1/F706))</f>
        <v>4.39459572238805</v>
      </c>
      <c r="G735" s="21" t="n">
        <f aca="false">G720*((G712+G715)*(1-1/(G705*G706))+G716*(1-1/G706))</f>
        <v>3.827576325582</v>
      </c>
      <c r="K735" s="7" t="s">
        <v>746</v>
      </c>
    </row>
    <row r="736" customFormat="false" ht="17.15" hidden="false" customHeight="false" outlineLevel="0" collapsed="false">
      <c r="A736" s="3" t="s">
        <v>747</v>
      </c>
      <c r="B736" s="0" t="s">
        <v>379</v>
      </c>
      <c r="C736" s="21" t="n">
        <f aca="false">a25_gp</f>
        <v>8.314</v>
      </c>
      <c r="D736" s="21" t="n">
        <f aca="false">a26_gp</f>
        <v>15.328536</v>
      </c>
      <c r="E736" s="21" t="n">
        <f aca="false">$D736+ft_abf*(E719-E735-$D719)+ft_bt_hi*(E724-$D724)+ft_lens*(E725-$D725)+E735-(E733-$D733)</f>
        <v>26.567731636</v>
      </c>
      <c r="F736" s="21" t="n">
        <f aca="false">$D736+ft_abf*(F719-F735-$D719)+ft_bt_hi*(F724-$D724)+ft_lens*(F725-$D725)+F735-(F733-$D733)</f>
        <v>31.8480228675128</v>
      </c>
      <c r="G736" s="21" t="n">
        <f aca="false">$D736+ft_abf*(G719-G735-$D719)+ft_bt_hi*(G724-$D724)+ft_lens*(G725-$D725)+G735-(G733-$D733)</f>
        <v>36.8957620228067</v>
      </c>
      <c r="K736" s="3" t="s">
        <v>748</v>
      </c>
    </row>
    <row r="737" customFormat="false" ht="15" hidden="false" customHeight="false" outlineLevel="0" collapsed="false">
      <c r="A737" s="3" t="s">
        <v>581</v>
      </c>
      <c r="B737" s="0" t="s">
        <v>43</v>
      </c>
      <c r="C737" s="16" t="n">
        <f aca="false">C736/C726</f>
        <v>0.211277985311682</v>
      </c>
      <c r="D737" s="16" t="n">
        <f aca="false">D736/D726</f>
        <v>0.281640986443929</v>
      </c>
      <c r="E737" s="16" t="n">
        <f aca="false">E736/E726</f>
        <v>0.368822171834727</v>
      </c>
      <c r="F737" s="16" t="n">
        <f aca="false">F736/F726</f>
        <v>0.378682190424309</v>
      </c>
      <c r="G737" s="16" t="n">
        <f aca="false">G736/G726</f>
        <v>0.38387871671533</v>
      </c>
    </row>
    <row r="738" customFormat="false" ht="15" hidden="false" customHeight="false" outlineLevel="0" collapsed="false">
      <c r="A738" s="3" t="s">
        <v>583</v>
      </c>
      <c r="B738" s="0" t="s">
        <v>379</v>
      </c>
      <c r="C738" s="21" t="n">
        <f aca="false">a25_opx</f>
        <v>5.644</v>
      </c>
      <c r="D738" s="21" t="n">
        <f aca="false">a26_opx</f>
        <v>6.54036</v>
      </c>
      <c r="E738" s="21" t="n">
        <f aca="false">D738*(1+phi*E728)</f>
        <v>7.80994777401287</v>
      </c>
      <c r="F738" s="21" t="n">
        <f aca="false">E738*(1+phi*F728)</f>
        <v>8.59501446198315</v>
      </c>
      <c r="G738" s="21" t="n">
        <f aca="false">F738*(1+phi*G728)</f>
        <v>9.33149803006473</v>
      </c>
    </row>
    <row r="739" customFormat="false" ht="15" hidden="false" customHeight="false" outlineLevel="0" collapsed="false">
      <c r="A739" s="3" t="s">
        <v>586</v>
      </c>
      <c r="B739" s="0" t="s">
        <v>379</v>
      </c>
      <c r="C739" s="21" t="n">
        <f aca="false">C736-C738</f>
        <v>2.67</v>
      </c>
      <c r="D739" s="21" t="n">
        <f aca="false">D736-D738</f>
        <v>8.788176</v>
      </c>
      <c r="E739" s="21" t="n">
        <f aca="false">E736-E738</f>
        <v>18.7577838619871</v>
      </c>
      <c r="F739" s="21" t="n">
        <f aca="false">F736-F738</f>
        <v>23.2530084055296</v>
      </c>
      <c r="G739" s="21" t="n">
        <f aca="false">G736-G738</f>
        <v>27.564263992742</v>
      </c>
    </row>
    <row r="740" customFormat="false" ht="15" hidden="false" customHeight="false" outlineLevel="0" collapsed="false">
      <c r="A740" s="3" t="s">
        <v>684</v>
      </c>
      <c r="B740" s="0" t="s">
        <v>43</v>
      </c>
      <c r="C740" s="16" t="n">
        <f aca="false">C739/C726</f>
        <v>0.0678508805367081</v>
      </c>
      <c r="D740" s="16" t="n">
        <f aca="false">D739/D726</f>
        <v>0.161470773052486</v>
      </c>
      <c r="E740" s="16" t="n">
        <f aca="false">E739/E726</f>
        <v>0.260401854308481</v>
      </c>
      <c r="F740" s="16" t="n">
        <f aca="false">F739/F726</f>
        <v>0.276484986009698</v>
      </c>
      <c r="G740" s="16" t="n">
        <f aca="false">G739/G726</f>
        <v>0.286789964717238</v>
      </c>
    </row>
    <row r="741" customFormat="false" ht="15" hidden="false" customHeight="false" outlineLevel="0" collapsed="false">
      <c r="A741" s="3" t="s">
        <v>589</v>
      </c>
      <c r="B741" s="0" t="s">
        <v>379</v>
      </c>
      <c r="C741" s="21" t="n">
        <f aca="false">a25_nonop</f>
        <v>0.417</v>
      </c>
      <c r="D741" s="21" t="n">
        <f aca="false">a26_nonop</f>
        <v>0.37882</v>
      </c>
      <c r="E741" s="21" t="n">
        <f aca="false">nonop27</f>
        <v>0.4</v>
      </c>
      <c r="F741" s="21" t="n">
        <f aca="false">nonop28</f>
        <v>0.4</v>
      </c>
      <c r="G741" s="21" t="n">
        <f aca="false">nonop29</f>
        <v>0.4</v>
      </c>
    </row>
    <row r="742" customFormat="false" ht="15" hidden="false" customHeight="false" outlineLevel="0" collapsed="false">
      <c r="A742" s="3" t="s">
        <v>591</v>
      </c>
      <c r="B742" s="0" t="s">
        <v>379</v>
      </c>
      <c r="C742" s="21" t="n">
        <f aca="false">C739+C741</f>
        <v>3.087</v>
      </c>
      <c r="D742" s="21" t="n">
        <f aca="false">D739+D741</f>
        <v>9.166996</v>
      </c>
      <c r="E742" s="21" t="n">
        <f aca="false">E739+E741</f>
        <v>19.1577838619871</v>
      </c>
      <c r="F742" s="21" t="n">
        <f aca="false">F739+F741</f>
        <v>23.6530084055296</v>
      </c>
      <c r="G742" s="21" t="n">
        <f aca="false">G739+G741</f>
        <v>27.964263992742</v>
      </c>
    </row>
    <row r="743" customFormat="false" ht="15" hidden="false" customHeight="false" outlineLevel="0" collapsed="false">
      <c r="A743" s="3" t="s">
        <v>592</v>
      </c>
      <c r="B743" s="0" t="s">
        <v>379</v>
      </c>
      <c r="E743" s="21" t="n">
        <f aca="false">E742*tax</f>
        <v>2.29893406343846</v>
      </c>
      <c r="F743" s="21" t="n">
        <f aca="false">F742*tax</f>
        <v>2.83836100866356</v>
      </c>
      <c r="G743" s="21" t="n">
        <f aca="false">G742*tax</f>
        <v>3.35571167912904</v>
      </c>
    </row>
    <row r="744" customFormat="false" ht="15" hidden="false" customHeight="false" outlineLevel="0" collapsed="false">
      <c r="A744" s="3" t="s">
        <v>593</v>
      </c>
      <c r="B744" s="0" t="s">
        <v>379</v>
      </c>
      <c r="C744" s="21" t="n">
        <f aca="false">a25_nic</f>
        <v>2.71712</v>
      </c>
      <c r="D744" s="21" t="n">
        <f aca="false">a26_nic</f>
        <v>8.39979776</v>
      </c>
      <c r="E744" s="21" t="n">
        <f aca="false">E742-E743</f>
        <v>16.8588497985487</v>
      </c>
      <c r="F744" s="21" t="n">
        <f aca="false">F742-F743</f>
        <v>20.8146473968661</v>
      </c>
      <c r="G744" s="21" t="n">
        <f aca="false">G742-G743</f>
        <v>24.6085523136129</v>
      </c>
    </row>
    <row r="745" customFormat="false" ht="17.15" hidden="false" customHeight="false" outlineLevel="0" collapsed="false">
      <c r="A745" s="3" t="s">
        <v>749</v>
      </c>
      <c r="B745" s="0" t="s">
        <v>379</v>
      </c>
      <c r="C745" s="21" t="n">
        <f aca="false">a25_nci</f>
        <v>1.12112</v>
      </c>
      <c r="D745" s="21" t="n">
        <f aca="false">a26_nci</f>
        <v>1.43839238487797</v>
      </c>
      <c r="E745" s="21" t="n">
        <f aca="false">E725*nm_lens*nci_sh</f>
        <v>1.57074538036261</v>
      </c>
      <c r="F745" s="21" t="n">
        <f aca="false">F725*nm_lens*nci_sh</f>
        <v>1.72781991839887</v>
      </c>
      <c r="G745" s="21" t="n">
        <f aca="false">G725*nm_lens*nci_sh</f>
        <v>1.90060191023875</v>
      </c>
      <c r="K745" s="3" t="s">
        <v>750</v>
      </c>
    </row>
    <row r="746" customFormat="false" ht="15" hidden="false" customHeight="false" outlineLevel="0" collapsed="false">
      <c r="A746" s="3" t="s">
        <v>599</v>
      </c>
      <c r="B746" s="0" t="s">
        <v>379</v>
      </c>
      <c r="C746" s="21" t="n">
        <f aca="false">a25_ni</f>
        <v>1.596</v>
      </c>
      <c r="D746" s="21" t="n">
        <f aca="false">a26_ni</f>
        <v>6.96140537512203</v>
      </c>
      <c r="E746" s="21" t="n">
        <f aca="false">E744-E745</f>
        <v>15.2881044181861</v>
      </c>
      <c r="F746" s="21" t="n">
        <f aca="false">F744-F745</f>
        <v>19.0868274784672</v>
      </c>
      <c r="G746" s="21" t="n">
        <f aca="false">G744-G745</f>
        <v>22.7079504033742</v>
      </c>
      <c r="H746" s="30" t="n">
        <f aca="false">H726*H750</f>
        <v>24.7779292664308</v>
      </c>
      <c r="I746" s="30" t="n">
        <f aca="false">I726*I750</f>
        <v>26.3545692351137</v>
      </c>
      <c r="J746" s="30" t="n">
        <f aca="false">J726*J750</f>
        <v>27.3061958633271</v>
      </c>
    </row>
    <row r="747" customFormat="false" ht="15" hidden="false" customHeight="false" outlineLevel="0" collapsed="false">
      <c r="A747" s="3" t="s">
        <v>751</v>
      </c>
      <c r="B747" s="3" t="s">
        <v>465</v>
      </c>
      <c r="C747" s="29" t="n">
        <f aca="false">a25_sh</f>
        <v>0.454700854700855</v>
      </c>
      <c r="D747" s="29" t="n">
        <f aca="false">a26_sh</f>
        <v>0.508341020486215</v>
      </c>
      <c r="E747" s="29" t="n">
        <f aca="false">a26_shend*(1+sh_g)</f>
        <v>0.52691</v>
      </c>
      <c r="F747" s="29" t="n">
        <f aca="false">E747*(1+sh_g)</f>
        <v>0.52691</v>
      </c>
      <c r="G747" s="29" t="n">
        <f aca="false">F747*(1+sh_g)</f>
        <v>0.52691</v>
      </c>
      <c r="H747" s="31" t="n">
        <f aca="false">G747*(1+sh_g)</f>
        <v>0.52691</v>
      </c>
      <c r="I747" s="31" t="n">
        <f aca="false">H747*(1+sh_g)</f>
        <v>0.52691</v>
      </c>
      <c r="J747" s="31" t="n">
        <f aca="false">I747*(1+sh_g)</f>
        <v>0.52691</v>
      </c>
    </row>
    <row r="748" customFormat="false" ht="17.15" hidden="false" customHeight="false" outlineLevel="0" collapsed="false">
      <c r="A748" s="0" t="s">
        <v>604</v>
      </c>
      <c r="B748" s="0" t="s">
        <v>471</v>
      </c>
      <c r="C748" s="18" t="n">
        <f aca="false">C746/C747</f>
        <v>3.51</v>
      </c>
      <c r="D748" s="18" t="n">
        <f aca="false">D746/D747</f>
        <v>13.6943608612652</v>
      </c>
      <c r="E748" s="18" t="n">
        <f aca="false">E746/E747</f>
        <v>29.0146408650169</v>
      </c>
      <c r="F748" s="18" t="n">
        <f aca="false">F746/F747</f>
        <v>36.2240752281551</v>
      </c>
      <c r="G748" s="18" t="n">
        <f aca="false">G746/G747</f>
        <v>43.0964498745026</v>
      </c>
      <c r="H748" s="28" t="n">
        <f aca="false">H746/H747</f>
        <v>47.0249744101095</v>
      </c>
      <c r="I748" s="28" t="n">
        <f aca="false">I746/I747</f>
        <v>50.017212114239</v>
      </c>
      <c r="J748" s="28" t="n">
        <f aca="false">J746/J747</f>
        <v>51.8232636756317</v>
      </c>
    </row>
    <row r="749" customFormat="false" ht="17.15" hidden="false" customHeight="false" outlineLevel="0" collapsed="false">
      <c r="A749" s="0" t="s">
        <v>752</v>
      </c>
      <c r="B749" s="0" t="s">
        <v>43</v>
      </c>
      <c r="D749" s="20" t="n">
        <f aca="false">D748/C748-1</f>
        <v>2.90152731090177</v>
      </c>
      <c r="E749" s="20" t="n">
        <f aca="false">E748/D748-1</f>
        <v>1.11872910017184</v>
      </c>
      <c r="F749" s="20" t="n">
        <f aca="false">F748/E748-1</f>
        <v>0.248475740116109</v>
      </c>
      <c r="G749" s="20" t="n">
        <f aca="false">G748/F748-1</f>
        <v>0.189718429057534</v>
      </c>
      <c r="H749" s="26" t="n">
        <f aca="false">H748/G748-1</f>
        <v>0.091156569672137</v>
      </c>
      <c r="I749" s="26" t="n">
        <f aca="false">I748/H748-1</f>
        <v>0.0636308204664597</v>
      </c>
      <c r="J749" s="26" t="n">
        <f aca="false">J748/I748-1</f>
        <v>0.0361086011205039</v>
      </c>
    </row>
    <row r="750" customFormat="false" ht="17.15" hidden="false" customHeight="false" outlineLevel="0" collapsed="false">
      <c r="A750" s="3" t="s">
        <v>753</v>
      </c>
      <c r="B750" s="0" t="s">
        <v>43</v>
      </c>
      <c r="C750" s="16" t="n">
        <f aca="false">C746/C726</f>
        <v>0.0405580544331783</v>
      </c>
      <c r="D750" s="16" t="n">
        <f aca="false">D746/D726</f>
        <v>0.127906349105057</v>
      </c>
      <c r="E750" s="16" t="n">
        <f aca="false">E746/E726</f>
        <v>0.212234599174851</v>
      </c>
      <c r="F750" s="16" t="n">
        <f aca="false">F746/F726</f>
        <v>0.226947891486531</v>
      </c>
      <c r="G750" s="16" t="n">
        <f aca="false">G746/G726</f>
        <v>0.236262876335072</v>
      </c>
      <c r="H750" s="27" t="n">
        <f aca="false">$G750+(fade_mA-$G750)*1/3</f>
        <v>0.231167427452532</v>
      </c>
      <c r="I750" s="27" t="n">
        <f aca="false">$G750+(fade_mA-$G750)*2/3</f>
        <v>0.226071978569992</v>
      </c>
      <c r="J750" s="27" t="n">
        <f aca="false">$G750+(fade_mA-$G750)*3/3</f>
        <v>0.220976529687452</v>
      </c>
    </row>
    <row r="751" customFormat="false" ht="17.15" hidden="false" customHeight="false" outlineLevel="0" collapsed="false">
      <c r="A751" s="3" t="s">
        <v>754</v>
      </c>
      <c r="B751" s="0" t="s">
        <v>43</v>
      </c>
      <c r="C751" s="20" t="n">
        <f aca="false">C732/C726</f>
        <v>0.155421717364235</v>
      </c>
      <c r="D751" s="20" t="n">
        <f aca="false">D732/D726</f>
        <v>0.202110028699624</v>
      </c>
      <c r="E751" s="20" t="n">
        <f aca="false">E732/E726</f>
        <v>0.235999708484498</v>
      </c>
      <c r="F751" s="20" t="n">
        <f aca="false">F732/F726</f>
        <v>0.190244621212247</v>
      </c>
      <c r="G751" s="20" t="n">
        <f aca="false">G732/G726</f>
        <v>0.124852946464054</v>
      </c>
      <c r="H751" s="26" t="n">
        <f aca="false">$G751+($G734*(1+tp_g)^(life/2)-$G751)*1/3</f>
        <v>0.125778843252168</v>
      </c>
      <c r="I751" s="26" t="n">
        <f aca="false">$G751+($G734*(1+tp_g)^(life/2)-$G751)*2/3</f>
        <v>0.126704740040282</v>
      </c>
      <c r="J751" s="26" t="n">
        <f aca="false">$G751+($G734*(1+tp_g)^(life/2)-$G751)*3/3</f>
        <v>0.127630636828396</v>
      </c>
      <c r="K751" s="7" t="s">
        <v>755</v>
      </c>
    </row>
    <row r="752" customFormat="false" ht="15" hidden="false" customHeight="false" outlineLevel="0" collapsed="false">
      <c r="A752" s="3" t="s">
        <v>756</v>
      </c>
      <c r="B752" s="0" t="s">
        <v>379</v>
      </c>
      <c r="D752" s="21" t="n">
        <f aca="false">D746+D733-D732</f>
        <v>4.28140537512203</v>
      </c>
      <c r="E752" s="21" t="n">
        <f aca="false">E746+E733-E732</f>
        <v>6.94310441818607</v>
      </c>
      <c r="F752" s="21" t="n">
        <f aca="false">F746+F733-F732</f>
        <v>12.7849524784672</v>
      </c>
      <c r="G752" s="21" t="n">
        <f aca="false">G746+G733-G732</f>
        <v>21.1938097783742</v>
      </c>
      <c r="H752" s="30" t="n">
        <f aca="false">H746+H733-H732</f>
        <v>22.9901041201578</v>
      </c>
      <c r="I752" s="30" t="n">
        <f aca="false">I746+I733-I732</f>
        <v>24.3021860038606</v>
      </c>
      <c r="J752" s="30" t="n">
        <f aca="false">J746+J733-J732</f>
        <v>25.0162560437722</v>
      </c>
      <c r="K752" s="3" t="s">
        <v>757</v>
      </c>
    </row>
    <row r="753" customFormat="false" ht="15" hidden="false" customHeight="false" outlineLevel="0" collapsed="false">
      <c r="A753" s="3" t="s">
        <v>758</v>
      </c>
      <c r="B753" s="0" t="s">
        <v>471</v>
      </c>
      <c r="D753" s="18" t="n">
        <f aca="false">D752/D747</f>
        <v>8.42230943909854</v>
      </c>
      <c r="E753" s="18" t="n">
        <f aca="false">E752/E747</f>
        <v>13.177021537238</v>
      </c>
      <c r="F753" s="18" t="n">
        <f aca="false">F752/F747</f>
        <v>24.2640156354353</v>
      </c>
      <c r="G753" s="18" t="n">
        <f aca="false">G752/G747</f>
        <v>40.2228270072198</v>
      </c>
      <c r="H753" s="28" t="n">
        <f aca="false">H752/H747</f>
        <v>43.631937371008</v>
      </c>
      <c r="I753" s="28" t="n">
        <f aca="false">I752/I747</f>
        <v>46.1220815772344</v>
      </c>
      <c r="J753" s="28" t="n">
        <f aca="false">J752/J747</f>
        <v>47.4772846288212</v>
      </c>
    </row>
    <row r="756" customFormat="false" ht="17.15" hidden="false" customHeight="false" outlineLevel="0" collapsed="false">
      <c r="A756" s="1" t="s">
        <v>1104</v>
      </c>
    </row>
    <row r="757" customFormat="false" ht="17.15" hidden="false" customHeight="false" outlineLevel="0" collapsed="false">
      <c r="A757" s="4" t="s">
        <v>20</v>
      </c>
      <c r="B757" s="4" t="s">
        <v>21</v>
      </c>
      <c r="C757" s="13" t="s">
        <v>567</v>
      </c>
      <c r="D757" s="13" t="s">
        <v>671</v>
      </c>
      <c r="E757" s="13" t="s">
        <v>672</v>
      </c>
      <c r="F757" s="13" t="s">
        <v>673</v>
      </c>
      <c r="G757" s="13" t="s">
        <v>674</v>
      </c>
      <c r="H757" s="13" t="s">
        <v>675</v>
      </c>
      <c r="I757" s="13" t="s">
        <v>676</v>
      </c>
      <c r="J757" s="13" t="s">
        <v>677</v>
      </c>
      <c r="K757" s="4" t="s">
        <v>631</v>
      </c>
    </row>
    <row r="758" customFormat="false" ht="17.15" hidden="false" customHeight="false" outlineLevel="0" collapsed="false">
      <c r="A758" s="5" t="s">
        <v>695</v>
      </c>
    </row>
    <row r="759" customFormat="false" ht="17.15" hidden="false" customHeight="false" outlineLevel="0" collapsed="false">
      <c r="A759" s="0" t="s">
        <v>696</v>
      </c>
      <c r="B759" s="3" t="s">
        <v>31</v>
      </c>
      <c r="D759" s="21" t="n">
        <f aca="false">(u_bw_26+u_rb_26+u_ru_26+u_hp_26)*1</f>
        <v>7.6</v>
      </c>
      <c r="E759" s="21" t="n">
        <f aca="false">(u_bw_27+u_rb_27+u_ru_27+u_hp_27)*1*1</f>
        <v>9.7</v>
      </c>
      <c r="F759" s="21" t="n">
        <f aca="false">(u_bw_28+u_rb_28+u_ru_28+u_hp_28)*um28_A*1</f>
        <v>9.5</v>
      </c>
      <c r="G759" s="21" t="n">
        <f aca="false">(u_bw_28*(1+g29_bw)+u_rb_28*(1+g29_rb)+u_ru_28*(1+g29_ru)+u_hp_28*(1+g29_hp))*um29_A*1</f>
        <v>10.6</v>
      </c>
      <c r="K759" s="7" t="s">
        <v>697</v>
      </c>
    </row>
    <row r="760" customFormat="false" ht="17.15" hidden="false" customHeight="false" outlineLevel="0" collapsed="false">
      <c r="A760" s="3" t="s">
        <v>698</v>
      </c>
      <c r="B760" s="3" t="s">
        <v>31</v>
      </c>
      <c r="D760" s="21" t="n">
        <f aca="false">(u_amd_26+u_tpu_26+u_trn_26+u_oth_26)*1</f>
        <v>7.6</v>
      </c>
      <c r="E760" s="21" t="n">
        <f aca="false">(u_amd_27+u_tpu_27+u_trn_27+u_oth_27)*1*1</f>
        <v>14</v>
      </c>
      <c r="F760" s="21" t="n">
        <f aca="false">(u_amd_28+u_tpu_28+u_trn_28+u_oth_28)*um28_A*1</f>
        <v>17</v>
      </c>
      <c r="G760" s="21" t="n">
        <f aca="false">(u_amd_28*(1+g29_amd)+u_tpu_28*(1+g29_tpu)+u_trn_28*(1+g29_trn)+u_oth_28*(1+g29_oth))*um29_A*1</f>
        <v>19.55</v>
      </c>
      <c r="K760" s="7" t="s">
        <v>699</v>
      </c>
    </row>
    <row r="761" customFormat="false" ht="17.15" hidden="false" customHeight="false" outlineLevel="0" collapsed="false">
      <c r="A761" s="0" t="s">
        <v>700</v>
      </c>
      <c r="B761" s="3" t="s">
        <v>31</v>
      </c>
      <c r="D761" s="21" t="n">
        <f aca="false">D759*cpu_r</f>
        <v>3.04</v>
      </c>
      <c r="E761" s="21" t="n">
        <f aca="false">E759*cpu_r</f>
        <v>3.88</v>
      </c>
      <c r="F761" s="21" t="n">
        <f aca="false">F759*cpu_r</f>
        <v>3.8</v>
      </c>
      <c r="G761" s="21" t="n">
        <f aca="false">G759*cpu_r</f>
        <v>4.24</v>
      </c>
      <c r="K761" s="7" t="s">
        <v>701</v>
      </c>
    </row>
    <row r="762" customFormat="false" ht="17.15" hidden="false" customHeight="false" outlineLevel="0" collapsed="false">
      <c r="A762" s="3" t="s">
        <v>702</v>
      </c>
      <c r="B762" s="0" t="s">
        <v>153</v>
      </c>
      <c r="D762" s="19" t="n">
        <f aca="false">1</f>
        <v>1</v>
      </c>
      <c r="E762" s="19" t="n">
        <f aca="false">D762*(1+g_asp)</f>
        <v>1.18</v>
      </c>
      <c r="F762" s="19" t="n">
        <f aca="false">E762*(1+g_asp)</f>
        <v>1.3924</v>
      </c>
      <c r="G762" s="19" t="n">
        <f aca="false">F762*(1+g_asp)</f>
        <v>1.643032</v>
      </c>
      <c r="K762" s="7" t="s">
        <v>703</v>
      </c>
    </row>
    <row r="763" customFormat="false" ht="17.15" hidden="false" customHeight="false" outlineLevel="0" collapsed="false">
      <c r="A763" s="0" t="s">
        <v>704</v>
      </c>
      <c r="B763" s="0" t="s">
        <v>153</v>
      </c>
      <c r="D763" s="18" t="n">
        <f aca="false">1</f>
        <v>1</v>
      </c>
      <c r="E763" s="18" t="n">
        <f aca="false">ibpp_27</f>
        <v>1</v>
      </c>
      <c r="F763" s="18" t="n">
        <f aca="false">ibpp_28</f>
        <v>0.95</v>
      </c>
      <c r="G763" s="18" t="n">
        <f aca="false">ibpp_29</f>
        <v>0.9</v>
      </c>
      <c r="K763" s="7" t="s">
        <v>705</v>
      </c>
    </row>
    <row r="764" customFormat="false" ht="17.15" hidden="false" customHeight="false" outlineLevel="0" collapsed="false">
      <c r="A764" s="3" t="s">
        <v>706</v>
      </c>
      <c r="B764" s="0" t="s">
        <v>153</v>
      </c>
      <c r="D764" s="18" t="n">
        <f aca="false">1</f>
        <v>1</v>
      </c>
      <c r="E764" s="18" t="n">
        <f aca="false">1+carry</f>
        <v>1.15</v>
      </c>
      <c r="F764" s="18" t="n">
        <f aca="false">1+carry</f>
        <v>1.15</v>
      </c>
      <c r="G764" s="18" t="n">
        <f aca="false">1+carry</f>
        <v>1.15</v>
      </c>
      <c r="K764" s="7" t="s">
        <v>707</v>
      </c>
    </row>
    <row r="765" customFormat="false" ht="17.15" hidden="false" customHeight="false" outlineLevel="0" collapsed="false">
      <c r="A765" s="3" t="s">
        <v>708</v>
      </c>
      <c r="B765" s="0" t="s">
        <v>709</v>
      </c>
      <c r="D765" s="23" t="n">
        <f aca="false">v26*D762*D763</f>
        <v>215.308596</v>
      </c>
      <c r="E765" s="23" t="n">
        <f aca="false">v26*E762*E763</f>
        <v>254.06414328</v>
      </c>
      <c r="F765" s="23" t="n">
        <f aca="false">v26*F762*F763</f>
        <v>284.80590461688</v>
      </c>
      <c r="G765" s="23" t="n">
        <f aca="false">v26*G762*G763</f>
        <v>318.383021792765</v>
      </c>
      <c r="K765" s="7" t="s">
        <v>710</v>
      </c>
    </row>
    <row r="766" customFormat="false" ht="17.15" hidden="false" customHeight="false" outlineLevel="0" collapsed="false">
      <c r="A766" s="3" t="s">
        <v>711</v>
      </c>
      <c r="B766" s="0" t="s">
        <v>43</v>
      </c>
      <c r="D766" s="20" t="n">
        <f aca="false">sh_nv_26</f>
        <v>0.02</v>
      </c>
      <c r="E766" s="20" t="n">
        <f aca="false">sh_nv_27</f>
        <v>0.03</v>
      </c>
      <c r="F766" s="20" t="n">
        <f aca="false">sh_nv_28</f>
        <v>0.05</v>
      </c>
      <c r="G766" s="20" t="n">
        <f aca="false">sh_nv_29</f>
        <v>0.06</v>
      </c>
    </row>
    <row r="767" customFormat="false" ht="17.15" hidden="false" customHeight="false" outlineLevel="0" collapsed="false">
      <c r="A767" s="3" t="s">
        <v>712</v>
      </c>
      <c r="B767" s="0" t="s">
        <v>43</v>
      </c>
      <c r="D767" s="20" t="n">
        <f aca="false">sh_ot_26</f>
        <v>0.03</v>
      </c>
      <c r="E767" s="20" t="n">
        <f aca="false">sh_ot_27</f>
        <v>0.05</v>
      </c>
      <c r="F767" s="20" t="n">
        <f aca="false">sh_ot_28</f>
        <v>0.06</v>
      </c>
      <c r="G767" s="20" t="n">
        <f aca="false">sh_ot_29</f>
        <v>0.06</v>
      </c>
    </row>
    <row r="768" customFormat="false" ht="17.15" hidden="false" customHeight="false" outlineLevel="0" collapsed="false">
      <c r="A768" s="3" t="s">
        <v>713</v>
      </c>
      <c r="B768" s="0" t="s">
        <v>43</v>
      </c>
      <c r="D768" s="20" t="n">
        <f aca="false">sh_cpu_26</f>
        <v>0.35</v>
      </c>
      <c r="E768" s="20" t="n">
        <f aca="false">sh_cpu_27</f>
        <v>0.7</v>
      </c>
      <c r="F768" s="20" t="n">
        <f aca="false">sh_cpu_28</f>
        <v>0.75</v>
      </c>
      <c r="G768" s="20" t="n">
        <f aca="false">sh_cpu_29</f>
        <v>0.7</v>
      </c>
    </row>
    <row r="769" customFormat="false" ht="17.15" hidden="false" customHeight="false" outlineLevel="0" collapsed="false">
      <c r="A769" s="3" t="s">
        <v>714</v>
      </c>
      <c r="B769" s="0" t="s">
        <v>661</v>
      </c>
      <c r="D769" s="22" t="n">
        <f aca="false">(D759*D765*D766+D760*D765*v_ot*D767+D761*D765*v_cpu*D768)*D764</f>
        <v>140.7256983456</v>
      </c>
      <c r="E769" s="22" t="n">
        <f aca="false">(E759*E765*E766+E760*E765*v_ot*E767+E761*E765*v_cpu*E768)*E764</f>
        <v>486.703057357198</v>
      </c>
      <c r="F769" s="22" t="n">
        <f aca="false">(F759*F765*F766+F760*F765*v_ot*F767+F761*F765*v_cpu*F768)*F764</f>
        <v>702.872492003998</v>
      </c>
      <c r="G769" s="22" t="n">
        <f aca="false">(G759*G765*G766+G760*G765*v_ot*G767+G761*G765*v_cpu*G768)*G764</f>
        <v>902.463042932027</v>
      </c>
    </row>
    <row r="770" customFormat="false" ht="17.15" hidden="false" customHeight="false" outlineLevel="0" collapsed="false">
      <c r="A770" s="3" t="s">
        <v>715</v>
      </c>
      <c r="B770" s="0" t="s">
        <v>379</v>
      </c>
      <c r="D770" s="21" t="n">
        <f aca="false">D769*fx/1000</f>
        <v>4.5032223470592</v>
      </c>
      <c r="E770" s="21" t="n">
        <f aca="false">E769*fx/1000</f>
        <v>15.5744978354303</v>
      </c>
      <c r="F770" s="21" t="n">
        <f aca="false">F769*fx/1000</f>
        <v>22.4919197441279</v>
      </c>
      <c r="G770" s="21" t="n">
        <f aca="false">G769*fx/1000</f>
        <v>28.8788173738249</v>
      </c>
    </row>
    <row r="771" customFormat="false" ht="17.15" hidden="false" customHeight="false" outlineLevel="0" collapsed="false">
      <c r="A771" s="5" t="s">
        <v>716</v>
      </c>
    </row>
    <row r="772" customFormat="false" ht="17.15" hidden="false" customHeight="false" outlineLevel="0" collapsed="false">
      <c r="A772" s="0" t="s">
        <v>717</v>
      </c>
      <c r="B772" s="0" t="s">
        <v>379</v>
      </c>
      <c r="D772" s="21" t="n">
        <f aca="false">a26_abf*ai_abf</f>
        <v>5.714709</v>
      </c>
      <c r="K772" s="3" t="s">
        <v>718</v>
      </c>
    </row>
    <row r="773" customFormat="false" ht="17.15" hidden="false" customHeight="false" outlineLevel="0" collapsed="false">
      <c r="A773" s="3" t="s">
        <v>719</v>
      </c>
      <c r="B773" s="0" t="s">
        <v>379</v>
      </c>
      <c r="D773" s="21" t="n">
        <f aca="false">D772-D770</f>
        <v>1.2114866529408</v>
      </c>
      <c r="E773" s="21" t="n">
        <f aca="false">$D773*(swm_27/swm_26)^el_o*1*1*E763*E764</f>
        <v>1.94870016016792</v>
      </c>
      <c r="F773" s="21" t="n">
        <f aca="false">$D773*(swm_28/swm_26)^el_o*um28_A*1*F763*F764</f>
        <v>1.99149622299173</v>
      </c>
      <c r="G773" s="21" t="n">
        <f aca="false">$D773*(swm_29/swm_26)^el_o*um29_A*1*G763*G764</f>
        <v>2.01272596640355</v>
      </c>
      <c r="K773" s="7" t="s">
        <v>720</v>
      </c>
    </row>
    <row r="774" customFormat="false" ht="17.15" hidden="false" customHeight="false" outlineLevel="0" collapsed="false">
      <c r="A774" s="3" t="s">
        <v>721</v>
      </c>
      <c r="B774" s="0" t="s">
        <v>379</v>
      </c>
      <c r="D774" s="21" t="n">
        <f aca="false">a26_abf-D772</f>
        <v>17.144127</v>
      </c>
      <c r="E774" s="21" t="n">
        <f aca="false">$D774*(1+g_nai)^1*E764</f>
        <v>20.898690813</v>
      </c>
      <c r="F774" s="21" t="n">
        <f aca="false">$D774*(1+g_nai)^2*F764</f>
        <v>22.15261226178</v>
      </c>
      <c r="G774" s="21" t="n">
        <f aca="false">$D774*(1+g_nai)^3*G764</f>
        <v>23.4817689974868</v>
      </c>
      <c r="K774" s="3" t="s">
        <v>722</v>
      </c>
    </row>
    <row r="775" customFormat="false" ht="17.15" hidden="false" customHeight="false" outlineLevel="0" collapsed="false">
      <c r="A775" s="0" t="s">
        <v>723</v>
      </c>
      <c r="B775" s="0" t="s">
        <v>379</v>
      </c>
      <c r="D775" s="21" t="n">
        <f aca="false">D770+D773+D774</f>
        <v>22.858836</v>
      </c>
      <c r="E775" s="21" t="n">
        <f aca="false">E770+E773+E774</f>
        <v>38.4218888085982</v>
      </c>
      <c r="F775" s="21" t="n">
        <f aca="false">F770+F773+F774</f>
        <v>46.6360282288997</v>
      </c>
      <c r="G775" s="21" t="n">
        <f aca="false">G770+G773+G774</f>
        <v>54.3733123377152</v>
      </c>
    </row>
    <row r="776" customFormat="false" ht="17.15" hidden="false" customHeight="false" outlineLevel="0" collapsed="false">
      <c r="A776" s="0" t="s">
        <v>724</v>
      </c>
      <c r="B776" s="0" t="s">
        <v>379</v>
      </c>
      <c r="D776" s="21" t="n">
        <f aca="false">a26_abf</f>
        <v>22.858836</v>
      </c>
      <c r="E776" s="21" t="n">
        <f aca="false">$D775*cap_27*(1+g_mix)^1*E763*E764</f>
        <v>33.122453364</v>
      </c>
      <c r="F776" s="21" t="n">
        <f aca="false">$D775*cap_28*(1+g_mix)^2*F763*F764</f>
        <v>41.2995590382375</v>
      </c>
      <c r="G776" s="21" t="n">
        <f aca="false">$D775*cap_29*(1+g_mix)^3*G763*G764</f>
        <v>50.6680379569114</v>
      </c>
      <c r="K776" s="7" t="s">
        <v>725</v>
      </c>
    </row>
    <row r="777" customFormat="false" ht="17.15" hidden="false" customHeight="false" outlineLevel="0" collapsed="false">
      <c r="A777" s="0" t="s">
        <v>726</v>
      </c>
      <c r="B777" s="0" t="s">
        <v>379</v>
      </c>
      <c r="D777" s="21" t="n">
        <f aca="false">a26_abf</f>
        <v>22.858836</v>
      </c>
      <c r="E777" s="21" t="n">
        <f aca="false">MIN(E775,E776)</f>
        <v>33.122453364</v>
      </c>
      <c r="F777" s="21" t="n">
        <f aca="false">MIN(F775,F776)</f>
        <v>41.2995590382375</v>
      </c>
      <c r="G777" s="21" t="n">
        <f aca="false">MIN(G775,G776)</f>
        <v>50.6680379569114</v>
      </c>
    </row>
    <row r="778" customFormat="false" ht="17.15" hidden="false" customHeight="false" outlineLevel="0" collapsed="false">
      <c r="A778" s="3" t="s">
        <v>727</v>
      </c>
      <c r="B778" s="0" t="s">
        <v>43</v>
      </c>
      <c r="D778" s="20" t="n">
        <f aca="false">D777/D775</f>
        <v>1</v>
      </c>
      <c r="E778" s="20" t="n">
        <f aca="false">E777/E775</f>
        <v>0.862072490215205</v>
      </c>
      <c r="F778" s="20" t="n">
        <f aca="false">F777/F775</f>
        <v>0.885571962422065</v>
      </c>
      <c r="G778" s="20" t="n">
        <f aca="false">G777/G775</f>
        <v>0.931854907830698</v>
      </c>
    </row>
    <row r="779" customFormat="false" ht="17.15" hidden="false" customHeight="false" outlineLevel="0" collapsed="false">
      <c r="A779" s="0" t="s">
        <v>728</v>
      </c>
      <c r="B779" s="0" t="s">
        <v>379</v>
      </c>
      <c r="D779" s="21" t="n">
        <f aca="false">(D770+D773)*D778</f>
        <v>5.714709</v>
      </c>
      <c r="E779" s="21" t="n">
        <f aca="false">(E770+E773)*E778</f>
        <v>15.1062669325995</v>
      </c>
      <c r="F779" s="21" t="n">
        <f aca="false">(F770+F773)*F778</f>
        <v>21.6818267247979</v>
      </c>
      <c r="G779" s="21" t="n">
        <f aca="false">(G770+G773)*G778</f>
        <v>28.7864362720566</v>
      </c>
    </row>
    <row r="780" customFormat="false" ht="17.15" hidden="false" customHeight="false" outlineLevel="0" collapsed="false">
      <c r="A780" s="3" t="s">
        <v>729</v>
      </c>
      <c r="B780" s="0" t="s">
        <v>43</v>
      </c>
      <c r="D780" s="20" t="n">
        <f aca="false">D770/(D770+D773)</f>
        <v>0.788005539225042</v>
      </c>
      <c r="E780" s="20" t="n">
        <f aca="false">E770/(E770+E773)</f>
        <v>0.888793120944167</v>
      </c>
      <c r="F780" s="20" t="n">
        <f aca="false">F770/(F770+F773)</f>
        <v>0.918659380469366</v>
      </c>
      <c r="G780" s="20" t="n">
        <f aca="false">G770/(G770+G773)</f>
        <v>0.934845405934042</v>
      </c>
    </row>
    <row r="781" customFormat="false" ht="17.15" hidden="false" customHeight="false" outlineLevel="0" collapsed="false">
      <c r="A781" s="5" t="s">
        <v>730</v>
      </c>
    </row>
    <row r="782" customFormat="false" ht="17.15" hidden="false" customHeight="false" outlineLevel="0" collapsed="false">
      <c r="A782" s="0" t="s">
        <v>731</v>
      </c>
      <c r="B782" s="0" t="s">
        <v>379</v>
      </c>
      <c r="D782" s="21" t="n">
        <f aca="false">a26_bt</f>
        <v>23.265964</v>
      </c>
      <c r="E782" s="21" t="n">
        <f aca="false">D782*(1+g_bt27_C)</f>
        <v>26.05787968</v>
      </c>
      <c r="F782" s="21" t="n">
        <f aca="false">E782*(1+g_bt28_C)</f>
        <v>26.05787968</v>
      </c>
      <c r="G782" s="21" t="n">
        <f aca="false">F782*(1+g_bt29_C)</f>
        <v>25.2761432896</v>
      </c>
      <c r="K782" s="7" t="s">
        <v>732</v>
      </c>
    </row>
    <row r="783" customFormat="false" ht="17.15" hidden="false" customHeight="false" outlineLevel="0" collapsed="false">
      <c r="A783" s="3" t="s">
        <v>617</v>
      </c>
      <c r="B783" s="0" t="s">
        <v>379</v>
      </c>
      <c r="C783" s="21" t="n">
        <f aca="false">a25_lens</f>
        <v>7.039</v>
      </c>
      <c r="D783" s="21" t="n">
        <f aca="false">a26_lens</f>
        <v>8.301</v>
      </c>
      <c r="E783" s="21" t="n">
        <f aca="false">D783*(1+g_lens)</f>
        <v>9.1311</v>
      </c>
      <c r="F783" s="21" t="n">
        <f aca="false">E783*(1+g_lens)</f>
        <v>10.04421</v>
      </c>
      <c r="G783" s="21" t="n">
        <f aca="false">F783*(1+g_lens)</f>
        <v>11.048631</v>
      </c>
      <c r="K783" s="3" t="s">
        <v>733</v>
      </c>
    </row>
    <row r="784" customFormat="false" ht="17.15" hidden="false" customHeight="false" outlineLevel="0" collapsed="false">
      <c r="A784" s="3" t="s">
        <v>574</v>
      </c>
      <c r="B784" s="0" t="s">
        <v>379</v>
      </c>
      <c r="C784" s="23" t="n">
        <f aca="false">a25_rev</f>
        <v>39.351</v>
      </c>
      <c r="D784" s="23" t="n">
        <f aca="false">D777+D782+D783</f>
        <v>54.4258</v>
      </c>
      <c r="E784" s="23" t="n">
        <f aca="false">E777+E782+E783</f>
        <v>68.311433044</v>
      </c>
      <c r="F784" s="23" t="n">
        <f aca="false">F777+F782+F783</f>
        <v>77.4016487182375</v>
      </c>
      <c r="G784" s="23" t="n">
        <f aca="false">G777+G782+G783</f>
        <v>86.9928122465114</v>
      </c>
      <c r="H784" s="25" t="n">
        <f aca="false">G784*(1+H786)</f>
        <v>95.9190984263561</v>
      </c>
      <c r="I784" s="25" t="n">
        <f aca="false">H784*(1+I786)</f>
        <v>103.717775206898</v>
      </c>
      <c r="J784" s="25" t="n">
        <f aca="false">I784*(1+J786)</f>
        <v>109.940841719312</v>
      </c>
      <c r="K784" s="7" t="s">
        <v>734</v>
      </c>
    </row>
    <row r="785" customFormat="false" ht="17.15" hidden="false" customHeight="false" outlineLevel="0" collapsed="false">
      <c r="A785" s="3" t="s">
        <v>735</v>
      </c>
      <c r="B785" s="0" t="s">
        <v>379</v>
      </c>
      <c r="D785" s="19" t="n">
        <f aca="false">D777+D782+D783-D784</f>
        <v>0</v>
      </c>
      <c r="E785" s="19" t="n">
        <f aca="false">E777+E782+E783-E784</f>
        <v>0</v>
      </c>
      <c r="F785" s="19" t="n">
        <f aca="false">F777+F782+F783-F784</f>
        <v>0</v>
      </c>
      <c r="G785" s="19" t="n">
        <f aca="false">G777+G782+G783-G784</f>
        <v>0</v>
      </c>
    </row>
    <row r="786" customFormat="false" ht="15" hidden="false" customHeight="false" outlineLevel="0" collapsed="false">
      <c r="A786" s="3" t="s">
        <v>736</v>
      </c>
      <c r="B786" s="0" t="s">
        <v>43</v>
      </c>
      <c r="D786" s="20" t="n">
        <f aca="false">D784/C784-1</f>
        <v>0.383085563263958</v>
      </c>
      <c r="E786" s="20" t="n">
        <f aca="false">E784/D784-1</f>
        <v>0.255129608457753</v>
      </c>
      <c r="F786" s="20" t="n">
        <f aca="false">F784/E784-1</f>
        <v>0.13307019439019</v>
      </c>
      <c r="G786" s="20" t="n">
        <f aca="false">G784/F784-1</f>
        <v>0.123914201920792</v>
      </c>
      <c r="H786" s="26" t="n">
        <f aca="false">$G786+(fade_gA-$G786)*1/3</f>
        <v>0.102609467947195</v>
      </c>
      <c r="I786" s="26" t="n">
        <f aca="false">$G786+(fade_gA-$G786)*2/3</f>
        <v>0.0813047339735973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737</v>
      </c>
      <c r="B787" s="0" t="s">
        <v>43</v>
      </c>
      <c r="D787" s="20" t="n">
        <f aca="false">D777/D784</f>
        <v>0.42</v>
      </c>
      <c r="E787" s="20" t="n">
        <f aca="false">E777/E784</f>
        <v>0.48487422804709</v>
      </c>
      <c r="F787" s="20" t="n">
        <f aca="false">F777/F784</f>
        <v>0.533574668268099</v>
      </c>
      <c r="G787" s="20" t="n">
        <f aca="false">G777/G784</f>
        <v>0.582439360775387</v>
      </c>
    </row>
    <row r="788" customFormat="false" ht="17.15" hidden="false" customHeight="false" outlineLevel="0" collapsed="false">
      <c r="A788" s="0" t="s">
        <v>738</v>
      </c>
      <c r="B788" s="0" t="s">
        <v>43</v>
      </c>
      <c r="D788" s="20" t="n">
        <f aca="false">D779/D784</f>
        <v>0.105</v>
      </c>
      <c r="E788" s="20" t="n">
        <f aca="false">E779/E784</f>
        <v>0.22113819399557</v>
      </c>
      <c r="F788" s="20" t="n">
        <f aca="false">F779/F784</f>
        <v>0.280120993336014</v>
      </c>
      <c r="G788" s="20" t="n">
        <f aca="false">G779/G784</f>
        <v>0.330905916577159</v>
      </c>
      <c r="K788" s="3" t="s">
        <v>739</v>
      </c>
    </row>
    <row r="789" customFormat="false" ht="17.15" hidden="false" customHeight="false" outlineLevel="0" collapsed="false">
      <c r="A789" s="5" t="s">
        <v>740</v>
      </c>
    </row>
    <row r="790" customFormat="false" ht="15" hidden="false" customHeight="false" outlineLevel="0" collapsed="false">
      <c r="A790" s="3" t="s">
        <v>741</v>
      </c>
      <c r="B790" s="0" t="s">
        <v>379</v>
      </c>
      <c r="C790" s="23" t="n">
        <f aca="false">a25_cx</f>
        <v>6.116</v>
      </c>
      <c r="D790" s="23" t="n">
        <f aca="false">capex26</f>
        <v>11</v>
      </c>
      <c r="E790" s="23" t="n">
        <f aca="false">cx27</f>
        <v>17</v>
      </c>
      <c r="F790" s="23" t="n">
        <f aca="false">cx28</f>
        <v>16</v>
      </c>
      <c r="G790" s="23" t="n">
        <f aca="false">cx29</f>
        <v>12</v>
      </c>
      <c r="H790" s="25" t="n">
        <f aca="false">H784*H809</f>
        <v>13.3294356951887</v>
      </c>
      <c r="I790" s="25" t="n">
        <f aca="false">I784*I809</f>
        <v>14.5192817878234</v>
      </c>
      <c r="J790" s="25" t="n">
        <f aca="false">J784*J809</f>
        <v>15.5029045566771</v>
      </c>
    </row>
    <row r="791" customFormat="false" ht="17.15" hidden="false" customHeight="false" outlineLevel="0" collapsed="false">
      <c r="A791" s="3" t="s">
        <v>742</v>
      </c>
      <c r="B791" s="0" t="s">
        <v>379</v>
      </c>
      <c r="C791" s="23" t="n">
        <f aca="false">a25_da</f>
        <v>7.158</v>
      </c>
      <c r="D791" s="23" t="n">
        <f aca="false">da26</f>
        <v>8.32</v>
      </c>
      <c r="E791" s="23" t="n">
        <f aca="false">D791*(1-1/life)+D790/life</f>
        <v>8.655</v>
      </c>
      <c r="F791" s="23" t="n">
        <f aca="false">E791*(1-1/life)+E790/life</f>
        <v>9.698125</v>
      </c>
      <c r="G791" s="23" t="n">
        <f aca="false">F791*(1-1/life)+F790/life</f>
        <v>10.485859375</v>
      </c>
      <c r="H791" s="25" t="n">
        <f aca="false">H784*H792</f>
        <v>11.5618078264379</v>
      </c>
      <c r="I791" s="25" t="n">
        <f aca="false">I784*I792</f>
        <v>12.5018375360202</v>
      </c>
      <c r="J791" s="25" t="n">
        <f aca="false">J784*J792</f>
        <v>13.2519477881815</v>
      </c>
      <c r="K791" s="3" t="s">
        <v>743</v>
      </c>
    </row>
    <row r="792" customFormat="false" ht="17.15" hidden="false" customHeight="false" outlineLevel="0" collapsed="false">
      <c r="A792" s="3" t="s">
        <v>744</v>
      </c>
      <c r="B792" s="0" t="s">
        <v>43</v>
      </c>
      <c r="C792" s="20" t="n">
        <f aca="false">C791/C784</f>
        <v>0.181901349393916</v>
      </c>
      <c r="D792" s="20" t="n">
        <f aca="false">D791/D784</f>
        <v>0.152868676252807</v>
      </c>
      <c r="E792" s="20" t="n">
        <f aca="false">E791/E784</f>
        <v>0.126699142651937</v>
      </c>
      <c r="F792" s="20" t="n">
        <f aca="false">F791/F784</f>
        <v>0.125296103643783</v>
      </c>
      <c r="G792" s="20" t="n">
        <f aca="false">G791/G784</f>
        <v>0.12053707776783</v>
      </c>
      <c r="H792" s="26" t="n">
        <f aca="false">$G792</f>
        <v>0.12053707776783</v>
      </c>
      <c r="I792" s="26" t="n">
        <f aca="false">$G792</f>
        <v>0.12053707776783</v>
      </c>
      <c r="J792" s="26" t="n">
        <f aca="false">$G792</f>
        <v>0.12053707776783</v>
      </c>
    </row>
    <row r="793" customFormat="false" ht="17.15" hidden="false" customHeight="false" outlineLevel="0" collapsed="false">
      <c r="A793" s="0" t="s">
        <v>745</v>
      </c>
      <c r="B793" s="0" t="s">
        <v>379</v>
      </c>
      <c r="E793" s="21" t="n">
        <f aca="false">E778*((E770+E773)*(1-1/(E763*E764))+E774*(1-1/E764))</f>
        <v>4.320320004</v>
      </c>
      <c r="F793" s="21" t="n">
        <f aca="false">F778*((F770+F773)*(1-1/(F763*F764))+F774*(1-1/F764))</f>
        <v>4.39459572238805</v>
      </c>
      <c r="G793" s="21" t="n">
        <f aca="false">G778*((G770+G773)*(1-1/(G763*G764))+G774*(1-1/G764))</f>
        <v>3.827576325582</v>
      </c>
      <c r="K793" s="7" t="s">
        <v>746</v>
      </c>
    </row>
    <row r="794" customFormat="false" ht="17.15" hidden="false" customHeight="false" outlineLevel="0" collapsed="false">
      <c r="A794" s="3" t="s">
        <v>747</v>
      </c>
      <c r="B794" s="0" t="s">
        <v>379</v>
      </c>
      <c r="C794" s="21" t="n">
        <f aca="false">a25_gp</f>
        <v>8.314</v>
      </c>
      <c r="D794" s="21" t="n">
        <f aca="false">a26_gp</f>
        <v>15.328536</v>
      </c>
      <c r="E794" s="21" t="n">
        <f aca="false">$D794+ft_abf*(E777-E793-$D777)+ft_bt*(E782-$D782)+ft_lens*(E783-$D783)+E793-(E791-$D791)</f>
        <v>23.91541174</v>
      </c>
      <c r="F794" s="21" t="n">
        <f aca="false">$D794+ft_abf*(F777-F793-$D777)+ft_bt*(F782-$D782)+ft_lens*(F783-$D783)+F793-(F791-$D791)</f>
        <v>27.4088769363128</v>
      </c>
      <c r="G794" s="21" t="n">
        <f aca="false">$D794+ft_abf*(G777-G793-$D777)+ft_bt*(G782-$D782)+ft_lens*(G783-$D783)+G793-(G791-$D791)</f>
        <v>31.1220803965667</v>
      </c>
      <c r="K794" s="3" t="s">
        <v>748</v>
      </c>
    </row>
    <row r="795" customFormat="false" ht="15" hidden="false" customHeight="false" outlineLevel="0" collapsed="false">
      <c r="A795" s="3" t="s">
        <v>581</v>
      </c>
      <c r="B795" s="0" t="s">
        <v>43</v>
      </c>
      <c r="C795" s="16" t="n">
        <f aca="false">C794/C784</f>
        <v>0.211277985311682</v>
      </c>
      <c r="D795" s="16" t="n">
        <f aca="false">D794/D784</f>
        <v>0.281640986443929</v>
      </c>
      <c r="E795" s="16" t="n">
        <f aca="false">E794/E784</f>
        <v>0.350093837507345</v>
      </c>
      <c r="F795" s="16" t="n">
        <f aca="false">F794/F784</f>
        <v>0.35411231401657</v>
      </c>
      <c r="G795" s="16" t="n">
        <f aca="false">G794/G784</f>
        <v>0.357754618949162</v>
      </c>
    </row>
    <row r="796" customFormat="false" ht="15" hidden="false" customHeight="false" outlineLevel="0" collapsed="false">
      <c r="A796" s="3" t="s">
        <v>583</v>
      </c>
      <c r="B796" s="0" t="s">
        <v>379</v>
      </c>
      <c r="C796" s="21" t="n">
        <f aca="false">a25_opx</f>
        <v>5.644</v>
      </c>
      <c r="D796" s="21" t="n">
        <f aca="false">a26_opx</f>
        <v>6.54036</v>
      </c>
      <c r="E796" s="21" t="n">
        <f aca="false">D796*(1+phi*E786)</f>
        <v>7.54154369158365</v>
      </c>
      <c r="F796" s="21" t="n">
        <f aca="false">E796*(1+phi*F786)</f>
        <v>8.14367650260834</v>
      </c>
      <c r="G796" s="21" t="n">
        <f aca="false">F796*(1+phi*G786)</f>
        <v>8.74914680732143</v>
      </c>
    </row>
    <row r="797" customFormat="false" ht="15" hidden="false" customHeight="false" outlineLevel="0" collapsed="false">
      <c r="A797" s="3" t="s">
        <v>586</v>
      </c>
      <c r="B797" s="0" t="s">
        <v>379</v>
      </c>
      <c r="C797" s="21" t="n">
        <f aca="false">C794-C796</f>
        <v>2.67</v>
      </c>
      <c r="D797" s="21" t="n">
        <f aca="false">D794-D796</f>
        <v>8.788176</v>
      </c>
      <c r="E797" s="21" t="n">
        <f aca="false">E794-E796</f>
        <v>16.3738680484163</v>
      </c>
      <c r="F797" s="21" t="n">
        <f aca="false">F794-F796</f>
        <v>19.2652004337044</v>
      </c>
      <c r="G797" s="21" t="n">
        <f aca="false">G794-G796</f>
        <v>22.3729335892453</v>
      </c>
    </row>
    <row r="798" customFormat="false" ht="15" hidden="false" customHeight="false" outlineLevel="0" collapsed="false">
      <c r="A798" s="3" t="s">
        <v>684</v>
      </c>
      <c r="B798" s="0" t="s">
        <v>43</v>
      </c>
      <c r="C798" s="16" t="n">
        <f aca="false">C797/C784</f>
        <v>0.0678508805367081</v>
      </c>
      <c r="D798" s="16" t="n">
        <f aca="false">D797/D784</f>
        <v>0.161470773052486</v>
      </c>
      <c r="E798" s="16" t="n">
        <f aca="false">E797/E784</f>
        <v>0.239694401343766</v>
      </c>
      <c r="F798" s="16" t="n">
        <f aca="false">F797/F784</f>
        <v>0.248899096501612</v>
      </c>
      <c r="G798" s="16" t="n">
        <f aca="false">G797/G784</f>
        <v>0.25718140397447</v>
      </c>
    </row>
    <row r="799" customFormat="false" ht="15" hidden="false" customHeight="false" outlineLevel="0" collapsed="false">
      <c r="A799" s="3" t="s">
        <v>589</v>
      </c>
      <c r="B799" s="0" t="s">
        <v>379</v>
      </c>
      <c r="C799" s="21" t="n">
        <f aca="false">a25_nonop</f>
        <v>0.417</v>
      </c>
      <c r="D799" s="21" t="n">
        <f aca="false">a26_nonop</f>
        <v>0.37882</v>
      </c>
      <c r="E799" s="21" t="n">
        <f aca="false">nonop27</f>
        <v>0.4</v>
      </c>
      <c r="F799" s="21" t="n">
        <f aca="false">nonop28</f>
        <v>0.4</v>
      </c>
      <c r="G799" s="21" t="n">
        <f aca="false">nonop29</f>
        <v>0.4</v>
      </c>
    </row>
    <row r="800" customFormat="false" ht="15" hidden="false" customHeight="false" outlineLevel="0" collapsed="false">
      <c r="A800" s="3" t="s">
        <v>591</v>
      </c>
      <c r="B800" s="0" t="s">
        <v>379</v>
      </c>
      <c r="C800" s="21" t="n">
        <f aca="false">C797+C799</f>
        <v>3.087</v>
      </c>
      <c r="D800" s="21" t="n">
        <f aca="false">D797+D799</f>
        <v>9.166996</v>
      </c>
      <c r="E800" s="21" t="n">
        <f aca="false">E797+E799</f>
        <v>16.7738680484163</v>
      </c>
      <c r="F800" s="21" t="n">
        <f aca="false">F797+F799</f>
        <v>19.6652004337044</v>
      </c>
      <c r="G800" s="21" t="n">
        <f aca="false">G797+G799</f>
        <v>22.7729335892453</v>
      </c>
    </row>
    <row r="801" customFormat="false" ht="15" hidden="false" customHeight="false" outlineLevel="0" collapsed="false">
      <c r="A801" s="3" t="s">
        <v>592</v>
      </c>
      <c r="B801" s="0" t="s">
        <v>379</v>
      </c>
      <c r="E801" s="21" t="n">
        <f aca="false">E800*tax</f>
        <v>2.01286416580996</v>
      </c>
      <c r="F801" s="21" t="n">
        <f aca="false">F800*tax</f>
        <v>2.35982405204453</v>
      </c>
      <c r="G801" s="21" t="n">
        <f aca="false">G800*tax</f>
        <v>2.73275203070943</v>
      </c>
    </row>
    <row r="802" customFormat="false" ht="15" hidden="false" customHeight="false" outlineLevel="0" collapsed="false">
      <c r="A802" s="3" t="s">
        <v>593</v>
      </c>
      <c r="B802" s="0" t="s">
        <v>379</v>
      </c>
      <c r="C802" s="21" t="n">
        <f aca="false">a25_nic</f>
        <v>2.71712</v>
      </c>
      <c r="D802" s="21" t="n">
        <f aca="false">a26_nic</f>
        <v>8.39979776</v>
      </c>
      <c r="E802" s="21" t="n">
        <f aca="false">E800-E801</f>
        <v>14.7610038826064</v>
      </c>
      <c r="F802" s="21" t="n">
        <f aca="false">F800-F801</f>
        <v>17.3053763816599</v>
      </c>
      <c r="G802" s="21" t="n">
        <f aca="false">G800-G801</f>
        <v>20.0401815585358</v>
      </c>
    </row>
    <row r="803" customFormat="false" ht="17.15" hidden="false" customHeight="false" outlineLevel="0" collapsed="false">
      <c r="A803" s="3" t="s">
        <v>749</v>
      </c>
      <c r="B803" s="0" t="s">
        <v>379</v>
      </c>
      <c r="C803" s="21" t="n">
        <f aca="false">a25_nci</f>
        <v>1.12112</v>
      </c>
      <c r="D803" s="21" t="n">
        <f aca="false">a26_nci</f>
        <v>1.43839238487797</v>
      </c>
      <c r="E803" s="21" t="n">
        <f aca="false">E783*nm_lens*nci_sh</f>
        <v>1.57074538036261</v>
      </c>
      <c r="F803" s="21" t="n">
        <f aca="false">F783*nm_lens*nci_sh</f>
        <v>1.72781991839887</v>
      </c>
      <c r="G803" s="21" t="n">
        <f aca="false">G783*nm_lens*nci_sh</f>
        <v>1.90060191023875</v>
      </c>
      <c r="K803" s="3" t="s">
        <v>750</v>
      </c>
    </row>
    <row r="804" customFormat="false" ht="15" hidden="false" customHeight="false" outlineLevel="0" collapsed="false">
      <c r="A804" s="3" t="s">
        <v>599</v>
      </c>
      <c r="B804" s="0" t="s">
        <v>379</v>
      </c>
      <c r="C804" s="21" t="n">
        <f aca="false">a25_ni</f>
        <v>1.596</v>
      </c>
      <c r="D804" s="21" t="n">
        <f aca="false">a26_ni</f>
        <v>6.96140537512203</v>
      </c>
      <c r="E804" s="21" t="n">
        <f aca="false">E802-E803</f>
        <v>13.1902585022438</v>
      </c>
      <c r="F804" s="21" t="n">
        <f aca="false">F802-F803</f>
        <v>15.577556463261</v>
      </c>
      <c r="G804" s="21" t="n">
        <f aca="false">G802-G803</f>
        <v>18.1395796482971</v>
      </c>
      <c r="H804" s="30" t="n">
        <f aca="false">H784*H808</f>
        <v>20.3992046768648</v>
      </c>
      <c r="I804" s="30" t="n">
        <f aca="false">I784*I808</f>
        <v>22.4884753092569</v>
      </c>
      <c r="J804" s="30" t="n">
        <f aca="false">J784*J808</f>
        <v>24.294345674051</v>
      </c>
    </row>
    <row r="805" customFormat="false" ht="15" hidden="false" customHeight="false" outlineLevel="0" collapsed="false">
      <c r="A805" s="3" t="s">
        <v>751</v>
      </c>
      <c r="B805" s="3" t="s">
        <v>465</v>
      </c>
      <c r="C805" s="29" t="n">
        <f aca="false">a25_sh</f>
        <v>0.454700854700855</v>
      </c>
      <c r="D805" s="29" t="n">
        <f aca="false">a26_sh</f>
        <v>0.508341020486215</v>
      </c>
      <c r="E805" s="29" t="n">
        <f aca="false">a26_shend*(1+sh_g)</f>
        <v>0.52691</v>
      </c>
      <c r="F805" s="29" t="n">
        <f aca="false">E805*(1+sh_g)</f>
        <v>0.52691</v>
      </c>
      <c r="G805" s="29" t="n">
        <f aca="false">F805*(1+sh_g)</f>
        <v>0.52691</v>
      </c>
      <c r="H805" s="31" t="n">
        <f aca="false">G805*(1+sh_g)</f>
        <v>0.52691</v>
      </c>
      <c r="I805" s="31" t="n">
        <f aca="false">H805*(1+sh_g)</f>
        <v>0.52691</v>
      </c>
      <c r="J805" s="31" t="n">
        <f aca="false">I805*(1+sh_g)</f>
        <v>0.52691</v>
      </c>
    </row>
    <row r="806" customFormat="false" ht="17.15" hidden="false" customHeight="false" outlineLevel="0" collapsed="false">
      <c r="A806" s="0" t="s">
        <v>604</v>
      </c>
      <c r="B806" s="0" t="s">
        <v>471</v>
      </c>
      <c r="C806" s="18" t="n">
        <f aca="false">C804/C805</f>
        <v>3.51</v>
      </c>
      <c r="D806" s="18" t="n">
        <f aca="false">D804/D805</f>
        <v>13.6943608612652</v>
      </c>
      <c r="E806" s="18" t="n">
        <f aca="false">E804/E805</f>
        <v>25.0332286391296</v>
      </c>
      <c r="F806" s="18" t="n">
        <f aca="false">F804/F805</f>
        <v>29.5639795472871</v>
      </c>
      <c r="G806" s="18" t="n">
        <f aca="false">G804/G805</f>
        <v>34.4263340006777</v>
      </c>
      <c r="H806" s="28" t="n">
        <f aca="false">H804/H805</f>
        <v>38.7147798995366</v>
      </c>
      <c r="I806" s="28" t="n">
        <f aca="false">I804/I805</f>
        <v>42.679917460775</v>
      </c>
      <c r="J806" s="28" t="n">
        <f aca="false">J804/J805</f>
        <v>46.1072017499212</v>
      </c>
    </row>
    <row r="807" customFormat="false" ht="17.15" hidden="false" customHeight="false" outlineLevel="0" collapsed="false">
      <c r="A807" s="0" t="s">
        <v>752</v>
      </c>
      <c r="B807" s="0" t="s">
        <v>43</v>
      </c>
      <c r="D807" s="20" t="n">
        <f aca="false">D806/C806-1</f>
        <v>2.90152731090177</v>
      </c>
      <c r="E807" s="20" t="n">
        <f aca="false">E806/D806-1</f>
        <v>0.827995398451683</v>
      </c>
      <c r="F807" s="20" t="n">
        <f aca="false">F806/E806-1</f>
        <v>0.1809894749683</v>
      </c>
      <c r="G807" s="20" t="n">
        <f aca="false">G806/F806-1</f>
        <v>0.164468874889233</v>
      </c>
      <c r="H807" s="26" t="n">
        <f aca="false">H806/G806-1</f>
        <v>0.124568764678066</v>
      </c>
      <c r="I807" s="26" t="n">
        <f aca="false">I806/H806-1</f>
        <v>0.102419220037612</v>
      </c>
      <c r="J807" s="26" t="n">
        <f aca="false">J806/I806-1</f>
        <v>0.0803020364858047</v>
      </c>
    </row>
    <row r="808" customFormat="false" ht="17.15" hidden="false" customHeight="false" outlineLevel="0" collapsed="false">
      <c r="A808" s="3" t="s">
        <v>753</v>
      </c>
      <c r="B808" s="0" t="s">
        <v>43</v>
      </c>
      <c r="C808" s="16" t="n">
        <f aca="false">C804/C784</f>
        <v>0.0405580544331783</v>
      </c>
      <c r="D808" s="16" t="n">
        <f aca="false">D804/D784</f>
        <v>0.127906349105057</v>
      </c>
      <c r="E808" s="16" t="n">
        <f aca="false">E804/E784</f>
        <v>0.19309005702966</v>
      </c>
      <c r="F808" s="16" t="n">
        <f aca="false">F804/F784</f>
        <v>0.201256132410919</v>
      </c>
      <c r="G808" s="16" t="n">
        <f aca="false">G804/G784</f>
        <v>0.208518142819604</v>
      </c>
      <c r="H808" s="27" t="n">
        <f aca="false">$G808+(fade_mA-$G808)*1/3</f>
        <v>0.21267093844222</v>
      </c>
      <c r="I808" s="27" t="n">
        <f aca="false">$G808+(fade_mA-$G808)*2/3</f>
        <v>0.216823734064836</v>
      </c>
      <c r="J808" s="27" t="n">
        <f aca="false">$G808+(fade_mA-$G808)*3/3</f>
        <v>0.220976529687452</v>
      </c>
    </row>
    <row r="809" customFormat="false" ht="17.15" hidden="false" customHeight="false" outlineLevel="0" collapsed="false">
      <c r="A809" s="3" t="s">
        <v>754</v>
      </c>
      <c r="B809" s="0" t="s">
        <v>43</v>
      </c>
      <c r="C809" s="20" t="n">
        <f aca="false">C790/C784</f>
        <v>0.155421717364235</v>
      </c>
      <c r="D809" s="20" t="n">
        <f aca="false">D790/D784</f>
        <v>0.202110028699624</v>
      </c>
      <c r="E809" s="20" t="n">
        <f aca="false">E790/E784</f>
        <v>0.248860245532401</v>
      </c>
      <c r="F809" s="20" t="n">
        <f aca="false">F790/F784</f>
        <v>0.206713942983879</v>
      </c>
      <c r="G809" s="20" t="n">
        <f aca="false">G790/G784</f>
        <v>0.137942430990685</v>
      </c>
      <c r="H809" s="26" t="n">
        <f aca="false">$G809+($G792*(1+tp_g)^(life/2)-$G809)*1/3</f>
        <v>0.138965398068484</v>
      </c>
      <c r="I809" s="26" t="n">
        <f aca="false">$G809+($G792*(1+tp_g)^(life/2)-$G809)*2/3</f>
        <v>0.139988365146283</v>
      </c>
      <c r="J809" s="26" t="n">
        <f aca="false">$G809+($G792*(1+tp_g)^(life/2)-$G809)*3/3</f>
        <v>0.141011332224082</v>
      </c>
      <c r="K809" s="7" t="s">
        <v>755</v>
      </c>
    </row>
    <row r="810" customFormat="false" ht="15" hidden="false" customHeight="false" outlineLevel="0" collapsed="false">
      <c r="A810" s="3" t="s">
        <v>756</v>
      </c>
      <c r="B810" s="0" t="s">
        <v>379</v>
      </c>
      <c r="D810" s="21" t="n">
        <f aca="false">D804+D791-D790</f>
        <v>4.28140537512203</v>
      </c>
      <c r="E810" s="21" t="n">
        <f aca="false">E804+E791-E790</f>
        <v>4.84525850224378</v>
      </c>
      <c r="F810" s="21" t="n">
        <f aca="false">F804+F791-F790</f>
        <v>9.27568146326104</v>
      </c>
      <c r="G810" s="21" t="n">
        <f aca="false">G804+G791-G790</f>
        <v>16.6254390232971</v>
      </c>
      <c r="H810" s="30" t="n">
        <f aca="false">H804+H791-H790</f>
        <v>18.631576808114</v>
      </c>
      <c r="I810" s="30" t="n">
        <f aca="false">I804+I791-I790</f>
        <v>20.4710310574538</v>
      </c>
      <c r="J810" s="30" t="n">
        <f aca="false">J804+J791-J790</f>
        <v>22.0433889055553</v>
      </c>
      <c r="K810" s="3" t="s">
        <v>757</v>
      </c>
    </row>
    <row r="811" customFormat="false" ht="15" hidden="false" customHeight="false" outlineLevel="0" collapsed="false">
      <c r="A811" s="3" t="s">
        <v>758</v>
      </c>
      <c r="B811" s="0" t="s">
        <v>471</v>
      </c>
      <c r="D811" s="18" t="n">
        <f aca="false">D810/D805</f>
        <v>8.42230943909854</v>
      </c>
      <c r="E811" s="18" t="n">
        <f aca="false">E810/E805</f>
        <v>9.19560931135066</v>
      </c>
      <c r="F811" s="18" t="n">
        <f aca="false">F810/F805</f>
        <v>17.6039199545673</v>
      </c>
      <c r="G811" s="18" t="n">
        <f aca="false">G810/G805</f>
        <v>31.5527111333949</v>
      </c>
      <c r="H811" s="28" t="n">
        <f aca="false">H810/H805</f>
        <v>35.3600744114062</v>
      </c>
      <c r="I811" s="28" t="n">
        <f aca="false">I810/I805</f>
        <v>38.8510961216409</v>
      </c>
      <c r="J811" s="28" t="n">
        <f aca="false">J810/J805</f>
        <v>41.8352069718838</v>
      </c>
    </row>
    <row r="814" customFormat="false" ht="17.15" hidden="false" customHeight="false" outlineLevel="0" collapsed="false">
      <c r="A814" s="1" t="s">
        <v>1105</v>
      </c>
    </row>
    <row r="815" customFormat="false" ht="17.15" hidden="false" customHeight="false" outlineLevel="0" collapsed="false">
      <c r="A815" s="4" t="s">
        <v>20</v>
      </c>
      <c r="B815" s="4" t="s">
        <v>21</v>
      </c>
      <c r="C815" s="13" t="s">
        <v>567</v>
      </c>
      <c r="D815" s="13" t="s">
        <v>671</v>
      </c>
      <c r="E815" s="13" t="s">
        <v>672</v>
      </c>
      <c r="F815" s="13" t="s">
        <v>673</v>
      </c>
      <c r="G815" s="13" t="s">
        <v>674</v>
      </c>
      <c r="H815" s="13" t="s">
        <v>675</v>
      </c>
      <c r="I815" s="13" t="s">
        <v>676</v>
      </c>
      <c r="J815" s="13" t="s">
        <v>677</v>
      </c>
      <c r="K815" s="4" t="s">
        <v>631</v>
      </c>
    </row>
    <row r="816" customFormat="false" ht="17.15" hidden="false" customHeight="false" outlineLevel="0" collapsed="false">
      <c r="A816" s="5" t="s">
        <v>695</v>
      </c>
    </row>
    <row r="817" customFormat="false" ht="17.15" hidden="false" customHeight="false" outlineLevel="0" collapsed="false">
      <c r="A817" s="0" t="s">
        <v>696</v>
      </c>
      <c r="B817" s="3" t="s">
        <v>31</v>
      </c>
      <c r="D817" s="21" t="n">
        <f aca="false">(u_bw_26+u_rb_26+u_ru_26+u_hp_26)*1</f>
        <v>7.6</v>
      </c>
      <c r="E817" s="21" t="n">
        <f aca="false">(u_bw_27+u_rb_27+u_ru_27+u_hp_27)*1*1</f>
        <v>9.7</v>
      </c>
      <c r="F817" s="21" t="n">
        <f aca="false">(u_bw_28+u_rb_28+u_ru_28+u_hp_28)*um28_A*1</f>
        <v>9.5</v>
      </c>
      <c r="G817" s="21" t="n">
        <f aca="false">(u_bw_28*(1+g29_bw)+u_rb_28*(1+g29_rb)+u_ru_28*(1+g29_ru)+u_hp_28*(1+g29_hp))*um29_A*1</f>
        <v>10.6</v>
      </c>
      <c r="K817" s="7" t="s">
        <v>697</v>
      </c>
    </row>
    <row r="818" customFormat="false" ht="17.15" hidden="false" customHeight="false" outlineLevel="0" collapsed="false">
      <c r="A818" s="3" t="s">
        <v>698</v>
      </c>
      <c r="B818" s="3" t="s">
        <v>31</v>
      </c>
      <c r="D818" s="21" t="n">
        <f aca="false">(u_amd_26+u_tpu_26+u_trn_26+u_oth_26)*1</f>
        <v>7.6</v>
      </c>
      <c r="E818" s="21" t="n">
        <f aca="false">(u_amd_27+u_tpu_27+u_trn_27+u_oth_27)*1*1</f>
        <v>14</v>
      </c>
      <c r="F818" s="21" t="n">
        <f aca="false">(u_amd_28+u_tpu_28+u_trn_28+u_oth_28)*um28_A*1</f>
        <v>17</v>
      </c>
      <c r="G818" s="21" t="n">
        <f aca="false">(u_amd_28*(1+g29_amd)+u_tpu_28*(1+g29_tpu)+u_trn_28*(1+g29_trn)+u_oth_28*(1+g29_oth))*um29_A*1</f>
        <v>19.55</v>
      </c>
      <c r="K818" s="7" t="s">
        <v>699</v>
      </c>
    </row>
    <row r="819" customFormat="false" ht="17.15" hidden="false" customHeight="false" outlineLevel="0" collapsed="false">
      <c r="A819" s="0" t="s">
        <v>700</v>
      </c>
      <c r="B819" s="3" t="s">
        <v>31</v>
      </c>
      <c r="D819" s="21" t="n">
        <f aca="false">D817*cpu_r</f>
        <v>3.04</v>
      </c>
      <c r="E819" s="21" t="n">
        <f aca="false">E817*cpu_r</f>
        <v>3.88</v>
      </c>
      <c r="F819" s="21" t="n">
        <f aca="false">F817*cpu_r</f>
        <v>3.8</v>
      </c>
      <c r="G819" s="21" t="n">
        <f aca="false">G817*cpu_r</f>
        <v>4.24</v>
      </c>
      <c r="K819" s="7" t="s">
        <v>701</v>
      </c>
    </row>
    <row r="820" customFormat="false" ht="17.15" hidden="false" customHeight="false" outlineLevel="0" collapsed="false">
      <c r="A820" s="3" t="s">
        <v>702</v>
      </c>
      <c r="B820" s="0" t="s">
        <v>153</v>
      </c>
      <c r="D820" s="19" t="n">
        <f aca="false">1</f>
        <v>1</v>
      </c>
      <c r="E820" s="19" t="n">
        <f aca="false">D820*(1+g_asp)</f>
        <v>1.18</v>
      </c>
      <c r="F820" s="19" t="n">
        <f aca="false">E820*(1+g_asp)</f>
        <v>1.3924</v>
      </c>
      <c r="G820" s="19" t="n">
        <f aca="false">F820*(1+g_asp)</f>
        <v>1.643032</v>
      </c>
      <c r="K820" s="7" t="s">
        <v>703</v>
      </c>
    </row>
    <row r="821" customFormat="false" ht="17.15" hidden="false" customHeight="false" outlineLevel="0" collapsed="false">
      <c r="A821" s="0" t="s">
        <v>704</v>
      </c>
      <c r="B821" s="0" t="s">
        <v>153</v>
      </c>
      <c r="D821" s="18" t="n">
        <f aca="false">1</f>
        <v>1</v>
      </c>
      <c r="E821" s="18" t="n">
        <f aca="false">ibpp_27</f>
        <v>1</v>
      </c>
      <c r="F821" s="18" t="n">
        <f aca="false">ibpp_28</f>
        <v>0.95</v>
      </c>
      <c r="G821" s="18" t="n">
        <f aca="false">ibpp_29</f>
        <v>0.9</v>
      </c>
      <c r="K821" s="7" t="s">
        <v>705</v>
      </c>
    </row>
    <row r="822" customFormat="false" ht="17.15" hidden="false" customHeight="false" outlineLevel="0" collapsed="false">
      <c r="A822" s="3" t="s">
        <v>706</v>
      </c>
      <c r="B822" s="0" t="s">
        <v>153</v>
      </c>
      <c r="D822" s="18" t="n">
        <f aca="false">1</f>
        <v>1</v>
      </c>
      <c r="E822" s="18" t="n">
        <f aca="false">1+carry</f>
        <v>1.15</v>
      </c>
      <c r="F822" s="18" t="n">
        <f aca="false">1+carry</f>
        <v>1.15</v>
      </c>
      <c r="G822" s="18" t="n">
        <f aca="false">1+carry</f>
        <v>1.15</v>
      </c>
      <c r="K822" s="7" t="s">
        <v>707</v>
      </c>
    </row>
    <row r="823" customFormat="false" ht="17.15" hidden="false" customHeight="false" outlineLevel="0" collapsed="false">
      <c r="A823" s="3" t="s">
        <v>708</v>
      </c>
      <c r="B823" s="0" t="s">
        <v>709</v>
      </c>
      <c r="D823" s="23" t="n">
        <f aca="false">v26*D820*D821</f>
        <v>215.308596</v>
      </c>
      <c r="E823" s="23" t="n">
        <f aca="false">v26*E820*E821</f>
        <v>254.06414328</v>
      </c>
      <c r="F823" s="23" t="n">
        <f aca="false">v26*F820*F821</f>
        <v>284.80590461688</v>
      </c>
      <c r="G823" s="23" t="n">
        <f aca="false">v26*G820*G821</f>
        <v>318.383021792765</v>
      </c>
      <c r="K823" s="7" t="s">
        <v>710</v>
      </c>
    </row>
    <row r="824" customFormat="false" ht="17.15" hidden="false" customHeight="false" outlineLevel="0" collapsed="false">
      <c r="A824" s="3" t="s">
        <v>711</v>
      </c>
      <c r="B824" s="0" t="s">
        <v>43</v>
      </c>
      <c r="D824" s="20" t="n">
        <f aca="false">sh_nv_26</f>
        <v>0.02</v>
      </c>
      <c r="E824" s="20" t="n">
        <f aca="false">sh_nv_27</f>
        <v>0.03</v>
      </c>
      <c r="F824" s="20" t="n">
        <f aca="false">sh_nv_28</f>
        <v>0.05</v>
      </c>
      <c r="G824" s="20" t="n">
        <f aca="false">sh_nv_29</f>
        <v>0.06</v>
      </c>
    </row>
    <row r="825" customFormat="false" ht="17.15" hidden="false" customHeight="false" outlineLevel="0" collapsed="false">
      <c r="A825" s="3" t="s">
        <v>712</v>
      </c>
      <c r="B825" s="0" t="s">
        <v>43</v>
      </c>
      <c r="D825" s="20" t="n">
        <f aca="false">sh_ot_26</f>
        <v>0.03</v>
      </c>
      <c r="E825" s="20" t="n">
        <f aca="false">sh_ot_27</f>
        <v>0.05</v>
      </c>
      <c r="F825" s="20" t="n">
        <f aca="false">sh_ot_28</f>
        <v>0.06</v>
      </c>
      <c r="G825" s="20" t="n">
        <f aca="false">sh_ot_29</f>
        <v>0.06</v>
      </c>
    </row>
    <row r="826" customFormat="false" ht="17.15" hidden="false" customHeight="false" outlineLevel="0" collapsed="false">
      <c r="A826" s="3" t="s">
        <v>713</v>
      </c>
      <c r="B826" s="0" t="s">
        <v>43</v>
      </c>
      <c r="D826" s="20" t="n">
        <f aca="false">sh_cpu_26</f>
        <v>0.35</v>
      </c>
      <c r="E826" s="20" t="n">
        <f aca="false">sh_cpu_27</f>
        <v>0.7</v>
      </c>
      <c r="F826" s="20" t="n">
        <f aca="false">sh_cpu_28</f>
        <v>0.75</v>
      </c>
      <c r="G826" s="20" t="n">
        <f aca="false">sh_cpu_29</f>
        <v>0.7</v>
      </c>
    </row>
    <row r="827" customFormat="false" ht="17.15" hidden="false" customHeight="false" outlineLevel="0" collapsed="false">
      <c r="A827" s="3" t="s">
        <v>714</v>
      </c>
      <c r="B827" s="0" t="s">
        <v>661</v>
      </c>
      <c r="D827" s="22" t="n">
        <f aca="false">(D817*D823*D824+D818*D823*v_ot*D825+D819*D823*v_cpu*D826)*D822</f>
        <v>140.7256983456</v>
      </c>
      <c r="E827" s="22" t="n">
        <f aca="false">(E817*E823*E824+E818*E823*v_ot*E825+E819*E823*v_cpu*E826)*E822</f>
        <v>486.703057357198</v>
      </c>
      <c r="F827" s="22" t="n">
        <f aca="false">(F817*F823*F824+F818*F823*v_ot*F825+F819*F823*v_cpu*F826)*F822</f>
        <v>702.872492003998</v>
      </c>
      <c r="G827" s="22" t="n">
        <f aca="false">(G817*G823*G824+G818*G823*v_ot*G825+G819*G823*v_cpu*G826)*G822</f>
        <v>902.463042932027</v>
      </c>
    </row>
    <row r="828" customFormat="false" ht="17.15" hidden="false" customHeight="false" outlineLevel="0" collapsed="false">
      <c r="A828" s="3" t="s">
        <v>715</v>
      </c>
      <c r="B828" s="0" t="s">
        <v>379</v>
      </c>
      <c r="D828" s="21" t="n">
        <f aca="false">D827*fx/1000</f>
        <v>4.5032223470592</v>
      </c>
      <c r="E828" s="21" t="n">
        <f aca="false">E827*fx/1000</f>
        <v>15.5744978354303</v>
      </c>
      <c r="F828" s="21" t="n">
        <f aca="false">F827*fx/1000</f>
        <v>22.4919197441279</v>
      </c>
      <c r="G828" s="21" t="n">
        <f aca="false">G827*fx/1000</f>
        <v>28.8788173738249</v>
      </c>
    </row>
    <row r="829" customFormat="false" ht="17.15" hidden="false" customHeight="false" outlineLevel="0" collapsed="false">
      <c r="A829" s="5" t="s">
        <v>716</v>
      </c>
    </row>
    <row r="830" customFormat="false" ht="17.15" hidden="false" customHeight="false" outlineLevel="0" collapsed="false">
      <c r="A830" s="0" t="s">
        <v>717</v>
      </c>
      <c r="B830" s="0" t="s">
        <v>379</v>
      </c>
      <c r="D830" s="21" t="n">
        <f aca="false">a26_abf*ai_abf</f>
        <v>5.714709</v>
      </c>
      <c r="K830" s="3" t="s">
        <v>718</v>
      </c>
    </row>
    <row r="831" customFormat="false" ht="17.15" hidden="false" customHeight="false" outlineLevel="0" collapsed="false">
      <c r="A831" s="3" t="s">
        <v>719</v>
      </c>
      <c r="B831" s="0" t="s">
        <v>379</v>
      </c>
      <c r="D831" s="21" t="n">
        <f aca="false">D830-D828</f>
        <v>1.2114866529408</v>
      </c>
      <c r="E831" s="21" t="n">
        <f aca="false">$D831*(swm_27/swm_26)^el_o*1*1*E821*E822</f>
        <v>1.94870016016792</v>
      </c>
      <c r="F831" s="21" t="n">
        <f aca="false">$D831*(swm_28/swm_26)^el_o*um28_A*1*F821*F822</f>
        <v>1.99149622299173</v>
      </c>
      <c r="G831" s="21" t="n">
        <f aca="false">$D831*(swm_29/swm_26)^el_o*um29_A*1*G821*G822</f>
        <v>2.01272596640355</v>
      </c>
      <c r="K831" s="7" t="s">
        <v>720</v>
      </c>
    </row>
    <row r="832" customFormat="false" ht="17.15" hidden="false" customHeight="false" outlineLevel="0" collapsed="false">
      <c r="A832" s="3" t="s">
        <v>721</v>
      </c>
      <c r="B832" s="0" t="s">
        <v>379</v>
      </c>
      <c r="D832" s="21" t="n">
        <f aca="false">a26_abf-D830</f>
        <v>17.144127</v>
      </c>
      <c r="E832" s="21" t="n">
        <f aca="false">$D832*(1+g_nai_lo)^1*E822</f>
        <v>20.110060971</v>
      </c>
      <c r="F832" s="21" t="n">
        <f aca="false">$D832*(1+g_nai_lo)^2*F822</f>
        <v>20.51226219042</v>
      </c>
      <c r="G832" s="21" t="n">
        <f aca="false">$D832*(1+g_nai_lo)^3*G822</f>
        <v>20.9225074342284</v>
      </c>
      <c r="K832" s="3" t="s">
        <v>722</v>
      </c>
    </row>
    <row r="833" customFormat="false" ht="17.15" hidden="false" customHeight="false" outlineLevel="0" collapsed="false">
      <c r="A833" s="0" t="s">
        <v>723</v>
      </c>
      <c r="B833" s="0" t="s">
        <v>379</v>
      </c>
      <c r="D833" s="21" t="n">
        <f aca="false">D828+D831+D832</f>
        <v>22.858836</v>
      </c>
      <c r="E833" s="21" t="n">
        <f aca="false">E828+E831+E832</f>
        <v>37.6332589665982</v>
      </c>
      <c r="F833" s="21" t="n">
        <f aca="false">F828+F831+F832</f>
        <v>44.9956781575397</v>
      </c>
      <c r="G833" s="21" t="n">
        <f aca="false">G828+G831+G832</f>
        <v>51.8140507744568</v>
      </c>
    </row>
    <row r="834" customFormat="false" ht="17.15" hidden="false" customHeight="false" outlineLevel="0" collapsed="false">
      <c r="A834" s="0" t="s">
        <v>724</v>
      </c>
      <c r="B834" s="0" t="s">
        <v>379</v>
      </c>
      <c r="D834" s="21" t="n">
        <f aca="false">a26_abf</f>
        <v>22.858836</v>
      </c>
      <c r="E834" s="21" t="n">
        <f aca="false">$D833*cap_27*(1+g_mix)^1*E821*E822</f>
        <v>33.122453364</v>
      </c>
      <c r="F834" s="21" t="n">
        <f aca="false">$D833*cap_28*(1+g_mix)^2*F821*F822</f>
        <v>41.2995590382375</v>
      </c>
      <c r="G834" s="21" t="n">
        <f aca="false">$D833*cap_29*(1+g_mix)^3*G821*G822</f>
        <v>50.6680379569114</v>
      </c>
      <c r="K834" s="7" t="s">
        <v>725</v>
      </c>
    </row>
    <row r="835" customFormat="false" ht="17.15" hidden="false" customHeight="false" outlineLevel="0" collapsed="false">
      <c r="A835" s="0" t="s">
        <v>726</v>
      </c>
      <c r="B835" s="0" t="s">
        <v>379</v>
      </c>
      <c r="D835" s="21" t="n">
        <f aca="false">a26_abf</f>
        <v>22.858836</v>
      </c>
      <c r="E835" s="21" t="n">
        <f aca="false">MIN(E833,E834)</f>
        <v>33.122453364</v>
      </c>
      <c r="F835" s="21" t="n">
        <f aca="false">MIN(F833,F834)</f>
        <v>41.2995590382375</v>
      </c>
      <c r="G835" s="21" t="n">
        <f aca="false">MIN(G833,G834)</f>
        <v>50.6680379569114</v>
      </c>
    </row>
    <row r="836" customFormat="false" ht="17.15" hidden="false" customHeight="false" outlineLevel="0" collapsed="false">
      <c r="A836" s="3" t="s">
        <v>727</v>
      </c>
      <c r="B836" s="0" t="s">
        <v>43</v>
      </c>
      <c r="D836" s="20" t="n">
        <f aca="false">D835/D833</f>
        <v>1</v>
      </c>
      <c r="E836" s="20" t="n">
        <f aca="false">E835/E833</f>
        <v>0.880137789645009</v>
      </c>
      <c r="F836" s="20" t="n">
        <f aca="false">F835/F833</f>
        <v>0.917856130396318</v>
      </c>
      <c r="G836" s="20" t="n">
        <f aca="false">G835/G833</f>
        <v>0.977882199897206</v>
      </c>
    </row>
    <row r="837" customFormat="false" ht="17.15" hidden="false" customHeight="false" outlineLevel="0" collapsed="false">
      <c r="A837" s="0" t="s">
        <v>728</v>
      </c>
      <c r="B837" s="0" t="s">
        <v>379</v>
      </c>
      <c r="D837" s="21" t="n">
        <f aca="false">(D828+D831)*D836</f>
        <v>5.714709</v>
      </c>
      <c r="E837" s="21" t="n">
        <f aca="false">(E828+E831)*E836</f>
        <v>15.4228287513577</v>
      </c>
      <c r="F837" s="21" t="n">
        <f aca="false">(F828+F831)*F836</f>
        <v>22.4722534384639</v>
      </c>
      <c r="G837" s="21" t="n">
        <f aca="false">(G828+G831)*G836</f>
        <v>30.2082903597625</v>
      </c>
    </row>
    <row r="838" customFormat="false" ht="17.15" hidden="false" customHeight="false" outlineLevel="0" collapsed="false">
      <c r="A838" s="3" t="s">
        <v>729</v>
      </c>
      <c r="B838" s="0" t="s">
        <v>43</v>
      </c>
      <c r="D838" s="20" t="n">
        <f aca="false">D828/(D828+D831)</f>
        <v>0.788005539225042</v>
      </c>
      <c r="E838" s="20" t="n">
        <f aca="false">E828/(E828+E831)</f>
        <v>0.888793120944167</v>
      </c>
      <c r="F838" s="20" t="n">
        <f aca="false">F828/(F828+F831)</f>
        <v>0.918659380469366</v>
      </c>
      <c r="G838" s="20" t="n">
        <f aca="false">G828/(G828+G831)</f>
        <v>0.934845405934042</v>
      </c>
    </row>
    <row r="839" customFormat="false" ht="17.15" hidden="false" customHeight="false" outlineLevel="0" collapsed="false">
      <c r="A839" s="5" t="s">
        <v>730</v>
      </c>
    </row>
    <row r="840" customFormat="false" ht="17.15" hidden="false" customHeight="false" outlineLevel="0" collapsed="false">
      <c r="A840" s="0" t="s">
        <v>731</v>
      </c>
      <c r="B840" s="0" t="s">
        <v>379</v>
      </c>
      <c r="D840" s="21" t="n">
        <f aca="false">a26_bt</f>
        <v>23.265964</v>
      </c>
      <c r="E840" s="21" t="n">
        <f aca="false">D840*(1+g_bt27_A)</f>
        <v>29.78043392</v>
      </c>
      <c r="F840" s="21" t="n">
        <f aca="false">E840*(1+g_bt28_A)</f>
        <v>32.758477312</v>
      </c>
      <c r="G840" s="21" t="n">
        <f aca="false">F840*(1+g_bt29_A)</f>
        <v>34.3964011776</v>
      </c>
      <c r="K840" s="7" t="s">
        <v>732</v>
      </c>
    </row>
    <row r="841" customFormat="false" ht="17.15" hidden="false" customHeight="false" outlineLevel="0" collapsed="false">
      <c r="A841" s="3" t="s">
        <v>617</v>
      </c>
      <c r="B841" s="0" t="s">
        <v>379</v>
      </c>
      <c r="C841" s="21" t="n">
        <f aca="false">a25_lens</f>
        <v>7.039</v>
      </c>
      <c r="D841" s="21" t="n">
        <f aca="false">a26_lens</f>
        <v>8.301</v>
      </c>
      <c r="E841" s="21" t="n">
        <f aca="false">D841*(1+g_lens)</f>
        <v>9.1311</v>
      </c>
      <c r="F841" s="21" t="n">
        <f aca="false">E841*(1+g_lens)</f>
        <v>10.04421</v>
      </c>
      <c r="G841" s="21" t="n">
        <f aca="false">F841*(1+g_lens)</f>
        <v>11.048631</v>
      </c>
      <c r="K841" s="3" t="s">
        <v>733</v>
      </c>
    </row>
    <row r="842" customFormat="false" ht="17.15" hidden="false" customHeight="false" outlineLevel="0" collapsed="false">
      <c r="A842" s="3" t="s">
        <v>574</v>
      </c>
      <c r="B842" s="0" t="s">
        <v>379</v>
      </c>
      <c r="C842" s="23" t="n">
        <f aca="false">a25_rev</f>
        <v>39.351</v>
      </c>
      <c r="D842" s="23" t="n">
        <f aca="false">D835+D840+D841</f>
        <v>54.4258</v>
      </c>
      <c r="E842" s="23" t="n">
        <f aca="false">E835+E840+E841</f>
        <v>72.033987284</v>
      </c>
      <c r="F842" s="23" t="n">
        <f aca="false">F835+F840+F841</f>
        <v>84.1022463502375</v>
      </c>
      <c r="G842" s="23" t="n">
        <f aca="false">G835+G840+G841</f>
        <v>96.1130701345114</v>
      </c>
      <c r="H842" s="25" t="n">
        <f aca="false">G842*(1+H844)</f>
        <v>107.186075216063</v>
      </c>
      <c r="I842" s="25" t="n">
        <f aca="false">H842*(1+I844)</f>
        <v>116.576010002736</v>
      </c>
      <c r="J842" s="25" t="n">
        <f aca="false">I842*(1+J844)</f>
        <v>123.5705706029</v>
      </c>
      <c r="K842" s="7" t="s">
        <v>734</v>
      </c>
    </row>
    <row r="843" customFormat="false" ht="17.15" hidden="false" customHeight="false" outlineLevel="0" collapsed="false">
      <c r="A843" s="3" t="s">
        <v>735</v>
      </c>
      <c r="B843" s="0" t="s">
        <v>379</v>
      </c>
      <c r="D843" s="19" t="n">
        <f aca="false">D835+D840+D841-D842</f>
        <v>0</v>
      </c>
      <c r="E843" s="19" t="n">
        <f aca="false">E835+E840+E841-E842</f>
        <v>0</v>
      </c>
      <c r="F843" s="19" t="n">
        <f aca="false">F835+F840+F841-F842</f>
        <v>0</v>
      </c>
      <c r="G843" s="19" t="n">
        <f aca="false">G835+G840+G841-G842</f>
        <v>0</v>
      </c>
    </row>
    <row r="844" customFormat="false" ht="15" hidden="false" customHeight="false" outlineLevel="0" collapsed="false">
      <c r="A844" s="3" t="s">
        <v>736</v>
      </c>
      <c r="B844" s="0" t="s">
        <v>43</v>
      </c>
      <c r="D844" s="20" t="n">
        <f aca="false">D842/C842-1</f>
        <v>0.383085563263958</v>
      </c>
      <c r="E844" s="20" t="n">
        <f aca="false">E842/D842-1</f>
        <v>0.323526476119781</v>
      </c>
      <c r="F844" s="20" t="n">
        <f aca="false">F842/E842-1</f>
        <v>0.167535624796909</v>
      </c>
      <c r="G844" s="20" t="n">
        <f aca="false">G842/F842-1</f>
        <v>0.142812163830389</v>
      </c>
      <c r="H844" s="26" t="n">
        <f aca="false">$G844+(fade_gA-$G844)*1/3</f>
        <v>0.115208109220259</v>
      </c>
      <c r="I844" s="26" t="n">
        <f aca="false">$G844+(fade_gA-$G844)*2/3</f>
        <v>0.0876040546101297</v>
      </c>
      <c r="J844" s="26" t="n">
        <f aca="false">$G844+(fade_gA-$G844)*3/3</f>
        <v>0.06</v>
      </c>
    </row>
    <row r="845" customFormat="false" ht="17.15" hidden="false" customHeight="false" outlineLevel="0" collapsed="false">
      <c r="A845" s="0" t="s">
        <v>737</v>
      </c>
      <c r="B845" s="0" t="s">
        <v>43</v>
      </c>
      <c r="D845" s="20" t="n">
        <f aca="false">D835/D842</f>
        <v>0.42</v>
      </c>
      <c r="E845" s="20" t="n">
        <f aca="false">E835/E842</f>
        <v>0.459817019893845</v>
      </c>
      <c r="F845" s="20" t="n">
        <f aca="false">F835/F842</f>
        <v>0.491063685341395</v>
      </c>
      <c r="G845" s="20" t="n">
        <f aca="false">G835/G842</f>
        <v>0.527171152539409</v>
      </c>
    </row>
    <row r="846" customFormat="false" ht="17.15" hidden="false" customHeight="false" outlineLevel="0" collapsed="false">
      <c r="A846" s="0" t="s">
        <v>738</v>
      </c>
      <c r="B846" s="0" t="s">
        <v>43</v>
      </c>
      <c r="D846" s="20" t="n">
        <f aca="false">D837/D842</f>
        <v>0.105</v>
      </c>
      <c r="E846" s="20" t="n">
        <f aca="false">E837/E842</f>
        <v>0.214104887607455</v>
      </c>
      <c r="F846" s="20" t="n">
        <f aca="false">F837/F842</f>
        <v>0.267201583949136</v>
      </c>
      <c r="G846" s="20" t="n">
        <f aca="false">G837/G842</f>
        <v>0.314299504921501</v>
      </c>
      <c r="K846" s="3" t="s">
        <v>739</v>
      </c>
    </row>
    <row r="847" customFormat="false" ht="17.15" hidden="false" customHeight="false" outlineLevel="0" collapsed="false">
      <c r="A847" s="5" t="s">
        <v>740</v>
      </c>
    </row>
    <row r="848" customFormat="false" ht="15" hidden="false" customHeight="false" outlineLevel="0" collapsed="false">
      <c r="A848" s="3" t="s">
        <v>741</v>
      </c>
      <c r="B848" s="0" t="s">
        <v>379</v>
      </c>
      <c r="C848" s="23" t="n">
        <f aca="false">a25_cx</f>
        <v>6.116</v>
      </c>
      <c r="D848" s="23" t="n">
        <f aca="false">capex26</f>
        <v>11</v>
      </c>
      <c r="E848" s="23" t="n">
        <f aca="false">cx27</f>
        <v>17</v>
      </c>
      <c r="F848" s="23" t="n">
        <f aca="false">cx28</f>
        <v>16</v>
      </c>
      <c r="G848" s="23" t="n">
        <f aca="false">cx29</f>
        <v>12</v>
      </c>
      <c r="H848" s="25" t="n">
        <f aca="false">H842*H867</f>
        <v>13.4817405534162</v>
      </c>
      <c r="I848" s="25" t="n">
        <f aca="false">I842*I867</f>
        <v>14.77073304233</v>
      </c>
      <c r="J848" s="25" t="n">
        <f aca="false">J842*J867</f>
        <v>15.7713906192965</v>
      </c>
    </row>
    <row r="849" customFormat="false" ht="17.15" hidden="false" customHeight="false" outlineLevel="0" collapsed="false">
      <c r="A849" s="3" t="s">
        <v>742</v>
      </c>
      <c r="B849" s="0" t="s">
        <v>379</v>
      </c>
      <c r="C849" s="23" t="n">
        <f aca="false">a25_da</f>
        <v>7.158</v>
      </c>
      <c r="D849" s="23" t="n">
        <f aca="false">da26</f>
        <v>8.32</v>
      </c>
      <c r="E849" s="23" t="n">
        <f aca="false">D849*(1-1/life)+D848/life</f>
        <v>8.655</v>
      </c>
      <c r="F849" s="23" t="n">
        <f aca="false">E849*(1-1/life)+E848/life</f>
        <v>9.698125</v>
      </c>
      <c r="G849" s="23" t="n">
        <f aca="false">F849*(1-1/life)+F848/life</f>
        <v>10.485859375</v>
      </c>
      <c r="H849" s="25" t="n">
        <f aca="false">H842*H850</f>
        <v>11.6939154071433</v>
      </c>
      <c r="I849" s="25" t="n">
        <f aca="false">I842*I850</f>
        <v>12.7183498110769</v>
      </c>
      <c r="J849" s="25" t="n">
        <f aca="false">J842*J850</f>
        <v>13.4814507997415</v>
      </c>
      <c r="K849" s="3" t="s">
        <v>743</v>
      </c>
    </row>
    <row r="850" customFormat="false" ht="17.15" hidden="false" customHeight="false" outlineLevel="0" collapsed="false">
      <c r="A850" s="3" t="s">
        <v>744</v>
      </c>
      <c r="B850" s="0" t="s">
        <v>43</v>
      </c>
      <c r="C850" s="20" t="n">
        <f aca="false">C849/C842</f>
        <v>0.181901349393916</v>
      </c>
      <c r="D850" s="20" t="n">
        <f aca="false">D849/D842</f>
        <v>0.152868676252807</v>
      </c>
      <c r="E850" s="20" t="n">
        <f aca="false">E849/E842</f>
        <v>0.120151616290196</v>
      </c>
      <c r="F850" s="20" t="n">
        <f aca="false">F849/F842</f>
        <v>0.115313507318376</v>
      </c>
      <c r="G850" s="20" t="n">
        <f aca="false">G849/G842</f>
        <v>0.109099203264706</v>
      </c>
      <c r="H850" s="26" t="n">
        <f aca="false">$G850</f>
        <v>0.109099203264706</v>
      </c>
      <c r="I850" s="26" t="n">
        <f aca="false">$G850</f>
        <v>0.109099203264706</v>
      </c>
      <c r="J850" s="26" t="n">
        <f aca="false">$G850</f>
        <v>0.109099203264706</v>
      </c>
    </row>
    <row r="851" customFormat="false" ht="17.15" hidden="false" customHeight="false" outlineLevel="0" collapsed="false">
      <c r="A851" s="0" t="s">
        <v>745</v>
      </c>
      <c r="B851" s="0" t="s">
        <v>379</v>
      </c>
      <c r="E851" s="21" t="n">
        <f aca="false">E836*((E828+E831)*(1-1/(E821*E822))+E832*(1-1/E822))</f>
        <v>4.320320004</v>
      </c>
      <c r="F851" s="21" t="n">
        <f aca="false">F836*((F828+F831)*(1-1/(F821*F822))+F832*(1-1/F822))</f>
        <v>4.35842058675116</v>
      </c>
      <c r="G851" s="21" t="n">
        <f aca="false">G836*((G828+G831)*(1-1/(G821*G822))+G832*(1-1/G822))</f>
        <v>3.69019911904037</v>
      </c>
      <c r="K851" s="7" t="s">
        <v>746</v>
      </c>
    </row>
    <row r="852" customFormat="false" ht="17.15" hidden="false" customHeight="false" outlineLevel="0" collapsed="false">
      <c r="A852" s="3" t="s">
        <v>747</v>
      </c>
      <c r="B852" s="0" t="s">
        <v>379</v>
      </c>
      <c r="C852" s="21" t="n">
        <f aca="false">a25_gp</f>
        <v>8.314</v>
      </c>
      <c r="D852" s="21" t="n">
        <f aca="false">a26_gp</f>
        <v>15.328536</v>
      </c>
      <c r="E852" s="21" t="n">
        <f aca="false">$D852+ft_abf*(E835-E851-$D835)+ft_bt*(E840-$D840)+ft_lens*(E841-$D841)+E851-(E849-$D849)</f>
        <v>25.590561148</v>
      </c>
      <c r="F852" s="21" t="n">
        <f aca="false">$D852+ft_abf*(F835-F851-$D835)+ft_bt*(F840-$D840)+ft_lens*(F841-$D841)+F851-(F849-$D849)</f>
        <v>30.4060583028943</v>
      </c>
      <c r="G852" s="21" t="n">
        <f aca="false">$D852+ft_abf*(G835-G851-$D835)+ft_bt*(G840-$D840)+ft_lens*(G841-$D841)+G851-(G849-$D849)</f>
        <v>35.1575078428959</v>
      </c>
      <c r="K852" s="3" t="s">
        <v>748</v>
      </c>
    </row>
    <row r="853" customFormat="false" ht="15" hidden="false" customHeight="false" outlineLevel="0" collapsed="false">
      <c r="A853" s="3" t="s">
        <v>581</v>
      </c>
      <c r="B853" s="0" t="s">
        <v>43</v>
      </c>
      <c r="C853" s="16" t="n">
        <f aca="false">C852/C842</f>
        <v>0.211277985311682</v>
      </c>
      <c r="D853" s="16" t="n">
        <f aca="false">D852/D842</f>
        <v>0.281640986443929</v>
      </c>
      <c r="E853" s="16" t="n">
        <f aca="false">E852/E842</f>
        <v>0.3552567629931</v>
      </c>
      <c r="F853" s="16" t="n">
        <f aca="false">F852/F842</f>
        <v>0.361536815274476</v>
      </c>
      <c r="G853" s="16" t="n">
        <f aca="false">G852/G842</f>
        <v>0.365793203709886</v>
      </c>
    </row>
    <row r="854" customFormat="false" ht="15" hidden="false" customHeight="false" outlineLevel="0" collapsed="false">
      <c r="A854" s="3" t="s">
        <v>583</v>
      </c>
      <c r="B854" s="0" t="s">
        <v>379</v>
      </c>
      <c r="C854" s="21" t="n">
        <f aca="false">a25_opx</f>
        <v>5.644</v>
      </c>
      <c r="D854" s="21" t="n">
        <f aca="false">a26_opx</f>
        <v>6.54036</v>
      </c>
      <c r="E854" s="21" t="n">
        <f aca="false">D854*(1+phi*E844)</f>
        <v>7.80994777401287</v>
      </c>
      <c r="F854" s="21" t="n">
        <f aca="false">E854*(1+phi*F844)</f>
        <v>8.59501446198315</v>
      </c>
      <c r="G854" s="21" t="n">
        <f aca="false">F854*(1+phi*G844)</f>
        <v>9.33149803006473</v>
      </c>
    </row>
    <row r="855" customFormat="false" ht="15" hidden="false" customHeight="false" outlineLevel="0" collapsed="false">
      <c r="A855" s="3" t="s">
        <v>586</v>
      </c>
      <c r="B855" s="0" t="s">
        <v>379</v>
      </c>
      <c r="C855" s="21" t="n">
        <f aca="false">C852-C854</f>
        <v>2.67</v>
      </c>
      <c r="D855" s="21" t="n">
        <f aca="false">D852-D854</f>
        <v>8.788176</v>
      </c>
      <c r="E855" s="21" t="n">
        <f aca="false">E852-E854</f>
        <v>17.7806133739871</v>
      </c>
      <c r="F855" s="21" t="n">
        <f aca="false">F852-F854</f>
        <v>21.8110438409112</v>
      </c>
      <c r="G855" s="21" t="n">
        <f aca="false">G852-G854</f>
        <v>25.8260098128311</v>
      </c>
    </row>
    <row r="856" customFormat="false" ht="15" hidden="false" customHeight="false" outlineLevel="0" collapsed="false">
      <c r="A856" s="3" t="s">
        <v>684</v>
      </c>
      <c r="B856" s="0" t="s">
        <v>43</v>
      </c>
      <c r="C856" s="16" t="n">
        <f aca="false">C855/C842</f>
        <v>0.0678508805367081</v>
      </c>
      <c r="D856" s="16" t="n">
        <f aca="false">D855/D842</f>
        <v>0.161470773052486</v>
      </c>
      <c r="E856" s="16" t="n">
        <f aca="false">E855/E842</f>
        <v>0.246836445466854</v>
      </c>
      <c r="F856" s="16" t="n">
        <f aca="false">F855/F842</f>
        <v>0.259339610859866</v>
      </c>
      <c r="G856" s="16" t="n">
        <f aca="false">G855/G842</f>
        <v>0.268704451711795</v>
      </c>
    </row>
    <row r="857" customFormat="false" ht="15" hidden="false" customHeight="false" outlineLevel="0" collapsed="false">
      <c r="A857" s="3" t="s">
        <v>589</v>
      </c>
      <c r="B857" s="0" t="s">
        <v>379</v>
      </c>
      <c r="C857" s="21" t="n">
        <f aca="false">a25_nonop</f>
        <v>0.417</v>
      </c>
      <c r="D857" s="21" t="n">
        <f aca="false">a26_nonop</f>
        <v>0.37882</v>
      </c>
      <c r="E857" s="21" t="n">
        <f aca="false">nonop27</f>
        <v>0.4</v>
      </c>
      <c r="F857" s="21" t="n">
        <f aca="false">nonop28</f>
        <v>0.4</v>
      </c>
      <c r="G857" s="21" t="n">
        <f aca="false">nonop29</f>
        <v>0.4</v>
      </c>
    </row>
    <row r="858" customFormat="false" ht="15" hidden="false" customHeight="false" outlineLevel="0" collapsed="false">
      <c r="A858" s="3" t="s">
        <v>591</v>
      </c>
      <c r="B858" s="0" t="s">
        <v>379</v>
      </c>
      <c r="C858" s="21" t="n">
        <f aca="false">C855+C857</f>
        <v>3.087</v>
      </c>
      <c r="D858" s="21" t="n">
        <f aca="false">D855+D857</f>
        <v>9.166996</v>
      </c>
      <c r="E858" s="21" t="n">
        <f aca="false">E855+E857</f>
        <v>18.1806133739871</v>
      </c>
      <c r="F858" s="21" t="n">
        <f aca="false">F855+F857</f>
        <v>22.2110438409112</v>
      </c>
      <c r="G858" s="21" t="n">
        <f aca="false">G855+G857</f>
        <v>26.2260098128311</v>
      </c>
    </row>
    <row r="859" customFormat="false" ht="15" hidden="false" customHeight="false" outlineLevel="0" collapsed="false">
      <c r="A859" s="3" t="s">
        <v>592</v>
      </c>
      <c r="B859" s="0" t="s">
        <v>379</v>
      </c>
      <c r="E859" s="21" t="n">
        <f aca="false">E858*tax</f>
        <v>2.18167360487846</v>
      </c>
      <c r="F859" s="21" t="n">
        <f aca="false">F858*tax</f>
        <v>2.66532526090934</v>
      </c>
      <c r="G859" s="21" t="n">
        <f aca="false">G858*tax</f>
        <v>3.14712117753974</v>
      </c>
    </row>
    <row r="860" customFormat="false" ht="15" hidden="false" customHeight="false" outlineLevel="0" collapsed="false">
      <c r="A860" s="3" t="s">
        <v>593</v>
      </c>
      <c r="B860" s="0" t="s">
        <v>379</v>
      </c>
      <c r="C860" s="21" t="n">
        <f aca="false">a25_nic</f>
        <v>2.71712</v>
      </c>
      <c r="D860" s="21" t="n">
        <f aca="false">a26_nic</f>
        <v>8.39979776</v>
      </c>
      <c r="E860" s="21" t="n">
        <f aca="false">E858-E859</f>
        <v>15.9989397691087</v>
      </c>
      <c r="F860" s="21" t="n">
        <f aca="false">F858-F859</f>
        <v>19.5457185800018</v>
      </c>
      <c r="G860" s="21" t="n">
        <f aca="false">G858-G859</f>
        <v>23.0788886352914</v>
      </c>
    </row>
    <row r="861" customFormat="false" ht="17.15" hidden="false" customHeight="false" outlineLevel="0" collapsed="false">
      <c r="A861" s="3" t="s">
        <v>749</v>
      </c>
      <c r="B861" s="0" t="s">
        <v>379</v>
      </c>
      <c r="C861" s="21" t="n">
        <f aca="false">a25_nci</f>
        <v>1.12112</v>
      </c>
      <c r="D861" s="21" t="n">
        <f aca="false">a26_nci</f>
        <v>1.43839238487797</v>
      </c>
      <c r="E861" s="21" t="n">
        <f aca="false">E841*nm_lens*nci_sh</f>
        <v>1.57074538036261</v>
      </c>
      <c r="F861" s="21" t="n">
        <f aca="false">F841*nm_lens*nci_sh</f>
        <v>1.72781991839887</v>
      </c>
      <c r="G861" s="21" t="n">
        <f aca="false">G841*nm_lens*nci_sh</f>
        <v>1.90060191023875</v>
      </c>
      <c r="K861" s="3" t="s">
        <v>750</v>
      </c>
    </row>
    <row r="862" customFormat="false" ht="15" hidden="false" customHeight="false" outlineLevel="0" collapsed="false">
      <c r="A862" s="3" t="s">
        <v>599</v>
      </c>
      <c r="B862" s="0" t="s">
        <v>379</v>
      </c>
      <c r="C862" s="21" t="n">
        <f aca="false">a25_ni</f>
        <v>1.596</v>
      </c>
      <c r="D862" s="21" t="n">
        <f aca="false">a26_ni</f>
        <v>6.96140537512203</v>
      </c>
      <c r="E862" s="21" t="n">
        <f aca="false">E860-E861</f>
        <v>14.4281943887461</v>
      </c>
      <c r="F862" s="21" t="n">
        <f aca="false">F860-F861</f>
        <v>17.817898661603</v>
      </c>
      <c r="G862" s="21" t="n">
        <f aca="false">G860-G861</f>
        <v>21.1782867250526</v>
      </c>
      <c r="H862" s="30" t="n">
        <f aca="false">H842*H866</f>
        <v>23.6406670408015</v>
      </c>
      <c r="I862" s="30" t="n">
        <f aca="false">I842*I866</f>
        <v>25.736123731239</v>
      </c>
      <c r="J862" s="30" t="n">
        <f aca="false">J842*J866</f>
        <v>27.3061958633271</v>
      </c>
    </row>
    <row r="863" customFormat="false" ht="15" hidden="false" customHeight="false" outlineLevel="0" collapsed="false">
      <c r="A863" s="3" t="s">
        <v>751</v>
      </c>
      <c r="B863" s="3" t="s">
        <v>465</v>
      </c>
      <c r="C863" s="29" t="n">
        <f aca="false">a25_sh</f>
        <v>0.454700854700855</v>
      </c>
      <c r="D863" s="29" t="n">
        <f aca="false">a26_sh</f>
        <v>0.508341020486215</v>
      </c>
      <c r="E863" s="29" t="n">
        <f aca="false">a26_shend*(1+sh_g)</f>
        <v>0.52691</v>
      </c>
      <c r="F863" s="29" t="n">
        <f aca="false">E863*(1+sh_g)</f>
        <v>0.52691</v>
      </c>
      <c r="G863" s="29" t="n">
        <f aca="false">F863*(1+sh_g)</f>
        <v>0.52691</v>
      </c>
      <c r="H863" s="31" t="n">
        <f aca="false">G863*(1+sh_g)</f>
        <v>0.52691</v>
      </c>
      <c r="I863" s="31" t="n">
        <f aca="false">H863*(1+sh_g)</f>
        <v>0.52691</v>
      </c>
      <c r="J863" s="31" t="n">
        <f aca="false">I863*(1+sh_g)</f>
        <v>0.52691</v>
      </c>
    </row>
    <row r="864" customFormat="false" ht="17.15" hidden="false" customHeight="false" outlineLevel="0" collapsed="false">
      <c r="A864" s="0" t="s">
        <v>604</v>
      </c>
      <c r="B864" s="0" t="s">
        <v>471</v>
      </c>
      <c r="C864" s="18" t="n">
        <f aca="false">C862/C863</f>
        <v>3.51</v>
      </c>
      <c r="D864" s="18" t="n">
        <f aca="false">D862/D863</f>
        <v>13.6943608612652</v>
      </c>
      <c r="E864" s="18" t="n">
        <f aca="false">E862/E863</f>
        <v>27.3826543218881</v>
      </c>
      <c r="F864" s="18" t="n">
        <f aca="false">F862/F863</f>
        <v>33.8158293856692</v>
      </c>
      <c r="G864" s="18" t="n">
        <f aca="false">G862/G863</f>
        <v>40.1933664668589</v>
      </c>
      <c r="H864" s="28" t="n">
        <f aca="false">H862/H863</f>
        <v>44.8666129714781</v>
      </c>
      <c r="I864" s="28" t="n">
        <f aca="false">I862/I863</f>
        <v>48.8434907882542</v>
      </c>
      <c r="J864" s="28" t="n">
        <f aca="false">J862/J863</f>
        <v>51.8232636756317</v>
      </c>
    </row>
    <row r="865" customFormat="false" ht="17.15" hidden="false" customHeight="false" outlineLevel="0" collapsed="false">
      <c r="A865" s="0" t="s">
        <v>752</v>
      </c>
      <c r="B865" s="0" t="s">
        <v>43</v>
      </c>
      <c r="D865" s="20" t="n">
        <f aca="false">D864/C864-1</f>
        <v>2.90152731090177</v>
      </c>
      <c r="E865" s="20" t="n">
        <f aca="false">E864/D864-1</f>
        <v>0.999556941670828</v>
      </c>
      <c r="F865" s="20" t="n">
        <f aca="false">F864/E864-1</f>
        <v>0.23493613833626</v>
      </c>
      <c r="G865" s="20" t="n">
        <f aca="false">G864/F864-1</f>
        <v>0.188596204707977</v>
      </c>
      <c r="H865" s="26" t="n">
        <f aca="false">H864/G864-1</f>
        <v>0.116269098993549</v>
      </c>
      <c r="I865" s="26" t="n">
        <f aca="false">I864/H864-1</f>
        <v>0.0886377988751723</v>
      </c>
      <c r="J865" s="26" t="n">
        <f aca="false">J864/I864-1</f>
        <v>0.0610065505001549</v>
      </c>
    </row>
    <row r="866" customFormat="false" ht="17.15" hidden="false" customHeight="false" outlineLevel="0" collapsed="false">
      <c r="A866" s="3" t="s">
        <v>753</v>
      </c>
      <c r="B866" s="0" t="s">
        <v>43</v>
      </c>
      <c r="C866" s="16" t="n">
        <f aca="false">C862/C842</f>
        <v>0.0405580544331783</v>
      </c>
      <c r="D866" s="16" t="n">
        <f aca="false">D862/D842</f>
        <v>0.127906349105057</v>
      </c>
      <c r="E866" s="16" t="n">
        <f aca="false">E862/E842</f>
        <v>0.20029703939422</v>
      </c>
      <c r="F866" s="16" t="n">
        <f aca="false">F862/F842</f>
        <v>0.211859961354679</v>
      </c>
      <c r="G866" s="16" t="n">
        <f aca="false">G862/G842</f>
        <v>0.220347624890282</v>
      </c>
      <c r="H866" s="27" t="n">
        <f aca="false">$G866+(fade_mA-$G866)*1/3</f>
        <v>0.220557259822672</v>
      </c>
      <c r="I866" s="27" t="n">
        <f aca="false">$G866+(fade_mA-$G866)*2/3</f>
        <v>0.220766894755062</v>
      </c>
      <c r="J866" s="27" t="n">
        <f aca="false">$G866+(fade_mA-$G866)*3/3</f>
        <v>0.220976529687452</v>
      </c>
    </row>
    <row r="867" customFormat="false" ht="17.15" hidden="false" customHeight="false" outlineLevel="0" collapsed="false">
      <c r="A867" s="3" t="s">
        <v>754</v>
      </c>
      <c r="B867" s="0" t="s">
        <v>43</v>
      </c>
      <c r="C867" s="20" t="n">
        <f aca="false">C848/C842</f>
        <v>0.155421717364235</v>
      </c>
      <c r="D867" s="20" t="n">
        <f aca="false">D848/D842</f>
        <v>0.202110028699624</v>
      </c>
      <c r="E867" s="20" t="n">
        <f aca="false">E848/E842</f>
        <v>0.235999708484498</v>
      </c>
      <c r="F867" s="20" t="n">
        <f aca="false">F848/F842</f>
        <v>0.190244621212247</v>
      </c>
      <c r="G867" s="20" t="n">
        <f aca="false">G848/G842</f>
        <v>0.124852946464054</v>
      </c>
      <c r="H867" s="26" t="n">
        <f aca="false">$G867+($G850*(1+tp_g)^(life/2)-$G867)*1/3</f>
        <v>0.125778843252168</v>
      </c>
      <c r="I867" s="26" t="n">
        <f aca="false">$G867+($G850*(1+tp_g)^(life/2)-$G867)*2/3</f>
        <v>0.126704740040282</v>
      </c>
      <c r="J867" s="26" t="n">
        <f aca="false">$G867+($G850*(1+tp_g)^(life/2)-$G867)*3/3</f>
        <v>0.127630636828396</v>
      </c>
      <c r="K867" s="7" t="s">
        <v>755</v>
      </c>
    </row>
    <row r="868" customFormat="false" ht="15" hidden="false" customHeight="false" outlineLevel="0" collapsed="false">
      <c r="A868" s="3" t="s">
        <v>756</v>
      </c>
      <c r="B868" s="0" t="s">
        <v>379</v>
      </c>
      <c r="D868" s="21" t="n">
        <f aca="false">D862+D849-D848</f>
        <v>4.28140537512203</v>
      </c>
      <c r="E868" s="21" t="n">
        <f aca="false">E862+E849-E848</f>
        <v>6.08319438874607</v>
      </c>
      <c r="F868" s="21" t="n">
        <f aca="false">F862+F849-F848</f>
        <v>11.516023661603</v>
      </c>
      <c r="G868" s="21" t="n">
        <f aca="false">G862+G849-G848</f>
        <v>19.6641461000526</v>
      </c>
      <c r="H868" s="30" t="n">
        <f aca="false">H862+H849-H848</f>
        <v>21.8528418945286</v>
      </c>
      <c r="I868" s="30" t="n">
        <f aca="false">I862+I849-I848</f>
        <v>23.6837404999859</v>
      </c>
      <c r="J868" s="30" t="n">
        <f aca="false">J862+J849-J848</f>
        <v>25.0162560437722</v>
      </c>
      <c r="K868" s="3" t="s">
        <v>757</v>
      </c>
    </row>
    <row r="869" customFormat="false" ht="15" hidden="false" customHeight="false" outlineLevel="0" collapsed="false">
      <c r="A869" s="3" t="s">
        <v>758</v>
      </c>
      <c r="B869" s="0" t="s">
        <v>471</v>
      </c>
      <c r="D869" s="18" t="n">
        <f aca="false">D868/D863</f>
        <v>8.42230943909854</v>
      </c>
      <c r="E869" s="18" t="n">
        <f aca="false">E868/E863</f>
        <v>11.5450349941092</v>
      </c>
      <c r="F869" s="18" t="n">
        <f aca="false">F868/F863</f>
        <v>21.8557697929494</v>
      </c>
      <c r="G869" s="18" t="n">
        <f aca="false">G868/G863</f>
        <v>37.3197435995761</v>
      </c>
      <c r="H869" s="28" t="n">
        <f aca="false">H868/H863</f>
        <v>41.4735759323767</v>
      </c>
      <c r="I869" s="28" t="n">
        <f aca="false">I868/I863</f>
        <v>44.9483602512496</v>
      </c>
      <c r="J869" s="28" t="n">
        <f aca="false">J868/J863</f>
        <v>47.4772846288212</v>
      </c>
    </row>
    <row r="872" customFormat="false" ht="17.15" hidden="false" customHeight="false" outlineLevel="0" collapsed="false">
      <c r="A872" s="1" t="s">
        <v>1106</v>
      </c>
    </row>
    <row r="873" customFormat="false" ht="17.15" hidden="false" customHeight="false" outlineLevel="0" collapsed="false">
      <c r="A873" s="4" t="s">
        <v>20</v>
      </c>
      <c r="B873" s="4" t="s">
        <v>21</v>
      </c>
      <c r="C873" s="13" t="s">
        <v>567</v>
      </c>
      <c r="D873" s="13" t="s">
        <v>671</v>
      </c>
      <c r="E873" s="13" t="s">
        <v>672</v>
      </c>
      <c r="F873" s="13" t="s">
        <v>673</v>
      </c>
      <c r="G873" s="13" t="s">
        <v>674</v>
      </c>
      <c r="H873" s="13" t="s">
        <v>675</v>
      </c>
      <c r="I873" s="13" t="s">
        <v>676</v>
      </c>
      <c r="J873" s="13" t="s">
        <v>677</v>
      </c>
      <c r="K873" s="4" t="s">
        <v>631</v>
      </c>
    </row>
    <row r="874" customFormat="false" ht="17.15" hidden="false" customHeight="false" outlineLevel="0" collapsed="false">
      <c r="A874" s="5" t="s">
        <v>695</v>
      </c>
    </row>
    <row r="875" customFormat="false" ht="17.15" hidden="false" customHeight="false" outlineLevel="0" collapsed="false">
      <c r="A875" s="0" t="s">
        <v>696</v>
      </c>
      <c r="B875" s="3" t="s">
        <v>31</v>
      </c>
      <c r="D875" s="21" t="n">
        <f aca="false">(u_bw_26+u_rb_26+u_ru_26+u_hp_26)*1</f>
        <v>7.6</v>
      </c>
      <c r="E875" s="21" t="n">
        <f aca="false">(u_bw_27+u_rb_27+u_ru_27+u_hp_27)*1*1</f>
        <v>9.7</v>
      </c>
      <c r="F875" s="21" t="n">
        <f aca="false">(u_bw_28+u_rb_28+u_ru_28+u_hp_28)*um28_A*1</f>
        <v>9.5</v>
      </c>
      <c r="G875" s="21" t="n">
        <f aca="false">(u_bw_28*(1+g29_bw)+u_rb_28*(1+g29_rb)+u_ru_28*(1+g29_ru)+u_hp_28*(1+g29_hp))*um29_A*1</f>
        <v>10.6</v>
      </c>
      <c r="K875" s="7" t="s">
        <v>697</v>
      </c>
    </row>
    <row r="876" customFormat="false" ht="17.15" hidden="false" customHeight="false" outlineLevel="0" collapsed="false">
      <c r="A876" s="3" t="s">
        <v>698</v>
      </c>
      <c r="B876" s="3" t="s">
        <v>31</v>
      </c>
      <c r="D876" s="21" t="n">
        <f aca="false">(u_amd_26+u_tpu_26+u_trn_26+u_oth_26)*1</f>
        <v>7.6</v>
      </c>
      <c r="E876" s="21" t="n">
        <f aca="false">(u_amd_27+u_tpu_27+u_trn_27+u_oth_27)*1*1</f>
        <v>14</v>
      </c>
      <c r="F876" s="21" t="n">
        <f aca="false">(u_amd_28+u_tpu_28+u_trn_28+u_oth_28)*um28_A*1</f>
        <v>17</v>
      </c>
      <c r="G876" s="21" t="n">
        <f aca="false">(u_amd_28*(1+g29_amd)+u_tpu_28*(1+g29_tpu)+u_trn_28*(1+g29_trn)+u_oth_28*(1+g29_oth))*um29_A*1</f>
        <v>19.55</v>
      </c>
      <c r="K876" s="7" t="s">
        <v>699</v>
      </c>
    </row>
    <row r="877" customFormat="false" ht="17.15" hidden="false" customHeight="false" outlineLevel="0" collapsed="false">
      <c r="A877" s="0" t="s">
        <v>700</v>
      </c>
      <c r="B877" s="3" t="s">
        <v>31</v>
      </c>
      <c r="D877" s="21" t="n">
        <f aca="false">D875*cpu_r</f>
        <v>3.04</v>
      </c>
      <c r="E877" s="21" t="n">
        <f aca="false">E875*cpu_r</f>
        <v>3.88</v>
      </c>
      <c r="F877" s="21" t="n">
        <f aca="false">F875*cpu_r</f>
        <v>3.8</v>
      </c>
      <c r="G877" s="21" t="n">
        <f aca="false">G875*cpu_r</f>
        <v>4.24</v>
      </c>
      <c r="K877" s="7" t="s">
        <v>701</v>
      </c>
    </row>
    <row r="878" customFormat="false" ht="17.15" hidden="false" customHeight="false" outlineLevel="0" collapsed="false">
      <c r="A878" s="3" t="s">
        <v>702</v>
      </c>
      <c r="B878" s="0" t="s">
        <v>153</v>
      </c>
      <c r="D878" s="19" t="n">
        <f aca="false">1</f>
        <v>1</v>
      </c>
      <c r="E878" s="19" t="n">
        <f aca="false">D878*(1+g_asp)</f>
        <v>1.18</v>
      </c>
      <c r="F878" s="19" t="n">
        <f aca="false">E878*(1+g_asp)</f>
        <v>1.3924</v>
      </c>
      <c r="G878" s="19" t="n">
        <f aca="false">F878*(1+g_asp)</f>
        <v>1.643032</v>
      </c>
      <c r="K878" s="7" t="s">
        <v>703</v>
      </c>
    </row>
    <row r="879" customFormat="false" ht="17.15" hidden="false" customHeight="false" outlineLevel="0" collapsed="false">
      <c r="A879" s="0" t="s">
        <v>704</v>
      </c>
      <c r="B879" s="0" t="s">
        <v>153</v>
      </c>
      <c r="D879" s="18" t="n">
        <f aca="false">1</f>
        <v>1</v>
      </c>
      <c r="E879" s="18" t="n">
        <f aca="false">ibpp_27</f>
        <v>1</v>
      </c>
      <c r="F879" s="18" t="n">
        <f aca="false">ibpp_28</f>
        <v>0.95</v>
      </c>
      <c r="G879" s="18" t="n">
        <f aca="false">ibpp_29</f>
        <v>0.9</v>
      </c>
      <c r="K879" s="7" t="s">
        <v>705</v>
      </c>
    </row>
    <row r="880" customFormat="false" ht="17.15" hidden="false" customHeight="false" outlineLevel="0" collapsed="false">
      <c r="A880" s="3" t="s">
        <v>706</v>
      </c>
      <c r="B880" s="0" t="s">
        <v>153</v>
      </c>
      <c r="D880" s="18" t="n">
        <f aca="false">1</f>
        <v>1</v>
      </c>
      <c r="E880" s="18" t="n">
        <f aca="false">1+carry</f>
        <v>1.15</v>
      </c>
      <c r="F880" s="18" t="n">
        <f aca="false">1+carry</f>
        <v>1.15</v>
      </c>
      <c r="G880" s="18" t="n">
        <f aca="false">1+carry</f>
        <v>1.15</v>
      </c>
      <c r="K880" s="7" t="s">
        <v>707</v>
      </c>
    </row>
    <row r="881" customFormat="false" ht="17.15" hidden="false" customHeight="false" outlineLevel="0" collapsed="false">
      <c r="A881" s="3" t="s">
        <v>708</v>
      </c>
      <c r="B881" s="0" t="s">
        <v>709</v>
      </c>
      <c r="D881" s="23" t="n">
        <f aca="false">v26*D878*D879</f>
        <v>215.308596</v>
      </c>
      <c r="E881" s="23" t="n">
        <f aca="false">v26*E878*E879</f>
        <v>254.06414328</v>
      </c>
      <c r="F881" s="23" t="n">
        <f aca="false">v26*F878*F879</f>
        <v>284.80590461688</v>
      </c>
      <c r="G881" s="23" t="n">
        <f aca="false">v26*G878*G879</f>
        <v>318.383021792765</v>
      </c>
      <c r="K881" s="7" t="s">
        <v>710</v>
      </c>
    </row>
    <row r="882" customFormat="false" ht="17.15" hidden="false" customHeight="false" outlineLevel="0" collapsed="false">
      <c r="A882" s="3" t="s">
        <v>711</v>
      </c>
      <c r="B882" s="0" t="s">
        <v>43</v>
      </c>
      <c r="D882" s="20" t="n">
        <f aca="false">sh_nv_26</f>
        <v>0.02</v>
      </c>
      <c r="E882" s="20" t="n">
        <f aca="false">sh_nv_27</f>
        <v>0.03</v>
      </c>
      <c r="F882" s="20" t="n">
        <f aca="false">sh_nv_28</f>
        <v>0.05</v>
      </c>
      <c r="G882" s="20" t="n">
        <f aca="false">sh_nv_29</f>
        <v>0.06</v>
      </c>
    </row>
    <row r="883" customFormat="false" ht="17.15" hidden="false" customHeight="false" outlineLevel="0" collapsed="false">
      <c r="A883" s="3" t="s">
        <v>712</v>
      </c>
      <c r="B883" s="0" t="s">
        <v>43</v>
      </c>
      <c r="D883" s="20" t="n">
        <f aca="false">sh_ot_26</f>
        <v>0.03</v>
      </c>
      <c r="E883" s="20" t="n">
        <f aca="false">sh_ot_27</f>
        <v>0.05</v>
      </c>
      <c r="F883" s="20" t="n">
        <f aca="false">sh_ot_28</f>
        <v>0.06</v>
      </c>
      <c r="G883" s="20" t="n">
        <f aca="false">sh_ot_29</f>
        <v>0.06</v>
      </c>
    </row>
    <row r="884" customFormat="false" ht="17.15" hidden="false" customHeight="false" outlineLevel="0" collapsed="false">
      <c r="A884" s="3" t="s">
        <v>713</v>
      </c>
      <c r="B884" s="0" t="s">
        <v>43</v>
      </c>
      <c r="D884" s="20" t="n">
        <f aca="false">sh_cpu_26</f>
        <v>0.35</v>
      </c>
      <c r="E884" s="20" t="n">
        <f aca="false">sh_cpu_27</f>
        <v>0.7</v>
      </c>
      <c r="F884" s="20" t="n">
        <f aca="false">sh_cpu_28</f>
        <v>0.75</v>
      </c>
      <c r="G884" s="20" t="n">
        <f aca="false">sh_cpu_29</f>
        <v>0.7</v>
      </c>
    </row>
    <row r="885" customFormat="false" ht="17.15" hidden="false" customHeight="false" outlineLevel="0" collapsed="false">
      <c r="A885" s="3" t="s">
        <v>714</v>
      </c>
      <c r="B885" s="0" t="s">
        <v>661</v>
      </c>
      <c r="D885" s="22" t="n">
        <f aca="false">(D875*D881*D882+D876*D881*v_ot*D883+D877*D881*v_cpu*D884)*D880</f>
        <v>140.7256983456</v>
      </c>
      <c r="E885" s="22" t="n">
        <f aca="false">(E875*E881*E882+E876*E881*v_ot*E883+E877*E881*v_cpu*E884)*E880</f>
        <v>486.703057357198</v>
      </c>
      <c r="F885" s="22" t="n">
        <f aca="false">(F875*F881*F882+F876*F881*v_ot*F883+F877*F881*v_cpu*F884)*F880</f>
        <v>702.872492003998</v>
      </c>
      <c r="G885" s="22" t="n">
        <f aca="false">(G875*G881*G882+G876*G881*v_ot*G883+G877*G881*v_cpu*G884)*G880</f>
        <v>902.463042932027</v>
      </c>
    </row>
    <row r="886" customFormat="false" ht="17.15" hidden="false" customHeight="false" outlineLevel="0" collapsed="false">
      <c r="A886" s="3" t="s">
        <v>715</v>
      </c>
      <c r="B886" s="0" t="s">
        <v>379</v>
      </c>
      <c r="D886" s="21" t="n">
        <f aca="false">D885*fx/1000</f>
        <v>4.5032223470592</v>
      </c>
      <c r="E886" s="21" t="n">
        <f aca="false">E885*fx/1000</f>
        <v>15.5744978354303</v>
      </c>
      <c r="F886" s="21" t="n">
        <f aca="false">F885*fx/1000</f>
        <v>22.4919197441279</v>
      </c>
      <c r="G886" s="21" t="n">
        <f aca="false">G885*fx/1000</f>
        <v>28.8788173738249</v>
      </c>
    </row>
    <row r="887" customFormat="false" ht="17.15" hidden="false" customHeight="false" outlineLevel="0" collapsed="false">
      <c r="A887" s="5" t="s">
        <v>716</v>
      </c>
    </row>
    <row r="888" customFormat="false" ht="17.15" hidden="false" customHeight="false" outlineLevel="0" collapsed="false">
      <c r="A888" s="0" t="s">
        <v>717</v>
      </c>
      <c r="B888" s="0" t="s">
        <v>379</v>
      </c>
      <c r="D888" s="21" t="n">
        <f aca="false">a26_abf*ai_abf</f>
        <v>5.714709</v>
      </c>
      <c r="K888" s="3" t="s">
        <v>718</v>
      </c>
    </row>
    <row r="889" customFormat="false" ht="17.15" hidden="false" customHeight="false" outlineLevel="0" collapsed="false">
      <c r="A889" s="3" t="s">
        <v>719</v>
      </c>
      <c r="B889" s="0" t="s">
        <v>379</v>
      </c>
      <c r="D889" s="21" t="n">
        <f aca="false">D888-D886</f>
        <v>1.2114866529408</v>
      </c>
      <c r="E889" s="21" t="n">
        <f aca="false">$D889*(swm_27/swm_26)^el_o*1*1*E879*E880</f>
        <v>1.94870016016792</v>
      </c>
      <c r="F889" s="21" t="n">
        <f aca="false">$D889*(swm_28/swm_26)^el_o*um28_A*1*F879*F880</f>
        <v>1.99149622299173</v>
      </c>
      <c r="G889" s="21" t="n">
        <f aca="false">$D889*(swm_29/swm_26)^el_o*um29_A*1*G879*G880</f>
        <v>2.01272596640355</v>
      </c>
      <c r="K889" s="7" t="s">
        <v>720</v>
      </c>
    </row>
    <row r="890" customFormat="false" ht="17.15" hidden="false" customHeight="false" outlineLevel="0" collapsed="false">
      <c r="A890" s="3" t="s">
        <v>721</v>
      </c>
      <c r="B890" s="0" t="s">
        <v>379</v>
      </c>
      <c r="D890" s="21" t="n">
        <f aca="false">a26_abf-D888</f>
        <v>17.144127</v>
      </c>
      <c r="E890" s="21" t="n">
        <f aca="false">$D890*(1+g_nai_hi)^1*E880</f>
        <v>21.687320655</v>
      </c>
      <c r="F890" s="21" t="n">
        <f aca="false">$D890*(1+g_nai_hi)^2*F880</f>
        <v>23.8560527205</v>
      </c>
      <c r="G890" s="21" t="n">
        <f aca="false">$D890*(1+g_nai_hi)^3*G880</f>
        <v>26.24165799255</v>
      </c>
      <c r="K890" s="3" t="s">
        <v>722</v>
      </c>
    </row>
    <row r="891" customFormat="false" ht="17.15" hidden="false" customHeight="false" outlineLevel="0" collapsed="false">
      <c r="A891" s="0" t="s">
        <v>723</v>
      </c>
      <c r="B891" s="0" t="s">
        <v>379</v>
      </c>
      <c r="D891" s="21" t="n">
        <f aca="false">D886+D889+D890</f>
        <v>22.858836</v>
      </c>
      <c r="E891" s="21" t="n">
        <f aca="false">E886+E889+E890</f>
        <v>39.2105186505982</v>
      </c>
      <c r="F891" s="21" t="n">
        <f aca="false">F886+F889+F890</f>
        <v>48.3394686876197</v>
      </c>
      <c r="G891" s="21" t="n">
        <f aca="false">G886+G889+G890</f>
        <v>57.1332013327784</v>
      </c>
    </row>
    <row r="892" customFormat="false" ht="17.15" hidden="false" customHeight="false" outlineLevel="0" collapsed="false">
      <c r="A892" s="0" t="s">
        <v>724</v>
      </c>
      <c r="B892" s="0" t="s">
        <v>379</v>
      </c>
      <c r="D892" s="21" t="n">
        <f aca="false">a26_abf</f>
        <v>22.858836</v>
      </c>
      <c r="E892" s="21" t="n">
        <f aca="false">$D891*cap_27*(1+g_mix)^1*E879*E880</f>
        <v>33.122453364</v>
      </c>
      <c r="F892" s="21" t="n">
        <f aca="false">$D891*cap_28*(1+g_mix)^2*F879*F880</f>
        <v>41.2995590382375</v>
      </c>
      <c r="G892" s="21" t="n">
        <f aca="false">$D891*cap_29*(1+g_mix)^3*G879*G880</f>
        <v>50.6680379569114</v>
      </c>
      <c r="K892" s="7" t="s">
        <v>725</v>
      </c>
    </row>
    <row r="893" customFormat="false" ht="17.15" hidden="false" customHeight="false" outlineLevel="0" collapsed="false">
      <c r="A893" s="0" t="s">
        <v>726</v>
      </c>
      <c r="B893" s="0" t="s">
        <v>379</v>
      </c>
      <c r="D893" s="21" t="n">
        <f aca="false">a26_abf</f>
        <v>22.858836</v>
      </c>
      <c r="E893" s="21" t="n">
        <f aca="false">MIN(E891,E892)</f>
        <v>33.122453364</v>
      </c>
      <c r="F893" s="21" t="n">
        <f aca="false">MIN(F891,F892)</f>
        <v>41.2995590382375</v>
      </c>
      <c r="G893" s="21" t="n">
        <f aca="false">MIN(G891,G892)</f>
        <v>50.6680379569114</v>
      </c>
    </row>
    <row r="894" customFormat="false" ht="17.15" hidden="false" customHeight="false" outlineLevel="0" collapsed="false">
      <c r="A894" s="3" t="s">
        <v>727</v>
      </c>
      <c r="B894" s="0" t="s">
        <v>43</v>
      </c>
      <c r="D894" s="20" t="n">
        <f aca="false">D893/D891</f>
        <v>1</v>
      </c>
      <c r="E894" s="20" t="n">
        <f aca="false">E893/E891</f>
        <v>0.844733875089782</v>
      </c>
      <c r="F894" s="20" t="n">
        <f aca="false">F893/F891</f>
        <v>0.854365183554755</v>
      </c>
      <c r="G894" s="20" t="n">
        <f aca="false">G893/G891</f>
        <v>0.88684051960943</v>
      </c>
    </row>
    <row r="895" customFormat="false" ht="17.15" hidden="false" customHeight="false" outlineLevel="0" collapsed="false">
      <c r="A895" s="0" t="s">
        <v>728</v>
      </c>
      <c r="B895" s="0" t="s">
        <v>379</v>
      </c>
      <c r="D895" s="21" t="n">
        <f aca="false">(D886+D889)*D894</f>
        <v>5.714709</v>
      </c>
      <c r="E895" s="21" t="n">
        <f aca="false">(E886+E889)*E894</f>
        <v>14.8024389467872</v>
      </c>
      <c r="F895" s="21" t="n">
        <f aca="false">(F886+F889)*F894</f>
        <v>20.9177781767956</v>
      </c>
      <c r="G895" s="21" t="n">
        <f aca="false">(G886+G889)*G894</f>
        <v>27.3958723473854</v>
      </c>
    </row>
    <row r="896" customFormat="false" ht="17.15" hidden="false" customHeight="false" outlineLevel="0" collapsed="false">
      <c r="A896" s="3" t="s">
        <v>729</v>
      </c>
      <c r="B896" s="0" t="s">
        <v>43</v>
      </c>
      <c r="D896" s="20" t="n">
        <f aca="false">D886/(D886+D889)</f>
        <v>0.788005539225042</v>
      </c>
      <c r="E896" s="20" t="n">
        <f aca="false">E886/(E886+E889)</f>
        <v>0.888793120944167</v>
      </c>
      <c r="F896" s="20" t="n">
        <f aca="false">F886/(F886+F889)</f>
        <v>0.918659380469366</v>
      </c>
      <c r="G896" s="20" t="n">
        <f aca="false">G886/(G886+G889)</f>
        <v>0.934845405934042</v>
      </c>
    </row>
    <row r="897" customFormat="false" ht="17.15" hidden="false" customHeight="false" outlineLevel="0" collapsed="false">
      <c r="A897" s="5" t="s">
        <v>730</v>
      </c>
    </row>
    <row r="898" customFormat="false" ht="17.15" hidden="false" customHeight="false" outlineLevel="0" collapsed="false">
      <c r="A898" s="0" t="s">
        <v>731</v>
      </c>
      <c r="B898" s="0" t="s">
        <v>379</v>
      </c>
      <c r="D898" s="21" t="n">
        <f aca="false">a26_bt</f>
        <v>23.265964</v>
      </c>
      <c r="E898" s="21" t="n">
        <f aca="false">D898*(1+g_bt27_A)</f>
        <v>29.78043392</v>
      </c>
      <c r="F898" s="21" t="n">
        <f aca="false">E898*(1+g_bt28_A)</f>
        <v>32.758477312</v>
      </c>
      <c r="G898" s="21" t="n">
        <f aca="false">F898*(1+g_bt29_A)</f>
        <v>34.3964011776</v>
      </c>
      <c r="K898" s="7" t="s">
        <v>732</v>
      </c>
    </row>
    <row r="899" customFormat="false" ht="17.15" hidden="false" customHeight="false" outlineLevel="0" collapsed="false">
      <c r="A899" s="3" t="s">
        <v>617</v>
      </c>
      <c r="B899" s="0" t="s">
        <v>379</v>
      </c>
      <c r="C899" s="21" t="n">
        <f aca="false">a25_lens</f>
        <v>7.039</v>
      </c>
      <c r="D899" s="21" t="n">
        <f aca="false">a26_lens</f>
        <v>8.301</v>
      </c>
      <c r="E899" s="21" t="n">
        <f aca="false">D899*(1+g_lens)</f>
        <v>9.1311</v>
      </c>
      <c r="F899" s="21" t="n">
        <f aca="false">E899*(1+g_lens)</f>
        <v>10.04421</v>
      </c>
      <c r="G899" s="21" t="n">
        <f aca="false">F899*(1+g_lens)</f>
        <v>11.048631</v>
      </c>
      <c r="K899" s="3" t="s">
        <v>733</v>
      </c>
    </row>
    <row r="900" customFormat="false" ht="17.15" hidden="false" customHeight="false" outlineLevel="0" collapsed="false">
      <c r="A900" s="3" t="s">
        <v>574</v>
      </c>
      <c r="B900" s="0" t="s">
        <v>379</v>
      </c>
      <c r="C900" s="23" t="n">
        <f aca="false">a25_rev</f>
        <v>39.351</v>
      </c>
      <c r="D900" s="23" t="n">
        <f aca="false">D893+D898+D899</f>
        <v>54.4258</v>
      </c>
      <c r="E900" s="23" t="n">
        <f aca="false">E893+E898+E899</f>
        <v>72.033987284</v>
      </c>
      <c r="F900" s="23" t="n">
        <f aca="false">F893+F898+F899</f>
        <v>84.1022463502375</v>
      </c>
      <c r="G900" s="23" t="n">
        <f aca="false">G893+G898+G899</f>
        <v>96.1130701345114</v>
      </c>
      <c r="H900" s="25" t="n">
        <f aca="false">G900*(1+H902)</f>
        <v>107.186075216063</v>
      </c>
      <c r="I900" s="25" t="n">
        <f aca="false">H900*(1+I902)</f>
        <v>116.576010002736</v>
      </c>
      <c r="J900" s="25" t="n">
        <f aca="false">I900*(1+J902)</f>
        <v>123.5705706029</v>
      </c>
      <c r="K900" s="7" t="s">
        <v>734</v>
      </c>
    </row>
    <row r="901" customFormat="false" ht="17.15" hidden="false" customHeight="false" outlineLevel="0" collapsed="false">
      <c r="A901" s="3" t="s">
        <v>735</v>
      </c>
      <c r="B901" s="0" t="s">
        <v>379</v>
      </c>
      <c r="D901" s="19" t="n">
        <f aca="false">D893+D898+D899-D900</f>
        <v>0</v>
      </c>
      <c r="E901" s="19" t="n">
        <f aca="false">E893+E898+E899-E900</f>
        <v>0</v>
      </c>
      <c r="F901" s="19" t="n">
        <f aca="false">F893+F898+F899-F900</f>
        <v>0</v>
      </c>
      <c r="G901" s="19" t="n">
        <f aca="false">G893+G898+G899-G900</f>
        <v>0</v>
      </c>
    </row>
    <row r="902" customFormat="false" ht="15" hidden="false" customHeight="false" outlineLevel="0" collapsed="false">
      <c r="A902" s="3" t="s">
        <v>736</v>
      </c>
      <c r="B902" s="0" t="s">
        <v>43</v>
      </c>
      <c r="D902" s="20" t="n">
        <f aca="false">D900/C900-1</f>
        <v>0.383085563263958</v>
      </c>
      <c r="E902" s="20" t="n">
        <f aca="false">E900/D900-1</f>
        <v>0.323526476119781</v>
      </c>
      <c r="F902" s="20" t="n">
        <f aca="false">F900/E900-1</f>
        <v>0.167535624796909</v>
      </c>
      <c r="G902" s="20" t="n">
        <f aca="false">G900/F900-1</f>
        <v>0.142812163830389</v>
      </c>
      <c r="H902" s="26" t="n">
        <f aca="false">$G902+(fade_gA-$G902)*1/3</f>
        <v>0.115208109220259</v>
      </c>
      <c r="I902" s="26" t="n">
        <f aca="false">$G902+(fade_gA-$G902)*2/3</f>
        <v>0.0876040546101297</v>
      </c>
      <c r="J902" s="26" t="n">
        <f aca="false">$G902+(fade_gA-$G902)*3/3</f>
        <v>0.06</v>
      </c>
    </row>
    <row r="903" customFormat="false" ht="17.15" hidden="false" customHeight="false" outlineLevel="0" collapsed="false">
      <c r="A903" s="0" t="s">
        <v>737</v>
      </c>
      <c r="B903" s="0" t="s">
        <v>43</v>
      </c>
      <c r="D903" s="20" t="n">
        <f aca="false">D893/D900</f>
        <v>0.42</v>
      </c>
      <c r="E903" s="20" t="n">
        <f aca="false">E893/E900</f>
        <v>0.459817019893845</v>
      </c>
      <c r="F903" s="20" t="n">
        <f aca="false">F893/F900</f>
        <v>0.491063685341395</v>
      </c>
      <c r="G903" s="20" t="n">
        <f aca="false">G893/G900</f>
        <v>0.527171152539409</v>
      </c>
    </row>
    <row r="904" customFormat="false" ht="17.15" hidden="false" customHeight="false" outlineLevel="0" collapsed="false">
      <c r="A904" s="0" t="s">
        <v>738</v>
      </c>
      <c r="B904" s="0" t="s">
        <v>43</v>
      </c>
      <c r="D904" s="20" t="n">
        <f aca="false">D895/D900</f>
        <v>0.105</v>
      </c>
      <c r="E904" s="20" t="n">
        <f aca="false">E895/E900</f>
        <v>0.205492428017726</v>
      </c>
      <c r="F904" s="20" t="n">
        <f aca="false">F895/F900</f>
        <v>0.248718424115393</v>
      </c>
      <c r="G904" s="20" t="n">
        <f aca="false">G895/G900</f>
        <v>0.285037948627013</v>
      </c>
      <c r="K904" s="3" t="s">
        <v>739</v>
      </c>
    </row>
    <row r="905" customFormat="false" ht="17.15" hidden="false" customHeight="false" outlineLevel="0" collapsed="false">
      <c r="A905" s="5" t="s">
        <v>740</v>
      </c>
    </row>
    <row r="906" customFormat="false" ht="15" hidden="false" customHeight="false" outlineLevel="0" collapsed="false">
      <c r="A906" s="3" t="s">
        <v>741</v>
      </c>
      <c r="B906" s="0" t="s">
        <v>379</v>
      </c>
      <c r="C906" s="23" t="n">
        <f aca="false">a25_cx</f>
        <v>6.116</v>
      </c>
      <c r="D906" s="23" t="n">
        <f aca="false">capex26</f>
        <v>11</v>
      </c>
      <c r="E906" s="23" t="n">
        <f aca="false">cx27</f>
        <v>17</v>
      </c>
      <c r="F906" s="23" t="n">
        <f aca="false">cx28</f>
        <v>16</v>
      </c>
      <c r="G906" s="23" t="n">
        <f aca="false">cx29</f>
        <v>12</v>
      </c>
      <c r="H906" s="25" t="n">
        <f aca="false">H900*H925</f>
        <v>13.4817405534162</v>
      </c>
      <c r="I906" s="25" t="n">
        <f aca="false">I900*I925</f>
        <v>14.77073304233</v>
      </c>
      <c r="J906" s="25" t="n">
        <f aca="false">J900*J925</f>
        <v>15.7713906192965</v>
      </c>
    </row>
    <row r="907" customFormat="false" ht="17.15" hidden="false" customHeight="false" outlineLevel="0" collapsed="false">
      <c r="A907" s="3" t="s">
        <v>742</v>
      </c>
      <c r="B907" s="0" t="s">
        <v>379</v>
      </c>
      <c r="C907" s="23" t="n">
        <f aca="false">a25_da</f>
        <v>7.158</v>
      </c>
      <c r="D907" s="23" t="n">
        <f aca="false">da26</f>
        <v>8.32</v>
      </c>
      <c r="E907" s="23" t="n">
        <f aca="false">D907*(1-1/life)+D906/life</f>
        <v>8.655</v>
      </c>
      <c r="F907" s="23" t="n">
        <f aca="false">E907*(1-1/life)+E906/life</f>
        <v>9.698125</v>
      </c>
      <c r="G907" s="23" t="n">
        <f aca="false">F907*(1-1/life)+F906/life</f>
        <v>10.485859375</v>
      </c>
      <c r="H907" s="25" t="n">
        <f aca="false">H900*H908</f>
        <v>11.6939154071433</v>
      </c>
      <c r="I907" s="25" t="n">
        <f aca="false">I900*I908</f>
        <v>12.7183498110769</v>
      </c>
      <c r="J907" s="25" t="n">
        <f aca="false">J900*J908</f>
        <v>13.4814507997415</v>
      </c>
      <c r="K907" s="3" t="s">
        <v>743</v>
      </c>
    </row>
    <row r="908" customFormat="false" ht="17.15" hidden="false" customHeight="false" outlineLevel="0" collapsed="false">
      <c r="A908" s="3" t="s">
        <v>744</v>
      </c>
      <c r="B908" s="0" t="s">
        <v>43</v>
      </c>
      <c r="C908" s="20" t="n">
        <f aca="false">C907/C900</f>
        <v>0.181901349393916</v>
      </c>
      <c r="D908" s="20" t="n">
        <f aca="false">D907/D900</f>
        <v>0.152868676252807</v>
      </c>
      <c r="E908" s="20" t="n">
        <f aca="false">E907/E900</f>
        <v>0.120151616290196</v>
      </c>
      <c r="F908" s="20" t="n">
        <f aca="false">F907/F900</f>
        <v>0.115313507318376</v>
      </c>
      <c r="G908" s="20" t="n">
        <f aca="false">G907/G900</f>
        <v>0.109099203264706</v>
      </c>
      <c r="H908" s="26" t="n">
        <f aca="false">$G908</f>
        <v>0.109099203264706</v>
      </c>
      <c r="I908" s="26" t="n">
        <f aca="false">$G908</f>
        <v>0.109099203264706</v>
      </c>
      <c r="J908" s="26" t="n">
        <f aca="false">$G908</f>
        <v>0.109099203264706</v>
      </c>
    </row>
    <row r="909" customFormat="false" ht="17.15" hidden="false" customHeight="false" outlineLevel="0" collapsed="false">
      <c r="A909" s="0" t="s">
        <v>745</v>
      </c>
      <c r="B909" s="0" t="s">
        <v>379</v>
      </c>
      <c r="E909" s="21" t="n">
        <f aca="false">E894*((E886+E889)*(1-1/(E879*E880))+E890*(1-1/E880))</f>
        <v>4.320320004</v>
      </c>
      <c r="F909" s="21" t="n">
        <f aca="false">F894*((F886+F889)*(1-1/(F879*F880))+F890*(1-1/F880))</f>
        <v>4.42956361932179</v>
      </c>
      <c r="G909" s="21" t="n">
        <f aca="false">G894*((G886+G889)*(1-1/(G879*G880))+G890*(1-1/G880))</f>
        <v>3.96193032796569</v>
      </c>
      <c r="K909" s="7" t="s">
        <v>746</v>
      </c>
    </row>
    <row r="910" customFormat="false" ht="17.15" hidden="false" customHeight="false" outlineLevel="0" collapsed="false">
      <c r="A910" s="3" t="s">
        <v>747</v>
      </c>
      <c r="B910" s="0" t="s">
        <v>379</v>
      </c>
      <c r="C910" s="21" t="n">
        <f aca="false">a25_gp</f>
        <v>8.314</v>
      </c>
      <c r="D910" s="21" t="n">
        <f aca="false">a26_gp</f>
        <v>15.328536</v>
      </c>
      <c r="E910" s="21" t="n">
        <f aca="false">$D910+ft_abf*(E893-E909-$D893)+ft_bt*(E898-$D898)+ft_lens*(E899-$D899)+E909-(E907-$D907)</f>
        <v>25.590561148</v>
      </c>
      <c r="F910" s="21" t="n">
        <f aca="false">$D910+ft_abf*(F893-F909-$D893)+ft_bt*(F898-$D898)+ft_lens*(F899-$D899)+F909-(F907-$D907)</f>
        <v>30.4416298191796</v>
      </c>
      <c r="G910" s="21" t="n">
        <f aca="false">$D910+ft_abf*(G893-G909-$D893)+ft_bt*(G898-$D898)+ft_lens*(G899-$D899)+G909-(G907-$D907)</f>
        <v>35.2933734473585</v>
      </c>
      <c r="K910" s="3" t="s">
        <v>748</v>
      </c>
    </row>
    <row r="911" customFormat="false" ht="15" hidden="false" customHeight="false" outlineLevel="0" collapsed="false">
      <c r="A911" s="3" t="s">
        <v>581</v>
      </c>
      <c r="B911" s="0" t="s">
        <v>43</v>
      </c>
      <c r="C911" s="16" t="n">
        <f aca="false">C910/C900</f>
        <v>0.211277985311682</v>
      </c>
      <c r="D911" s="16" t="n">
        <f aca="false">D910/D900</f>
        <v>0.281640986443929</v>
      </c>
      <c r="E911" s="16" t="n">
        <f aca="false">E910/E900</f>
        <v>0.3552567629931</v>
      </c>
      <c r="F911" s="16" t="n">
        <f aca="false">F910/F900</f>
        <v>0.361959770877079</v>
      </c>
      <c r="G911" s="16" t="n">
        <f aca="false">G910/G900</f>
        <v>0.367206805463243</v>
      </c>
    </row>
    <row r="912" customFormat="false" ht="15" hidden="false" customHeight="false" outlineLevel="0" collapsed="false">
      <c r="A912" s="3" t="s">
        <v>583</v>
      </c>
      <c r="B912" s="0" t="s">
        <v>379</v>
      </c>
      <c r="C912" s="21" t="n">
        <f aca="false">a25_opx</f>
        <v>5.644</v>
      </c>
      <c r="D912" s="21" t="n">
        <f aca="false">a26_opx</f>
        <v>6.54036</v>
      </c>
      <c r="E912" s="21" t="n">
        <f aca="false">D912*(1+phi*E902)</f>
        <v>7.80994777401287</v>
      </c>
      <c r="F912" s="21" t="n">
        <f aca="false">E912*(1+phi*F902)</f>
        <v>8.59501446198315</v>
      </c>
      <c r="G912" s="21" t="n">
        <f aca="false">F912*(1+phi*G902)</f>
        <v>9.33149803006473</v>
      </c>
    </row>
    <row r="913" customFormat="false" ht="15" hidden="false" customHeight="false" outlineLevel="0" collapsed="false">
      <c r="A913" s="3" t="s">
        <v>586</v>
      </c>
      <c r="B913" s="0" t="s">
        <v>379</v>
      </c>
      <c r="C913" s="21" t="n">
        <f aca="false">C910-C912</f>
        <v>2.67</v>
      </c>
      <c r="D913" s="21" t="n">
        <f aca="false">D910-D912</f>
        <v>8.788176</v>
      </c>
      <c r="E913" s="21" t="n">
        <f aca="false">E910-E912</f>
        <v>17.7806133739871</v>
      </c>
      <c r="F913" s="21" t="n">
        <f aca="false">F910-F912</f>
        <v>21.8466153571965</v>
      </c>
      <c r="G913" s="21" t="n">
        <f aca="false">G910-G912</f>
        <v>25.9618754172938</v>
      </c>
    </row>
    <row r="914" customFormat="false" ht="15" hidden="false" customHeight="false" outlineLevel="0" collapsed="false">
      <c r="A914" s="3" t="s">
        <v>684</v>
      </c>
      <c r="B914" s="0" t="s">
        <v>43</v>
      </c>
      <c r="C914" s="16" t="n">
        <f aca="false">C913/C900</f>
        <v>0.0678508805367081</v>
      </c>
      <c r="D914" s="16" t="n">
        <f aca="false">D913/D900</f>
        <v>0.161470773052486</v>
      </c>
      <c r="E914" s="16" t="n">
        <f aca="false">E913/E900</f>
        <v>0.246836445466854</v>
      </c>
      <c r="F914" s="16" t="n">
        <f aca="false">F913/F900</f>
        <v>0.259762566462469</v>
      </c>
      <c r="G914" s="16" t="n">
        <f aca="false">G913/G900</f>
        <v>0.270118053465152</v>
      </c>
    </row>
    <row r="915" customFormat="false" ht="15" hidden="false" customHeight="false" outlineLevel="0" collapsed="false">
      <c r="A915" s="3" t="s">
        <v>589</v>
      </c>
      <c r="B915" s="0" t="s">
        <v>379</v>
      </c>
      <c r="C915" s="21" t="n">
        <f aca="false">a25_nonop</f>
        <v>0.417</v>
      </c>
      <c r="D915" s="21" t="n">
        <f aca="false">a26_nonop</f>
        <v>0.37882</v>
      </c>
      <c r="E915" s="21" t="n">
        <f aca="false">nonop27</f>
        <v>0.4</v>
      </c>
      <c r="F915" s="21" t="n">
        <f aca="false">nonop28</f>
        <v>0.4</v>
      </c>
      <c r="G915" s="21" t="n">
        <f aca="false">nonop29</f>
        <v>0.4</v>
      </c>
    </row>
    <row r="916" customFormat="false" ht="15" hidden="false" customHeight="false" outlineLevel="0" collapsed="false">
      <c r="A916" s="3" t="s">
        <v>591</v>
      </c>
      <c r="B916" s="0" t="s">
        <v>379</v>
      </c>
      <c r="C916" s="21" t="n">
        <f aca="false">C913+C915</f>
        <v>3.087</v>
      </c>
      <c r="D916" s="21" t="n">
        <f aca="false">D913+D915</f>
        <v>9.166996</v>
      </c>
      <c r="E916" s="21" t="n">
        <f aca="false">E913+E915</f>
        <v>18.1806133739871</v>
      </c>
      <c r="F916" s="21" t="n">
        <f aca="false">F913+F915</f>
        <v>22.2466153571965</v>
      </c>
      <c r="G916" s="21" t="n">
        <f aca="false">G913+G915</f>
        <v>26.3618754172938</v>
      </c>
    </row>
    <row r="917" customFormat="false" ht="15" hidden="false" customHeight="false" outlineLevel="0" collapsed="false">
      <c r="A917" s="3" t="s">
        <v>592</v>
      </c>
      <c r="B917" s="0" t="s">
        <v>379</v>
      </c>
      <c r="E917" s="21" t="n">
        <f aca="false">E916*tax</f>
        <v>2.18167360487846</v>
      </c>
      <c r="F917" s="21" t="n">
        <f aca="false">F916*tax</f>
        <v>2.66959384286358</v>
      </c>
      <c r="G917" s="21" t="n">
        <f aca="false">G916*tax</f>
        <v>3.16342505007526</v>
      </c>
    </row>
    <row r="918" customFormat="false" ht="15" hidden="false" customHeight="false" outlineLevel="0" collapsed="false">
      <c r="A918" s="3" t="s">
        <v>593</v>
      </c>
      <c r="B918" s="0" t="s">
        <v>379</v>
      </c>
      <c r="C918" s="21" t="n">
        <f aca="false">a25_nic</f>
        <v>2.71712</v>
      </c>
      <c r="D918" s="21" t="n">
        <f aca="false">a26_nic</f>
        <v>8.39979776</v>
      </c>
      <c r="E918" s="21" t="n">
        <f aca="false">E916-E917</f>
        <v>15.9989397691087</v>
      </c>
      <c r="F918" s="21" t="n">
        <f aca="false">F916-F917</f>
        <v>19.5770215143329</v>
      </c>
      <c r="G918" s="21" t="n">
        <f aca="false">G916-G917</f>
        <v>23.1984503672186</v>
      </c>
    </row>
    <row r="919" customFormat="false" ht="17.15" hidden="false" customHeight="false" outlineLevel="0" collapsed="false">
      <c r="A919" s="3" t="s">
        <v>749</v>
      </c>
      <c r="B919" s="0" t="s">
        <v>379</v>
      </c>
      <c r="C919" s="21" t="n">
        <f aca="false">a25_nci</f>
        <v>1.12112</v>
      </c>
      <c r="D919" s="21" t="n">
        <f aca="false">a26_nci</f>
        <v>1.43839238487797</v>
      </c>
      <c r="E919" s="21" t="n">
        <f aca="false">E899*nm_lens*nci_sh</f>
        <v>1.57074538036261</v>
      </c>
      <c r="F919" s="21" t="n">
        <f aca="false">F899*nm_lens*nci_sh</f>
        <v>1.72781991839887</v>
      </c>
      <c r="G919" s="21" t="n">
        <f aca="false">G899*nm_lens*nci_sh</f>
        <v>1.90060191023875</v>
      </c>
      <c r="K919" s="3" t="s">
        <v>750</v>
      </c>
    </row>
    <row r="920" customFormat="false" ht="15" hidden="false" customHeight="false" outlineLevel="0" collapsed="false">
      <c r="A920" s="3" t="s">
        <v>599</v>
      </c>
      <c r="B920" s="0" t="s">
        <v>379</v>
      </c>
      <c r="C920" s="21" t="n">
        <f aca="false">a25_ni</f>
        <v>1.596</v>
      </c>
      <c r="D920" s="21" t="n">
        <f aca="false">a26_ni</f>
        <v>6.96140537512203</v>
      </c>
      <c r="E920" s="21" t="n">
        <f aca="false">E918-E919</f>
        <v>14.4281943887461</v>
      </c>
      <c r="F920" s="21" t="n">
        <f aca="false">F918-F919</f>
        <v>17.849201595934</v>
      </c>
      <c r="G920" s="21" t="n">
        <f aca="false">G918-G919</f>
        <v>21.2978484569798</v>
      </c>
      <c r="H920" s="30" t="n">
        <f aca="false">H900*H924</f>
        <v>23.7295578494666</v>
      </c>
      <c r="I920" s="30" t="n">
        <f aca="false">I900*I924</f>
        <v>25.7844627331999</v>
      </c>
      <c r="J920" s="30" t="n">
        <f aca="false">J900*J924</f>
        <v>27.3061958633271</v>
      </c>
    </row>
    <row r="921" customFormat="false" ht="15" hidden="false" customHeight="false" outlineLevel="0" collapsed="false">
      <c r="A921" s="3" t="s">
        <v>751</v>
      </c>
      <c r="B921" s="3" t="s">
        <v>465</v>
      </c>
      <c r="C921" s="29" t="n">
        <f aca="false">a25_sh</f>
        <v>0.454700854700855</v>
      </c>
      <c r="D921" s="29" t="n">
        <f aca="false">a26_sh</f>
        <v>0.508341020486215</v>
      </c>
      <c r="E921" s="29" t="n">
        <f aca="false">a26_shend*(1+sh_g)</f>
        <v>0.52691</v>
      </c>
      <c r="F921" s="29" t="n">
        <f aca="false">E921*(1+sh_g)</f>
        <v>0.52691</v>
      </c>
      <c r="G921" s="29" t="n">
        <f aca="false">F921*(1+sh_g)</f>
        <v>0.52691</v>
      </c>
      <c r="H921" s="31" t="n">
        <f aca="false">G921*(1+sh_g)</f>
        <v>0.52691</v>
      </c>
      <c r="I921" s="31" t="n">
        <f aca="false">H921*(1+sh_g)</f>
        <v>0.52691</v>
      </c>
      <c r="J921" s="31" t="n">
        <f aca="false">I921*(1+sh_g)</f>
        <v>0.52691</v>
      </c>
    </row>
    <row r="922" customFormat="false" ht="17.15" hidden="false" customHeight="false" outlineLevel="0" collapsed="false">
      <c r="A922" s="0" t="s">
        <v>604</v>
      </c>
      <c r="B922" s="0" t="s">
        <v>471</v>
      </c>
      <c r="C922" s="18" t="n">
        <f aca="false">C920/C921</f>
        <v>3.51</v>
      </c>
      <c r="D922" s="18" t="n">
        <f aca="false">D920/D921</f>
        <v>13.6943608612652</v>
      </c>
      <c r="E922" s="18" t="n">
        <f aca="false">E920/E921</f>
        <v>27.3826543218881</v>
      </c>
      <c r="F922" s="18" t="n">
        <f aca="false">F920/F921</f>
        <v>33.8752378886984</v>
      </c>
      <c r="G922" s="18" t="n">
        <f aca="false">G920/G921</f>
        <v>40.4202775748796</v>
      </c>
      <c r="H922" s="28" t="n">
        <f aca="false">H920/H921</f>
        <v>45.0353150433026</v>
      </c>
      <c r="I922" s="28" t="n">
        <f aca="false">I920/I921</f>
        <v>48.9352313169229</v>
      </c>
      <c r="J922" s="28" t="n">
        <f aca="false">J920/J921</f>
        <v>51.8232636756317</v>
      </c>
    </row>
    <row r="923" customFormat="false" ht="17.15" hidden="false" customHeight="false" outlineLevel="0" collapsed="false">
      <c r="A923" s="0" t="s">
        <v>752</v>
      </c>
      <c r="B923" s="0" t="s">
        <v>43</v>
      </c>
      <c r="D923" s="20" t="n">
        <f aca="false">D922/C922-1</f>
        <v>2.90152731090177</v>
      </c>
      <c r="E923" s="20" t="n">
        <f aca="false">E922/D922-1</f>
        <v>0.999556941670828</v>
      </c>
      <c r="F923" s="20" t="n">
        <f aca="false">F922/E922-1</f>
        <v>0.237105705330416</v>
      </c>
      <c r="G923" s="20" t="n">
        <f aca="false">G922/F922-1</f>
        <v>0.193210146824233</v>
      </c>
      <c r="H923" s="26" t="n">
        <f aca="false">H922/G922-1</f>
        <v>0.114176293318956</v>
      </c>
      <c r="I923" s="26" t="n">
        <f aca="false">I922/H922-1</f>
        <v>0.0865968467161922</v>
      </c>
      <c r="J923" s="26" t="n">
        <f aca="false">J922/I922-1</f>
        <v>0.0590174457336226</v>
      </c>
    </row>
    <row r="924" customFormat="false" ht="17.15" hidden="false" customHeight="false" outlineLevel="0" collapsed="false">
      <c r="A924" s="3" t="s">
        <v>753</v>
      </c>
      <c r="B924" s="0" t="s">
        <v>43</v>
      </c>
      <c r="C924" s="16" t="n">
        <f aca="false">C920/C900</f>
        <v>0.0405580544331783</v>
      </c>
      <c r="D924" s="16" t="n">
        <f aca="false">D920/D900</f>
        <v>0.127906349105057</v>
      </c>
      <c r="E924" s="16" t="n">
        <f aca="false">E920/E900</f>
        <v>0.20029703939422</v>
      </c>
      <c r="F924" s="16" t="n">
        <f aca="false">F920/F900</f>
        <v>0.212232162284969</v>
      </c>
      <c r="G924" s="16" t="n">
        <f aca="false">G920/G900</f>
        <v>0.221591594433236</v>
      </c>
      <c r="H924" s="27" t="n">
        <f aca="false">$G924+(fade_mA-$G924)*1/3</f>
        <v>0.221386572851308</v>
      </c>
      <c r="I924" s="27" t="n">
        <f aca="false">$G924+(fade_mA-$G924)*2/3</f>
        <v>0.22118155126938</v>
      </c>
      <c r="J924" s="27" t="n">
        <f aca="false">$G924+(fade_mA-$G924)*3/3</f>
        <v>0.220976529687452</v>
      </c>
    </row>
    <row r="925" customFormat="false" ht="17.15" hidden="false" customHeight="false" outlineLevel="0" collapsed="false">
      <c r="A925" s="3" t="s">
        <v>754</v>
      </c>
      <c r="B925" s="0" t="s">
        <v>43</v>
      </c>
      <c r="C925" s="20" t="n">
        <f aca="false">C906/C900</f>
        <v>0.155421717364235</v>
      </c>
      <c r="D925" s="20" t="n">
        <f aca="false">D906/D900</f>
        <v>0.202110028699624</v>
      </c>
      <c r="E925" s="20" t="n">
        <f aca="false">E906/E900</f>
        <v>0.235999708484498</v>
      </c>
      <c r="F925" s="20" t="n">
        <f aca="false">F906/F900</f>
        <v>0.190244621212247</v>
      </c>
      <c r="G925" s="20" t="n">
        <f aca="false">G906/G900</f>
        <v>0.124852946464054</v>
      </c>
      <c r="H925" s="26" t="n">
        <f aca="false">$G925+($G908*(1+tp_g)^(life/2)-$G925)*1/3</f>
        <v>0.125778843252168</v>
      </c>
      <c r="I925" s="26" t="n">
        <f aca="false">$G925+($G908*(1+tp_g)^(life/2)-$G925)*2/3</f>
        <v>0.126704740040282</v>
      </c>
      <c r="J925" s="26" t="n">
        <f aca="false">$G925+($G908*(1+tp_g)^(life/2)-$G925)*3/3</f>
        <v>0.127630636828396</v>
      </c>
      <c r="K925" s="7" t="s">
        <v>755</v>
      </c>
    </row>
    <row r="926" customFormat="false" ht="15" hidden="false" customHeight="false" outlineLevel="0" collapsed="false">
      <c r="A926" s="3" t="s">
        <v>756</v>
      </c>
      <c r="B926" s="0" t="s">
        <v>379</v>
      </c>
      <c r="D926" s="21" t="n">
        <f aca="false">D920+D907-D906</f>
        <v>4.28140537512203</v>
      </c>
      <c r="E926" s="21" t="n">
        <f aca="false">E920+E907-E906</f>
        <v>6.08319438874607</v>
      </c>
      <c r="F926" s="21" t="n">
        <f aca="false">F920+F907-F906</f>
        <v>11.547326595934</v>
      </c>
      <c r="G926" s="21" t="n">
        <f aca="false">G920+G907-G906</f>
        <v>19.7837078319798</v>
      </c>
      <c r="H926" s="30" t="n">
        <f aca="false">H920+H907-H906</f>
        <v>21.9417327031936</v>
      </c>
      <c r="I926" s="30" t="n">
        <f aca="false">I920+I907-I906</f>
        <v>23.7320795019468</v>
      </c>
      <c r="J926" s="30" t="n">
        <f aca="false">J920+J907-J906</f>
        <v>25.0162560437722</v>
      </c>
      <c r="K926" s="3" t="s">
        <v>757</v>
      </c>
    </row>
    <row r="927" customFormat="false" ht="15" hidden="false" customHeight="false" outlineLevel="0" collapsed="false">
      <c r="A927" s="3" t="s">
        <v>758</v>
      </c>
      <c r="B927" s="0" t="s">
        <v>471</v>
      </c>
      <c r="D927" s="18" t="n">
        <f aca="false">D926/D921</f>
        <v>8.42230943909854</v>
      </c>
      <c r="E927" s="18" t="n">
        <f aca="false">E926/E921</f>
        <v>11.5450349941092</v>
      </c>
      <c r="F927" s="18" t="n">
        <f aca="false">F926/F921</f>
        <v>21.9151782959785</v>
      </c>
      <c r="G927" s="18" t="n">
        <f aca="false">G926/G921</f>
        <v>37.5466547075967</v>
      </c>
      <c r="H927" s="28" t="n">
        <f aca="false">H926/H921</f>
        <v>41.6422780042012</v>
      </c>
      <c r="I927" s="28" t="n">
        <f aca="false">I926/I921</f>
        <v>45.0401007799183</v>
      </c>
      <c r="J927" s="28" t="n">
        <f aca="false">J926/J921</f>
        <v>47.4772846288212</v>
      </c>
    </row>
    <row r="930" customFormat="false" ht="17.15" hidden="false" customHeight="false" outlineLevel="0" collapsed="false">
      <c r="A930" s="1" t="s">
        <v>1107</v>
      </c>
    </row>
    <row r="931" customFormat="false" ht="17.15" hidden="false" customHeight="false" outlineLevel="0" collapsed="false">
      <c r="A931" s="4" t="s">
        <v>20</v>
      </c>
      <c r="B931" s="4" t="s">
        <v>21</v>
      </c>
      <c r="C931" s="13" t="s">
        <v>567</v>
      </c>
      <c r="D931" s="13" t="s">
        <v>671</v>
      </c>
      <c r="E931" s="13" t="s">
        <v>672</v>
      </c>
      <c r="F931" s="13" t="s">
        <v>673</v>
      </c>
      <c r="G931" s="13" t="s">
        <v>674</v>
      </c>
      <c r="H931" s="13" t="s">
        <v>675</v>
      </c>
      <c r="I931" s="13" t="s">
        <v>676</v>
      </c>
      <c r="J931" s="13" t="s">
        <v>677</v>
      </c>
      <c r="K931" s="4" t="s">
        <v>631</v>
      </c>
    </row>
    <row r="932" customFormat="false" ht="17.15" hidden="false" customHeight="false" outlineLevel="0" collapsed="false">
      <c r="A932" s="5" t="s">
        <v>695</v>
      </c>
    </row>
    <row r="933" customFormat="false" ht="17.15" hidden="false" customHeight="false" outlineLevel="0" collapsed="false">
      <c r="A933" s="0" t="s">
        <v>696</v>
      </c>
      <c r="B933" s="3" t="s">
        <v>31</v>
      </c>
      <c r="D933" s="21" t="n">
        <f aca="false">(u_bw_26+u_rb_26+u_ru_26+u_hp_26)*1</f>
        <v>7.6</v>
      </c>
      <c r="E933" s="21" t="n">
        <f aca="false">(u_bw_27+u_rb_27+u_ru_27+u_hp_27)*1*1</f>
        <v>9.7</v>
      </c>
      <c r="F933" s="21" t="n">
        <f aca="false">(u_bw_28+u_rb_28+u_ru_28+u_hp_28)*um28_A*1</f>
        <v>9.5</v>
      </c>
      <c r="G933" s="21" t="n">
        <f aca="false">(u_bw_28*(1+g29_bw)+u_rb_28*(1+g29_rb)+u_ru_28*(1+g29_ru)+u_hp_28*(1+g29_hp))*um29_A*1</f>
        <v>10.6</v>
      </c>
      <c r="K933" s="7" t="s">
        <v>697</v>
      </c>
    </row>
    <row r="934" customFormat="false" ht="17.15" hidden="false" customHeight="false" outlineLevel="0" collapsed="false">
      <c r="A934" s="3" t="s">
        <v>698</v>
      </c>
      <c r="B934" s="3" t="s">
        <v>31</v>
      </c>
      <c r="D934" s="21" t="n">
        <f aca="false">(u_amd_26+u_tpu_26+u_trn_26+u_oth_26)*1</f>
        <v>7.6</v>
      </c>
      <c r="E934" s="21" t="n">
        <f aca="false">(u_amd_27+u_tpu_27+u_trn_27+u_oth_27)*1*1</f>
        <v>14</v>
      </c>
      <c r="F934" s="21" t="n">
        <f aca="false">(u_amd_28+u_tpu_28+u_trn_28+u_oth_28)*um28_A*1</f>
        <v>17</v>
      </c>
      <c r="G934" s="21" t="n">
        <f aca="false">(u_amd_28*(1+g29_amd)+u_tpu_28*(1+g29_tpu)+u_trn_28*(1+g29_trn)+u_oth_28*(1+g29_oth))*um29_A*1</f>
        <v>19.55</v>
      </c>
      <c r="K934" s="7" t="s">
        <v>699</v>
      </c>
    </row>
    <row r="935" customFormat="false" ht="17.15" hidden="false" customHeight="false" outlineLevel="0" collapsed="false">
      <c r="A935" s="0" t="s">
        <v>700</v>
      </c>
      <c r="B935" s="3" t="s">
        <v>31</v>
      </c>
      <c r="D935" s="21" t="n">
        <f aca="false">D933*cpu_r</f>
        <v>3.04</v>
      </c>
      <c r="E935" s="21" t="n">
        <f aca="false">E933*cpu_r</f>
        <v>3.88</v>
      </c>
      <c r="F935" s="21" t="n">
        <f aca="false">F933*cpu_r</f>
        <v>3.8</v>
      </c>
      <c r="G935" s="21" t="n">
        <f aca="false">G933*cpu_r</f>
        <v>4.24</v>
      </c>
      <c r="K935" s="7" t="s">
        <v>701</v>
      </c>
    </row>
    <row r="936" customFormat="false" ht="17.15" hidden="false" customHeight="false" outlineLevel="0" collapsed="false">
      <c r="A936" s="3" t="s">
        <v>702</v>
      </c>
      <c r="B936" s="0" t="s">
        <v>153</v>
      </c>
      <c r="D936" s="19" t="n">
        <f aca="false">1</f>
        <v>1</v>
      </c>
      <c r="E936" s="19" t="n">
        <f aca="false">D936*(1+g_asp)</f>
        <v>1.18</v>
      </c>
      <c r="F936" s="19" t="n">
        <f aca="false">E936*(1+g_asp)</f>
        <v>1.3924</v>
      </c>
      <c r="G936" s="19" t="n">
        <f aca="false">F936*(1+g_asp)</f>
        <v>1.643032</v>
      </c>
      <c r="K936" s="7" t="s">
        <v>703</v>
      </c>
    </row>
    <row r="937" customFormat="false" ht="17.15" hidden="false" customHeight="false" outlineLevel="0" collapsed="false">
      <c r="A937" s="0" t="s">
        <v>704</v>
      </c>
      <c r="B937" s="0" t="s">
        <v>153</v>
      </c>
      <c r="D937" s="18" t="n">
        <f aca="false">1</f>
        <v>1</v>
      </c>
      <c r="E937" s="18" t="n">
        <f aca="false">ibpp_27</f>
        <v>1</v>
      </c>
      <c r="F937" s="18" t="n">
        <f aca="false">ibpp_28</f>
        <v>0.95</v>
      </c>
      <c r="G937" s="18" t="n">
        <f aca="false">ibpp_29</f>
        <v>0.9</v>
      </c>
      <c r="K937" s="7" t="s">
        <v>705</v>
      </c>
    </row>
    <row r="938" customFormat="false" ht="17.15" hidden="false" customHeight="false" outlineLevel="0" collapsed="false">
      <c r="A938" s="3" t="s">
        <v>706</v>
      </c>
      <c r="B938" s="0" t="s">
        <v>153</v>
      </c>
      <c r="D938" s="18" t="n">
        <f aca="false">1</f>
        <v>1</v>
      </c>
      <c r="E938" s="18" t="n">
        <f aca="false">1+carry</f>
        <v>1.15</v>
      </c>
      <c r="F938" s="18" t="n">
        <f aca="false">1+carry</f>
        <v>1.15</v>
      </c>
      <c r="G938" s="18" t="n">
        <f aca="false">1+carry</f>
        <v>1.15</v>
      </c>
      <c r="K938" s="7" t="s">
        <v>707</v>
      </c>
    </row>
    <row r="939" customFormat="false" ht="17.15" hidden="false" customHeight="false" outlineLevel="0" collapsed="false">
      <c r="A939" s="3" t="s">
        <v>708</v>
      </c>
      <c r="B939" s="0" t="s">
        <v>709</v>
      </c>
      <c r="D939" s="23" t="n">
        <f aca="false">v26*D936*D937</f>
        <v>215.308596</v>
      </c>
      <c r="E939" s="23" t="n">
        <f aca="false">v26*E936*E937</f>
        <v>254.06414328</v>
      </c>
      <c r="F939" s="23" t="n">
        <f aca="false">v26*F936*F937</f>
        <v>284.80590461688</v>
      </c>
      <c r="G939" s="23" t="n">
        <f aca="false">v26*G936*G937</f>
        <v>318.383021792765</v>
      </c>
      <c r="K939" s="7" t="s">
        <v>710</v>
      </c>
    </row>
    <row r="940" customFormat="false" ht="17.15" hidden="false" customHeight="false" outlineLevel="0" collapsed="false">
      <c r="A940" s="3" t="s">
        <v>711</v>
      </c>
      <c r="B940" s="0" t="s">
        <v>43</v>
      </c>
      <c r="D940" s="20" t="n">
        <f aca="false">sh_nv_26</f>
        <v>0.02</v>
      </c>
      <c r="E940" s="20" t="n">
        <f aca="false">sh_nv_27</f>
        <v>0.03</v>
      </c>
      <c r="F940" s="20" t="n">
        <f aca="false">sh_nv_28</f>
        <v>0.05</v>
      </c>
      <c r="G940" s="20" t="n">
        <f aca="false">sh_nv_29</f>
        <v>0.06</v>
      </c>
    </row>
    <row r="941" customFormat="false" ht="17.15" hidden="false" customHeight="false" outlineLevel="0" collapsed="false">
      <c r="A941" s="3" t="s">
        <v>712</v>
      </c>
      <c r="B941" s="0" t="s">
        <v>43</v>
      </c>
      <c r="D941" s="20" t="n">
        <f aca="false">sh_ot_26</f>
        <v>0.03</v>
      </c>
      <c r="E941" s="20" t="n">
        <f aca="false">sh_ot_27</f>
        <v>0.05</v>
      </c>
      <c r="F941" s="20" t="n">
        <f aca="false">sh_ot_28</f>
        <v>0.06</v>
      </c>
      <c r="G941" s="20" t="n">
        <f aca="false">sh_ot_29</f>
        <v>0.06</v>
      </c>
    </row>
    <row r="942" customFormat="false" ht="17.15" hidden="false" customHeight="false" outlineLevel="0" collapsed="false">
      <c r="A942" s="3" t="s">
        <v>713</v>
      </c>
      <c r="B942" s="0" t="s">
        <v>43</v>
      </c>
      <c r="D942" s="20" t="n">
        <f aca="false">sh_cpu_26</f>
        <v>0.35</v>
      </c>
      <c r="E942" s="20" t="n">
        <f aca="false">sh_cpu_27</f>
        <v>0.7</v>
      </c>
      <c r="F942" s="20" t="n">
        <f aca="false">sh_cpu_28</f>
        <v>0.75</v>
      </c>
      <c r="G942" s="20" t="n">
        <f aca="false">sh_cpu_29</f>
        <v>0.7</v>
      </c>
    </row>
    <row r="943" customFormat="false" ht="17.15" hidden="false" customHeight="false" outlineLevel="0" collapsed="false">
      <c r="A943" s="3" t="s">
        <v>714</v>
      </c>
      <c r="B943" s="0" t="s">
        <v>661</v>
      </c>
      <c r="D943" s="22" t="n">
        <f aca="false">(D933*D939*D940+D934*D939*v_ot*D941+D935*D939*v_cpu*D942)*D938</f>
        <v>140.7256983456</v>
      </c>
      <c r="E943" s="22" t="n">
        <f aca="false">(E933*E939*E940+E934*E939*v_ot*E941+E935*E939*v_cpu*E942)*E938</f>
        <v>486.703057357198</v>
      </c>
      <c r="F943" s="22" t="n">
        <f aca="false">(F933*F939*F940+F934*F939*v_ot*F941+F935*F939*v_cpu*F942)*F938</f>
        <v>702.872492003998</v>
      </c>
      <c r="G943" s="22" t="n">
        <f aca="false">(G933*G939*G940+G934*G939*v_ot*G941+G935*G939*v_cpu*G942)*G938</f>
        <v>902.463042932027</v>
      </c>
    </row>
    <row r="944" customFormat="false" ht="17.15" hidden="false" customHeight="false" outlineLevel="0" collapsed="false">
      <c r="A944" s="3" t="s">
        <v>715</v>
      </c>
      <c r="B944" s="0" t="s">
        <v>379</v>
      </c>
      <c r="D944" s="21" t="n">
        <f aca="false">D943*fx/1000</f>
        <v>4.5032223470592</v>
      </c>
      <c r="E944" s="21" t="n">
        <f aca="false">E943*fx/1000</f>
        <v>15.5744978354303</v>
      </c>
      <c r="F944" s="21" t="n">
        <f aca="false">F943*fx/1000</f>
        <v>22.4919197441279</v>
      </c>
      <c r="G944" s="21" t="n">
        <f aca="false">G943*fx/1000</f>
        <v>28.8788173738249</v>
      </c>
    </row>
    <row r="945" customFormat="false" ht="17.15" hidden="false" customHeight="false" outlineLevel="0" collapsed="false">
      <c r="A945" s="5" t="s">
        <v>716</v>
      </c>
    </row>
    <row r="946" customFormat="false" ht="17.15" hidden="false" customHeight="false" outlineLevel="0" collapsed="false">
      <c r="A946" s="0" t="s">
        <v>717</v>
      </c>
      <c r="B946" s="0" t="s">
        <v>379</v>
      </c>
      <c r="D946" s="21" t="n">
        <f aca="false">a26_abf*ai_abf</f>
        <v>5.714709</v>
      </c>
      <c r="K946" s="3" t="s">
        <v>718</v>
      </c>
    </row>
    <row r="947" customFormat="false" ht="17.15" hidden="false" customHeight="false" outlineLevel="0" collapsed="false">
      <c r="A947" s="3" t="s">
        <v>719</v>
      </c>
      <c r="B947" s="0" t="s">
        <v>379</v>
      </c>
      <c r="D947" s="21" t="n">
        <f aca="false">D946-D944</f>
        <v>1.2114866529408</v>
      </c>
      <c r="E947" s="21" t="n">
        <f aca="false">$D947*(swm_27/swm_26)^el_o*1*1*E937*E938</f>
        <v>1.94870016016792</v>
      </c>
      <c r="F947" s="21" t="n">
        <f aca="false">$D947*(swm_28/swm_26)^el_o*um28_A*1*F937*F938</f>
        <v>1.99149622299173</v>
      </c>
      <c r="G947" s="21" t="n">
        <f aca="false">$D947*(swm_29/swm_26)^el_o*um29_A*1*G937*G938</f>
        <v>2.01272596640355</v>
      </c>
      <c r="K947" s="7" t="s">
        <v>720</v>
      </c>
    </row>
    <row r="948" customFormat="false" ht="17.15" hidden="false" customHeight="false" outlineLevel="0" collapsed="false">
      <c r="A948" s="3" t="s">
        <v>721</v>
      </c>
      <c r="B948" s="0" t="s">
        <v>379</v>
      </c>
      <c r="D948" s="21" t="n">
        <f aca="false">a26_abf-D946</f>
        <v>17.144127</v>
      </c>
      <c r="E948" s="21" t="n">
        <f aca="false">$D948*(1+g_nai)^1*E938</f>
        <v>20.898690813</v>
      </c>
      <c r="F948" s="21" t="n">
        <f aca="false">$D948*(1+g_nai)^2*F938</f>
        <v>22.15261226178</v>
      </c>
      <c r="G948" s="21" t="n">
        <f aca="false">$D948*(1+g_nai)^3*G938</f>
        <v>23.4817689974868</v>
      </c>
      <c r="K948" s="3" t="s">
        <v>722</v>
      </c>
    </row>
    <row r="949" customFormat="false" ht="17.15" hidden="false" customHeight="false" outlineLevel="0" collapsed="false">
      <c r="A949" s="0" t="s">
        <v>723</v>
      </c>
      <c r="B949" s="0" t="s">
        <v>379</v>
      </c>
      <c r="D949" s="21" t="n">
        <f aca="false">D944+D947+D948</f>
        <v>22.858836</v>
      </c>
      <c r="E949" s="21" t="n">
        <f aca="false">E944+E947+E948</f>
        <v>38.4218888085982</v>
      </c>
      <c r="F949" s="21" t="n">
        <f aca="false">F944+F947+F948</f>
        <v>46.6360282288997</v>
      </c>
      <c r="G949" s="21" t="n">
        <f aca="false">G944+G947+G948</f>
        <v>54.3733123377152</v>
      </c>
    </row>
    <row r="950" customFormat="false" ht="17.15" hidden="false" customHeight="false" outlineLevel="0" collapsed="false">
      <c r="A950" s="0" t="s">
        <v>724</v>
      </c>
      <c r="B950" s="0" t="s">
        <v>379</v>
      </c>
      <c r="D950" s="21" t="n">
        <f aca="false">a26_abf</f>
        <v>22.858836</v>
      </c>
      <c r="E950" s="21" t="n">
        <f aca="false">$D949*cap_27*(1+g_mix)^1*E937*E938</f>
        <v>33.122453364</v>
      </c>
      <c r="F950" s="21" t="n">
        <f aca="false">$D949*cap_28*(1+g_mix)^2*F937*F938</f>
        <v>41.2995590382375</v>
      </c>
      <c r="G950" s="21" t="n">
        <f aca="false">$D949*cap_29*(1+g_mix)^3*G937*G938</f>
        <v>50.6680379569114</v>
      </c>
      <c r="K950" s="7" t="s">
        <v>725</v>
      </c>
    </row>
    <row r="951" customFormat="false" ht="17.15" hidden="false" customHeight="false" outlineLevel="0" collapsed="false">
      <c r="A951" s="0" t="s">
        <v>726</v>
      </c>
      <c r="B951" s="0" t="s">
        <v>379</v>
      </c>
      <c r="D951" s="21" t="n">
        <f aca="false">a26_abf</f>
        <v>22.858836</v>
      </c>
      <c r="E951" s="21" t="n">
        <f aca="false">MIN(E949,E950)</f>
        <v>33.122453364</v>
      </c>
      <c r="F951" s="21" t="n">
        <f aca="false">MIN(F949,F950)</f>
        <v>41.2995590382375</v>
      </c>
      <c r="G951" s="21" t="n">
        <f aca="false">MIN(G949,G950)</f>
        <v>50.6680379569114</v>
      </c>
    </row>
    <row r="952" customFormat="false" ht="17.15" hidden="false" customHeight="false" outlineLevel="0" collapsed="false">
      <c r="A952" s="3" t="s">
        <v>727</v>
      </c>
      <c r="B952" s="0" t="s">
        <v>43</v>
      </c>
      <c r="D952" s="20" t="n">
        <f aca="false">D951/D949</f>
        <v>1</v>
      </c>
      <c r="E952" s="20" t="n">
        <f aca="false">E951/E949</f>
        <v>0.862072490215205</v>
      </c>
      <c r="F952" s="20" t="n">
        <f aca="false">F951/F949</f>
        <v>0.885571962422065</v>
      </c>
      <c r="G952" s="20" t="n">
        <f aca="false">G951/G949</f>
        <v>0.931854907830698</v>
      </c>
    </row>
    <row r="953" customFormat="false" ht="17.15" hidden="false" customHeight="false" outlineLevel="0" collapsed="false">
      <c r="A953" s="0" t="s">
        <v>728</v>
      </c>
      <c r="B953" s="0" t="s">
        <v>379</v>
      </c>
      <c r="D953" s="21" t="n">
        <f aca="false">(D944+D947)*D952</f>
        <v>5.714709</v>
      </c>
      <c r="E953" s="21" t="n">
        <f aca="false">(E944+E947)*E952</f>
        <v>15.1062669325995</v>
      </c>
      <c r="F953" s="21" t="n">
        <f aca="false">(F944+F947)*F952</f>
        <v>21.6818267247979</v>
      </c>
      <c r="G953" s="21" t="n">
        <f aca="false">(G944+G947)*G952</f>
        <v>28.7864362720566</v>
      </c>
    </row>
    <row r="954" customFormat="false" ht="17.15" hidden="false" customHeight="false" outlineLevel="0" collapsed="false">
      <c r="A954" s="3" t="s">
        <v>729</v>
      </c>
      <c r="B954" s="0" t="s">
        <v>43</v>
      </c>
      <c r="D954" s="20" t="n">
        <f aca="false">D944/(D944+D947)</f>
        <v>0.788005539225042</v>
      </c>
      <c r="E954" s="20" t="n">
        <f aca="false">E944/(E944+E947)</f>
        <v>0.888793120944167</v>
      </c>
      <c r="F954" s="20" t="n">
        <f aca="false">F944/(F944+F947)</f>
        <v>0.918659380469366</v>
      </c>
      <c r="G954" s="20" t="n">
        <f aca="false">G944/(G944+G947)</f>
        <v>0.934845405934042</v>
      </c>
    </row>
    <row r="955" customFormat="false" ht="17.15" hidden="false" customHeight="false" outlineLevel="0" collapsed="false">
      <c r="A955" s="5" t="s">
        <v>730</v>
      </c>
    </row>
    <row r="956" customFormat="false" ht="17.15" hidden="false" customHeight="false" outlineLevel="0" collapsed="false">
      <c r="A956" s="0" t="s">
        <v>731</v>
      </c>
      <c r="B956" s="0" t="s">
        <v>379</v>
      </c>
      <c r="D956" s="21" t="n">
        <f aca="false">a26_bt</f>
        <v>23.265964</v>
      </c>
      <c r="E956" s="21" t="n">
        <f aca="false">D956*(1+g_bt27_A)</f>
        <v>29.78043392</v>
      </c>
      <c r="F956" s="21" t="n">
        <f aca="false">E956*(1+g_bt28_A)</f>
        <v>32.758477312</v>
      </c>
      <c r="G956" s="21" t="n">
        <f aca="false">F956*(1+g_bt29_A)</f>
        <v>34.3964011776</v>
      </c>
      <c r="K956" s="7" t="s">
        <v>732</v>
      </c>
    </row>
    <row r="957" customFormat="false" ht="17.15" hidden="false" customHeight="false" outlineLevel="0" collapsed="false">
      <c r="A957" s="3" t="s">
        <v>617</v>
      </c>
      <c r="B957" s="0" t="s">
        <v>379</v>
      </c>
      <c r="C957" s="21" t="n">
        <f aca="false">a25_lens</f>
        <v>7.039</v>
      </c>
      <c r="D957" s="21" t="n">
        <f aca="false">a26_lens</f>
        <v>8.301</v>
      </c>
      <c r="E957" s="21" t="n">
        <f aca="false">D957*(1+g_lens)</f>
        <v>9.1311</v>
      </c>
      <c r="F957" s="21" t="n">
        <f aca="false">E957*(1+g_lens)</f>
        <v>10.04421</v>
      </c>
      <c r="G957" s="21" t="n">
        <f aca="false">F957*(1+g_lens)</f>
        <v>11.048631</v>
      </c>
      <c r="K957" s="3" t="s">
        <v>733</v>
      </c>
    </row>
    <row r="958" customFormat="false" ht="17.15" hidden="false" customHeight="false" outlineLevel="0" collapsed="false">
      <c r="A958" s="3" t="s">
        <v>574</v>
      </c>
      <c r="B958" s="0" t="s">
        <v>379</v>
      </c>
      <c r="C958" s="23" t="n">
        <f aca="false">a25_rev</f>
        <v>39.351</v>
      </c>
      <c r="D958" s="23" t="n">
        <f aca="false">D951+D956+D957</f>
        <v>54.4258</v>
      </c>
      <c r="E958" s="23" t="n">
        <f aca="false">E951+E956+E957</f>
        <v>72.033987284</v>
      </c>
      <c r="F958" s="23" t="n">
        <f aca="false">F951+F956+F957</f>
        <v>84.1022463502375</v>
      </c>
      <c r="G958" s="23" t="n">
        <f aca="false">G951+G956+G957</f>
        <v>96.1130701345114</v>
      </c>
      <c r="H958" s="25" t="n">
        <f aca="false">G958*(1+H960)</f>
        <v>107.186075216063</v>
      </c>
      <c r="I958" s="25" t="n">
        <f aca="false">H958*(1+I960)</f>
        <v>116.576010002736</v>
      </c>
      <c r="J958" s="25" t="n">
        <f aca="false">I958*(1+J960)</f>
        <v>123.5705706029</v>
      </c>
      <c r="K958" s="7" t="s">
        <v>734</v>
      </c>
    </row>
    <row r="959" customFormat="false" ht="17.15" hidden="false" customHeight="false" outlineLevel="0" collapsed="false">
      <c r="A959" s="3" t="s">
        <v>735</v>
      </c>
      <c r="B959" s="0" t="s">
        <v>379</v>
      </c>
      <c r="D959" s="19" t="n">
        <f aca="false">D951+D956+D957-D958</f>
        <v>0</v>
      </c>
      <c r="E959" s="19" t="n">
        <f aca="false">E951+E956+E957-E958</f>
        <v>0</v>
      </c>
      <c r="F959" s="19" t="n">
        <f aca="false">F951+F956+F957-F958</f>
        <v>0</v>
      </c>
      <c r="G959" s="19" t="n">
        <f aca="false">G951+G956+G957-G958</f>
        <v>0</v>
      </c>
    </row>
    <row r="960" customFormat="false" ht="15" hidden="false" customHeight="false" outlineLevel="0" collapsed="false">
      <c r="A960" s="3" t="s">
        <v>736</v>
      </c>
      <c r="B960" s="0" t="s">
        <v>43</v>
      </c>
      <c r="D960" s="20" t="n">
        <f aca="false">D958/C958-1</f>
        <v>0.383085563263958</v>
      </c>
      <c r="E960" s="20" t="n">
        <f aca="false">E958/D958-1</f>
        <v>0.323526476119781</v>
      </c>
      <c r="F960" s="20" t="n">
        <f aca="false">F958/E958-1</f>
        <v>0.167535624796909</v>
      </c>
      <c r="G960" s="20" t="n">
        <f aca="false">G958/F958-1</f>
        <v>0.142812163830389</v>
      </c>
      <c r="H960" s="26" t="n">
        <f aca="false">$G960+(fade_gA-$G960)*1/3</f>
        <v>0.115208109220259</v>
      </c>
      <c r="I960" s="26" t="n">
        <f aca="false">$G960+(fade_gA-$G960)*2/3</f>
        <v>0.0876040546101297</v>
      </c>
      <c r="J960" s="26" t="n">
        <f aca="false">$G960+(fade_gA-$G960)*3/3</f>
        <v>0.06</v>
      </c>
    </row>
    <row r="961" customFormat="false" ht="17.15" hidden="false" customHeight="false" outlineLevel="0" collapsed="false">
      <c r="A961" s="0" t="s">
        <v>737</v>
      </c>
      <c r="B961" s="0" t="s">
        <v>43</v>
      </c>
      <c r="D961" s="20" t="n">
        <f aca="false">D951/D958</f>
        <v>0.42</v>
      </c>
      <c r="E961" s="20" t="n">
        <f aca="false">E951/E958</f>
        <v>0.459817019893845</v>
      </c>
      <c r="F961" s="20" t="n">
        <f aca="false">F951/F958</f>
        <v>0.491063685341395</v>
      </c>
      <c r="G961" s="20" t="n">
        <f aca="false">G951/G958</f>
        <v>0.527171152539409</v>
      </c>
    </row>
    <row r="962" customFormat="false" ht="17.15" hidden="false" customHeight="false" outlineLevel="0" collapsed="false">
      <c r="A962" s="0" t="s">
        <v>738</v>
      </c>
      <c r="B962" s="0" t="s">
        <v>43</v>
      </c>
      <c r="D962" s="20" t="n">
        <f aca="false">D953/D958</f>
        <v>0.105</v>
      </c>
      <c r="E962" s="20" t="n">
        <f aca="false">E953/E958</f>
        <v>0.209710270140146</v>
      </c>
      <c r="F962" s="20" t="n">
        <f aca="false">F953/F958</f>
        <v>0.257803182028047</v>
      </c>
      <c r="G962" s="20" t="n">
        <f aca="false">G953/G958</f>
        <v>0.299505948897165</v>
      </c>
      <c r="K962" s="3" t="s">
        <v>739</v>
      </c>
    </row>
    <row r="963" customFormat="false" ht="17.15" hidden="false" customHeight="false" outlineLevel="0" collapsed="false">
      <c r="A963" s="5" t="s">
        <v>740</v>
      </c>
    </row>
    <row r="964" customFormat="false" ht="15" hidden="false" customHeight="false" outlineLevel="0" collapsed="false">
      <c r="A964" s="3" t="s">
        <v>741</v>
      </c>
      <c r="B964" s="0" t="s">
        <v>379</v>
      </c>
      <c r="C964" s="23" t="n">
        <f aca="false">a25_cx</f>
        <v>6.116</v>
      </c>
      <c r="D964" s="23" t="n">
        <f aca="false">capex26</f>
        <v>11</v>
      </c>
      <c r="E964" s="23" t="n">
        <f aca="false">cx27</f>
        <v>17</v>
      </c>
      <c r="F964" s="23" t="n">
        <f aca="false">cx28</f>
        <v>16</v>
      </c>
      <c r="G964" s="23" t="n">
        <f aca="false">cx29</f>
        <v>12</v>
      </c>
      <c r="H964" s="25" t="n">
        <f aca="false">H958*H983</f>
        <v>13.5697394855251</v>
      </c>
      <c r="I964" s="25" t="n">
        <f aca="false">I958*I983</f>
        <v>14.9621490330559</v>
      </c>
      <c r="J964" s="25" t="n">
        <f aca="false">J958*J983</f>
        <v>16.0757420445506</v>
      </c>
    </row>
    <row r="965" customFormat="false" ht="17.15" hidden="false" customHeight="false" outlineLevel="0" collapsed="false">
      <c r="A965" s="3" t="s">
        <v>742</v>
      </c>
      <c r="B965" s="0" t="s">
        <v>379</v>
      </c>
      <c r="C965" s="23" t="n">
        <f aca="false">a25_da</f>
        <v>7.158</v>
      </c>
      <c r="D965" s="23" t="n">
        <f aca="false">da26</f>
        <v>8.32</v>
      </c>
      <c r="E965" s="23" t="n">
        <f aca="false">D965*(1-1/life_lo)+D964/life_lo</f>
        <v>8.76666666666667</v>
      </c>
      <c r="F965" s="23" t="n">
        <f aca="false">E965*(1-1/life_lo)+E964/life_lo</f>
        <v>10.1388888888889</v>
      </c>
      <c r="G965" s="23" t="n">
        <f aca="false">F965*(1-1/life_lo)+F964/life_lo</f>
        <v>11.1157407407407</v>
      </c>
      <c r="H965" s="25" t="n">
        <f aca="false">H958*H966</f>
        <v>12.3963642140641</v>
      </c>
      <c r="I965" s="25" t="n">
        <f aca="false">I958*I966</f>
        <v>13.48233598164</v>
      </c>
      <c r="J965" s="25" t="n">
        <f aca="false">J958*J966</f>
        <v>14.2912761405384</v>
      </c>
      <c r="K965" s="3" t="s">
        <v>743</v>
      </c>
    </row>
    <row r="966" customFormat="false" ht="17.15" hidden="false" customHeight="false" outlineLevel="0" collapsed="false">
      <c r="A966" s="3" t="s">
        <v>744</v>
      </c>
      <c r="B966" s="0" t="s">
        <v>43</v>
      </c>
      <c r="C966" s="20" t="n">
        <f aca="false">C965/C958</f>
        <v>0.181901349393916</v>
      </c>
      <c r="D966" s="20" t="n">
        <f aca="false">D965/D958</f>
        <v>0.152868676252807</v>
      </c>
      <c r="E966" s="20" t="n">
        <f aca="false">E965/E958</f>
        <v>0.12170181045377</v>
      </c>
      <c r="F966" s="20" t="n">
        <f aca="false">F965/F958</f>
        <v>0.120554317261233</v>
      </c>
      <c r="G966" s="20" t="n">
        <f aca="false">G965/G958</f>
        <v>0.115652748634334</v>
      </c>
      <c r="H966" s="26" t="n">
        <f aca="false">$G966</f>
        <v>0.115652748634334</v>
      </c>
      <c r="I966" s="26" t="n">
        <f aca="false">$G966</f>
        <v>0.115652748634334</v>
      </c>
      <c r="J966" s="26" t="n">
        <f aca="false">$G966</f>
        <v>0.115652748634334</v>
      </c>
    </row>
    <row r="967" customFormat="false" ht="17.15" hidden="false" customHeight="false" outlineLevel="0" collapsed="false">
      <c r="A967" s="0" t="s">
        <v>745</v>
      </c>
      <c r="B967" s="0" t="s">
        <v>379</v>
      </c>
      <c r="E967" s="21" t="n">
        <f aca="false">E952*((E944+E947)*(1-1/(E937*E938))+E948*(1-1/E938))</f>
        <v>4.320320004</v>
      </c>
      <c r="F967" s="21" t="n">
        <f aca="false">F952*((F944+F947)*(1-1/(F937*F938))+F948*(1-1/F938))</f>
        <v>4.39459572238805</v>
      </c>
      <c r="G967" s="21" t="n">
        <f aca="false">G952*((G944+G947)*(1-1/(G937*G938))+G948*(1-1/G938))</f>
        <v>3.827576325582</v>
      </c>
      <c r="K967" s="7" t="s">
        <v>746</v>
      </c>
    </row>
    <row r="968" customFormat="false" ht="17.15" hidden="false" customHeight="false" outlineLevel="0" collapsed="false">
      <c r="A968" s="3" t="s">
        <v>747</v>
      </c>
      <c r="B968" s="0" t="s">
        <v>379</v>
      </c>
      <c r="C968" s="21" t="n">
        <f aca="false">a25_gp</f>
        <v>8.314</v>
      </c>
      <c r="D968" s="21" t="n">
        <f aca="false">a26_gp</f>
        <v>15.328536</v>
      </c>
      <c r="E968" s="21" t="n">
        <f aca="false">$D968+ft_abf*(E951-E967-$D951)+ft_bt*(E956-$D956)+ft_lens*(E957-$D957)+E967-(E965-$D965)</f>
        <v>25.4788944813333</v>
      </c>
      <c r="F968" s="21" t="n">
        <f aca="false">$D968+ft_abf*(F951-F967-$D951)+ft_bt*(F956-$D956)+ft_lens*(F957-$D957)+F967-(F965-$D965)</f>
        <v>29.9833819818239</v>
      </c>
      <c r="G968" s="21" t="n">
        <f aca="false">$D968+ft_abf*(G951-G967-$D951)+ft_bt*(G956-$D956)+ft_lens*(G957-$D957)+G967-(G965-$D965)</f>
        <v>34.5963150804259</v>
      </c>
      <c r="K968" s="3" t="s">
        <v>748</v>
      </c>
    </row>
    <row r="969" customFormat="false" ht="15" hidden="false" customHeight="false" outlineLevel="0" collapsed="false">
      <c r="A969" s="3" t="s">
        <v>581</v>
      </c>
      <c r="B969" s="0" t="s">
        <v>43</v>
      </c>
      <c r="C969" s="16" t="n">
        <f aca="false">C968/C958</f>
        <v>0.211277985311682</v>
      </c>
      <c r="D969" s="16" t="n">
        <f aca="false">D968/D958</f>
        <v>0.281640986443929</v>
      </c>
      <c r="E969" s="16" t="n">
        <f aca="false">E968/E958</f>
        <v>0.353706568829526</v>
      </c>
      <c r="F969" s="16" t="n">
        <f aca="false">F968/F958</f>
        <v>0.356511071737137</v>
      </c>
      <c r="G969" s="16" t="n">
        <f aca="false">G968/G958</f>
        <v>0.359954322882497</v>
      </c>
    </row>
    <row r="970" customFormat="false" ht="15" hidden="false" customHeight="false" outlineLevel="0" collapsed="false">
      <c r="A970" s="3" t="s">
        <v>583</v>
      </c>
      <c r="B970" s="0" t="s">
        <v>379</v>
      </c>
      <c r="C970" s="21" t="n">
        <f aca="false">a25_opx</f>
        <v>5.644</v>
      </c>
      <c r="D970" s="21" t="n">
        <f aca="false">a26_opx</f>
        <v>6.54036</v>
      </c>
      <c r="E970" s="21" t="n">
        <f aca="false">D970*(1+phi*E960)</f>
        <v>7.80994777401287</v>
      </c>
      <c r="F970" s="21" t="n">
        <f aca="false">E970*(1+phi*F960)</f>
        <v>8.59501446198315</v>
      </c>
      <c r="G970" s="21" t="n">
        <f aca="false">F970*(1+phi*G960)</f>
        <v>9.33149803006473</v>
      </c>
    </row>
    <row r="971" customFormat="false" ht="15" hidden="false" customHeight="false" outlineLevel="0" collapsed="false">
      <c r="A971" s="3" t="s">
        <v>586</v>
      </c>
      <c r="B971" s="0" t="s">
        <v>379</v>
      </c>
      <c r="C971" s="21" t="n">
        <f aca="false">C968-C970</f>
        <v>2.67</v>
      </c>
      <c r="D971" s="21" t="n">
        <f aca="false">D968-D970</f>
        <v>8.788176</v>
      </c>
      <c r="E971" s="21" t="n">
        <f aca="false">E968-E970</f>
        <v>17.6689467073205</v>
      </c>
      <c r="F971" s="21" t="n">
        <f aca="false">F968-F970</f>
        <v>21.3883675198407</v>
      </c>
      <c r="G971" s="21" t="n">
        <f aca="false">G968-G970</f>
        <v>25.2648170503612</v>
      </c>
    </row>
    <row r="972" customFormat="false" ht="15" hidden="false" customHeight="false" outlineLevel="0" collapsed="false">
      <c r="A972" s="3" t="s">
        <v>684</v>
      </c>
      <c r="B972" s="0" t="s">
        <v>43</v>
      </c>
      <c r="C972" s="16" t="n">
        <f aca="false">C971/C958</f>
        <v>0.0678508805367081</v>
      </c>
      <c r="D972" s="16" t="n">
        <f aca="false">D971/D958</f>
        <v>0.161470773052486</v>
      </c>
      <c r="E972" s="16" t="n">
        <f aca="false">E971/E958</f>
        <v>0.24528625130328</v>
      </c>
      <c r="F972" s="16" t="n">
        <f aca="false">F971/F958</f>
        <v>0.254313867322527</v>
      </c>
      <c r="G972" s="16" t="n">
        <f aca="false">G971/G958</f>
        <v>0.262865570884405</v>
      </c>
    </row>
    <row r="973" customFormat="false" ht="15" hidden="false" customHeight="false" outlineLevel="0" collapsed="false">
      <c r="A973" s="3" t="s">
        <v>589</v>
      </c>
      <c r="B973" s="0" t="s">
        <v>379</v>
      </c>
      <c r="C973" s="21" t="n">
        <f aca="false">a25_nonop</f>
        <v>0.417</v>
      </c>
      <c r="D973" s="21" t="n">
        <f aca="false">a26_nonop</f>
        <v>0.37882</v>
      </c>
      <c r="E973" s="21" t="n">
        <f aca="false">nonop27</f>
        <v>0.4</v>
      </c>
      <c r="F973" s="21" t="n">
        <f aca="false">nonop28</f>
        <v>0.4</v>
      </c>
      <c r="G973" s="21" t="n">
        <f aca="false">nonop29</f>
        <v>0.4</v>
      </c>
    </row>
    <row r="974" customFormat="false" ht="15" hidden="false" customHeight="false" outlineLevel="0" collapsed="false">
      <c r="A974" s="3" t="s">
        <v>591</v>
      </c>
      <c r="B974" s="0" t="s">
        <v>379</v>
      </c>
      <c r="C974" s="21" t="n">
        <f aca="false">C971+C973</f>
        <v>3.087</v>
      </c>
      <c r="D974" s="21" t="n">
        <f aca="false">D971+D973</f>
        <v>9.166996</v>
      </c>
      <c r="E974" s="21" t="n">
        <f aca="false">E971+E973</f>
        <v>18.0689467073205</v>
      </c>
      <c r="F974" s="21" t="n">
        <f aca="false">F971+F973</f>
        <v>21.7883675198407</v>
      </c>
      <c r="G974" s="21" t="n">
        <f aca="false">G971+G973</f>
        <v>25.6648170503612</v>
      </c>
    </row>
    <row r="975" customFormat="false" ht="15" hidden="false" customHeight="false" outlineLevel="0" collapsed="false">
      <c r="A975" s="3" t="s">
        <v>592</v>
      </c>
      <c r="B975" s="0" t="s">
        <v>379</v>
      </c>
      <c r="E975" s="21" t="n">
        <f aca="false">E974*tax</f>
        <v>2.16827360487846</v>
      </c>
      <c r="F975" s="21" t="n">
        <f aca="false">F974*tax</f>
        <v>2.61460410238089</v>
      </c>
      <c r="G975" s="21" t="n">
        <f aca="false">G974*tax</f>
        <v>3.07977804604335</v>
      </c>
    </row>
    <row r="976" customFormat="false" ht="15" hidden="false" customHeight="false" outlineLevel="0" collapsed="false">
      <c r="A976" s="3" t="s">
        <v>593</v>
      </c>
      <c r="B976" s="0" t="s">
        <v>379</v>
      </c>
      <c r="C976" s="21" t="n">
        <f aca="false">a25_nic</f>
        <v>2.71712</v>
      </c>
      <c r="D976" s="21" t="n">
        <f aca="false">a26_nic</f>
        <v>8.39979776</v>
      </c>
      <c r="E976" s="21" t="n">
        <f aca="false">E974-E975</f>
        <v>15.900673102442</v>
      </c>
      <c r="F976" s="21" t="n">
        <f aca="false">F974-F975</f>
        <v>19.1737634174599</v>
      </c>
      <c r="G976" s="21" t="n">
        <f aca="false">G974-G975</f>
        <v>22.5850390043179</v>
      </c>
    </row>
    <row r="977" customFormat="false" ht="17.15" hidden="false" customHeight="false" outlineLevel="0" collapsed="false">
      <c r="A977" s="3" t="s">
        <v>749</v>
      </c>
      <c r="B977" s="0" t="s">
        <v>379</v>
      </c>
      <c r="C977" s="21" t="n">
        <f aca="false">a25_nci</f>
        <v>1.12112</v>
      </c>
      <c r="D977" s="21" t="n">
        <f aca="false">a26_nci</f>
        <v>1.43839238487797</v>
      </c>
      <c r="E977" s="21" t="n">
        <f aca="false">E957*nm_lens*nci_sh</f>
        <v>1.57074538036261</v>
      </c>
      <c r="F977" s="21" t="n">
        <f aca="false">F957*nm_lens*nci_sh</f>
        <v>1.72781991839887</v>
      </c>
      <c r="G977" s="21" t="n">
        <f aca="false">G957*nm_lens*nci_sh</f>
        <v>1.90060191023875</v>
      </c>
      <c r="K977" s="3" t="s">
        <v>750</v>
      </c>
    </row>
    <row r="978" customFormat="false" ht="15" hidden="false" customHeight="false" outlineLevel="0" collapsed="false">
      <c r="A978" s="3" t="s">
        <v>599</v>
      </c>
      <c r="B978" s="0" t="s">
        <v>379</v>
      </c>
      <c r="C978" s="21" t="n">
        <f aca="false">a25_ni</f>
        <v>1.596</v>
      </c>
      <c r="D978" s="21" t="n">
        <f aca="false">a26_ni</f>
        <v>6.96140537512203</v>
      </c>
      <c r="E978" s="21" t="n">
        <f aca="false">E976-E977</f>
        <v>14.3299277220794</v>
      </c>
      <c r="F978" s="21" t="n">
        <f aca="false">F976-F977</f>
        <v>17.445943499061</v>
      </c>
      <c r="G978" s="21" t="n">
        <f aca="false">G976-G977</f>
        <v>20.6844370940791</v>
      </c>
      <c r="H978" s="30" t="n">
        <f aca="false">H958*H982</f>
        <v>23.2735036320035</v>
      </c>
      <c r="I978" s="30" t="n">
        <f aca="false">I958*I982</f>
        <v>25.5364595251824</v>
      </c>
      <c r="J978" s="30" t="n">
        <f aca="false">J958*J982</f>
        <v>27.3061958633271</v>
      </c>
    </row>
    <row r="979" customFormat="false" ht="15" hidden="false" customHeight="false" outlineLevel="0" collapsed="false">
      <c r="A979" s="3" t="s">
        <v>751</v>
      </c>
      <c r="B979" s="3" t="s">
        <v>465</v>
      </c>
      <c r="C979" s="29" t="n">
        <f aca="false">a25_sh</f>
        <v>0.454700854700855</v>
      </c>
      <c r="D979" s="29" t="n">
        <f aca="false">a26_sh</f>
        <v>0.508341020486215</v>
      </c>
      <c r="E979" s="29" t="n">
        <f aca="false">a26_shend*(1+sh_g)</f>
        <v>0.52691</v>
      </c>
      <c r="F979" s="29" t="n">
        <f aca="false">E979*(1+sh_g)</f>
        <v>0.52691</v>
      </c>
      <c r="G979" s="29" t="n">
        <f aca="false">F979*(1+sh_g)</f>
        <v>0.52691</v>
      </c>
      <c r="H979" s="31" t="n">
        <f aca="false">G979*(1+sh_g)</f>
        <v>0.52691</v>
      </c>
      <c r="I979" s="31" t="n">
        <f aca="false">H979*(1+sh_g)</f>
        <v>0.52691</v>
      </c>
      <c r="J979" s="31" t="n">
        <f aca="false">I979*(1+sh_g)</f>
        <v>0.52691</v>
      </c>
    </row>
    <row r="980" customFormat="false" ht="17.15" hidden="false" customHeight="false" outlineLevel="0" collapsed="false">
      <c r="A980" s="0" t="s">
        <v>604</v>
      </c>
      <c r="B980" s="0" t="s">
        <v>471</v>
      </c>
      <c r="C980" s="18" t="n">
        <f aca="false">C978/C979</f>
        <v>3.51</v>
      </c>
      <c r="D980" s="18" t="n">
        <f aca="false">D978/D979</f>
        <v>13.6943608612652</v>
      </c>
      <c r="E980" s="18" t="n">
        <f aca="false">E978/E979</f>
        <v>27.1961582093325</v>
      </c>
      <c r="F980" s="18" t="n">
        <f aca="false">F978/F979</f>
        <v>33.1099115580668</v>
      </c>
      <c r="G980" s="18" t="n">
        <f aca="false">G978/G979</f>
        <v>39.2561103301875</v>
      </c>
      <c r="H980" s="28" t="n">
        <f aca="false">H978/H979</f>
        <v>44.1697892087899</v>
      </c>
      <c r="I980" s="28" t="n">
        <f aca="false">I978/I979</f>
        <v>48.46455661343</v>
      </c>
      <c r="J980" s="28" t="n">
        <f aca="false">J978/J979</f>
        <v>51.8232636756317</v>
      </c>
    </row>
    <row r="981" customFormat="false" ht="17.15" hidden="false" customHeight="false" outlineLevel="0" collapsed="false">
      <c r="A981" s="0" t="s">
        <v>752</v>
      </c>
      <c r="B981" s="0" t="s">
        <v>43</v>
      </c>
      <c r="D981" s="20" t="n">
        <f aca="false">D980/C980-1</f>
        <v>2.90152731090177</v>
      </c>
      <c r="E981" s="20" t="n">
        <f aca="false">E980/D980-1</f>
        <v>0.985938481163985</v>
      </c>
      <c r="F981" s="20" t="n">
        <f aca="false">F980/E980-1</f>
        <v>0.217448115399805</v>
      </c>
      <c r="G981" s="20" t="n">
        <f aca="false">G980/F980-1</f>
        <v>0.185630177880172</v>
      </c>
      <c r="H981" s="26" t="n">
        <f aca="false">H980/G980-1</f>
        <v>0.125169784710529</v>
      </c>
      <c r="I981" s="26" t="n">
        <f aca="false">I980/H980-1</f>
        <v>0.0972331424163884</v>
      </c>
      <c r="J981" s="26" t="n">
        <f aca="false">J980/I980-1</f>
        <v>0.0693023375616932</v>
      </c>
    </row>
    <row r="982" customFormat="false" ht="17.15" hidden="false" customHeight="false" outlineLevel="0" collapsed="false">
      <c r="A982" s="3" t="s">
        <v>753</v>
      </c>
      <c r="B982" s="0" t="s">
        <v>43</v>
      </c>
      <c r="C982" s="16" t="n">
        <f aca="false">C978/C958</f>
        <v>0.0405580544331783</v>
      </c>
      <c r="D982" s="16" t="n">
        <f aca="false">D978/D958</f>
        <v>0.127906349105057</v>
      </c>
      <c r="E982" s="16" t="n">
        <f aca="false">E978/E958</f>
        <v>0.198932868530274</v>
      </c>
      <c r="F982" s="16" t="n">
        <f aca="false">F978/F958</f>
        <v>0.20743730704182</v>
      </c>
      <c r="G982" s="16" t="n">
        <f aca="false">G978/G958</f>
        <v>0.215209409762179</v>
      </c>
      <c r="H982" s="27" t="n">
        <f aca="false">$G982+(fade_mA-$G982)*1/3</f>
        <v>0.217131783070603</v>
      </c>
      <c r="I982" s="27" t="n">
        <f aca="false">$G982+(fade_mA-$G982)*2/3</f>
        <v>0.219054156379027</v>
      </c>
      <c r="J982" s="27" t="n">
        <f aca="false">$G982+(fade_mA-$G982)*3/3</f>
        <v>0.220976529687452</v>
      </c>
    </row>
    <row r="983" customFormat="false" ht="17.15" hidden="false" customHeight="false" outlineLevel="0" collapsed="false">
      <c r="A983" s="3" t="s">
        <v>754</v>
      </c>
      <c r="B983" s="0" t="s">
        <v>43</v>
      </c>
      <c r="C983" s="20" t="n">
        <f aca="false">C964/C958</f>
        <v>0.155421717364235</v>
      </c>
      <c r="D983" s="20" t="n">
        <f aca="false">D964/D958</f>
        <v>0.202110028699624</v>
      </c>
      <c r="E983" s="20" t="n">
        <f aca="false">E964/E958</f>
        <v>0.235999708484498</v>
      </c>
      <c r="F983" s="20" t="n">
        <f aca="false">F964/F958</f>
        <v>0.190244621212247</v>
      </c>
      <c r="G983" s="20" t="n">
        <f aca="false">G964/G958</f>
        <v>0.124852946464054</v>
      </c>
      <c r="H983" s="26" t="n">
        <f aca="false">$G983+($G966*(1+tp_g)^(life_lo/2)-$G983)*1/3</f>
        <v>0.126599835455973</v>
      </c>
      <c r="I983" s="26" t="n">
        <f aca="false">$G983+($G966*(1+tp_g)^(life_lo/2)-$G983)*2/3</f>
        <v>0.128346724447892</v>
      </c>
      <c r="J983" s="26" t="n">
        <f aca="false">$G983+($G966*(1+tp_g)^(life_lo/2)-$G983)*3/3</f>
        <v>0.130093613439811</v>
      </c>
      <c r="K983" s="7" t="s">
        <v>755</v>
      </c>
    </row>
    <row r="984" customFormat="false" ht="15" hidden="false" customHeight="false" outlineLevel="0" collapsed="false">
      <c r="A984" s="3" t="s">
        <v>756</v>
      </c>
      <c r="B984" s="0" t="s">
        <v>379</v>
      </c>
      <c r="D984" s="21" t="n">
        <f aca="false">D978+D965-D964</f>
        <v>4.28140537512203</v>
      </c>
      <c r="E984" s="21" t="n">
        <f aca="false">E978+E965-E964</f>
        <v>6.09659438874607</v>
      </c>
      <c r="F984" s="21" t="n">
        <f aca="false">F978+F965-F964</f>
        <v>11.5848323879499</v>
      </c>
      <c r="G984" s="21" t="n">
        <f aca="false">G978+G965-G964</f>
        <v>19.8001778348199</v>
      </c>
      <c r="H984" s="30" t="n">
        <f aca="false">H978+H965-H964</f>
        <v>22.1001283605425</v>
      </c>
      <c r="I984" s="30" t="n">
        <f aca="false">I978+I965-I964</f>
        <v>24.0566464737665</v>
      </c>
      <c r="J984" s="30" t="n">
        <f aca="false">J978+J965-J964</f>
        <v>25.5217299593149</v>
      </c>
      <c r="K984" s="3" t="s">
        <v>757</v>
      </c>
    </row>
    <row r="985" customFormat="false" ht="15" hidden="false" customHeight="false" outlineLevel="0" collapsed="false">
      <c r="A985" s="3" t="s">
        <v>758</v>
      </c>
      <c r="B985" s="0" t="s">
        <v>471</v>
      </c>
      <c r="D985" s="18" t="n">
        <f aca="false">D984/D979</f>
        <v>8.42230943909854</v>
      </c>
      <c r="E985" s="18" t="n">
        <f aca="false">E984/E979</f>
        <v>11.5704662821849</v>
      </c>
      <c r="F985" s="18" t="n">
        <f aca="false">F984/F979</f>
        <v>21.9863589378639</v>
      </c>
      <c r="G985" s="18" t="n">
        <f aca="false">G984/G979</f>
        <v>37.5779124230321</v>
      </c>
      <c r="H985" s="28" t="n">
        <f aca="false">H984/H979</f>
        <v>41.9428903618122</v>
      </c>
      <c r="I985" s="28" t="n">
        <f aca="false">I984/I979</f>
        <v>45.6560825829203</v>
      </c>
      <c r="J985" s="28" t="n">
        <f aca="false">J984/J979</f>
        <v>48.4366019990414</v>
      </c>
    </row>
    <row r="988" customFormat="false" ht="17.15" hidden="false" customHeight="false" outlineLevel="0" collapsed="false">
      <c r="A988" s="1" t="s">
        <v>1108</v>
      </c>
    </row>
    <row r="989" customFormat="false" ht="17.15" hidden="false" customHeight="false" outlineLevel="0" collapsed="false">
      <c r="A989" s="4" t="s">
        <v>20</v>
      </c>
      <c r="B989" s="4" t="s">
        <v>21</v>
      </c>
      <c r="C989" s="13" t="s">
        <v>567</v>
      </c>
      <c r="D989" s="13" t="s">
        <v>671</v>
      </c>
      <c r="E989" s="13" t="s">
        <v>672</v>
      </c>
      <c r="F989" s="13" t="s">
        <v>673</v>
      </c>
      <c r="G989" s="13" t="s">
        <v>674</v>
      </c>
      <c r="H989" s="13" t="s">
        <v>675</v>
      </c>
      <c r="I989" s="13" t="s">
        <v>676</v>
      </c>
      <c r="J989" s="13" t="s">
        <v>677</v>
      </c>
      <c r="K989" s="4" t="s">
        <v>631</v>
      </c>
    </row>
    <row r="990" customFormat="false" ht="17.15" hidden="false" customHeight="false" outlineLevel="0" collapsed="false">
      <c r="A990" s="5" t="s">
        <v>695</v>
      </c>
    </row>
    <row r="991" customFormat="false" ht="17.15" hidden="false" customHeight="false" outlineLevel="0" collapsed="false">
      <c r="A991" s="0" t="s">
        <v>696</v>
      </c>
      <c r="B991" s="3" t="s">
        <v>31</v>
      </c>
      <c r="D991" s="21" t="n">
        <f aca="false">(u_bw_26+u_rb_26+u_ru_26+u_hp_26)*1</f>
        <v>7.6</v>
      </c>
      <c r="E991" s="21" t="n">
        <f aca="false">(u_bw_27+u_rb_27+u_ru_27+u_hp_27)*1*1</f>
        <v>9.7</v>
      </c>
      <c r="F991" s="21" t="n">
        <f aca="false">(u_bw_28+u_rb_28+u_ru_28+u_hp_28)*um28_A*1</f>
        <v>9.5</v>
      </c>
      <c r="G991" s="21" t="n">
        <f aca="false">(u_bw_28*(1+g29_bw)+u_rb_28*(1+g29_rb)+u_ru_28*(1+g29_ru)+u_hp_28*(1+g29_hp))*um29_A*1</f>
        <v>10.6</v>
      </c>
      <c r="K991" s="7" t="s">
        <v>697</v>
      </c>
    </row>
    <row r="992" customFormat="false" ht="17.15" hidden="false" customHeight="false" outlineLevel="0" collapsed="false">
      <c r="A992" s="3" t="s">
        <v>698</v>
      </c>
      <c r="B992" s="3" t="s">
        <v>31</v>
      </c>
      <c r="D992" s="21" t="n">
        <f aca="false">(u_amd_26+u_tpu_26+u_trn_26+u_oth_26)*1</f>
        <v>7.6</v>
      </c>
      <c r="E992" s="21" t="n">
        <f aca="false">(u_amd_27+u_tpu_27+u_trn_27+u_oth_27)*1*1</f>
        <v>14</v>
      </c>
      <c r="F992" s="21" t="n">
        <f aca="false">(u_amd_28+u_tpu_28+u_trn_28+u_oth_28)*um28_A*1</f>
        <v>17</v>
      </c>
      <c r="G992" s="21" t="n">
        <f aca="false">(u_amd_28*(1+g29_amd)+u_tpu_28*(1+g29_tpu)+u_trn_28*(1+g29_trn)+u_oth_28*(1+g29_oth))*um29_A*1</f>
        <v>19.55</v>
      </c>
      <c r="K992" s="7" t="s">
        <v>699</v>
      </c>
    </row>
    <row r="993" customFormat="false" ht="17.15" hidden="false" customHeight="false" outlineLevel="0" collapsed="false">
      <c r="A993" s="0" t="s">
        <v>700</v>
      </c>
      <c r="B993" s="3" t="s">
        <v>31</v>
      </c>
      <c r="D993" s="21" t="n">
        <f aca="false">D991*cpu_r</f>
        <v>3.04</v>
      </c>
      <c r="E993" s="21" t="n">
        <f aca="false">E991*cpu_r</f>
        <v>3.88</v>
      </c>
      <c r="F993" s="21" t="n">
        <f aca="false">F991*cpu_r</f>
        <v>3.8</v>
      </c>
      <c r="G993" s="21" t="n">
        <f aca="false">G991*cpu_r</f>
        <v>4.24</v>
      </c>
      <c r="K993" s="7" t="s">
        <v>701</v>
      </c>
    </row>
    <row r="994" customFormat="false" ht="17.15" hidden="false" customHeight="false" outlineLevel="0" collapsed="false">
      <c r="A994" s="3" t="s">
        <v>702</v>
      </c>
      <c r="B994" s="0" t="s">
        <v>153</v>
      </c>
      <c r="D994" s="19" t="n">
        <f aca="false">1</f>
        <v>1</v>
      </c>
      <c r="E994" s="19" t="n">
        <f aca="false">D994*(1+g_asp)</f>
        <v>1.18</v>
      </c>
      <c r="F994" s="19" t="n">
        <f aca="false">E994*(1+g_asp)</f>
        <v>1.3924</v>
      </c>
      <c r="G994" s="19" t="n">
        <f aca="false">F994*(1+g_asp)</f>
        <v>1.643032</v>
      </c>
      <c r="K994" s="7" t="s">
        <v>703</v>
      </c>
    </row>
    <row r="995" customFormat="false" ht="17.15" hidden="false" customHeight="false" outlineLevel="0" collapsed="false">
      <c r="A995" s="0" t="s">
        <v>704</v>
      </c>
      <c r="B995" s="0" t="s">
        <v>153</v>
      </c>
      <c r="D995" s="18" t="n">
        <f aca="false">1</f>
        <v>1</v>
      </c>
      <c r="E995" s="18" t="n">
        <f aca="false">ibpp_27</f>
        <v>1</v>
      </c>
      <c r="F995" s="18" t="n">
        <f aca="false">ibpp_28</f>
        <v>0.95</v>
      </c>
      <c r="G995" s="18" t="n">
        <f aca="false">ibpp_29</f>
        <v>0.9</v>
      </c>
      <c r="K995" s="7" t="s">
        <v>705</v>
      </c>
    </row>
    <row r="996" customFormat="false" ht="17.15" hidden="false" customHeight="false" outlineLevel="0" collapsed="false">
      <c r="A996" s="3" t="s">
        <v>706</v>
      </c>
      <c r="B996" s="0" t="s">
        <v>153</v>
      </c>
      <c r="D996" s="18" t="n">
        <f aca="false">1</f>
        <v>1</v>
      </c>
      <c r="E996" s="18" t="n">
        <f aca="false">1+carry</f>
        <v>1.15</v>
      </c>
      <c r="F996" s="18" t="n">
        <f aca="false">1+carry</f>
        <v>1.15</v>
      </c>
      <c r="G996" s="18" t="n">
        <f aca="false">1+carry</f>
        <v>1.15</v>
      </c>
      <c r="K996" s="7" t="s">
        <v>707</v>
      </c>
    </row>
    <row r="997" customFormat="false" ht="17.15" hidden="false" customHeight="false" outlineLevel="0" collapsed="false">
      <c r="A997" s="3" t="s">
        <v>708</v>
      </c>
      <c r="B997" s="0" t="s">
        <v>709</v>
      </c>
      <c r="D997" s="23" t="n">
        <f aca="false">v26*D994*D995</f>
        <v>215.308596</v>
      </c>
      <c r="E997" s="23" t="n">
        <f aca="false">v26*E994*E995</f>
        <v>254.06414328</v>
      </c>
      <c r="F997" s="23" t="n">
        <f aca="false">v26*F994*F995</f>
        <v>284.80590461688</v>
      </c>
      <c r="G997" s="23" t="n">
        <f aca="false">v26*G994*G995</f>
        <v>318.383021792765</v>
      </c>
      <c r="K997" s="7" t="s">
        <v>710</v>
      </c>
    </row>
    <row r="998" customFormat="false" ht="17.15" hidden="false" customHeight="false" outlineLevel="0" collapsed="false">
      <c r="A998" s="3" t="s">
        <v>711</v>
      </c>
      <c r="B998" s="0" t="s">
        <v>43</v>
      </c>
      <c r="D998" s="20" t="n">
        <f aca="false">sh_nv_26</f>
        <v>0.02</v>
      </c>
      <c r="E998" s="20" t="n">
        <f aca="false">sh_nv_27</f>
        <v>0.03</v>
      </c>
      <c r="F998" s="20" t="n">
        <f aca="false">sh_nv_28</f>
        <v>0.05</v>
      </c>
      <c r="G998" s="20" t="n">
        <f aca="false">sh_nv_29</f>
        <v>0.06</v>
      </c>
    </row>
    <row r="999" customFormat="false" ht="17.15" hidden="false" customHeight="false" outlineLevel="0" collapsed="false">
      <c r="A999" s="3" t="s">
        <v>712</v>
      </c>
      <c r="B999" s="0" t="s">
        <v>43</v>
      </c>
      <c r="D999" s="20" t="n">
        <f aca="false">sh_ot_26</f>
        <v>0.03</v>
      </c>
      <c r="E999" s="20" t="n">
        <f aca="false">sh_ot_27</f>
        <v>0.05</v>
      </c>
      <c r="F999" s="20" t="n">
        <f aca="false">sh_ot_28</f>
        <v>0.06</v>
      </c>
      <c r="G999" s="20" t="n">
        <f aca="false">sh_ot_29</f>
        <v>0.06</v>
      </c>
    </row>
    <row r="1000" customFormat="false" ht="17.15" hidden="false" customHeight="false" outlineLevel="0" collapsed="false">
      <c r="A1000" s="3" t="s">
        <v>713</v>
      </c>
      <c r="B1000" s="0" t="s">
        <v>43</v>
      </c>
      <c r="D1000" s="20" t="n">
        <f aca="false">sh_cpu_26</f>
        <v>0.35</v>
      </c>
      <c r="E1000" s="20" t="n">
        <f aca="false">sh_cpu_27</f>
        <v>0.7</v>
      </c>
      <c r="F1000" s="20" t="n">
        <f aca="false">sh_cpu_28</f>
        <v>0.75</v>
      </c>
      <c r="G1000" s="20" t="n">
        <f aca="false">sh_cpu_29</f>
        <v>0.7</v>
      </c>
    </row>
    <row r="1001" customFormat="false" ht="17.15" hidden="false" customHeight="false" outlineLevel="0" collapsed="false">
      <c r="A1001" s="3" t="s">
        <v>714</v>
      </c>
      <c r="B1001" s="0" t="s">
        <v>661</v>
      </c>
      <c r="D1001" s="22" t="n">
        <f aca="false">(D991*D997*D998+D992*D997*v_ot*D999+D993*D997*v_cpu*D1000)*D996</f>
        <v>140.7256983456</v>
      </c>
      <c r="E1001" s="22" t="n">
        <f aca="false">(E991*E997*E998+E992*E997*v_ot*E999+E993*E997*v_cpu*E1000)*E996</f>
        <v>486.703057357198</v>
      </c>
      <c r="F1001" s="22" t="n">
        <f aca="false">(F991*F997*F998+F992*F997*v_ot*F999+F993*F997*v_cpu*F1000)*F996</f>
        <v>702.872492003998</v>
      </c>
      <c r="G1001" s="22" t="n">
        <f aca="false">(G991*G997*G998+G992*G997*v_ot*G999+G993*G997*v_cpu*G1000)*G996</f>
        <v>902.463042932027</v>
      </c>
    </row>
    <row r="1002" customFormat="false" ht="17.15" hidden="false" customHeight="false" outlineLevel="0" collapsed="false">
      <c r="A1002" s="3" t="s">
        <v>715</v>
      </c>
      <c r="B1002" s="0" t="s">
        <v>379</v>
      </c>
      <c r="D1002" s="21" t="n">
        <f aca="false">D1001*fx/1000</f>
        <v>4.5032223470592</v>
      </c>
      <c r="E1002" s="21" t="n">
        <f aca="false">E1001*fx/1000</f>
        <v>15.5744978354303</v>
      </c>
      <c r="F1002" s="21" t="n">
        <f aca="false">F1001*fx/1000</f>
        <v>22.4919197441279</v>
      </c>
      <c r="G1002" s="21" t="n">
        <f aca="false">G1001*fx/1000</f>
        <v>28.8788173738249</v>
      </c>
    </row>
    <row r="1003" customFormat="false" ht="17.15" hidden="false" customHeight="false" outlineLevel="0" collapsed="false">
      <c r="A1003" s="5" t="s">
        <v>716</v>
      </c>
    </row>
    <row r="1004" customFormat="false" ht="17.15" hidden="false" customHeight="false" outlineLevel="0" collapsed="false">
      <c r="A1004" s="0" t="s">
        <v>717</v>
      </c>
      <c r="B1004" s="0" t="s">
        <v>379</v>
      </c>
      <c r="D1004" s="21" t="n">
        <f aca="false">a26_abf*ai_abf</f>
        <v>5.714709</v>
      </c>
      <c r="K1004" s="3" t="s">
        <v>718</v>
      </c>
    </row>
    <row r="1005" customFormat="false" ht="17.15" hidden="false" customHeight="false" outlineLevel="0" collapsed="false">
      <c r="A1005" s="3" t="s">
        <v>719</v>
      </c>
      <c r="B1005" s="0" t="s">
        <v>379</v>
      </c>
      <c r="D1005" s="21" t="n">
        <f aca="false">D1004-D1002</f>
        <v>1.2114866529408</v>
      </c>
      <c r="E1005" s="21" t="n">
        <f aca="false">$D1005*(swm_27/swm_26)^el_o*1*1*E995*E996</f>
        <v>1.94870016016792</v>
      </c>
      <c r="F1005" s="21" t="n">
        <f aca="false">$D1005*(swm_28/swm_26)^el_o*um28_A*1*F995*F996</f>
        <v>1.99149622299173</v>
      </c>
      <c r="G1005" s="21" t="n">
        <f aca="false">$D1005*(swm_29/swm_26)^el_o*um29_A*1*G995*G996</f>
        <v>2.01272596640355</v>
      </c>
      <c r="K1005" s="7" t="s">
        <v>720</v>
      </c>
    </row>
    <row r="1006" customFormat="false" ht="17.15" hidden="false" customHeight="false" outlineLevel="0" collapsed="false">
      <c r="A1006" s="3" t="s">
        <v>721</v>
      </c>
      <c r="B1006" s="0" t="s">
        <v>379</v>
      </c>
      <c r="D1006" s="21" t="n">
        <f aca="false">a26_abf-D1004</f>
        <v>17.144127</v>
      </c>
      <c r="E1006" s="21" t="n">
        <f aca="false">$D1006*(1+g_nai)^1*E996</f>
        <v>20.898690813</v>
      </c>
      <c r="F1006" s="21" t="n">
        <f aca="false">$D1006*(1+g_nai)^2*F996</f>
        <v>22.15261226178</v>
      </c>
      <c r="G1006" s="21" t="n">
        <f aca="false">$D1006*(1+g_nai)^3*G996</f>
        <v>23.4817689974868</v>
      </c>
      <c r="K1006" s="3" t="s">
        <v>722</v>
      </c>
    </row>
    <row r="1007" customFormat="false" ht="17.15" hidden="false" customHeight="false" outlineLevel="0" collapsed="false">
      <c r="A1007" s="0" t="s">
        <v>723</v>
      </c>
      <c r="B1007" s="0" t="s">
        <v>379</v>
      </c>
      <c r="D1007" s="21" t="n">
        <f aca="false">D1002+D1005+D1006</f>
        <v>22.858836</v>
      </c>
      <c r="E1007" s="21" t="n">
        <f aca="false">E1002+E1005+E1006</f>
        <v>38.4218888085982</v>
      </c>
      <c r="F1007" s="21" t="n">
        <f aca="false">F1002+F1005+F1006</f>
        <v>46.6360282288997</v>
      </c>
      <c r="G1007" s="21" t="n">
        <f aca="false">G1002+G1005+G1006</f>
        <v>54.3733123377152</v>
      </c>
    </row>
    <row r="1008" customFormat="false" ht="17.15" hidden="false" customHeight="false" outlineLevel="0" collapsed="false">
      <c r="A1008" s="0" t="s">
        <v>724</v>
      </c>
      <c r="B1008" s="0" t="s">
        <v>379</v>
      </c>
      <c r="D1008" s="21" t="n">
        <f aca="false">a26_abf</f>
        <v>22.858836</v>
      </c>
      <c r="E1008" s="21" t="n">
        <f aca="false">$D1007*cap_27*(1+g_mix)^1*E995*E996</f>
        <v>33.122453364</v>
      </c>
      <c r="F1008" s="21" t="n">
        <f aca="false">$D1007*cap_28*(1+g_mix)^2*F995*F996</f>
        <v>41.2995590382375</v>
      </c>
      <c r="G1008" s="21" t="n">
        <f aca="false">$D1007*cap_29*(1+g_mix)^3*G995*G996</f>
        <v>50.6680379569114</v>
      </c>
      <c r="K1008" s="7" t="s">
        <v>725</v>
      </c>
    </row>
    <row r="1009" customFormat="false" ht="17.15" hidden="false" customHeight="false" outlineLevel="0" collapsed="false">
      <c r="A1009" s="0" t="s">
        <v>726</v>
      </c>
      <c r="B1009" s="0" t="s">
        <v>379</v>
      </c>
      <c r="D1009" s="21" t="n">
        <f aca="false">a26_abf</f>
        <v>22.858836</v>
      </c>
      <c r="E1009" s="21" t="n">
        <f aca="false">MIN(E1007,E1008)</f>
        <v>33.122453364</v>
      </c>
      <c r="F1009" s="21" t="n">
        <f aca="false">MIN(F1007,F1008)</f>
        <v>41.2995590382375</v>
      </c>
      <c r="G1009" s="21" t="n">
        <f aca="false">MIN(G1007,G1008)</f>
        <v>50.6680379569114</v>
      </c>
    </row>
    <row r="1010" customFormat="false" ht="17.15" hidden="false" customHeight="false" outlineLevel="0" collapsed="false">
      <c r="A1010" s="3" t="s">
        <v>727</v>
      </c>
      <c r="B1010" s="0" t="s">
        <v>43</v>
      </c>
      <c r="D1010" s="20" t="n">
        <f aca="false">D1009/D1007</f>
        <v>1</v>
      </c>
      <c r="E1010" s="20" t="n">
        <f aca="false">E1009/E1007</f>
        <v>0.862072490215205</v>
      </c>
      <c r="F1010" s="20" t="n">
        <f aca="false">F1009/F1007</f>
        <v>0.885571962422065</v>
      </c>
      <c r="G1010" s="20" t="n">
        <f aca="false">G1009/G1007</f>
        <v>0.931854907830698</v>
      </c>
    </row>
    <row r="1011" customFormat="false" ht="17.15" hidden="false" customHeight="false" outlineLevel="0" collapsed="false">
      <c r="A1011" s="0" t="s">
        <v>728</v>
      </c>
      <c r="B1011" s="0" t="s">
        <v>379</v>
      </c>
      <c r="D1011" s="21" t="n">
        <f aca="false">(D1002+D1005)*D1010</f>
        <v>5.714709</v>
      </c>
      <c r="E1011" s="21" t="n">
        <f aca="false">(E1002+E1005)*E1010</f>
        <v>15.1062669325995</v>
      </c>
      <c r="F1011" s="21" t="n">
        <f aca="false">(F1002+F1005)*F1010</f>
        <v>21.6818267247979</v>
      </c>
      <c r="G1011" s="21" t="n">
        <f aca="false">(G1002+G1005)*G1010</f>
        <v>28.7864362720566</v>
      </c>
    </row>
    <row r="1012" customFormat="false" ht="17.15" hidden="false" customHeight="false" outlineLevel="0" collapsed="false">
      <c r="A1012" s="3" t="s">
        <v>729</v>
      </c>
      <c r="B1012" s="0" t="s">
        <v>43</v>
      </c>
      <c r="D1012" s="20" t="n">
        <f aca="false">D1002/(D1002+D1005)</f>
        <v>0.788005539225042</v>
      </c>
      <c r="E1012" s="20" t="n">
        <f aca="false">E1002/(E1002+E1005)</f>
        <v>0.888793120944167</v>
      </c>
      <c r="F1012" s="20" t="n">
        <f aca="false">F1002/(F1002+F1005)</f>
        <v>0.918659380469366</v>
      </c>
      <c r="G1012" s="20" t="n">
        <f aca="false">G1002/(G1002+G1005)</f>
        <v>0.934845405934042</v>
      </c>
    </row>
    <row r="1013" customFormat="false" ht="17.15" hidden="false" customHeight="false" outlineLevel="0" collapsed="false">
      <c r="A1013" s="5" t="s">
        <v>730</v>
      </c>
    </row>
    <row r="1014" customFormat="false" ht="17.15" hidden="false" customHeight="false" outlineLevel="0" collapsed="false">
      <c r="A1014" s="0" t="s">
        <v>731</v>
      </c>
      <c r="B1014" s="0" t="s">
        <v>379</v>
      </c>
      <c r="D1014" s="21" t="n">
        <f aca="false">a26_bt</f>
        <v>23.265964</v>
      </c>
      <c r="E1014" s="21" t="n">
        <f aca="false">D1014*(1+g_bt27_A)</f>
        <v>29.78043392</v>
      </c>
      <c r="F1014" s="21" t="n">
        <f aca="false">E1014*(1+g_bt28_A)</f>
        <v>32.758477312</v>
      </c>
      <c r="G1014" s="21" t="n">
        <f aca="false">F1014*(1+g_bt29_A)</f>
        <v>34.3964011776</v>
      </c>
      <c r="K1014" s="7" t="s">
        <v>732</v>
      </c>
    </row>
    <row r="1015" customFormat="false" ht="17.15" hidden="false" customHeight="false" outlineLevel="0" collapsed="false">
      <c r="A1015" s="3" t="s">
        <v>617</v>
      </c>
      <c r="B1015" s="0" t="s">
        <v>379</v>
      </c>
      <c r="C1015" s="21" t="n">
        <f aca="false">a25_lens</f>
        <v>7.039</v>
      </c>
      <c r="D1015" s="21" t="n">
        <f aca="false">a26_lens</f>
        <v>8.301</v>
      </c>
      <c r="E1015" s="21" t="n">
        <f aca="false">D1015*(1+g_lens)</f>
        <v>9.1311</v>
      </c>
      <c r="F1015" s="21" t="n">
        <f aca="false">E1015*(1+g_lens)</f>
        <v>10.04421</v>
      </c>
      <c r="G1015" s="21" t="n">
        <f aca="false">F1015*(1+g_lens)</f>
        <v>11.048631</v>
      </c>
      <c r="K1015" s="3" t="s">
        <v>733</v>
      </c>
    </row>
    <row r="1016" customFormat="false" ht="17.15" hidden="false" customHeight="false" outlineLevel="0" collapsed="false">
      <c r="A1016" s="3" t="s">
        <v>574</v>
      </c>
      <c r="B1016" s="0" t="s">
        <v>379</v>
      </c>
      <c r="C1016" s="23" t="n">
        <f aca="false">a25_rev</f>
        <v>39.351</v>
      </c>
      <c r="D1016" s="23" t="n">
        <f aca="false">D1009+D1014+D1015</f>
        <v>54.4258</v>
      </c>
      <c r="E1016" s="23" t="n">
        <f aca="false">E1009+E1014+E1015</f>
        <v>72.033987284</v>
      </c>
      <c r="F1016" s="23" t="n">
        <f aca="false">F1009+F1014+F1015</f>
        <v>84.1022463502375</v>
      </c>
      <c r="G1016" s="23" t="n">
        <f aca="false">G1009+G1014+G1015</f>
        <v>96.1130701345114</v>
      </c>
      <c r="H1016" s="25" t="n">
        <f aca="false">G1016*(1+H1018)</f>
        <v>107.186075216063</v>
      </c>
      <c r="I1016" s="25" t="n">
        <f aca="false">H1016*(1+I1018)</f>
        <v>116.576010002736</v>
      </c>
      <c r="J1016" s="25" t="n">
        <f aca="false">I1016*(1+J1018)</f>
        <v>123.5705706029</v>
      </c>
      <c r="K1016" s="7" t="s">
        <v>734</v>
      </c>
    </row>
    <row r="1017" customFormat="false" ht="17.15" hidden="false" customHeight="false" outlineLevel="0" collapsed="false">
      <c r="A1017" s="3" t="s">
        <v>735</v>
      </c>
      <c r="B1017" s="0" t="s">
        <v>379</v>
      </c>
      <c r="D1017" s="19" t="n">
        <f aca="false">D1009+D1014+D1015-D1016</f>
        <v>0</v>
      </c>
      <c r="E1017" s="19" t="n">
        <f aca="false">E1009+E1014+E1015-E1016</f>
        <v>0</v>
      </c>
      <c r="F1017" s="19" t="n">
        <f aca="false">F1009+F1014+F1015-F1016</f>
        <v>0</v>
      </c>
      <c r="G1017" s="19" t="n">
        <f aca="false">G1009+G1014+G1015-G1016</f>
        <v>0</v>
      </c>
    </row>
    <row r="1018" customFormat="false" ht="15" hidden="false" customHeight="false" outlineLevel="0" collapsed="false">
      <c r="A1018" s="3" t="s">
        <v>736</v>
      </c>
      <c r="B1018" s="0" t="s">
        <v>43</v>
      </c>
      <c r="D1018" s="20" t="n">
        <f aca="false">D1016/C1016-1</f>
        <v>0.383085563263958</v>
      </c>
      <c r="E1018" s="20" t="n">
        <f aca="false">E1016/D1016-1</f>
        <v>0.323526476119781</v>
      </c>
      <c r="F1018" s="20" t="n">
        <f aca="false">F1016/E1016-1</f>
        <v>0.167535624796909</v>
      </c>
      <c r="G1018" s="20" t="n">
        <f aca="false">G1016/F1016-1</f>
        <v>0.142812163830389</v>
      </c>
      <c r="H1018" s="26" t="n">
        <f aca="false">$G1018+(fade_gA-$G1018)*1/3</f>
        <v>0.115208109220259</v>
      </c>
      <c r="I1018" s="26" t="n">
        <f aca="false">$G1018+(fade_gA-$G1018)*2/3</f>
        <v>0.0876040546101297</v>
      </c>
      <c r="J1018" s="26" t="n">
        <f aca="false">$G1018+(fade_gA-$G1018)*3/3</f>
        <v>0.06</v>
      </c>
    </row>
    <row r="1019" customFormat="false" ht="17.15" hidden="false" customHeight="false" outlineLevel="0" collapsed="false">
      <c r="A1019" s="0" t="s">
        <v>737</v>
      </c>
      <c r="B1019" s="0" t="s">
        <v>43</v>
      </c>
      <c r="D1019" s="20" t="n">
        <f aca="false">D1009/D1016</f>
        <v>0.42</v>
      </c>
      <c r="E1019" s="20" t="n">
        <f aca="false">E1009/E1016</f>
        <v>0.459817019893845</v>
      </c>
      <c r="F1019" s="20" t="n">
        <f aca="false">F1009/F1016</f>
        <v>0.491063685341395</v>
      </c>
      <c r="G1019" s="20" t="n">
        <f aca="false">G1009/G1016</f>
        <v>0.527171152539409</v>
      </c>
    </row>
    <row r="1020" customFormat="false" ht="17.15" hidden="false" customHeight="false" outlineLevel="0" collapsed="false">
      <c r="A1020" s="0" t="s">
        <v>738</v>
      </c>
      <c r="B1020" s="0" t="s">
        <v>43</v>
      </c>
      <c r="D1020" s="20" t="n">
        <f aca="false">D1011/D1016</f>
        <v>0.105</v>
      </c>
      <c r="E1020" s="20" t="n">
        <f aca="false">E1011/E1016</f>
        <v>0.209710270140146</v>
      </c>
      <c r="F1020" s="20" t="n">
        <f aca="false">F1011/F1016</f>
        <v>0.257803182028047</v>
      </c>
      <c r="G1020" s="20" t="n">
        <f aca="false">G1011/G1016</f>
        <v>0.299505948897165</v>
      </c>
      <c r="K1020" s="3" t="s">
        <v>739</v>
      </c>
    </row>
    <row r="1021" customFormat="false" ht="17.15" hidden="false" customHeight="false" outlineLevel="0" collapsed="false">
      <c r="A1021" s="5" t="s">
        <v>740</v>
      </c>
    </row>
    <row r="1022" customFormat="false" ht="15" hidden="false" customHeight="false" outlineLevel="0" collapsed="false">
      <c r="A1022" s="3" t="s">
        <v>741</v>
      </c>
      <c r="B1022" s="0" t="s">
        <v>379</v>
      </c>
      <c r="C1022" s="23" t="n">
        <f aca="false">a25_cx</f>
        <v>6.116</v>
      </c>
      <c r="D1022" s="23" t="n">
        <f aca="false">capex26</f>
        <v>11</v>
      </c>
      <c r="E1022" s="23" t="n">
        <f aca="false">cx27</f>
        <v>17</v>
      </c>
      <c r="F1022" s="23" t="n">
        <f aca="false">cx28</f>
        <v>16</v>
      </c>
      <c r="G1022" s="23" t="n">
        <f aca="false">cx29</f>
        <v>12</v>
      </c>
      <c r="H1022" s="25" t="n">
        <f aca="false">H1016*H1041</f>
        <v>13.4834243271907</v>
      </c>
      <c r="I1022" s="25" t="n">
        <f aca="false">I1016*I1041</f>
        <v>14.7743956006983</v>
      </c>
      <c r="J1022" s="25" t="n">
        <f aca="false">J1016*J1041</f>
        <v>15.7772140871021</v>
      </c>
    </row>
    <row r="1023" customFormat="false" ht="17.15" hidden="false" customHeight="false" outlineLevel="0" collapsed="false">
      <c r="A1023" s="3" t="s">
        <v>742</v>
      </c>
      <c r="B1023" s="0" t="s">
        <v>379</v>
      </c>
      <c r="C1023" s="23" t="n">
        <f aca="false">a25_da</f>
        <v>7.158</v>
      </c>
      <c r="D1023" s="23" t="n">
        <f aca="false">da26</f>
        <v>8.32</v>
      </c>
      <c r="E1023" s="23" t="n">
        <f aca="false">D1023*(1-1/life_hi)+D1022/life_hi</f>
        <v>8.588</v>
      </c>
      <c r="F1023" s="23" t="n">
        <f aca="false">E1023*(1-1/life_hi)+E1022/life_hi</f>
        <v>9.4292</v>
      </c>
      <c r="G1023" s="23" t="n">
        <f aca="false">F1023*(1-1/life_hi)+F1022/life_hi</f>
        <v>10.08628</v>
      </c>
      <c r="H1023" s="25" t="n">
        <f aca="false">H1016*H1024</f>
        <v>11.2483012478661</v>
      </c>
      <c r="I1023" s="25" t="n">
        <f aca="false">I1016*I1024</f>
        <v>12.2336980446554</v>
      </c>
      <c r="J1023" s="25" t="n">
        <f aca="false">J1016*J1024</f>
        <v>12.9677199273347</v>
      </c>
      <c r="K1023" s="3" t="s">
        <v>743</v>
      </c>
    </row>
    <row r="1024" customFormat="false" ht="17.15" hidden="false" customHeight="false" outlineLevel="0" collapsed="false">
      <c r="A1024" s="3" t="s">
        <v>744</v>
      </c>
      <c r="B1024" s="0" t="s">
        <v>43</v>
      </c>
      <c r="C1024" s="20" t="n">
        <f aca="false">C1023/C1016</f>
        <v>0.181901349393916</v>
      </c>
      <c r="D1024" s="20" t="n">
        <f aca="false">D1023/D1016</f>
        <v>0.152868676252807</v>
      </c>
      <c r="E1024" s="20" t="n">
        <f aca="false">E1023/E1016</f>
        <v>0.119221499792051</v>
      </c>
      <c r="F1024" s="20" t="n">
        <f aca="false">F1023/F1016</f>
        <v>0.112115911395907</v>
      </c>
      <c r="G1024" s="20" t="n">
        <f aca="false">G1023/G1016</f>
        <v>0.104941814738455</v>
      </c>
      <c r="H1024" s="26" t="n">
        <f aca="false">$G1024</f>
        <v>0.104941814738455</v>
      </c>
      <c r="I1024" s="26" t="n">
        <f aca="false">$G1024</f>
        <v>0.104941814738455</v>
      </c>
      <c r="J1024" s="26" t="n">
        <f aca="false">$G1024</f>
        <v>0.104941814738455</v>
      </c>
    </row>
    <row r="1025" customFormat="false" ht="17.15" hidden="false" customHeight="false" outlineLevel="0" collapsed="false">
      <c r="A1025" s="0" t="s">
        <v>745</v>
      </c>
      <c r="B1025" s="0" t="s">
        <v>379</v>
      </c>
      <c r="E1025" s="21" t="n">
        <f aca="false">E1010*((E1002+E1005)*(1-1/(E995*E996))+E1006*(1-1/E996))</f>
        <v>4.320320004</v>
      </c>
      <c r="F1025" s="21" t="n">
        <f aca="false">F1010*((F1002+F1005)*(1-1/(F995*F996))+F1006*(1-1/F996))</f>
        <v>4.39459572238805</v>
      </c>
      <c r="G1025" s="21" t="n">
        <f aca="false">G1010*((G1002+G1005)*(1-1/(G995*G996))+G1006*(1-1/G996))</f>
        <v>3.827576325582</v>
      </c>
      <c r="K1025" s="7" t="s">
        <v>746</v>
      </c>
    </row>
    <row r="1026" customFormat="false" ht="17.15" hidden="false" customHeight="false" outlineLevel="0" collapsed="false">
      <c r="A1026" s="3" t="s">
        <v>747</v>
      </c>
      <c r="B1026" s="0" t="s">
        <v>379</v>
      </c>
      <c r="C1026" s="21" t="n">
        <f aca="false">a25_gp</f>
        <v>8.314</v>
      </c>
      <c r="D1026" s="21" t="n">
        <f aca="false">a26_gp</f>
        <v>15.328536</v>
      </c>
      <c r="E1026" s="21" t="n">
        <f aca="false">$D1026+ft_abf*(E1009-E1025-$D1009)+ft_bt*(E1014-$D1014)+ft_lens*(E1015-$D1015)+E1025-(E1023-$D1023)</f>
        <v>25.657561148</v>
      </c>
      <c r="F1026" s="21" t="n">
        <f aca="false">$D1026+ft_abf*(F1009-F1025-$D1009)+ft_bt*(F1014-$D1014)+ft_lens*(F1015-$D1015)+F1025-(F1023-$D1023)</f>
        <v>30.6930708707128</v>
      </c>
      <c r="G1026" s="21" t="n">
        <f aca="false">$D1026+ft_abf*(G1009-G1025-$D1009)+ft_bt*(G1014-$D1014)+ft_lens*(G1015-$D1015)+G1025-(G1023-$D1023)</f>
        <v>35.6257758211667</v>
      </c>
      <c r="K1026" s="3" t="s">
        <v>748</v>
      </c>
    </row>
    <row r="1027" customFormat="false" ht="15" hidden="false" customHeight="false" outlineLevel="0" collapsed="false">
      <c r="A1027" s="3" t="s">
        <v>581</v>
      </c>
      <c r="B1027" s="0" t="s">
        <v>43</v>
      </c>
      <c r="C1027" s="16" t="n">
        <f aca="false">C1026/C1016</f>
        <v>0.211277985311682</v>
      </c>
      <c r="D1027" s="16" t="n">
        <f aca="false">D1026/D1016</f>
        <v>0.281640986443929</v>
      </c>
      <c r="E1027" s="16" t="n">
        <f aca="false">E1026/E1016</f>
        <v>0.356186879491245</v>
      </c>
      <c r="F1027" s="16" t="n">
        <f aca="false">F1026/F1016</f>
        <v>0.364949477602462</v>
      </c>
      <c r="G1027" s="16" t="n">
        <f aca="false">G1026/G1016</f>
        <v>0.370665256778376</v>
      </c>
    </row>
    <row r="1028" customFormat="false" ht="15" hidden="false" customHeight="false" outlineLevel="0" collapsed="false">
      <c r="A1028" s="3" t="s">
        <v>583</v>
      </c>
      <c r="B1028" s="0" t="s">
        <v>379</v>
      </c>
      <c r="C1028" s="21" t="n">
        <f aca="false">a25_opx</f>
        <v>5.644</v>
      </c>
      <c r="D1028" s="21" t="n">
        <f aca="false">a26_opx</f>
        <v>6.54036</v>
      </c>
      <c r="E1028" s="21" t="n">
        <f aca="false">D1028*(1+phi*E1018)</f>
        <v>7.80994777401287</v>
      </c>
      <c r="F1028" s="21" t="n">
        <f aca="false">E1028*(1+phi*F1018)</f>
        <v>8.59501446198315</v>
      </c>
      <c r="G1028" s="21" t="n">
        <f aca="false">F1028*(1+phi*G1018)</f>
        <v>9.33149803006473</v>
      </c>
    </row>
    <row r="1029" customFormat="false" ht="15" hidden="false" customHeight="false" outlineLevel="0" collapsed="false">
      <c r="A1029" s="3" t="s">
        <v>586</v>
      </c>
      <c r="B1029" s="0" t="s">
        <v>379</v>
      </c>
      <c r="C1029" s="21" t="n">
        <f aca="false">C1026-C1028</f>
        <v>2.67</v>
      </c>
      <c r="D1029" s="21" t="n">
        <f aca="false">D1026-D1028</f>
        <v>8.788176</v>
      </c>
      <c r="E1029" s="21" t="n">
        <f aca="false">E1026-E1028</f>
        <v>17.8476133739871</v>
      </c>
      <c r="F1029" s="21" t="n">
        <f aca="false">F1026-F1028</f>
        <v>22.0980564087296</v>
      </c>
      <c r="G1029" s="21" t="n">
        <f aca="false">G1026-G1028</f>
        <v>26.294277791102</v>
      </c>
    </row>
    <row r="1030" customFormat="false" ht="15" hidden="false" customHeight="false" outlineLevel="0" collapsed="false">
      <c r="A1030" s="3" t="s">
        <v>684</v>
      </c>
      <c r="B1030" s="0" t="s">
        <v>43</v>
      </c>
      <c r="C1030" s="16" t="n">
        <f aca="false">C1029/C1016</f>
        <v>0.0678508805367081</v>
      </c>
      <c r="D1030" s="16" t="n">
        <f aca="false">D1029/D1016</f>
        <v>0.161470773052486</v>
      </c>
      <c r="E1030" s="16" t="n">
        <f aca="false">E1029/E1016</f>
        <v>0.247766561964999</v>
      </c>
      <c r="F1030" s="16" t="n">
        <f aca="false">F1029/F1016</f>
        <v>0.262752273187852</v>
      </c>
      <c r="G1030" s="16" t="n">
        <f aca="false">G1029/G1016</f>
        <v>0.273576504780284</v>
      </c>
    </row>
    <row r="1031" customFormat="false" ht="15" hidden="false" customHeight="false" outlineLevel="0" collapsed="false">
      <c r="A1031" s="3" t="s">
        <v>589</v>
      </c>
      <c r="B1031" s="0" t="s">
        <v>379</v>
      </c>
      <c r="C1031" s="21" t="n">
        <f aca="false">a25_nonop</f>
        <v>0.417</v>
      </c>
      <c r="D1031" s="21" t="n">
        <f aca="false">a26_nonop</f>
        <v>0.37882</v>
      </c>
      <c r="E1031" s="21" t="n">
        <f aca="false">nonop27</f>
        <v>0.4</v>
      </c>
      <c r="F1031" s="21" t="n">
        <f aca="false">nonop28</f>
        <v>0.4</v>
      </c>
      <c r="G1031" s="21" t="n">
        <f aca="false">nonop29</f>
        <v>0.4</v>
      </c>
    </row>
    <row r="1032" customFormat="false" ht="15" hidden="false" customHeight="false" outlineLevel="0" collapsed="false">
      <c r="A1032" s="3" t="s">
        <v>591</v>
      </c>
      <c r="B1032" s="0" t="s">
        <v>379</v>
      </c>
      <c r="C1032" s="21" t="n">
        <f aca="false">C1029+C1031</f>
        <v>3.087</v>
      </c>
      <c r="D1032" s="21" t="n">
        <f aca="false">D1029+D1031</f>
        <v>9.166996</v>
      </c>
      <c r="E1032" s="21" t="n">
        <f aca="false">E1029+E1031</f>
        <v>18.2476133739871</v>
      </c>
      <c r="F1032" s="21" t="n">
        <f aca="false">F1029+F1031</f>
        <v>22.4980564087296</v>
      </c>
      <c r="G1032" s="21" t="n">
        <f aca="false">G1029+G1031</f>
        <v>26.694277791102</v>
      </c>
    </row>
    <row r="1033" customFormat="false" ht="15" hidden="false" customHeight="false" outlineLevel="0" collapsed="false">
      <c r="A1033" s="3" t="s">
        <v>592</v>
      </c>
      <c r="B1033" s="0" t="s">
        <v>379</v>
      </c>
      <c r="E1033" s="21" t="n">
        <f aca="false">E1032*tax</f>
        <v>2.18971360487846</v>
      </c>
      <c r="F1033" s="21" t="n">
        <f aca="false">F1032*tax</f>
        <v>2.69976676904756</v>
      </c>
      <c r="G1033" s="21" t="n">
        <f aca="false">G1032*tax</f>
        <v>3.20331333493223</v>
      </c>
    </row>
    <row r="1034" customFormat="false" ht="15" hidden="false" customHeight="false" outlineLevel="0" collapsed="false">
      <c r="A1034" s="3" t="s">
        <v>593</v>
      </c>
      <c r="B1034" s="0" t="s">
        <v>379</v>
      </c>
      <c r="C1034" s="21" t="n">
        <f aca="false">a25_nic</f>
        <v>2.71712</v>
      </c>
      <c r="D1034" s="21" t="n">
        <f aca="false">a26_nic</f>
        <v>8.39979776</v>
      </c>
      <c r="E1034" s="21" t="n">
        <f aca="false">E1032-E1033</f>
        <v>16.0578997691087</v>
      </c>
      <c r="F1034" s="21" t="n">
        <f aca="false">F1032-F1033</f>
        <v>19.7982896396821</v>
      </c>
      <c r="G1034" s="21" t="n">
        <f aca="false">G1032-G1033</f>
        <v>23.4909644561697</v>
      </c>
    </row>
    <row r="1035" customFormat="false" ht="17.15" hidden="false" customHeight="false" outlineLevel="0" collapsed="false">
      <c r="A1035" s="3" t="s">
        <v>749</v>
      </c>
      <c r="B1035" s="0" t="s">
        <v>379</v>
      </c>
      <c r="C1035" s="21" t="n">
        <f aca="false">a25_nci</f>
        <v>1.12112</v>
      </c>
      <c r="D1035" s="21" t="n">
        <f aca="false">a26_nci</f>
        <v>1.43839238487797</v>
      </c>
      <c r="E1035" s="21" t="n">
        <f aca="false">E1015*nm_lens*nci_sh</f>
        <v>1.57074538036261</v>
      </c>
      <c r="F1035" s="21" t="n">
        <f aca="false">F1015*nm_lens*nci_sh</f>
        <v>1.72781991839887</v>
      </c>
      <c r="G1035" s="21" t="n">
        <f aca="false">G1015*nm_lens*nci_sh</f>
        <v>1.90060191023875</v>
      </c>
      <c r="K1035" s="3" t="s">
        <v>750</v>
      </c>
    </row>
    <row r="1036" customFormat="false" ht="15" hidden="false" customHeight="false" outlineLevel="0" collapsed="false">
      <c r="A1036" s="3" t="s">
        <v>599</v>
      </c>
      <c r="B1036" s="0" t="s">
        <v>379</v>
      </c>
      <c r="C1036" s="21" t="n">
        <f aca="false">a25_ni</f>
        <v>1.596</v>
      </c>
      <c r="D1036" s="21" t="n">
        <f aca="false">a26_ni</f>
        <v>6.96140537512203</v>
      </c>
      <c r="E1036" s="21" t="n">
        <f aca="false">E1034-E1035</f>
        <v>14.4871543887461</v>
      </c>
      <c r="F1036" s="21" t="n">
        <f aca="false">F1034-F1035</f>
        <v>18.0704697212832</v>
      </c>
      <c r="G1036" s="21" t="n">
        <f aca="false">G1034-G1035</f>
        <v>21.590362545931</v>
      </c>
      <c r="H1036" s="30" t="n">
        <f aca="false">H1016*H1040</f>
        <v>23.9470339055063</v>
      </c>
      <c r="I1036" s="30" t="n">
        <f aca="false">I1016*I1040</f>
        <v>25.9027266533646</v>
      </c>
      <c r="J1036" s="30" t="n">
        <f aca="false">J1016*J1040</f>
        <v>27.3061958633271</v>
      </c>
    </row>
    <row r="1037" customFormat="false" ht="15" hidden="false" customHeight="false" outlineLevel="0" collapsed="false">
      <c r="A1037" s="3" t="s">
        <v>751</v>
      </c>
      <c r="B1037" s="3" t="s">
        <v>465</v>
      </c>
      <c r="C1037" s="29" t="n">
        <f aca="false">a25_sh</f>
        <v>0.454700854700855</v>
      </c>
      <c r="D1037" s="29" t="n">
        <f aca="false">a26_sh</f>
        <v>0.508341020486215</v>
      </c>
      <c r="E1037" s="29" t="n">
        <f aca="false">a26_shend*(1+sh_g)</f>
        <v>0.52691</v>
      </c>
      <c r="F1037" s="29" t="n">
        <f aca="false">E1037*(1+sh_g)</f>
        <v>0.52691</v>
      </c>
      <c r="G1037" s="29" t="n">
        <f aca="false">F1037*(1+sh_g)</f>
        <v>0.52691</v>
      </c>
      <c r="H1037" s="31" t="n">
        <f aca="false">G1037*(1+sh_g)</f>
        <v>0.52691</v>
      </c>
      <c r="I1037" s="31" t="n">
        <f aca="false">H1037*(1+sh_g)</f>
        <v>0.52691</v>
      </c>
      <c r="J1037" s="31" t="n">
        <f aca="false">I1037*(1+sh_g)</f>
        <v>0.52691</v>
      </c>
    </row>
    <row r="1038" customFormat="false" ht="17.15" hidden="false" customHeight="false" outlineLevel="0" collapsed="false">
      <c r="A1038" s="0" t="s">
        <v>604</v>
      </c>
      <c r="B1038" s="0" t="s">
        <v>471</v>
      </c>
      <c r="C1038" s="18" t="n">
        <f aca="false">C1036/C1037</f>
        <v>3.51</v>
      </c>
      <c r="D1038" s="18" t="n">
        <f aca="false">D1036/D1037</f>
        <v>13.6943608612652</v>
      </c>
      <c r="E1038" s="18" t="n">
        <f aca="false">E1036/E1037</f>
        <v>27.4945519894215</v>
      </c>
      <c r="F1038" s="18" t="n">
        <f aca="false">F1036/F1037</f>
        <v>34.2951732198729</v>
      </c>
      <c r="G1038" s="18" t="n">
        <f aca="false">G1036/G1037</f>
        <v>40.9754275795315</v>
      </c>
      <c r="H1038" s="28" t="n">
        <f aca="false">H1036/H1037</f>
        <v>45.4480535679837</v>
      </c>
      <c r="I1038" s="28" t="n">
        <f aca="false">I1036/I1037</f>
        <v>49.1596793633914</v>
      </c>
      <c r="J1038" s="28" t="n">
        <f aca="false">J1036/J1037</f>
        <v>51.8232636756317</v>
      </c>
    </row>
    <row r="1039" customFormat="false" ht="17.15" hidden="false" customHeight="false" outlineLevel="0" collapsed="false">
      <c r="A1039" s="0" t="s">
        <v>752</v>
      </c>
      <c r="B1039" s="0" t="s">
        <v>43</v>
      </c>
      <c r="D1039" s="20" t="n">
        <f aca="false">D1038/C1038-1</f>
        <v>2.90152731090177</v>
      </c>
      <c r="E1039" s="20" t="n">
        <f aca="false">E1038/D1038-1</f>
        <v>1.00772801797493</v>
      </c>
      <c r="F1039" s="20" t="n">
        <f aca="false">F1038/E1038-1</f>
        <v>0.24734431872423</v>
      </c>
      <c r="G1039" s="20" t="n">
        <f aca="false">G1038/F1038-1</f>
        <v>0.194787013228664</v>
      </c>
      <c r="H1039" s="26" t="n">
        <f aca="false">H1038/G1038-1</f>
        <v>0.109153857632625</v>
      </c>
      <c r="I1039" s="26" t="n">
        <f aca="false">I1038/H1038-1</f>
        <v>0.0816674313643744</v>
      </c>
      <c r="J1039" s="26" t="n">
        <f aca="false">J1038/I1038-1</f>
        <v>0.0541822962788454</v>
      </c>
    </row>
    <row r="1040" customFormat="false" ht="17.15" hidden="false" customHeight="false" outlineLevel="0" collapsed="false">
      <c r="A1040" s="3" t="s">
        <v>753</v>
      </c>
      <c r="B1040" s="0" t="s">
        <v>43</v>
      </c>
      <c r="C1040" s="16" t="n">
        <f aca="false">C1036/C1016</f>
        <v>0.0405580544331783</v>
      </c>
      <c r="D1040" s="16" t="n">
        <f aca="false">D1036/D1016</f>
        <v>0.127906349105057</v>
      </c>
      <c r="E1040" s="16" t="n">
        <f aca="false">E1036/E1016</f>
        <v>0.201115541912587</v>
      </c>
      <c r="F1040" s="16" t="n">
        <f aca="false">F1036/F1016</f>
        <v>0.214863104203306</v>
      </c>
      <c r="G1040" s="16" t="n">
        <f aca="false">G1036/G1016</f>
        <v>0.224635031590553</v>
      </c>
      <c r="H1040" s="27" t="n">
        <f aca="false">$G1040+(fade_mA-$G1040)*1/3</f>
        <v>0.223415530956186</v>
      </c>
      <c r="I1040" s="27" t="n">
        <f aca="false">$G1040+(fade_mA-$G1040)*2/3</f>
        <v>0.222196030321819</v>
      </c>
      <c r="J1040" s="27" t="n">
        <f aca="false">$G1040+(fade_mA-$G1040)*3/3</f>
        <v>0.220976529687452</v>
      </c>
    </row>
    <row r="1041" customFormat="false" ht="17.15" hidden="false" customHeight="false" outlineLevel="0" collapsed="false">
      <c r="A1041" s="3" t="s">
        <v>754</v>
      </c>
      <c r="B1041" s="0" t="s">
        <v>43</v>
      </c>
      <c r="C1041" s="20" t="n">
        <f aca="false">C1022/C1016</f>
        <v>0.155421717364235</v>
      </c>
      <c r="D1041" s="20" t="n">
        <f aca="false">D1022/D1016</f>
        <v>0.202110028699624</v>
      </c>
      <c r="E1041" s="20" t="n">
        <f aca="false">E1022/E1016</f>
        <v>0.235999708484498</v>
      </c>
      <c r="F1041" s="20" t="n">
        <f aca="false">F1022/F1016</f>
        <v>0.190244621212247</v>
      </c>
      <c r="G1041" s="20" t="n">
        <f aca="false">G1022/G1016</f>
        <v>0.124852946464054</v>
      </c>
      <c r="H1041" s="26" t="n">
        <f aca="false">$G1041+($G1024*(1+tp_g)^(life_hi/2)-$G1041)*1/3</f>
        <v>0.125794552137591</v>
      </c>
      <c r="I1041" s="26" t="n">
        <f aca="false">$G1041+($G1024*(1+tp_g)^(life_hi/2)-$G1041)*2/3</f>
        <v>0.126736157811127</v>
      </c>
      <c r="J1041" s="26" t="n">
        <f aca="false">$G1041+($G1024*(1+tp_g)^(life_hi/2)-$G1041)*3/3</f>
        <v>0.127677763484664</v>
      </c>
      <c r="K1041" s="7" t="s">
        <v>755</v>
      </c>
    </row>
    <row r="1042" customFormat="false" ht="15" hidden="false" customHeight="false" outlineLevel="0" collapsed="false">
      <c r="A1042" s="3" t="s">
        <v>756</v>
      </c>
      <c r="B1042" s="0" t="s">
        <v>379</v>
      </c>
      <c r="D1042" s="21" t="n">
        <f aca="false">D1036+D1023-D1022</f>
        <v>4.28140537512203</v>
      </c>
      <c r="E1042" s="21" t="n">
        <f aca="false">E1036+E1023-E1022</f>
        <v>6.07515438874607</v>
      </c>
      <c r="F1042" s="21" t="n">
        <f aca="false">F1036+F1023-F1022</f>
        <v>11.4996697212832</v>
      </c>
      <c r="G1042" s="21" t="n">
        <f aca="false">G1036+G1023-G1022</f>
        <v>19.676642545931</v>
      </c>
      <c r="H1042" s="30" t="n">
        <f aca="false">H1036+H1023-H1022</f>
        <v>21.7119108261817</v>
      </c>
      <c r="I1042" s="30" t="n">
        <f aca="false">I1036+I1023-I1022</f>
        <v>23.3620290973216</v>
      </c>
      <c r="J1042" s="30" t="n">
        <f aca="false">J1036+J1023-J1022</f>
        <v>24.4967017035597</v>
      </c>
      <c r="K1042" s="3" t="s">
        <v>757</v>
      </c>
    </row>
    <row r="1043" customFormat="false" ht="15" hidden="false" customHeight="false" outlineLevel="0" collapsed="false">
      <c r="A1043" s="3" t="s">
        <v>758</v>
      </c>
      <c r="B1043" s="0" t="s">
        <v>471</v>
      </c>
      <c r="D1043" s="18" t="n">
        <f aca="false">D1042/D1037</f>
        <v>8.42230943909854</v>
      </c>
      <c r="E1043" s="18" t="n">
        <f aca="false">E1042/E1037</f>
        <v>11.5297762212637</v>
      </c>
      <c r="F1043" s="18" t="n">
        <f aca="false">F1042/F1037</f>
        <v>21.8247323476176</v>
      </c>
      <c r="G1043" s="18" t="n">
        <f aca="false">G1042/G1037</f>
        <v>37.3434600708489</v>
      </c>
      <c r="H1043" s="28" t="n">
        <f aca="false">H1042/H1037</f>
        <v>41.2061088728278</v>
      </c>
      <c r="I1043" s="28" t="n">
        <f aca="false">I1042/I1037</f>
        <v>44.3377979110695</v>
      </c>
      <c r="J1043" s="28" t="n">
        <f aca="false">J1042/J1037</f>
        <v>46.4912446215857</v>
      </c>
    </row>
    <row r="1046" customFormat="false" ht="17.15" hidden="false" customHeight="false" outlineLevel="0" collapsed="false">
      <c r="A1046" s="1" t="s">
        <v>1109</v>
      </c>
    </row>
    <row r="1047" customFormat="false" ht="17.15" hidden="false" customHeight="false" outlineLevel="0" collapsed="false">
      <c r="A1047" s="4" t="s">
        <v>20</v>
      </c>
      <c r="B1047" s="4" t="s">
        <v>21</v>
      </c>
      <c r="C1047" s="13" t="s">
        <v>567</v>
      </c>
      <c r="D1047" s="13" t="s">
        <v>671</v>
      </c>
      <c r="E1047" s="13" t="s">
        <v>672</v>
      </c>
      <c r="F1047" s="13" t="s">
        <v>673</v>
      </c>
      <c r="G1047" s="13" t="s">
        <v>674</v>
      </c>
      <c r="H1047" s="13" t="s">
        <v>675</v>
      </c>
      <c r="I1047" s="13" t="s">
        <v>676</v>
      </c>
      <c r="J1047" s="13" t="s">
        <v>677</v>
      </c>
      <c r="K1047" s="4" t="s">
        <v>631</v>
      </c>
    </row>
    <row r="1048" customFormat="false" ht="17.15" hidden="false" customHeight="false" outlineLevel="0" collapsed="false">
      <c r="A1048" s="5" t="s">
        <v>695</v>
      </c>
    </row>
    <row r="1049" customFormat="false" ht="17.15" hidden="false" customHeight="false" outlineLevel="0" collapsed="false">
      <c r="A1049" s="0" t="s">
        <v>696</v>
      </c>
      <c r="B1049" s="3" t="s">
        <v>31</v>
      </c>
      <c r="D1049" s="21" t="n">
        <f aca="false">(u_bw_26+u_rb_26+u_ru_26+u_hp_26)*1</f>
        <v>7.6</v>
      </c>
      <c r="E1049" s="21" t="n">
        <f aca="false">(u_bw_27+u_rb_27+u_ru_27+u_hp_27)*1*1</f>
        <v>9.7</v>
      </c>
      <c r="F1049" s="21" t="n">
        <f aca="false">(u_bw_28+u_rb_28+u_ru_28+u_hp_28)*um28_A*1</f>
        <v>9.5</v>
      </c>
      <c r="G1049" s="21" t="n">
        <f aca="false">(u_bw_28*(1+g29_bw)+u_rb_28*(1+g29_rb)+u_ru_28*(1+g29_ru)+u_hp_28*(1+g29_hp))*um29_A*1</f>
        <v>10.6</v>
      </c>
      <c r="K1049" s="7" t="s">
        <v>697</v>
      </c>
    </row>
    <row r="1050" customFormat="false" ht="17.15" hidden="false" customHeight="false" outlineLevel="0" collapsed="false">
      <c r="A1050" s="3" t="s">
        <v>698</v>
      </c>
      <c r="B1050" s="3" t="s">
        <v>31</v>
      </c>
      <c r="D1050" s="21" t="n">
        <f aca="false">(u_amd_26+u_tpu_26+u_trn_26+u_oth_26)*1</f>
        <v>7.6</v>
      </c>
      <c r="E1050" s="21" t="n">
        <f aca="false">(u_amd_27+u_tpu_27+u_trn_27+u_oth_27)*1*1</f>
        <v>14</v>
      </c>
      <c r="F1050" s="21" t="n">
        <f aca="false">(u_amd_28+u_tpu_28+u_trn_28+u_oth_28)*um28_A*1</f>
        <v>17</v>
      </c>
      <c r="G1050" s="21" t="n">
        <f aca="false">(u_amd_28*(1+g29_amd)+u_tpu_28*(1+g29_tpu)+u_trn_28*(1+g29_trn)+u_oth_28*(1+g29_oth))*um29_A*1</f>
        <v>19.55</v>
      </c>
      <c r="K1050" s="7" t="s">
        <v>699</v>
      </c>
    </row>
    <row r="1051" customFormat="false" ht="17.15" hidden="false" customHeight="false" outlineLevel="0" collapsed="false">
      <c r="A1051" s="0" t="s">
        <v>700</v>
      </c>
      <c r="B1051" s="3" t="s">
        <v>31</v>
      </c>
      <c r="D1051" s="21" t="n">
        <f aca="false">D1049*cpu_r</f>
        <v>3.04</v>
      </c>
      <c r="E1051" s="21" t="n">
        <f aca="false">E1049*cpu_r</f>
        <v>3.88</v>
      </c>
      <c r="F1051" s="21" t="n">
        <f aca="false">F1049*cpu_r</f>
        <v>3.8</v>
      </c>
      <c r="G1051" s="21" t="n">
        <f aca="false">G1049*cpu_r</f>
        <v>4.24</v>
      </c>
      <c r="K1051" s="7" t="s">
        <v>701</v>
      </c>
    </row>
    <row r="1052" customFormat="false" ht="17.15" hidden="false" customHeight="false" outlineLevel="0" collapsed="false">
      <c r="A1052" s="3" t="s">
        <v>702</v>
      </c>
      <c r="B1052" s="0" t="s">
        <v>153</v>
      </c>
      <c r="D1052" s="19" t="n">
        <f aca="false">1</f>
        <v>1</v>
      </c>
      <c r="E1052" s="19" t="n">
        <f aca="false">D1052*(1+g_asp)</f>
        <v>1.18</v>
      </c>
      <c r="F1052" s="19" t="n">
        <f aca="false">E1052*(1+g_asp)</f>
        <v>1.3924</v>
      </c>
      <c r="G1052" s="19" t="n">
        <f aca="false">F1052*(1+g_asp)</f>
        <v>1.643032</v>
      </c>
      <c r="K1052" s="7" t="s">
        <v>703</v>
      </c>
    </row>
    <row r="1053" customFormat="false" ht="17.15" hidden="false" customHeight="false" outlineLevel="0" collapsed="false">
      <c r="A1053" s="0" t="s">
        <v>704</v>
      </c>
      <c r="B1053" s="0" t="s">
        <v>153</v>
      </c>
      <c r="D1053" s="18" t="n">
        <f aca="false">1</f>
        <v>1</v>
      </c>
      <c r="E1053" s="18" t="n">
        <f aca="false">ibpp_27</f>
        <v>1</v>
      </c>
      <c r="F1053" s="18" t="n">
        <f aca="false">ibpp_28</f>
        <v>0.95</v>
      </c>
      <c r="G1053" s="18" t="n">
        <f aca="false">ibpp_29</f>
        <v>0.9</v>
      </c>
      <c r="K1053" s="7" t="s">
        <v>705</v>
      </c>
    </row>
    <row r="1054" customFormat="false" ht="17.15" hidden="false" customHeight="false" outlineLevel="0" collapsed="false">
      <c r="A1054" s="3" t="s">
        <v>706</v>
      </c>
      <c r="B1054" s="0" t="s">
        <v>153</v>
      </c>
      <c r="D1054" s="18" t="n">
        <f aca="false">1</f>
        <v>1</v>
      </c>
      <c r="E1054" s="18" t="n">
        <f aca="false">1+carry</f>
        <v>1.15</v>
      </c>
      <c r="F1054" s="18" t="n">
        <f aca="false">1+carry</f>
        <v>1.15</v>
      </c>
      <c r="G1054" s="18" t="n">
        <f aca="false">1+carry</f>
        <v>1.15</v>
      </c>
      <c r="K1054" s="7" t="s">
        <v>707</v>
      </c>
    </row>
    <row r="1055" customFormat="false" ht="17.15" hidden="false" customHeight="false" outlineLevel="0" collapsed="false">
      <c r="A1055" s="3" t="s">
        <v>708</v>
      </c>
      <c r="B1055" s="0" t="s">
        <v>709</v>
      </c>
      <c r="D1055" s="23" t="n">
        <f aca="false">v26*D1052*D1053</f>
        <v>215.308596</v>
      </c>
      <c r="E1055" s="23" t="n">
        <f aca="false">v26*E1052*E1053</f>
        <v>254.06414328</v>
      </c>
      <c r="F1055" s="23" t="n">
        <f aca="false">v26*F1052*F1053</f>
        <v>284.80590461688</v>
      </c>
      <c r="G1055" s="23" t="n">
        <f aca="false">v26*G1052*G1053</f>
        <v>318.383021792765</v>
      </c>
      <c r="K1055" s="7" t="s">
        <v>710</v>
      </c>
    </row>
    <row r="1056" customFormat="false" ht="17.15" hidden="false" customHeight="false" outlineLevel="0" collapsed="false">
      <c r="A1056" s="3" t="s">
        <v>711</v>
      </c>
      <c r="B1056" s="0" t="s">
        <v>43</v>
      </c>
      <c r="D1056" s="20" t="n">
        <f aca="false">sh_nv_26</f>
        <v>0.02</v>
      </c>
      <c r="E1056" s="20" t="n">
        <f aca="false">sh_nv_27</f>
        <v>0.03</v>
      </c>
      <c r="F1056" s="20" t="n">
        <f aca="false">sh_nv_28</f>
        <v>0.05</v>
      </c>
      <c r="G1056" s="20" t="n">
        <f aca="false">sh_nv_29</f>
        <v>0.06</v>
      </c>
    </row>
    <row r="1057" customFormat="false" ht="17.15" hidden="false" customHeight="false" outlineLevel="0" collapsed="false">
      <c r="A1057" s="3" t="s">
        <v>712</v>
      </c>
      <c r="B1057" s="0" t="s">
        <v>43</v>
      </c>
      <c r="D1057" s="20" t="n">
        <f aca="false">sh_ot_26</f>
        <v>0.03</v>
      </c>
      <c r="E1057" s="20" t="n">
        <f aca="false">sh_ot_27</f>
        <v>0.05</v>
      </c>
      <c r="F1057" s="20" t="n">
        <f aca="false">sh_ot_28</f>
        <v>0.06</v>
      </c>
      <c r="G1057" s="20" t="n">
        <f aca="false">sh_ot_29</f>
        <v>0.06</v>
      </c>
    </row>
    <row r="1058" customFormat="false" ht="17.15" hidden="false" customHeight="false" outlineLevel="0" collapsed="false">
      <c r="A1058" s="3" t="s">
        <v>713</v>
      </c>
      <c r="B1058" s="0" t="s">
        <v>43</v>
      </c>
      <c r="D1058" s="20" t="n">
        <f aca="false">sh_cpu_26</f>
        <v>0.35</v>
      </c>
      <c r="E1058" s="20" t="n">
        <f aca="false">sh_cpu_27</f>
        <v>0.7</v>
      </c>
      <c r="F1058" s="20" t="n">
        <f aca="false">sh_cpu_28</f>
        <v>0.75</v>
      </c>
      <c r="G1058" s="20" t="n">
        <f aca="false">sh_cpu_29</f>
        <v>0.7</v>
      </c>
    </row>
    <row r="1059" customFormat="false" ht="17.15" hidden="false" customHeight="false" outlineLevel="0" collapsed="false">
      <c r="A1059" s="3" t="s">
        <v>714</v>
      </c>
      <c r="B1059" s="0" t="s">
        <v>661</v>
      </c>
      <c r="D1059" s="22" t="n">
        <f aca="false">(D1049*D1055*D1056+D1050*D1055*v_ot*D1057+D1051*D1055*v_cpu*D1058)*D1054</f>
        <v>140.7256983456</v>
      </c>
      <c r="E1059" s="22" t="n">
        <f aca="false">(E1049*E1055*E1056+E1050*E1055*v_ot*E1057+E1051*E1055*v_cpu*E1058)*E1054</f>
        <v>486.703057357198</v>
      </c>
      <c r="F1059" s="22" t="n">
        <f aca="false">(F1049*F1055*F1056+F1050*F1055*v_ot*F1057+F1051*F1055*v_cpu*F1058)*F1054</f>
        <v>702.872492003998</v>
      </c>
      <c r="G1059" s="22" t="n">
        <f aca="false">(G1049*G1055*G1056+G1050*G1055*v_ot*G1057+G1051*G1055*v_cpu*G1058)*G1054</f>
        <v>902.463042932027</v>
      </c>
    </row>
    <row r="1060" customFormat="false" ht="17.15" hidden="false" customHeight="false" outlineLevel="0" collapsed="false">
      <c r="A1060" s="3" t="s">
        <v>715</v>
      </c>
      <c r="B1060" s="0" t="s">
        <v>379</v>
      </c>
      <c r="D1060" s="21" t="n">
        <f aca="false">D1059*fx/1000</f>
        <v>4.5032223470592</v>
      </c>
      <c r="E1060" s="21" t="n">
        <f aca="false">E1059*fx/1000</f>
        <v>15.5744978354303</v>
      </c>
      <c r="F1060" s="21" t="n">
        <f aca="false">F1059*fx/1000</f>
        <v>22.4919197441279</v>
      </c>
      <c r="G1060" s="21" t="n">
        <f aca="false">G1059*fx/1000</f>
        <v>28.8788173738249</v>
      </c>
    </row>
    <row r="1061" customFormat="false" ht="17.15" hidden="false" customHeight="false" outlineLevel="0" collapsed="false">
      <c r="A1061" s="5" t="s">
        <v>716</v>
      </c>
    </row>
    <row r="1062" customFormat="false" ht="17.15" hidden="false" customHeight="false" outlineLevel="0" collapsed="false">
      <c r="A1062" s="0" t="s">
        <v>717</v>
      </c>
      <c r="B1062" s="0" t="s">
        <v>379</v>
      </c>
      <c r="D1062" s="21" t="n">
        <f aca="false">a26_abf*ai_abf</f>
        <v>5.714709</v>
      </c>
      <c r="K1062" s="3" t="s">
        <v>718</v>
      </c>
    </row>
    <row r="1063" customFormat="false" ht="17.15" hidden="false" customHeight="false" outlineLevel="0" collapsed="false">
      <c r="A1063" s="3" t="s">
        <v>719</v>
      </c>
      <c r="B1063" s="0" t="s">
        <v>379</v>
      </c>
      <c r="D1063" s="21" t="n">
        <f aca="false">D1062-D1060</f>
        <v>1.2114866529408</v>
      </c>
      <c r="E1063" s="21" t="n">
        <f aca="false">$D1063*(swm_27/swm_26)^el_o*1*1*E1053*E1054</f>
        <v>1.94870016016792</v>
      </c>
      <c r="F1063" s="21" t="n">
        <f aca="false">$D1063*(swm_28/swm_26)^el_o*um28_A*1*F1053*F1054</f>
        <v>1.99149622299173</v>
      </c>
      <c r="G1063" s="21" t="n">
        <f aca="false">$D1063*(swm_29/swm_26)^el_o*um29_A*1*G1053*G1054</f>
        <v>2.01272596640355</v>
      </c>
      <c r="K1063" s="7" t="s">
        <v>720</v>
      </c>
    </row>
    <row r="1064" customFormat="false" ht="17.15" hidden="false" customHeight="false" outlineLevel="0" collapsed="false">
      <c r="A1064" s="3" t="s">
        <v>721</v>
      </c>
      <c r="B1064" s="0" t="s">
        <v>379</v>
      </c>
      <c r="D1064" s="21" t="n">
        <f aca="false">a26_abf-D1062</f>
        <v>17.144127</v>
      </c>
      <c r="E1064" s="21" t="n">
        <f aca="false">$D1064*(1+g_nai)^1*E1054</f>
        <v>20.898690813</v>
      </c>
      <c r="F1064" s="21" t="n">
        <f aca="false">$D1064*(1+g_nai)^2*F1054</f>
        <v>22.15261226178</v>
      </c>
      <c r="G1064" s="21" t="n">
        <f aca="false">$D1064*(1+g_nai)^3*G1054</f>
        <v>23.4817689974868</v>
      </c>
      <c r="K1064" s="3" t="s">
        <v>722</v>
      </c>
    </row>
    <row r="1065" customFormat="false" ht="17.15" hidden="false" customHeight="false" outlineLevel="0" collapsed="false">
      <c r="A1065" s="0" t="s">
        <v>723</v>
      </c>
      <c r="B1065" s="0" t="s">
        <v>379</v>
      </c>
      <c r="D1065" s="21" t="n">
        <f aca="false">D1060+D1063+D1064</f>
        <v>22.858836</v>
      </c>
      <c r="E1065" s="21" t="n">
        <f aca="false">E1060+E1063+E1064</f>
        <v>38.4218888085982</v>
      </c>
      <c r="F1065" s="21" t="n">
        <f aca="false">F1060+F1063+F1064</f>
        <v>46.6360282288997</v>
      </c>
      <c r="G1065" s="21" t="n">
        <f aca="false">G1060+G1063+G1064</f>
        <v>54.3733123377152</v>
      </c>
    </row>
    <row r="1066" customFormat="false" ht="17.15" hidden="false" customHeight="false" outlineLevel="0" collapsed="false">
      <c r="A1066" s="0" t="s">
        <v>724</v>
      </c>
      <c r="B1066" s="0" t="s">
        <v>379</v>
      </c>
      <c r="D1066" s="21" t="n">
        <f aca="false">a26_abf</f>
        <v>22.858836</v>
      </c>
      <c r="E1066" s="21" t="n">
        <f aca="false">$D1065*cap_27*(1+g_mix)^1*E1053*E1054</f>
        <v>33.122453364</v>
      </c>
      <c r="F1066" s="21" t="n">
        <f aca="false">$D1065*cap_28*(1+g_mix)^2*F1053*F1054</f>
        <v>41.2995590382375</v>
      </c>
      <c r="G1066" s="21" t="n">
        <f aca="false">$D1065*cap_29*(1+g_mix)^3*G1053*G1054</f>
        <v>50.6680379569114</v>
      </c>
      <c r="K1066" s="7" t="s">
        <v>725</v>
      </c>
    </row>
    <row r="1067" customFormat="false" ht="17.15" hidden="false" customHeight="false" outlineLevel="0" collapsed="false">
      <c r="A1067" s="0" t="s">
        <v>726</v>
      </c>
      <c r="B1067" s="0" t="s">
        <v>379</v>
      </c>
      <c r="D1067" s="21" t="n">
        <f aca="false">a26_abf</f>
        <v>22.858836</v>
      </c>
      <c r="E1067" s="21" t="n">
        <f aca="false">MIN(E1065,E1066)</f>
        <v>33.122453364</v>
      </c>
      <c r="F1067" s="21" t="n">
        <f aca="false">MIN(F1065,F1066)</f>
        <v>41.2995590382375</v>
      </c>
      <c r="G1067" s="21" t="n">
        <f aca="false">MIN(G1065,G1066)</f>
        <v>50.6680379569114</v>
      </c>
    </row>
    <row r="1068" customFormat="false" ht="17.15" hidden="false" customHeight="false" outlineLevel="0" collapsed="false">
      <c r="A1068" s="3" t="s">
        <v>727</v>
      </c>
      <c r="B1068" s="0" t="s">
        <v>43</v>
      </c>
      <c r="D1068" s="20" t="n">
        <f aca="false">D1067/D1065</f>
        <v>1</v>
      </c>
      <c r="E1068" s="20" t="n">
        <f aca="false">E1067/E1065</f>
        <v>0.862072490215205</v>
      </c>
      <c r="F1068" s="20" t="n">
        <f aca="false">F1067/F1065</f>
        <v>0.885571962422065</v>
      </c>
      <c r="G1068" s="20" t="n">
        <f aca="false">G1067/G1065</f>
        <v>0.931854907830698</v>
      </c>
    </row>
    <row r="1069" customFormat="false" ht="17.15" hidden="false" customHeight="false" outlineLevel="0" collapsed="false">
      <c r="A1069" s="0" t="s">
        <v>728</v>
      </c>
      <c r="B1069" s="0" t="s">
        <v>379</v>
      </c>
      <c r="D1069" s="21" t="n">
        <f aca="false">(D1060+D1063)*D1068</f>
        <v>5.714709</v>
      </c>
      <c r="E1069" s="21" t="n">
        <f aca="false">(E1060+E1063)*E1068</f>
        <v>15.1062669325995</v>
      </c>
      <c r="F1069" s="21" t="n">
        <f aca="false">(F1060+F1063)*F1068</f>
        <v>21.6818267247979</v>
      </c>
      <c r="G1069" s="21" t="n">
        <f aca="false">(G1060+G1063)*G1068</f>
        <v>28.7864362720566</v>
      </c>
    </row>
    <row r="1070" customFormat="false" ht="17.15" hidden="false" customHeight="false" outlineLevel="0" collapsed="false">
      <c r="A1070" s="3" t="s">
        <v>729</v>
      </c>
      <c r="B1070" s="0" t="s">
        <v>43</v>
      </c>
      <c r="D1070" s="20" t="n">
        <f aca="false">D1060/(D1060+D1063)</f>
        <v>0.788005539225042</v>
      </c>
      <c r="E1070" s="20" t="n">
        <f aca="false">E1060/(E1060+E1063)</f>
        <v>0.888793120944167</v>
      </c>
      <c r="F1070" s="20" t="n">
        <f aca="false">F1060/(F1060+F1063)</f>
        <v>0.918659380469366</v>
      </c>
      <c r="G1070" s="20" t="n">
        <f aca="false">G1060/(G1060+G1063)</f>
        <v>0.934845405934042</v>
      </c>
    </row>
    <row r="1071" customFormat="false" ht="17.15" hidden="false" customHeight="false" outlineLevel="0" collapsed="false">
      <c r="A1071" s="5" t="s">
        <v>730</v>
      </c>
    </row>
    <row r="1072" customFormat="false" ht="17.15" hidden="false" customHeight="false" outlineLevel="0" collapsed="false">
      <c r="A1072" s="0" t="s">
        <v>731</v>
      </c>
      <c r="B1072" s="0" t="s">
        <v>379</v>
      </c>
      <c r="D1072" s="21" t="n">
        <f aca="false">a26_bt</f>
        <v>23.265964</v>
      </c>
      <c r="E1072" s="21" t="n">
        <f aca="false">D1072*(1+g_bt27_A)</f>
        <v>29.78043392</v>
      </c>
      <c r="F1072" s="21" t="n">
        <f aca="false">E1072*(1+g_bt28_A)</f>
        <v>32.758477312</v>
      </c>
      <c r="G1072" s="21" t="n">
        <f aca="false">F1072*(1+g_bt29_A)</f>
        <v>34.3964011776</v>
      </c>
      <c r="K1072" s="7" t="s">
        <v>732</v>
      </c>
    </row>
    <row r="1073" customFormat="false" ht="17.15" hidden="false" customHeight="false" outlineLevel="0" collapsed="false">
      <c r="A1073" s="3" t="s">
        <v>617</v>
      </c>
      <c r="B1073" s="0" t="s">
        <v>379</v>
      </c>
      <c r="C1073" s="21" t="n">
        <f aca="false">a25_lens</f>
        <v>7.039</v>
      </c>
      <c r="D1073" s="21" t="n">
        <f aca="false">a26_lens</f>
        <v>8.301</v>
      </c>
      <c r="E1073" s="21" t="n">
        <f aca="false">D1073*(1+g_lens)</f>
        <v>9.1311</v>
      </c>
      <c r="F1073" s="21" t="n">
        <f aca="false">E1073*(1+g_lens)</f>
        <v>10.04421</v>
      </c>
      <c r="G1073" s="21" t="n">
        <f aca="false">F1073*(1+g_lens)</f>
        <v>11.048631</v>
      </c>
      <c r="K1073" s="3" t="s">
        <v>733</v>
      </c>
    </row>
    <row r="1074" customFormat="false" ht="17.15" hidden="false" customHeight="false" outlineLevel="0" collapsed="false">
      <c r="A1074" s="3" t="s">
        <v>574</v>
      </c>
      <c r="B1074" s="0" t="s">
        <v>379</v>
      </c>
      <c r="C1074" s="23" t="n">
        <f aca="false">a25_rev</f>
        <v>39.351</v>
      </c>
      <c r="D1074" s="23" t="n">
        <f aca="false">D1067+D1072+D1073</f>
        <v>54.4258</v>
      </c>
      <c r="E1074" s="23" t="n">
        <f aca="false">E1067+E1072+E1073</f>
        <v>72.033987284</v>
      </c>
      <c r="F1074" s="23" t="n">
        <f aca="false">F1067+F1072+F1073</f>
        <v>84.1022463502375</v>
      </c>
      <c r="G1074" s="23" t="n">
        <f aca="false">G1067+G1072+G1073</f>
        <v>96.1130701345114</v>
      </c>
      <c r="H1074" s="25" t="n">
        <f aca="false">G1074*(1+H1076)</f>
        <v>107.186075216063</v>
      </c>
      <c r="I1074" s="25" t="n">
        <f aca="false">H1074*(1+I1076)</f>
        <v>116.576010002736</v>
      </c>
      <c r="J1074" s="25" t="n">
        <f aca="false">I1074*(1+J1076)</f>
        <v>123.5705706029</v>
      </c>
      <c r="K1074" s="7" t="s">
        <v>734</v>
      </c>
    </row>
    <row r="1075" customFormat="false" ht="17.15" hidden="false" customHeight="false" outlineLevel="0" collapsed="false">
      <c r="A1075" s="3" t="s">
        <v>735</v>
      </c>
      <c r="B1075" s="0" t="s">
        <v>379</v>
      </c>
      <c r="D1075" s="19" t="n">
        <f aca="false">D1067+D1072+D1073-D1074</f>
        <v>0</v>
      </c>
      <c r="E1075" s="19" t="n">
        <f aca="false">E1067+E1072+E1073-E1074</f>
        <v>0</v>
      </c>
      <c r="F1075" s="19" t="n">
        <f aca="false">F1067+F1072+F1073-F1074</f>
        <v>0</v>
      </c>
      <c r="G1075" s="19" t="n">
        <f aca="false">G1067+G1072+G1073-G1074</f>
        <v>0</v>
      </c>
    </row>
    <row r="1076" customFormat="false" ht="15" hidden="false" customHeight="false" outlineLevel="0" collapsed="false">
      <c r="A1076" s="3" t="s">
        <v>736</v>
      </c>
      <c r="B1076" s="0" t="s">
        <v>43</v>
      </c>
      <c r="D1076" s="20" t="n">
        <f aca="false">D1074/C1074-1</f>
        <v>0.383085563263958</v>
      </c>
      <c r="E1076" s="20" t="n">
        <f aca="false">E1074/D1074-1</f>
        <v>0.323526476119781</v>
      </c>
      <c r="F1076" s="20" t="n">
        <f aca="false">F1074/E1074-1</f>
        <v>0.167535624796909</v>
      </c>
      <c r="G1076" s="20" t="n">
        <f aca="false">G1074/F1074-1</f>
        <v>0.142812163830389</v>
      </c>
      <c r="H1076" s="26" t="n">
        <f aca="false">$G1076+(fade_gA-$G1076)*1/3</f>
        <v>0.115208109220259</v>
      </c>
      <c r="I1076" s="26" t="n">
        <f aca="false">$G1076+(fade_gA-$G1076)*2/3</f>
        <v>0.0876040546101297</v>
      </c>
      <c r="J1076" s="26" t="n">
        <f aca="false">$G1076+(fade_gA-$G1076)*3/3</f>
        <v>0.06</v>
      </c>
    </row>
    <row r="1077" customFormat="false" ht="17.15" hidden="false" customHeight="false" outlineLevel="0" collapsed="false">
      <c r="A1077" s="0" t="s">
        <v>737</v>
      </c>
      <c r="B1077" s="0" t="s">
        <v>43</v>
      </c>
      <c r="D1077" s="20" t="n">
        <f aca="false">D1067/D1074</f>
        <v>0.42</v>
      </c>
      <c r="E1077" s="20" t="n">
        <f aca="false">E1067/E1074</f>
        <v>0.459817019893845</v>
      </c>
      <c r="F1077" s="20" t="n">
        <f aca="false">F1067/F1074</f>
        <v>0.491063685341395</v>
      </c>
      <c r="G1077" s="20" t="n">
        <f aca="false">G1067/G1074</f>
        <v>0.527171152539409</v>
      </c>
    </row>
    <row r="1078" customFormat="false" ht="17.15" hidden="false" customHeight="false" outlineLevel="0" collapsed="false">
      <c r="A1078" s="0" t="s">
        <v>738</v>
      </c>
      <c r="B1078" s="0" t="s">
        <v>43</v>
      </c>
      <c r="D1078" s="20" t="n">
        <f aca="false">D1069/D1074</f>
        <v>0.105</v>
      </c>
      <c r="E1078" s="20" t="n">
        <f aca="false">E1069/E1074</f>
        <v>0.209710270140146</v>
      </c>
      <c r="F1078" s="20" t="n">
        <f aca="false">F1069/F1074</f>
        <v>0.257803182028047</v>
      </c>
      <c r="G1078" s="20" t="n">
        <f aca="false">G1069/G1074</f>
        <v>0.299505948897165</v>
      </c>
      <c r="K1078" s="3" t="s">
        <v>739</v>
      </c>
    </row>
    <row r="1079" customFormat="false" ht="17.15" hidden="false" customHeight="false" outlineLevel="0" collapsed="false">
      <c r="A1079" s="5" t="s">
        <v>740</v>
      </c>
    </row>
    <row r="1080" customFormat="false" ht="15" hidden="false" customHeight="false" outlineLevel="0" collapsed="false">
      <c r="A1080" s="3" t="s">
        <v>741</v>
      </c>
      <c r="B1080" s="0" t="s">
        <v>379</v>
      </c>
      <c r="C1080" s="23" t="n">
        <f aca="false">a25_cx</f>
        <v>6.116</v>
      </c>
      <c r="D1080" s="23" t="n">
        <f aca="false">capex26</f>
        <v>11</v>
      </c>
      <c r="E1080" s="23" t="n">
        <f aca="false">cx27_lo</f>
        <v>10</v>
      </c>
      <c r="F1080" s="23" t="n">
        <f aca="false">cx28_lo</f>
        <v>9</v>
      </c>
      <c r="G1080" s="23" t="n">
        <f aca="false">cx29_lo</f>
        <v>7</v>
      </c>
      <c r="H1080" s="25" t="n">
        <f aca="false">H1074*H1099</f>
        <v>9.05090751206204</v>
      </c>
      <c r="I1080" s="25" t="n">
        <f aca="false">I1074*I1099</f>
        <v>11.1972733867856</v>
      </c>
      <c r="J1080" s="25" t="n">
        <f aca="false">J1074*J1099</f>
        <v>13.3037876494842</v>
      </c>
    </row>
    <row r="1081" customFormat="false" ht="17.15" hidden="false" customHeight="false" outlineLevel="0" collapsed="false">
      <c r="A1081" s="3" t="s">
        <v>742</v>
      </c>
      <c r="B1081" s="0" t="s">
        <v>379</v>
      </c>
      <c r="C1081" s="23" t="n">
        <f aca="false">a25_da</f>
        <v>7.158</v>
      </c>
      <c r="D1081" s="23" t="n">
        <f aca="false">da26</f>
        <v>8.32</v>
      </c>
      <c r="E1081" s="23" t="n">
        <f aca="false">D1081*(1-1/life)+D1080/life</f>
        <v>8.655</v>
      </c>
      <c r="F1081" s="23" t="n">
        <f aca="false">E1081*(1-1/life)+E1080/life</f>
        <v>8.823125</v>
      </c>
      <c r="G1081" s="23" t="n">
        <f aca="false">F1081*(1-1/life)+F1080/life</f>
        <v>8.845234375</v>
      </c>
      <c r="H1081" s="25" t="n">
        <f aca="false">H1074*H1082</f>
        <v>9.86427710295379</v>
      </c>
      <c r="I1081" s="25" t="n">
        <f aca="false">I1074*I1082</f>
        <v>10.7284277729704</v>
      </c>
      <c r="J1081" s="25" t="n">
        <f aca="false">J1074*J1082</f>
        <v>11.3721334393486</v>
      </c>
      <c r="K1081" s="3" t="s">
        <v>743</v>
      </c>
    </row>
    <row r="1082" customFormat="false" ht="17.15" hidden="false" customHeight="false" outlineLevel="0" collapsed="false">
      <c r="A1082" s="3" t="s">
        <v>744</v>
      </c>
      <c r="B1082" s="0" t="s">
        <v>43</v>
      </c>
      <c r="C1082" s="20" t="n">
        <f aca="false">C1081/C1074</f>
        <v>0.181901349393916</v>
      </c>
      <c r="D1082" s="20" t="n">
        <f aca="false">D1081/D1074</f>
        <v>0.152868676252807</v>
      </c>
      <c r="E1082" s="20" t="n">
        <f aca="false">E1081/E1074</f>
        <v>0.120151616290196</v>
      </c>
      <c r="F1082" s="20" t="n">
        <f aca="false">F1081/F1074</f>
        <v>0.104909504595832</v>
      </c>
      <c r="G1082" s="20" t="n">
        <f aca="false">G1081/G1074</f>
        <v>0.0920294644903237</v>
      </c>
      <c r="H1082" s="26" t="n">
        <f aca="false">$G1082</f>
        <v>0.0920294644903237</v>
      </c>
      <c r="I1082" s="26" t="n">
        <f aca="false">$G1082</f>
        <v>0.0920294644903237</v>
      </c>
      <c r="J1082" s="26" t="n">
        <f aca="false">$G1082</f>
        <v>0.0920294644903237</v>
      </c>
    </row>
    <row r="1083" customFormat="false" ht="17.15" hidden="false" customHeight="false" outlineLevel="0" collapsed="false">
      <c r="A1083" s="0" t="s">
        <v>745</v>
      </c>
      <c r="B1083" s="0" t="s">
        <v>379</v>
      </c>
      <c r="E1083" s="21" t="n">
        <f aca="false">E1068*((E1060+E1063)*(1-1/(E1053*E1054))+E1064*(1-1/E1054))</f>
        <v>4.320320004</v>
      </c>
      <c r="F1083" s="21" t="n">
        <f aca="false">F1068*((F1060+F1063)*(1-1/(F1053*F1054))+F1064*(1-1/F1054))</f>
        <v>4.39459572238805</v>
      </c>
      <c r="G1083" s="21" t="n">
        <f aca="false">G1068*((G1060+G1063)*(1-1/(G1053*G1054))+G1064*(1-1/G1054))</f>
        <v>3.827576325582</v>
      </c>
      <c r="K1083" s="7" t="s">
        <v>746</v>
      </c>
    </row>
    <row r="1084" customFormat="false" ht="17.15" hidden="false" customHeight="false" outlineLevel="0" collapsed="false">
      <c r="A1084" s="3" t="s">
        <v>747</v>
      </c>
      <c r="B1084" s="0" t="s">
        <v>379</v>
      </c>
      <c r="C1084" s="21" t="n">
        <f aca="false">a25_gp</f>
        <v>8.314</v>
      </c>
      <c r="D1084" s="21" t="n">
        <f aca="false">a26_gp</f>
        <v>15.328536</v>
      </c>
      <c r="E1084" s="21" t="n">
        <f aca="false">$D1084+ft_abf*(E1067-E1083-$D1067)+ft_bt*(E1072-$D1072)+ft_lens*(E1073-$D1073)+E1083-(E1081-$D1081)</f>
        <v>25.590561148</v>
      </c>
      <c r="F1084" s="21" t="n">
        <f aca="false">$D1084+ft_abf*(F1067-F1083-$D1067)+ft_bt*(F1072-$D1072)+ft_lens*(F1073-$D1073)+F1083-(F1081-$D1081)</f>
        <v>31.2991458707128</v>
      </c>
      <c r="G1084" s="21" t="n">
        <f aca="false">$D1084+ft_abf*(G1067-G1083-$D1067)+ft_bt*(G1072-$D1072)+ft_lens*(G1073-$D1073)+G1083-(G1081-$D1081)</f>
        <v>36.8668214461667</v>
      </c>
      <c r="K1084" s="3" t="s">
        <v>748</v>
      </c>
    </row>
    <row r="1085" customFormat="false" ht="15" hidden="false" customHeight="false" outlineLevel="0" collapsed="false">
      <c r="A1085" s="3" t="s">
        <v>581</v>
      </c>
      <c r="B1085" s="0" t="s">
        <v>43</v>
      </c>
      <c r="C1085" s="16" t="n">
        <f aca="false">C1084/C1074</f>
        <v>0.211277985311682</v>
      </c>
      <c r="D1085" s="16" t="n">
        <f aca="false">D1084/D1074</f>
        <v>0.281640986443929</v>
      </c>
      <c r="E1085" s="16" t="n">
        <f aca="false">E1084/E1074</f>
        <v>0.3552567629931</v>
      </c>
      <c r="F1085" s="16" t="n">
        <f aca="false">F1084/F1074</f>
        <v>0.372155884402538</v>
      </c>
      <c r="G1085" s="16" t="n">
        <f aca="false">G1084/G1074</f>
        <v>0.383577607026507</v>
      </c>
    </row>
    <row r="1086" customFormat="false" ht="15" hidden="false" customHeight="false" outlineLevel="0" collapsed="false">
      <c r="A1086" s="3" t="s">
        <v>583</v>
      </c>
      <c r="B1086" s="0" t="s">
        <v>379</v>
      </c>
      <c r="C1086" s="21" t="n">
        <f aca="false">a25_opx</f>
        <v>5.644</v>
      </c>
      <c r="D1086" s="21" t="n">
        <f aca="false">a26_opx</f>
        <v>6.54036</v>
      </c>
      <c r="E1086" s="21" t="n">
        <f aca="false">D1086*(1+phi*E1076)</f>
        <v>7.80994777401287</v>
      </c>
      <c r="F1086" s="21" t="n">
        <f aca="false">E1086*(1+phi*F1076)</f>
        <v>8.59501446198315</v>
      </c>
      <c r="G1086" s="21" t="n">
        <f aca="false">F1086*(1+phi*G1076)</f>
        <v>9.33149803006473</v>
      </c>
    </row>
    <row r="1087" customFormat="false" ht="15" hidden="false" customHeight="false" outlineLevel="0" collapsed="false">
      <c r="A1087" s="3" t="s">
        <v>586</v>
      </c>
      <c r="B1087" s="0" t="s">
        <v>379</v>
      </c>
      <c r="C1087" s="21" t="n">
        <f aca="false">C1084-C1086</f>
        <v>2.67</v>
      </c>
      <c r="D1087" s="21" t="n">
        <f aca="false">D1084-D1086</f>
        <v>8.788176</v>
      </c>
      <c r="E1087" s="21" t="n">
        <f aca="false">E1084-E1086</f>
        <v>17.7806133739871</v>
      </c>
      <c r="F1087" s="21" t="n">
        <f aca="false">F1084-F1086</f>
        <v>22.7041314087296</v>
      </c>
      <c r="G1087" s="21" t="n">
        <f aca="false">G1084-G1086</f>
        <v>27.535323416102</v>
      </c>
    </row>
    <row r="1088" customFormat="false" ht="15" hidden="false" customHeight="false" outlineLevel="0" collapsed="false">
      <c r="A1088" s="3" t="s">
        <v>684</v>
      </c>
      <c r="B1088" s="0" t="s">
        <v>43</v>
      </c>
      <c r="C1088" s="16" t="n">
        <f aca="false">C1087/C1074</f>
        <v>0.0678508805367081</v>
      </c>
      <c r="D1088" s="16" t="n">
        <f aca="false">D1087/D1074</f>
        <v>0.161470773052486</v>
      </c>
      <c r="E1088" s="16" t="n">
        <f aca="false">E1087/E1074</f>
        <v>0.246836445466854</v>
      </c>
      <c r="F1088" s="16" t="n">
        <f aca="false">F1087/F1074</f>
        <v>0.269958679987928</v>
      </c>
      <c r="G1088" s="16" t="n">
        <f aca="false">G1087/G1074</f>
        <v>0.286488855028415</v>
      </c>
    </row>
    <row r="1089" customFormat="false" ht="15" hidden="false" customHeight="false" outlineLevel="0" collapsed="false">
      <c r="A1089" s="3" t="s">
        <v>589</v>
      </c>
      <c r="B1089" s="0" t="s">
        <v>379</v>
      </c>
      <c r="C1089" s="21" t="n">
        <f aca="false">a25_nonop</f>
        <v>0.417</v>
      </c>
      <c r="D1089" s="21" t="n">
        <f aca="false">a26_nonop</f>
        <v>0.37882</v>
      </c>
      <c r="E1089" s="21" t="n">
        <f aca="false">nonop27</f>
        <v>0.4</v>
      </c>
      <c r="F1089" s="21" t="n">
        <f aca="false">nonop28</f>
        <v>0.4</v>
      </c>
      <c r="G1089" s="21" t="n">
        <f aca="false">nonop29</f>
        <v>0.4</v>
      </c>
    </row>
    <row r="1090" customFormat="false" ht="15" hidden="false" customHeight="false" outlineLevel="0" collapsed="false">
      <c r="A1090" s="3" t="s">
        <v>591</v>
      </c>
      <c r="B1090" s="0" t="s">
        <v>379</v>
      </c>
      <c r="C1090" s="21" t="n">
        <f aca="false">C1087+C1089</f>
        <v>3.087</v>
      </c>
      <c r="D1090" s="21" t="n">
        <f aca="false">D1087+D1089</f>
        <v>9.166996</v>
      </c>
      <c r="E1090" s="21" t="n">
        <f aca="false">E1087+E1089</f>
        <v>18.1806133739871</v>
      </c>
      <c r="F1090" s="21" t="n">
        <f aca="false">F1087+F1089</f>
        <v>23.1041314087296</v>
      </c>
      <c r="G1090" s="21" t="n">
        <f aca="false">G1087+G1089</f>
        <v>27.935323416102</v>
      </c>
    </row>
    <row r="1091" customFormat="false" ht="15" hidden="false" customHeight="false" outlineLevel="0" collapsed="false">
      <c r="A1091" s="3" t="s">
        <v>592</v>
      </c>
      <c r="B1091" s="0" t="s">
        <v>379</v>
      </c>
      <c r="E1091" s="21" t="n">
        <f aca="false">E1090*tax</f>
        <v>2.18167360487846</v>
      </c>
      <c r="F1091" s="21" t="n">
        <f aca="false">F1090*tax</f>
        <v>2.77249576904756</v>
      </c>
      <c r="G1091" s="21" t="n">
        <f aca="false">G1090*tax</f>
        <v>3.35223880993223</v>
      </c>
    </row>
    <row r="1092" customFormat="false" ht="15" hidden="false" customHeight="false" outlineLevel="0" collapsed="false">
      <c r="A1092" s="3" t="s">
        <v>593</v>
      </c>
      <c r="B1092" s="0" t="s">
        <v>379</v>
      </c>
      <c r="C1092" s="21" t="n">
        <f aca="false">a25_nic</f>
        <v>2.71712</v>
      </c>
      <c r="D1092" s="21" t="n">
        <f aca="false">a26_nic</f>
        <v>8.39979776</v>
      </c>
      <c r="E1092" s="21" t="n">
        <f aca="false">E1090-E1091</f>
        <v>15.9989397691087</v>
      </c>
      <c r="F1092" s="21" t="n">
        <f aca="false">F1090-F1091</f>
        <v>20.3316356396821</v>
      </c>
      <c r="G1092" s="21" t="n">
        <f aca="false">G1090-G1091</f>
        <v>24.5830846061697</v>
      </c>
    </row>
    <row r="1093" customFormat="false" ht="17.15" hidden="false" customHeight="false" outlineLevel="0" collapsed="false">
      <c r="A1093" s="3" t="s">
        <v>749</v>
      </c>
      <c r="B1093" s="0" t="s">
        <v>379</v>
      </c>
      <c r="C1093" s="21" t="n">
        <f aca="false">a25_nci</f>
        <v>1.12112</v>
      </c>
      <c r="D1093" s="21" t="n">
        <f aca="false">a26_nci</f>
        <v>1.43839238487797</v>
      </c>
      <c r="E1093" s="21" t="n">
        <f aca="false">E1073*nm_lens*nci_sh</f>
        <v>1.57074538036261</v>
      </c>
      <c r="F1093" s="21" t="n">
        <f aca="false">F1073*nm_lens*nci_sh</f>
        <v>1.72781991839887</v>
      </c>
      <c r="G1093" s="21" t="n">
        <f aca="false">G1073*nm_lens*nci_sh</f>
        <v>1.90060191023875</v>
      </c>
      <c r="K1093" s="3" t="s">
        <v>750</v>
      </c>
    </row>
    <row r="1094" customFormat="false" ht="15" hidden="false" customHeight="false" outlineLevel="0" collapsed="false">
      <c r="A1094" s="3" t="s">
        <v>599</v>
      </c>
      <c r="B1094" s="0" t="s">
        <v>379</v>
      </c>
      <c r="C1094" s="21" t="n">
        <f aca="false">a25_ni</f>
        <v>1.596</v>
      </c>
      <c r="D1094" s="21" t="n">
        <f aca="false">a26_ni</f>
        <v>6.96140537512203</v>
      </c>
      <c r="E1094" s="21" t="n">
        <f aca="false">E1092-E1093</f>
        <v>14.4281943887461</v>
      </c>
      <c r="F1094" s="21" t="n">
        <f aca="false">F1092-F1093</f>
        <v>18.6038157212832</v>
      </c>
      <c r="G1094" s="21" t="n">
        <f aca="false">G1092-G1093</f>
        <v>22.682482695931</v>
      </c>
      <c r="H1094" s="30" t="n">
        <f aca="false">H1074*H1098</f>
        <v>24.7589947371882</v>
      </c>
      <c r="I1094" s="30" t="n">
        <f aca="false">I1074*I1098</f>
        <v>26.3442725997255</v>
      </c>
      <c r="J1094" s="30" t="n">
        <f aca="false">J1074*J1098</f>
        <v>27.3061958633271</v>
      </c>
    </row>
    <row r="1095" customFormat="false" ht="15" hidden="false" customHeight="false" outlineLevel="0" collapsed="false">
      <c r="A1095" s="3" t="s">
        <v>751</v>
      </c>
      <c r="B1095" s="3" t="s">
        <v>465</v>
      </c>
      <c r="C1095" s="29" t="n">
        <f aca="false">a25_sh</f>
        <v>0.454700854700855</v>
      </c>
      <c r="D1095" s="29" t="n">
        <f aca="false">a26_sh</f>
        <v>0.508341020486215</v>
      </c>
      <c r="E1095" s="29" t="n">
        <f aca="false">a26_shend*(1+sh_g)</f>
        <v>0.52691</v>
      </c>
      <c r="F1095" s="29" t="n">
        <f aca="false">E1095*(1+sh_g)</f>
        <v>0.52691</v>
      </c>
      <c r="G1095" s="29" t="n">
        <f aca="false">F1095*(1+sh_g)</f>
        <v>0.52691</v>
      </c>
      <c r="H1095" s="31" t="n">
        <f aca="false">G1095*(1+sh_g)</f>
        <v>0.52691</v>
      </c>
      <c r="I1095" s="31" t="n">
        <f aca="false">H1095*(1+sh_g)</f>
        <v>0.52691</v>
      </c>
      <c r="J1095" s="31" t="n">
        <f aca="false">I1095*(1+sh_g)</f>
        <v>0.52691</v>
      </c>
    </row>
    <row r="1096" customFormat="false" ht="17.15" hidden="false" customHeight="false" outlineLevel="0" collapsed="false">
      <c r="A1096" s="0" t="s">
        <v>604</v>
      </c>
      <c r="B1096" s="0" t="s">
        <v>471</v>
      </c>
      <c r="C1096" s="18" t="n">
        <f aca="false">C1094/C1095</f>
        <v>3.51</v>
      </c>
      <c r="D1096" s="18" t="n">
        <f aca="false">D1094/D1095</f>
        <v>13.6943608612652</v>
      </c>
      <c r="E1096" s="18" t="n">
        <f aca="false">E1094/E1095</f>
        <v>27.3826543218881</v>
      </c>
      <c r="F1096" s="18" t="n">
        <f aca="false">F1094/F1095</f>
        <v>35.3073878295785</v>
      </c>
      <c r="G1096" s="18" t="n">
        <f aca="false">G1094/G1095</f>
        <v>43.0481157995312</v>
      </c>
      <c r="H1096" s="28" t="n">
        <f aca="false">H1094/H1095</f>
        <v>46.9890393752029</v>
      </c>
      <c r="I1096" s="28" t="n">
        <f aca="false">I1094/I1095</f>
        <v>49.9976705694056</v>
      </c>
      <c r="J1096" s="28" t="n">
        <f aca="false">J1094/J1095</f>
        <v>51.8232636756317</v>
      </c>
    </row>
    <row r="1097" customFormat="false" ht="17.15" hidden="false" customHeight="false" outlineLevel="0" collapsed="false">
      <c r="A1097" s="0" t="s">
        <v>752</v>
      </c>
      <c r="B1097" s="0" t="s">
        <v>43</v>
      </c>
      <c r="D1097" s="20" t="n">
        <f aca="false">D1096/C1096-1</f>
        <v>2.90152731090177</v>
      </c>
      <c r="E1097" s="20" t="n">
        <f aca="false">E1096/D1096-1</f>
        <v>0.999556941670828</v>
      </c>
      <c r="F1097" s="20" t="n">
        <f aca="false">F1096/E1096-1</f>
        <v>0.289407060927465</v>
      </c>
      <c r="G1097" s="20" t="n">
        <f aca="false">G1096/F1096-1</f>
        <v>0.219238194774293</v>
      </c>
      <c r="H1097" s="26" t="n">
        <f aca="false">H1096/G1096-1</f>
        <v>0.0915469470028394</v>
      </c>
      <c r="I1097" s="26" t="n">
        <f aca="false">I1096/H1096-1</f>
        <v>0.0640283613840029</v>
      </c>
      <c r="J1097" s="26" t="n">
        <f aca="false">J1096/I1096-1</f>
        <v>0.0365135632407496</v>
      </c>
    </row>
    <row r="1098" customFormat="false" ht="17.15" hidden="false" customHeight="false" outlineLevel="0" collapsed="false">
      <c r="A1098" s="3" t="s">
        <v>753</v>
      </c>
      <c r="B1098" s="0" t="s">
        <v>43</v>
      </c>
      <c r="C1098" s="16" t="n">
        <f aca="false">C1094/C1074</f>
        <v>0.0405580544331783</v>
      </c>
      <c r="D1098" s="16" t="n">
        <f aca="false">D1094/D1074</f>
        <v>0.127906349105057</v>
      </c>
      <c r="E1098" s="16" t="n">
        <f aca="false">E1094/E1074</f>
        <v>0.20029703939422</v>
      </c>
      <c r="F1098" s="16" t="n">
        <f aca="false">F1094/F1074</f>
        <v>0.221204742187373</v>
      </c>
      <c r="G1098" s="16" t="n">
        <f aca="false">G1094/G1074</f>
        <v>0.235997899808908</v>
      </c>
      <c r="H1098" s="27" t="n">
        <f aca="false">$G1098+(fade_mA-$G1098)*1/3</f>
        <v>0.230990776435089</v>
      </c>
      <c r="I1098" s="27" t="n">
        <f aca="false">$G1098+(fade_mA-$G1098)*2/3</f>
        <v>0.22598365306127</v>
      </c>
      <c r="J1098" s="27" t="n">
        <f aca="false">$G1098+(fade_mA-$G1098)*3/3</f>
        <v>0.220976529687452</v>
      </c>
    </row>
    <row r="1099" customFormat="false" ht="17.15" hidden="false" customHeight="false" outlineLevel="0" collapsed="false">
      <c r="A1099" s="3" t="s">
        <v>754</v>
      </c>
      <c r="B1099" s="0" t="s">
        <v>43</v>
      </c>
      <c r="C1099" s="20" t="n">
        <f aca="false">C1080/C1074</f>
        <v>0.155421717364235</v>
      </c>
      <c r="D1099" s="20" t="n">
        <f aca="false">D1080/D1074</f>
        <v>0.202110028699624</v>
      </c>
      <c r="E1099" s="20" t="n">
        <f aca="false">E1080/E1074</f>
        <v>0.138823357932057</v>
      </c>
      <c r="F1099" s="20" t="n">
        <f aca="false">F1080/F1074</f>
        <v>0.107012599431889</v>
      </c>
      <c r="G1099" s="20" t="n">
        <f aca="false">G1080/G1074</f>
        <v>0.0728308854373647</v>
      </c>
      <c r="H1099" s="26" t="n">
        <f aca="false">$G1099+($G1082*(1+tp_g)^(life/2)-$G1099)*1/3</f>
        <v>0.0844410758936502</v>
      </c>
      <c r="I1099" s="26" t="n">
        <f aca="false">$G1099+($G1082*(1+tp_g)^(life/2)-$G1099)*2/3</f>
        <v>0.0960512663499357</v>
      </c>
      <c r="J1099" s="26" t="n">
        <f aca="false">$G1099+($G1082*(1+tp_g)^(life/2)-$G1099)*3/3</f>
        <v>0.107661456806221</v>
      </c>
      <c r="K1099" s="7" t="s">
        <v>755</v>
      </c>
    </row>
    <row r="1100" customFormat="false" ht="15" hidden="false" customHeight="false" outlineLevel="0" collapsed="false">
      <c r="A1100" s="3" t="s">
        <v>756</v>
      </c>
      <c r="B1100" s="0" t="s">
        <v>379</v>
      </c>
      <c r="D1100" s="21" t="n">
        <f aca="false">D1094+D1081-D1080</f>
        <v>4.28140537512203</v>
      </c>
      <c r="E1100" s="21" t="n">
        <f aca="false">E1094+E1081-E1080</f>
        <v>13.0831943887461</v>
      </c>
      <c r="F1100" s="21" t="n">
        <f aca="false">F1094+F1081-F1080</f>
        <v>18.4269407212832</v>
      </c>
      <c r="G1100" s="21" t="n">
        <f aca="false">G1094+G1081-G1080</f>
        <v>24.527717070931</v>
      </c>
      <c r="H1100" s="30" t="n">
        <f aca="false">H1094+H1081-H1080</f>
        <v>25.5723643280799</v>
      </c>
      <c r="I1100" s="30" t="n">
        <f aca="false">I1094+I1081-I1080</f>
        <v>25.8754269859103</v>
      </c>
      <c r="J1100" s="30" t="n">
        <f aca="false">J1094+J1081-J1080</f>
        <v>25.3745416531915</v>
      </c>
      <c r="K1100" s="3" t="s">
        <v>757</v>
      </c>
    </row>
    <row r="1101" customFormat="false" ht="15" hidden="false" customHeight="false" outlineLevel="0" collapsed="false">
      <c r="A1101" s="3" t="s">
        <v>758</v>
      </c>
      <c r="B1101" s="0" t="s">
        <v>471</v>
      </c>
      <c r="D1101" s="18" t="n">
        <f aca="false">D1100/D1095</f>
        <v>8.42230943909854</v>
      </c>
      <c r="E1101" s="18" t="n">
        <f aca="false">E1100/E1095</f>
        <v>24.8300362277164</v>
      </c>
      <c r="F1101" s="18" t="n">
        <f aca="false">F1100/F1095</f>
        <v>34.971704316265</v>
      </c>
      <c r="G1101" s="18" t="n">
        <f aca="false">G1100/G1095</f>
        <v>46.5501073635554</v>
      </c>
      <c r="H1101" s="28" t="n">
        <f aca="false">H1100/H1095</f>
        <v>48.5326988063994</v>
      </c>
      <c r="I1101" s="28" t="n">
        <f aca="false">I1100/I1095</f>
        <v>49.1078684897047</v>
      </c>
      <c r="J1101" s="28" t="n">
        <f aca="false">J1100/J1095</f>
        <v>48.1572595949811</v>
      </c>
    </row>
    <row r="1104" customFormat="false" ht="17.15" hidden="false" customHeight="false" outlineLevel="0" collapsed="false">
      <c r="A1104" s="1" t="s">
        <v>1110</v>
      </c>
    </row>
    <row r="1105" customFormat="false" ht="17.15" hidden="false" customHeight="false" outlineLevel="0" collapsed="false">
      <c r="A1105" s="4" t="s">
        <v>20</v>
      </c>
      <c r="B1105" s="4" t="s">
        <v>21</v>
      </c>
      <c r="C1105" s="13" t="s">
        <v>567</v>
      </c>
      <c r="D1105" s="13" t="s">
        <v>671</v>
      </c>
      <c r="E1105" s="13" t="s">
        <v>672</v>
      </c>
      <c r="F1105" s="13" t="s">
        <v>673</v>
      </c>
      <c r="G1105" s="13" t="s">
        <v>674</v>
      </c>
      <c r="H1105" s="13" t="s">
        <v>675</v>
      </c>
      <c r="I1105" s="13" t="s">
        <v>676</v>
      </c>
      <c r="J1105" s="13" t="s">
        <v>677</v>
      </c>
      <c r="K1105" s="4" t="s">
        <v>631</v>
      </c>
    </row>
    <row r="1106" customFormat="false" ht="17.15" hidden="false" customHeight="false" outlineLevel="0" collapsed="false">
      <c r="A1106" s="5" t="s">
        <v>695</v>
      </c>
    </row>
    <row r="1107" customFormat="false" ht="17.15" hidden="false" customHeight="false" outlineLevel="0" collapsed="false">
      <c r="A1107" s="0" t="s">
        <v>696</v>
      </c>
      <c r="B1107" s="3" t="s">
        <v>31</v>
      </c>
      <c r="D1107" s="21" t="n">
        <f aca="false">(u_bw_26+u_rb_26+u_ru_26+u_hp_26)*1</f>
        <v>7.6</v>
      </c>
      <c r="E1107" s="21" t="n">
        <f aca="false">(u_bw_27+u_rb_27+u_ru_27+u_hp_27)*1*1</f>
        <v>9.7</v>
      </c>
      <c r="F1107" s="21" t="n">
        <f aca="false">(u_bw_28+u_rb_28+u_ru_28+u_hp_28)*um28_A*1</f>
        <v>9.5</v>
      </c>
      <c r="G1107" s="21" t="n">
        <f aca="false">(u_bw_28*(1+g29_bw)+u_rb_28*(1+g29_rb)+u_ru_28*(1+g29_ru)+u_hp_28*(1+g29_hp))*um29_A*1</f>
        <v>10.6</v>
      </c>
      <c r="K1107" s="7" t="s">
        <v>697</v>
      </c>
    </row>
    <row r="1108" customFormat="false" ht="17.15" hidden="false" customHeight="false" outlineLevel="0" collapsed="false">
      <c r="A1108" s="3" t="s">
        <v>698</v>
      </c>
      <c r="B1108" s="3" t="s">
        <v>31</v>
      </c>
      <c r="D1108" s="21" t="n">
        <f aca="false">(u_amd_26+u_tpu_26+u_trn_26+u_oth_26)*1</f>
        <v>7.6</v>
      </c>
      <c r="E1108" s="21" t="n">
        <f aca="false">(u_amd_27+u_tpu_27+u_trn_27+u_oth_27)*1*1</f>
        <v>14</v>
      </c>
      <c r="F1108" s="21" t="n">
        <f aca="false">(u_amd_28+u_tpu_28+u_trn_28+u_oth_28)*um28_A*1</f>
        <v>17</v>
      </c>
      <c r="G1108" s="21" t="n">
        <f aca="false">(u_amd_28*(1+g29_amd)+u_tpu_28*(1+g29_tpu)+u_trn_28*(1+g29_trn)+u_oth_28*(1+g29_oth))*um29_A*1</f>
        <v>19.55</v>
      </c>
      <c r="K1108" s="7" t="s">
        <v>699</v>
      </c>
    </row>
    <row r="1109" customFormat="false" ht="17.15" hidden="false" customHeight="false" outlineLevel="0" collapsed="false">
      <c r="A1109" s="0" t="s">
        <v>700</v>
      </c>
      <c r="B1109" s="3" t="s">
        <v>31</v>
      </c>
      <c r="D1109" s="21" t="n">
        <f aca="false">D1107*cpu_r</f>
        <v>3.04</v>
      </c>
      <c r="E1109" s="21" t="n">
        <f aca="false">E1107*cpu_r</f>
        <v>3.88</v>
      </c>
      <c r="F1109" s="21" t="n">
        <f aca="false">F1107*cpu_r</f>
        <v>3.8</v>
      </c>
      <c r="G1109" s="21" t="n">
        <f aca="false">G1107*cpu_r</f>
        <v>4.24</v>
      </c>
      <c r="K1109" s="7" t="s">
        <v>701</v>
      </c>
    </row>
    <row r="1110" customFormat="false" ht="17.15" hidden="false" customHeight="false" outlineLevel="0" collapsed="false">
      <c r="A1110" s="3" t="s">
        <v>702</v>
      </c>
      <c r="B1110" s="0" t="s">
        <v>153</v>
      </c>
      <c r="D1110" s="19" t="n">
        <f aca="false">1</f>
        <v>1</v>
      </c>
      <c r="E1110" s="19" t="n">
        <f aca="false">D1110*(1+g_asp)</f>
        <v>1.18</v>
      </c>
      <c r="F1110" s="19" t="n">
        <f aca="false">E1110*(1+g_asp)</f>
        <v>1.3924</v>
      </c>
      <c r="G1110" s="19" t="n">
        <f aca="false">F1110*(1+g_asp)</f>
        <v>1.643032</v>
      </c>
      <c r="K1110" s="7" t="s">
        <v>703</v>
      </c>
    </row>
    <row r="1111" customFormat="false" ht="17.15" hidden="false" customHeight="false" outlineLevel="0" collapsed="false">
      <c r="A1111" s="0" t="s">
        <v>704</v>
      </c>
      <c r="B1111" s="0" t="s">
        <v>153</v>
      </c>
      <c r="D1111" s="18" t="n">
        <f aca="false">1</f>
        <v>1</v>
      </c>
      <c r="E1111" s="18" t="n">
        <f aca="false">ibpp_27</f>
        <v>1</v>
      </c>
      <c r="F1111" s="18" t="n">
        <f aca="false">ibpp_28</f>
        <v>0.95</v>
      </c>
      <c r="G1111" s="18" t="n">
        <f aca="false">ibpp_29</f>
        <v>0.9</v>
      </c>
      <c r="K1111" s="7" t="s">
        <v>705</v>
      </c>
    </row>
    <row r="1112" customFormat="false" ht="17.15" hidden="false" customHeight="false" outlineLevel="0" collapsed="false">
      <c r="A1112" s="3" t="s">
        <v>706</v>
      </c>
      <c r="B1112" s="0" t="s">
        <v>153</v>
      </c>
      <c r="D1112" s="18" t="n">
        <f aca="false">1</f>
        <v>1</v>
      </c>
      <c r="E1112" s="18" t="n">
        <f aca="false">1+carry</f>
        <v>1.15</v>
      </c>
      <c r="F1112" s="18" t="n">
        <f aca="false">1+carry</f>
        <v>1.15</v>
      </c>
      <c r="G1112" s="18" t="n">
        <f aca="false">1+carry</f>
        <v>1.15</v>
      </c>
      <c r="K1112" s="7" t="s">
        <v>707</v>
      </c>
    </row>
    <row r="1113" customFormat="false" ht="17.15" hidden="false" customHeight="false" outlineLevel="0" collapsed="false">
      <c r="A1113" s="3" t="s">
        <v>708</v>
      </c>
      <c r="B1113" s="0" t="s">
        <v>709</v>
      </c>
      <c r="D1113" s="23" t="n">
        <f aca="false">v26*D1110*D1111</f>
        <v>215.308596</v>
      </c>
      <c r="E1113" s="23" t="n">
        <f aca="false">v26*E1110*E1111</f>
        <v>254.06414328</v>
      </c>
      <c r="F1113" s="23" t="n">
        <f aca="false">v26*F1110*F1111</f>
        <v>284.80590461688</v>
      </c>
      <c r="G1113" s="23" t="n">
        <f aca="false">v26*G1110*G1111</f>
        <v>318.383021792765</v>
      </c>
      <c r="K1113" s="7" t="s">
        <v>710</v>
      </c>
    </row>
    <row r="1114" customFormat="false" ht="17.15" hidden="false" customHeight="false" outlineLevel="0" collapsed="false">
      <c r="A1114" s="3" t="s">
        <v>711</v>
      </c>
      <c r="B1114" s="0" t="s">
        <v>43</v>
      </c>
      <c r="D1114" s="20" t="n">
        <f aca="false">sh_nv_26</f>
        <v>0.02</v>
      </c>
      <c r="E1114" s="20" t="n">
        <f aca="false">sh_nv_27</f>
        <v>0.03</v>
      </c>
      <c r="F1114" s="20" t="n">
        <f aca="false">sh_nv_28</f>
        <v>0.05</v>
      </c>
      <c r="G1114" s="20" t="n">
        <f aca="false">sh_nv_29</f>
        <v>0.06</v>
      </c>
    </row>
    <row r="1115" customFormat="false" ht="17.15" hidden="false" customHeight="false" outlineLevel="0" collapsed="false">
      <c r="A1115" s="3" t="s">
        <v>712</v>
      </c>
      <c r="B1115" s="0" t="s">
        <v>43</v>
      </c>
      <c r="D1115" s="20" t="n">
        <f aca="false">sh_ot_26</f>
        <v>0.03</v>
      </c>
      <c r="E1115" s="20" t="n">
        <f aca="false">sh_ot_27</f>
        <v>0.05</v>
      </c>
      <c r="F1115" s="20" t="n">
        <f aca="false">sh_ot_28</f>
        <v>0.06</v>
      </c>
      <c r="G1115" s="20" t="n">
        <f aca="false">sh_ot_29</f>
        <v>0.06</v>
      </c>
    </row>
    <row r="1116" customFormat="false" ht="17.15" hidden="false" customHeight="false" outlineLevel="0" collapsed="false">
      <c r="A1116" s="3" t="s">
        <v>713</v>
      </c>
      <c r="B1116" s="0" t="s">
        <v>43</v>
      </c>
      <c r="D1116" s="20" t="n">
        <f aca="false">sh_cpu_26</f>
        <v>0.35</v>
      </c>
      <c r="E1116" s="20" t="n">
        <f aca="false">sh_cpu_27</f>
        <v>0.7</v>
      </c>
      <c r="F1116" s="20" t="n">
        <f aca="false">sh_cpu_28</f>
        <v>0.75</v>
      </c>
      <c r="G1116" s="20" t="n">
        <f aca="false">sh_cpu_29</f>
        <v>0.7</v>
      </c>
    </row>
    <row r="1117" customFormat="false" ht="17.15" hidden="false" customHeight="false" outlineLevel="0" collapsed="false">
      <c r="A1117" s="3" t="s">
        <v>714</v>
      </c>
      <c r="B1117" s="0" t="s">
        <v>661</v>
      </c>
      <c r="D1117" s="22" t="n">
        <f aca="false">(D1107*D1113*D1114+D1108*D1113*v_ot*D1115+D1109*D1113*v_cpu*D1116)*D1112</f>
        <v>140.7256983456</v>
      </c>
      <c r="E1117" s="22" t="n">
        <f aca="false">(E1107*E1113*E1114+E1108*E1113*v_ot*E1115+E1109*E1113*v_cpu*E1116)*E1112</f>
        <v>486.703057357198</v>
      </c>
      <c r="F1117" s="22" t="n">
        <f aca="false">(F1107*F1113*F1114+F1108*F1113*v_ot*F1115+F1109*F1113*v_cpu*F1116)*F1112</f>
        <v>702.872492003998</v>
      </c>
      <c r="G1117" s="22" t="n">
        <f aca="false">(G1107*G1113*G1114+G1108*G1113*v_ot*G1115+G1109*G1113*v_cpu*G1116)*G1112</f>
        <v>902.463042932027</v>
      </c>
    </row>
    <row r="1118" customFormat="false" ht="17.15" hidden="false" customHeight="false" outlineLevel="0" collapsed="false">
      <c r="A1118" s="3" t="s">
        <v>715</v>
      </c>
      <c r="B1118" s="0" t="s">
        <v>379</v>
      </c>
      <c r="D1118" s="21" t="n">
        <f aca="false">D1117*fx/1000</f>
        <v>4.5032223470592</v>
      </c>
      <c r="E1118" s="21" t="n">
        <f aca="false">E1117*fx/1000</f>
        <v>15.5744978354303</v>
      </c>
      <c r="F1118" s="21" t="n">
        <f aca="false">F1117*fx/1000</f>
        <v>22.4919197441279</v>
      </c>
      <c r="G1118" s="21" t="n">
        <f aca="false">G1117*fx/1000</f>
        <v>28.8788173738249</v>
      </c>
    </row>
    <row r="1119" customFormat="false" ht="17.15" hidden="false" customHeight="false" outlineLevel="0" collapsed="false">
      <c r="A1119" s="5" t="s">
        <v>716</v>
      </c>
    </row>
    <row r="1120" customFormat="false" ht="17.15" hidden="false" customHeight="false" outlineLevel="0" collapsed="false">
      <c r="A1120" s="0" t="s">
        <v>717</v>
      </c>
      <c r="B1120" s="0" t="s">
        <v>379</v>
      </c>
      <c r="D1120" s="21" t="n">
        <f aca="false">a26_abf*ai_abf</f>
        <v>5.714709</v>
      </c>
      <c r="K1120" s="3" t="s">
        <v>718</v>
      </c>
    </row>
    <row r="1121" customFormat="false" ht="17.15" hidden="false" customHeight="false" outlineLevel="0" collapsed="false">
      <c r="A1121" s="3" t="s">
        <v>719</v>
      </c>
      <c r="B1121" s="0" t="s">
        <v>379</v>
      </c>
      <c r="D1121" s="21" t="n">
        <f aca="false">D1120-D1118</f>
        <v>1.2114866529408</v>
      </c>
      <c r="E1121" s="21" t="n">
        <f aca="false">$D1121*(swm_27/swm_26)^el_o*1*1*E1111*E1112</f>
        <v>1.94870016016792</v>
      </c>
      <c r="F1121" s="21" t="n">
        <f aca="false">$D1121*(swm_28/swm_26)^el_o*um28_A*1*F1111*F1112</f>
        <v>1.99149622299173</v>
      </c>
      <c r="G1121" s="21" t="n">
        <f aca="false">$D1121*(swm_29/swm_26)^el_o*um29_A*1*G1111*G1112</f>
        <v>2.01272596640355</v>
      </c>
      <c r="K1121" s="7" t="s">
        <v>720</v>
      </c>
    </row>
    <row r="1122" customFormat="false" ht="17.15" hidden="false" customHeight="false" outlineLevel="0" collapsed="false">
      <c r="A1122" s="3" t="s">
        <v>721</v>
      </c>
      <c r="B1122" s="0" t="s">
        <v>379</v>
      </c>
      <c r="D1122" s="21" t="n">
        <f aca="false">a26_abf-D1120</f>
        <v>17.144127</v>
      </c>
      <c r="E1122" s="21" t="n">
        <f aca="false">$D1122*(1+g_nai)^1*E1112</f>
        <v>20.898690813</v>
      </c>
      <c r="F1122" s="21" t="n">
        <f aca="false">$D1122*(1+g_nai)^2*F1112</f>
        <v>22.15261226178</v>
      </c>
      <c r="G1122" s="21" t="n">
        <f aca="false">$D1122*(1+g_nai)^3*G1112</f>
        <v>23.4817689974868</v>
      </c>
      <c r="K1122" s="3" t="s">
        <v>722</v>
      </c>
    </row>
    <row r="1123" customFormat="false" ht="17.15" hidden="false" customHeight="false" outlineLevel="0" collapsed="false">
      <c r="A1123" s="0" t="s">
        <v>723</v>
      </c>
      <c r="B1123" s="0" t="s">
        <v>379</v>
      </c>
      <c r="D1123" s="21" t="n">
        <f aca="false">D1118+D1121+D1122</f>
        <v>22.858836</v>
      </c>
      <c r="E1123" s="21" t="n">
        <f aca="false">E1118+E1121+E1122</f>
        <v>38.4218888085982</v>
      </c>
      <c r="F1123" s="21" t="n">
        <f aca="false">F1118+F1121+F1122</f>
        <v>46.6360282288997</v>
      </c>
      <c r="G1123" s="21" t="n">
        <f aca="false">G1118+G1121+G1122</f>
        <v>54.3733123377152</v>
      </c>
    </row>
    <row r="1124" customFormat="false" ht="17.15" hidden="false" customHeight="false" outlineLevel="0" collapsed="false">
      <c r="A1124" s="0" t="s">
        <v>724</v>
      </c>
      <c r="B1124" s="0" t="s">
        <v>379</v>
      </c>
      <c r="D1124" s="21" t="n">
        <f aca="false">a26_abf</f>
        <v>22.858836</v>
      </c>
      <c r="E1124" s="21" t="n">
        <f aca="false">$D1123*cap_27*(1+g_mix)^1*E1111*E1112</f>
        <v>33.122453364</v>
      </c>
      <c r="F1124" s="21" t="n">
        <f aca="false">$D1123*cap_28*(1+g_mix)^2*F1111*F1112</f>
        <v>41.2995590382375</v>
      </c>
      <c r="G1124" s="21" t="n">
        <f aca="false">$D1123*cap_29*(1+g_mix)^3*G1111*G1112</f>
        <v>50.6680379569114</v>
      </c>
      <c r="K1124" s="7" t="s">
        <v>725</v>
      </c>
    </row>
    <row r="1125" customFormat="false" ht="17.15" hidden="false" customHeight="false" outlineLevel="0" collapsed="false">
      <c r="A1125" s="0" t="s">
        <v>726</v>
      </c>
      <c r="B1125" s="0" t="s">
        <v>379</v>
      </c>
      <c r="D1125" s="21" t="n">
        <f aca="false">a26_abf</f>
        <v>22.858836</v>
      </c>
      <c r="E1125" s="21" t="n">
        <f aca="false">MIN(E1123,E1124)</f>
        <v>33.122453364</v>
      </c>
      <c r="F1125" s="21" t="n">
        <f aca="false">MIN(F1123,F1124)</f>
        <v>41.2995590382375</v>
      </c>
      <c r="G1125" s="21" t="n">
        <f aca="false">MIN(G1123,G1124)</f>
        <v>50.6680379569114</v>
      </c>
    </row>
    <row r="1126" customFormat="false" ht="17.15" hidden="false" customHeight="false" outlineLevel="0" collapsed="false">
      <c r="A1126" s="3" t="s">
        <v>727</v>
      </c>
      <c r="B1126" s="0" t="s">
        <v>43</v>
      </c>
      <c r="D1126" s="20" t="n">
        <f aca="false">D1125/D1123</f>
        <v>1</v>
      </c>
      <c r="E1126" s="20" t="n">
        <f aca="false">E1125/E1123</f>
        <v>0.862072490215205</v>
      </c>
      <c r="F1126" s="20" t="n">
        <f aca="false">F1125/F1123</f>
        <v>0.885571962422065</v>
      </c>
      <c r="G1126" s="20" t="n">
        <f aca="false">G1125/G1123</f>
        <v>0.931854907830698</v>
      </c>
    </row>
    <row r="1127" customFormat="false" ht="17.15" hidden="false" customHeight="false" outlineLevel="0" collapsed="false">
      <c r="A1127" s="0" t="s">
        <v>728</v>
      </c>
      <c r="B1127" s="0" t="s">
        <v>379</v>
      </c>
      <c r="D1127" s="21" t="n">
        <f aca="false">(D1118+D1121)*D1126</f>
        <v>5.714709</v>
      </c>
      <c r="E1127" s="21" t="n">
        <f aca="false">(E1118+E1121)*E1126</f>
        <v>15.1062669325995</v>
      </c>
      <c r="F1127" s="21" t="n">
        <f aca="false">(F1118+F1121)*F1126</f>
        <v>21.6818267247979</v>
      </c>
      <c r="G1127" s="21" t="n">
        <f aca="false">(G1118+G1121)*G1126</f>
        <v>28.7864362720566</v>
      </c>
    </row>
    <row r="1128" customFormat="false" ht="17.15" hidden="false" customHeight="false" outlineLevel="0" collapsed="false">
      <c r="A1128" s="3" t="s">
        <v>729</v>
      </c>
      <c r="B1128" s="0" t="s">
        <v>43</v>
      </c>
      <c r="D1128" s="20" t="n">
        <f aca="false">D1118/(D1118+D1121)</f>
        <v>0.788005539225042</v>
      </c>
      <c r="E1128" s="20" t="n">
        <f aca="false">E1118/(E1118+E1121)</f>
        <v>0.888793120944167</v>
      </c>
      <c r="F1128" s="20" t="n">
        <f aca="false">F1118/(F1118+F1121)</f>
        <v>0.918659380469366</v>
      </c>
      <c r="G1128" s="20" t="n">
        <f aca="false">G1118/(G1118+G1121)</f>
        <v>0.934845405934042</v>
      </c>
    </row>
    <row r="1129" customFormat="false" ht="17.15" hidden="false" customHeight="false" outlineLevel="0" collapsed="false">
      <c r="A1129" s="5" t="s">
        <v>730</v>
      </c>
    </row>
    <row r="1130" customFormat="false" ht="17.15" hidden="false" customHeight="false" outlineLevel="0" collapsed="false">
      <c r="A1130" s="0" t="s">
        <v>731</v>
      </c>
      <c r="B1130" s="0" t="s">
        <v>379</v>
      </c>
      <c r="D1130" s="21" t="n">
        <f aca="false">a26_bt</f>
        <v>23.265964</v>
      </c>
      <c r="E1130" s="21" t="n">
        <f aca="false">D1130*(1+g_bt27_A)</f>
        <v>29.78043392</v>
      </c>
      <c r="F1130" s="21" t="n">
        <f aca="false">E1130*(1+g_bt28_A)</f>
        <v>32.758477312</v>
      </c>
      <c r="G1130" s="21" t="n">
        <f aca="false">F1130*(1+g_bt29_A)</f>
        <v>34.3964011776</v>
      </c>
      <c r="K1130" s="7" t="s">
        <v>732</v>
      </c>
    </row>
    <row r="1131" customFormat="false" ht="17.15" hidden="false" customHeight="false" outlineLevel="0" collapsed="false">
      <c r="A1131" s="3" t="s">
        <v>617</v>
      </c>
      <c r="B1131" s="0" t="s">
        <v>379</v>
      </c>
      <c r="C1131" s="21" t="n">
        <f aca="false">a25_lens</f>
        <v>7.039</v>
      </c>
      <c r="D1131" s="21" t="n">
        <f aca="false">a26_lens</f>
        <v>8.301</v>
      </c>
      <c r="E1131" s="21" t="n">
        <f aca="false">D1131*(1+g_lens)</f>
        <v>9.1311</v>
      </c>
      <c r="F1131" s="21" t="n">
        <f aca="false">E1131*(1+g_lens)</f>
        <v>10.04421</v>
      </c>
      <c r="G1131" s="21" t="n">
        <f aca="false">F1131*(1+g_lens)</f>
        <v>11.048631</v>
      </c>
      <c r="K1131" s="3" t="s">
        <v>733</v>
      </c>
    </row>
    <row r="1132" customFormat="false" ht="17.15" hidden="false" customHeight="false" outlineLevel="0" collapsed="false">
      <c r="A1132" s="3" t="s">
        <v>574</v>
      </c>
      <c r="B1132" s="0" t="s">
        <v>379</v>
      </c>
      <c r="C1132" s="23" t="n">
        <f aca="false">a25_rev</f>
        <v>39.351</v>
      </c>
      <c r="D1132" s="23" t="n">
        <f aca="false">D1125+D1130+D1131</f>
        <v>54.4258</v>
      </c>
      <c r="E1132" s="23" t="n">
        <f aca="false">E1125+E1130+E1131</f>
        <v>72.033987284</v>
      </c>
      <c r="F1132" s="23" t="n">
        <f aca="false">F1125+F1130+F1131</f>
        <v>84.1022463502375</v>
      </c>
      <c r="G1132" s="23" t="n">
        <f aca="false">G1125+G1130+G1131</f>
        <v>96.1130701345114</v>
      </c>
      <c r="H1132" s="25" t="n">
        <f aca="false">G1132*(1+H1134)</f>
        <v>107.186075216063</v>
      </c>
      <c r="I1132" s="25" t="n">
        <f aca="false">H1132*(1+I1134)</f>
        <v>116.576010002736</v>
      </c>
      <c r="J1132" s="25" t="n">
        <f aca="false">I1132*(1+J1134)</f>
        <v>123.5705706029</v>
      </c>
      <c r="K1132" s="7" t="s">
        <v>734</v>
      </c>
    </row>
    <row r="1133" customFormat="false" ht="17.15" hidden="false" customHeight="false" outlineLevel="0" collapsed="false">
      <c r="A1133" s="3" t="s">
        <v>735</v>
      </c>
      <c r="B1133" s="0" t="s">
        <v>379</v>
      </c>
      <c r="D1133" s="19" t="n">
        <f aca="false">D1125+D1130+D1131-D1132</f>
        <v>0</v>
      </c>
      <c r="E1133" s="19" t="n">
        <f aca="false">E1125+E1130+E1131-E1132</f>
        <v>0</v>
      </c>
      <c r="F1133" s="19" t="n">
        <f aca="false">F1125+F1130+F1131-F1132</f>
        <v>0</v>
      </c>
      <c r="G1133" s="19" t="n">
        <f aca="false">G1125+G1130+G1131-G1132</f>
        <v>0</v>
      </c>
    </row>
    <row r="1134" customFormat="false" ht="15" hidden="false" customHeight="false" outlineLevel="0" collapsed="false">
      <c r="A1134" s="3" t="s">
        <v>736</v>
      </c>
      <c r="B1134" s="0" t="s">
        <v>43</v>
      </c>
      <c r="D1134" s="20" t="n">
        <f aca="false">D1132/C1132-1</f>
        <v>0.383085563263958</v>
      </c>
      <c r="E1134" s="20" t="n">
        <f aca="false">E1132/D1132-1</f>
        <v>0.323526476119781</v>
      </c>
      <c r="F1134" s="20" t="n">
        <f aca="false">F1132/E1132-1</f>
        <v>0.167535624796909</v>
      </c>
      <c r="G1134" s="20" t="n">
        <f aca="false">G1132/F1132-1</f>
        <v>0.142812163830389</v>
      </c>
      <c r="H1134" s="26" t="n">
        <f aca="false">$G1134+(fade_gA-$G1134)*1/3</f>
        <v>0.115208109220259</v>
      </c>
      <c r="I1134" s="26" t="n">
        <f aca="false">$G1134+(fade_gA-$G1134)*2/3</f>
        <v>0.0876040546101297</v>
      </c>
      <c r="J1134" s="26" t="n">
        <f aca="false">$G1134+(fade_gA-$G1134)*3/3</f>
        <v>0.06</v>
      </c>
    </row>
    <row r="1135" customFormat="false" ht="17.15" hidden="false" customHeight="false" outlineLevel="0" collapsed="false">
      <c r="A1135" s="0" t="s">
        <v>737</v>
      </c>
      <c r="B1135" s="0" t="s">
        <v>43</v>
      </c>
      <c r="D1135" s="20" t="n">
        <f aca="false">D1125/D1132</f>
        <v>0.42</v>
      </c>
      <c r="E1135" s="20" t="n">
        <f aca="false">E1125/E1132</f>
        <v>0.459817019893845</v>
      </c>
      <c r="F1135" s="20" t="n">
        <f aca="false">F1125/F1132</f>
        <v>0.491063685341395</v>
      </c>
      <c r="G1135" s="20" t="n">
        <f aca="false">G1125/G1132</f>
        <v>0.527171152539409</v>
      </c>
    </row>
    <row r="1136" customFormat="false" ht="17.15" hidden="false" customHeight="false" outlineLevel="0" collapsed="false">
      <c r="A1136" s="0" t="s">
        <v>738</v>
      </c>
      <c r="B1136" s="0" t="s">
        <v>43</v>
      </c>
      <c r="D1136" s="20" t="n">
        <f aca="false">D1127/D1132</f>
        <v>0.105</v>
      </c>
      <c r="E1136" s="20" t="n">
        <f aca="false">E1127/E1132</f>
        <v>0.209710270140146</v>
      </c>
      <c r="F1136" s="20" t="n">
        <f aca="false">F1127/F1132</f>
        <v>0.257803182028047</v>
      </c>
      <c r="G1136" s="20" t="n">
        <f aca="false">G1127/G1132</f>
        <v>0.299505948897165</v>
      </c>
      <c r="K1136" s="3" t="s">
        <v>739</v>
      </c>
    </row>
    <row r="1137" customFormat="false" ht="17.15" hidden="false" customHeight="false" outlineLevel="0" collapsed="false">
      <c r="A1137" s="5" t="s">
        <v>740</v>
      </c>
    </row>
    <row r="1138" customFormat="false" ht="15" hidden="false" customHeight="false" outlineLevel="0" collapsed="false">
      <c r="A1138" s="3" t="s">
        <v>741</v>
      </c>
      <c r="B1138" s="0" t="s">
        <v>379</v>
      </c>
      <c r="C1138" s="23" t="n">
        <f aca="false">a25_cx</f>
        <v>6.116</v>
      </c>
      <c r="D1138" s="23" t="n">
        <f aca="false">capex26</f>
        <v>11</v>
      </c>
      <c r="E1138" s="23" t="n">
        <f aca="false">cx27_hi</f>
        <v>22</v>
      </c>
      <c r="F1138" s="23" t="n">
        <f aca="false">cx28_hi</f>
        <v>22</v>
      </c>
      <c r="G1138" s="23" t="n">
        <f aca="false">cx29_hi</f>
        <v>16</v>
      </c>
      <c r="H1138" s="25" t="n">
        <f aca="false">H1132*H1157</f>
        <v>17.0196120086207</v>
      </c>
      <c r="I1138" s="25" t="n">
        <f aca="false">I1132*I1157</f>
        <v>17.6147202757813</v>
      </c>
      <c r="J1138" s="25" t="n">
        <f aca="false">J1132*J1157</f>
        <v>17.7219720144814</v>
      </c>
    </row>
    <row r="1139" customFormat="false" ht="17.15" hidden="false" customHeight="false" outlineLevel="0" collapsed="false">
      <c r="A1139" s="3" t="s">
        <v>742</v>
      </c>
      <c r="B1139" s="0" t="s">
        <v>379</v>
      </c>
      <c r="C1139" s="23" t="n">
        <f aca="false">a25_da</f>
        <v>7.158</v>
      </c>
      <c r="D1139" s="23" t="n">
        <f aca="false">da26</f>
        <v>8.32</v>
      </c>
      <c r="E1139" s="23" t="n">
        <f aca="false">D1139*(1-1/life)+D1138/life</f>
        <v>8.655</v>
      </c>
      <c r="F1139" s="23" t="n">
        <f aca="false">E1139*(1-1/life)+E1138/life</f>
        <v>10.323125</v>
      </c>
      <c r="G1139" s="23" t="n">
        <f aca="false">F1139*(1-1/life)+F1138/life</f>
        <v>11.782734375</v>
      </c>
      <c r="H1139" s="25" t="n">
        <f aca="false">H1132*H1140</f>
        <v>13.1402009237883</v>
      </c>
      <c r="I1139" s="25" t="n">
        <f aca="false">I1132*I1140</f>
        <v>14.2913358031039</v>
      </c>
      <c r="J1139" s="25" t="n">
        <f aca="false">J1132*J1140</f>
        <v>15.1488159512902</v>
      </c>
      <c r="K1139" s="3" t="s">
        <v>743</v>
      </c>
    </row>
    <row r="1140" customFormat="false" ht="17.15" hidden="false" customHeight="false" outlineLevel="0" collapsed="false">
      <c r="A1140" s="3" t="s">
        <v>744</v>
      </c>
      <c r="B1140" s="0" t="s">
        <v>43</v>
      </c>
      <c r="C1140" s="20" t="n">
        <f aca="false">C1139/C1132</f>
        <v>0.181901349393916</v>
      </c>
      <c r="D1140" s="20" t="n">
        <f aca="false">D1139/D1132</f>
        <v>0.152868676252807</v>
      </c>
      <c r="E1140" s="20" t="n">
        <f aca="false">E1139/E1132</f>
        <v>0.120151616290196</v>
      </c>
      <c r="F1140" s="20" t="n">
        <f aca="false">F1139/F1132</f>
        <v>0.12274493783448</v>
      </c>
      <c r="G1140" s="20" t="n">
        <f aca="false">G1139/G1132</f>
        <v>0.122592425343504</v>
      </c>
      <c r="H1140" s="26" t="n">
        <f aca="false">$G1140</f>
        <v>0.122592425343504</v>
      </c>
      <c r="I1140" s="26" t="n">
        <f aca="false">$G1140</f>
        <v>0.122592425343504</v>
      </c>
      <c r="J1140" s="26" t="n">
        <f aca="false">$G1140</f>
        <v>0.122592425343504</v>
      </c>
    </row>
    <row r="1141" customFormat="false" ht="17.15" hidden="false" customHeight="false" outlineLevel="0" collapsed="false">
      <c r="A1141" s="0" t="s">
        <v>745</v>
      </c>
      <c r="B1141" s="0" t="s">
        <v>379</v>
      </c>
      <c r="E1141" s="21" t="n">
        <f aca="false">E1126*((E1118+E1121)*(1-1/(E1111*E1112))+E1122*(1-1/E1112))</f>
        <v>4.320320004</v>
      </c>
      <c r="F1141" s="21" t="n">
        <f aca="false">F1126*((F1118+F1121)*(1-1/(F1111*F1112))+F1122*(1-1/F1112))</f>
        <v>4.39459572238805</v>
      </c>
      <c r="G1141" s="21" t="n">
        <f aca="false">G1126*((G1118+G1121)*(1-1/(G1111*G1112))+G1122*(1-1/G1112))</f>
        <v>3.827576325582</v>
      </c>
      <c r="K1141" s="7" t="s">
        <v>746</v>
      </c>
    </row>
    <row r="1142" customFormat="false" ht="17.15" hidden="false" customHeight="false" outlineLevel="0" collapsed="false">
      <c r="A1142" s="3" t="s">
        <v>747</v>
      </c>
      <c r="B1142" s="0" t="s">
        <v>379</v>
      </c>
      <c r="C1142" s="21" t="n">
        <f aca="false">a25_gp</f>
        <v>8.314</v>
      </c>
      <c r="D1142" s="21" t="n">
        <f aca="false">a26_gp</f>
        <v>15.328536</v>
      </c>
      <c r="E1142" s="21" t="n">
        <f aca="false">$D1142+ft_abf*(E1125-E1141-$D1125)+ft_bt*(E1130-$D1130)+ft_lens*(E1131-$D1131)+E1141-(E1139-$D1139)</f>
        <v>25.590561148</v>
      </c>
      <c r="F1142" s="21" t="n">
        <f aca="false">$D1142+ft_abf*(F1125-F1141-$D1125)+ft_bt*(F1130-$D1130)+ft_lens*(F1131-$D1131)+F1141-(F1139-$D1139)</f>
        <v>29.7991458707128</v>
      </c>
      <c r="G1142" s="21" t="n">
        <f aca="false">$D1142+ft_abf*(G1125-G1141-$D1125)+ft_bt*(G1130-$D1130)+ft_lens*(G1131-$D1131)+G1141-(G1139-$D1139)</f>
        <v>33.9293214461667</v>
      </c>
      <c r="K1142" s="3" t="s">
        <v>748</v>
      </c>
    </row>
    <row r="1143" customFormat="false" ht="15" hidden="false" customHeight="false" outlineLevel="0" collapsed="false">
      <c r="A1143" s="3" t="s">
        <v>581</v>
      </c>
      <c r="B1143" s="0" t="s">
        <v>43</v>
      </c>
      <c r="C1143" s="16" t="n">
        <f aca="false">C1142/C1132</f>
        <v>0.211277985311682</v>
      </c>
      <c r="D1143" s="16" t="n">
        <f aca="false">D1142/D1132</f>
        <v>0.281640986443929</v>
      </c>
      <c r="E1143" s="16" t="n">
        <f aca="false">E1142/E1132</f>
        <v>0.3552567629931</v>
      </c>
      <c r="F1143" s="16" t="n">
        <f aca="false">F1142/F1132</f>
        <v>0.35432045116389</v>
      </c>
      <c r="G1143" s="16" t="n">
        <f aca="false">G1142/G1132</f>
        <v>0.353014646173327</v>
      </c>
    </row>
    <row r="1144" customFormat="false" ht="15" hidden="false" customHeight="false" outlineLevel="0" collapsed="false">
      <c r="A1144" s="3" t="s">
        <v>583</v>
      </c>
      <c r="B1144" s="0" t="s">
        <v>379</v>
      </c>
      <c r="C1144" s="21" t="n">
        <f aca="false">a25_opx</f>
        <v>5.644</v>
      </c>
      <c r="D1144" s="21" t="n">
        <f aca="false">a26_opx</f>
        <v>6.54036</v>
      </c>
      <c r="E1144" s="21" t="n">
        <f aca="false">D1144*(1+phi*E1134)</f>
        <v>7.80994777401287</v>
      </c>
      <c r="F1144" s="21" t="n">
        <f aca="false">E1144*(1+phi*F1134)</f>
        <v>8.59501446198315</v>
      </c>
      <c r="G1144" s="21" t="n">
        <f aca="false">F1144*(1+phi*G1134)</f>
        <v>9.33149803006473</v>
      </c>
    </row>
    <row r="1145" customFormat="false" ht="15" hidden="false" customHeight="false" outlineLevel="0" collapsed="false">
      <c r="A1145" s="3" t="s">
        <v>586</v>
      </c>
      <c r="B1145" s="0" t="s">
        <v>379</v>
      </c>
      <c r="C1145" s="21" t="n">
        <f aca="false">C1142-C1144</f>
        <v>2.67</v>
      </c>
      <c r="D1145" s="21" t="n">
        <f aca="false">D1142-D1144</f>
        <v>8.788176</v>
      </c>
      <c r="E1145" s="21" t="n">
        <f aca="false">E1142-E1144</f>
        <v>17.7806133739871</v>
      </c>
      <c r="F1145" s="21" t="n">
        <f aca="false">F1142-F1144</f>
        <v>21.2041314087296</v>
      </c>
      <c r="G1145" s="21" t="n">
        <f aca="false">G1142-G1144</f>
        <v>24.597823416102</v>
      </c>
    </row>
    <row r="1146" customFormat="false" ht="15" hidden="false" customHeight="false" outlineLevel="0" collapsed="false">
      <c r="A1146" s="3" t="s">
        <v>684</v>
      </c>
      <c r="B1146" s="0" t="s">
        <v>43</v>
      </c>
      <c r="C1146" s="16" t="n">
        <f aca="false">C1145/C1132</f>
        <v>0.0678508805367081</v>
      </c>
      <c r="D1146" s="16" t="n">
        <f aca="false">D1145/D1132</f>
        <v>0.161470773052486</v>
      </c>
      <c r="E1146" s="16" t="n">
        <f aca="false">E1145/E1132</f>
        <v>0.246836445466854</v>
      </c>
      <c r="F1146" s="16" t="n">
        <f aca="false">F1145/F1132</f>
        <v>0.25212324674928</v>
      </c>
      <c r="G1146" s="16" t="n">
        <f aca="false">G1145/G1132</f>
        <v>0.255925894175236</v>
      </c>
    </row>
    <row r="1147" customFormat="false" ht="15" hidden="false" customHeight="false" outlineLevel="0" collapsed="false">
      <c r="A1147" s="3" t="s">
        <v>589</v>
      </c>
      <c r="B1147" s="0" t="s">
        <v>379</v>
      </c>
      <c r="C1147" s="21" t="n">
        <f aca="false">a25_nonop</f>
        <v>0.417</v>
      </c>
      <c r="D1147" s="21" t="n">
        <f aca="false">a26_nonop</f>
        <v>0.37882</v>
      </c>
      <c r="E1147" s="21" t="n">
        <f aca="false">nonop27</f>
        <v>0.4</v>
      </c>
      <c r="F1147" s="21" t="n">
        <f aca="false">nonop28</f>
        <v>0.4</v>
      </c>
      <c r="G1147" s="21" t="n">
        <f aca="false">nonop29</f>
        <v>0.4</v>
      </c>
    </row>
    <row r="1148" customFormat="false" ht="15" hidden="false" customHeight="false" outlineLevel="0" collapsed="false">
      <c r="A1148" s="3" t="s">
        <v>591</v>
      </c>
      <c r="B1148" s="0" t="s">
        <v>379</v>
      </c>
      <c r="C1148" s="21" t="n">
        <f aca="false">C1145+C1147</f>
        <v>3.087</v>
      </c>
      <c r="D1148" s="21" t="n">
        <f aca="false">D1145+D1147</f>
        <v>9.166996</v>
      </c>
      <c r="E1148" s="21" t="n">
        <f aca="false">E1145+E1147</f>
        <v>18.1806133739871</v>
      </c>
      <c r="F1148" s="21" t="n">
        <f aca="false">F1145+F1147</f>
        <v>21.6041314087296</v>
      </c>
      <c r="G1148" s="21" t="n">
        <f aca="false">G1145+G1147</f>
        <v>24.997823416102</v>
      </c>
    </row>
    <row r="1149" customFormat="false" ht="15" hidden="false" customHeight="false" outlineLevel="0" collapsed="false">
      <c r="A1149" s="3" t="s">
        <v>592</v>
      </c>
      <c r="B1149" s="0" t="s">
        <v>379</v>
      </c>
      <c r="E1149" s="21" t="n">
        <f aca="false">E1148*tax</f>
        <v>2.18167360487846</v>
      </c>
      <c r="F1149" s="21" t="n">
        <f aca="false">F1148*tax</f>
        <v>2.59249576904756</v>
      </c>
      <c r="G1149" s="21" t="n">
        <f aca="false">G1148*tax</f>
        <v>2.99973880993223</v>
      </c>
    </row>
    <row r="1150" customFormat="false" ht="15" hidden="false" customHeight="false" outlineLevel="0" collapsed="false">
      <c r="A1150" s="3" t="s">
        <v>593</v>
      </c>
      <c r="B1150" s="0" t="s">
        <v>379</v>
      </c>
      <c r="C1150" s="21" t="n">
        <f aca="false">a25_nic</f>
        <v>2.71712</v>
      </c>
      <c r="D1150" s="21" t="n">
        <f aca="false">a26_nic</f>
        <v>8.39979776</v>
      </c>
      <c r="E1150" s="21" t="n">
        <f aca="false">E1148-E1149</f>
        <v>15.9989397691087</v>
      </c>
      <c r="F1150" s="21" t="n">
        <f aca="false">F1148-F1149</f>
        <v>19.0116356396821</v>
      </c>
      <c r="G1150" s="21" t="n">
        <f aca="false">G1148-G1149</f>
        <v>21.9980846061697</v>
      </c>
    </row>
    <row r="1151" customFormat="false" ht="17.15" hidden="false" customHeight="false" outlineLevel="0" collapsed="false">
      <c r="A1151" s="3" t="s">
        <v>749</v>
      </c>
      <c r="B1151" s="0" t="s">
        <v>379</v>
      </c>
      <c r="C1151" s="21" t="n">
        <f aca="false">a25_nci</f>
        <v>1.12112</v>
      </c>
      <c r="D1151" s="21" t="n">
        <f aca="false">a26_nci</f>
        <v>1.43839238487797</v>
      </c>
      <c r="E1151" s="21" t="n">
        <f aca="false">E1131*nm_lens*nci_sh</f>
        <v>1.57074538036261</v>
      </c>
      <c r="F1151" s="21" t="n">
        <f aca="false">F1131*nm_lens*nci_sh</f>
        <v>1.72781991839887</v>
      </c>
      <c r="G1151" s="21" t="n">
        <f aca="false">G1131*nm_lens*nci_sh</f>
        <v>1.90060191023875</v>
      </c>
      <c r="K1151" s="3" t="s">
        <v>750</v>
      </c>
    </row>
    <row r="1152" customFormat="false" ht="15" hidden="false" customHeight="false" outlineLevel="0" collapsed="false">
      <c r="A1152" s="3" t="s">
        <v>599</v>
      </c>
      <c r="B1152" s="0" t="s">
        <v>379</v>
      </c>
      <c r="C1152" s="21" t="n">
        <f aca="false">a25_ni</f>
        <v>1.596</v>
      </c>
      <c r="D1152" s="21" t="n">
        <f aca="false">a26_ni</f>
        <v>6.96140537512203</v>
      </c>
      <c r="E1152" s="21" t="n">
        <f aca="false">E1150-E1151</f>
        <v>14.4281943887461</v>
      </c>
      <c r="F1152" s="21" t="n">
        <f aca="false">F1150-F1151</f>
        <v>17.2838157212832</v>
      </c>
      <c r="G1152" s="21" t="n">
        <f aca="false">G1150-G1151</f>
        <v>20.097482695931</v>
      </c>
      <c r="H1152" s="30" t="n">
        <f aca="false">H1132*H1156</f>
        <v>22.8371194289653</v>
      </c>
      <c r="I1152" s="30" t="n">
        <f aca="false">I1132*I1156</f>
        <v>25.2991529108863</v>
      </c>
      <c r="J1152" s="30" t="n">
        <f aca="false">J1132*J1156</f>
        <v>27.3061958633271</v>
      </c>
    </row>
    <row r="1153" customFormat="false" ht="15" hidden="false" customHeight="false" outlineLevel="0" collapsed="false">
      <c r="A1153" s="3" t="s">
        <v>751</v>
      </c>
      <c r="B1153" s="3" t="s">
        <v>465</v>
      </c>
      <c r="C1153" s="29" t="n">
        <f aca="false">a25_sh</f>
        <v>0.454700854700855</v>
      </c>
      <c r="D1153" s="29" t="n">
        <f aca="false">a26_sh</f>
        <v>0.508341020486215</v>
      </c>
      <c r="E1153" s="29" t="n">
        <f aca="false">a26_shend*(1+sh_g)</f>
        <v>0.52691</v>
      </c>
      <c r="F1153" s="29" t="n">
        <f aca="false">E1153*(1+sh_g)</f>
        <v>0.52691</v>
      </c>
      <c r="G1153" s="29" t="n">
        <f aca="false">F1153*(1+sh_g)</f>
        <v>0.52691</v>
      </c>
      <c r="H1153" s="31" t="n">
        <f aca="false">G1153*(1+sh_g)</f>
        <v>0.52691</v>
      </c>
      <c r="I1153" s="31" t="n">
        <f aca="false">H1153*(1+sh_g)</f>
        <v>0.52691</v>
      </c>
      <c r="J1153" s="31" t="n">
        <f aca="false">I1153*(1+sh_g)</f>
        <v>0.52691</v>
      </c>
    </row>
    <row r="1154" customFormat="false" ht="17.15" hidden="false" customHeight="false" outlineLevel="0" collapsed="false">
      <c r="A1154" s="0" t="s">
        <v>604</v>
      </c>
      <c r="B1154" s="0" t="s">
        <v>471</v>
      </c>
      <c r="C1154" s="18" t="n">
        <f aca="false">C1152/C1153</f>
        <v>3.51</v>
      </c>
      <c r="D1154" s="18" t="n">
        <f aca="false">D1152/D1153</f>
        <v>13.6943608612652</v>
      </c>
      <c r="E1154" s="18" t="n">
        <f aca="false">E1152/E1153</f>
        <v>27.3826543218881</v>
      </c>
      <c r="F1154" s="18" t="n">
        <f aca="false">F1152/F1153</f>
        <v>32.802216168384</v>
      </c>
      <c r="G1154" s="18" t="n">
        <f aca="false">G1152/G1153</f>
        <v>38.1421546296919</v>
      </c>
      <c r="H1154" s="28" t="n">
        <f aca="false">H1152/H1153</f>
        <v>43.34159425512</v>
      </c>
      <c r="I1154" s="28" t="n">
        <f aca="false">I1152/I1153</f>
        <v>48.0141825186205</v>
      </c>
      <c r="J1154" s="28" t="n">
        <f aca="false">J1152/J1153</f>
        <v>51.8232636756317</v>
      </c>
    </row>
    <row r="1155" customFormat="false" ht="17.15" hidden="false" customHeight="false" outlineLevel="0" collapsed="false">
      <c r="A1155" s="0" t="s">
        <v>752</v>
      </c>
      <c r="B1155" s="0" t="s">
        <v>43</v>
      </c>
      <c r="D1155" s="20" t="n">
        <f aca="false">D1154/C1154-1</f>
        <v>2.90152731090177</v>
      </c>
      <c r="E1155" s="20" t="n">
        <f aca="false">E1154/D1154-1</f>
        <v>0.999556941670828</v>
      </c>
      <c r="F1155" s="20" t="n">
        <f aca="false">F1154/E1154-1</f>
        <v>0.197919521708448</v>
      </c>
      <c r="G1155" s="20" t="n">
        <f aca="false">G1154/F1154-1</f>
        <v>0.162792002646905</v>
      </c>
      <c r="H1155" s="26" t="n">
        <f aca="false">H1154/G1154-1</f>
        <v>0.136317407233742</v>
      </c>
      <c r="I1155" s="26" t="n">
        <f aca="false">I1154/H1154-1</f>
        <v>0.107808407692537</v>
      </c>
      <c r="J1155" s="26" t="n">
        <f aca="false">J1154/I1154-1</f>
        <v>0.079332417156827</v>
      </c>
    </row>
    <row r="1156" customFormat="false" ht="17.15" hidden="false" customHeight="false" outlineLevel="0" collapsed="false">
      <c r="A1156" s="3" t="s">
        <v>753</v>
      </c>
      <c r="B1156" s="0" t="s">
        <v>43</v>
      </c>
      <c r="C1156" s="16" t="n">
        <f aca="false">C1152/C1132</f>
        <v>0.0405580544331783</v>
      </c>
      <c r="D1156" s="16" t="n">
        <f aca="false">D1152/D1132</f>
        <v>0.127906349105057</v>
      </c>
      <c r="E1156" s="16" t="n">
        <f aca="false">E1152/E1132</f>
        <v>0.20029703939422</v>
      </c>
      <c r="F1156" s="16" t="n">
        <f aca="false">F1152/F1132</f>
        <v>0.205509560937363</v>
      </c>
      <c r="G1156" s="16" t="n">
        <f aca="false">G1152/G1132</f>
        <v>0.20910249425811</v>
      </c>
      <c r="H1156" s="27" t="n">
        <f aca="false">$G1156+(fade_mA-$G1156)*1/3</f>
        <v>0.21306050606789</v>
      </c>
      <c r="I1156" s="27" t="n">
        <f aca="false">$G1156+(fade_mA-$G1156)*2/3</f>
        <v>0.217018517877671</v>
      </c>
      <c r="J1156" s="27" t="n">
        <f aca="false">$G1156+(fade_mA-$G1156)*3/3</f>
        <v>0.220976529687452</v>
      </c>
    </row>
    <row r="1157" customFormat="false" ht="17.15" hidden="false" customHeight="false" outlineLevel="0" collapsed="false">
      <c r="A1157" s="3" t="s">
        <v>754</v>
      </c>
      <c r="B1157" s="0" t="s">
        <v>43</v>
      </c>
      <c r="C1157" s="20" t="n">
        <f aca="false">C1138/C1132</f>
        <v>0.155421717364235</v>
      </c>
      <c r="D1157" s="20" t="n">
        <f aca="false">D1138/D1132</f>
        <v>0.202110028699624</v>
      </c>
      <c r="E1157" s="20" t="n">
        <f aca="false">E1138/E1132</f>
        <v>0.305411387450526</v>
      </c>
      <c r="F1157" s="20" t="n">
        <f aca="false">F1138/F1132</f>
        <v>0.261586354166839</v>
      </c>
      <c r="G1157" s="20" t="n">
        <f aca="false">G1138/G1132</f>
        <v>0.166470595285405</v>
      </c>
      <c r="H1157" s="26" t="n">
        <f aca="false">$G1157+($G1140*(1+tp_g)^(life/2)-$G1157)*1/3</f>
        <v>0.15878566291669</v>
      </c>
      <c r="I1157" s="26" t="n">
        <f aca="false">$G1157+($G1140*(1+tp_g)^(life/2)-$G1157)*2/3</f>
        <v>0.151100730547974</v>
      </c>
      <c r="J1157" s="26" t="n">
        <f aca="false">$G1157+($G1140*(1+tp_g)^(life/2)-$G1157)*3/3</f>
        <v>0.143415798179259</v>
      </c>
      <c r="K1157" s="7" t="s">
        <v>755</v>
      </c>
    </row>
    <row r="1158" customFormat="false" ht="15" hidden="false" customHeight="false" outlineLevel="0" collapsed="false">
      <c r="A1158" s="3" t="s">
        <v>756</v>
      </c>
      <c r="B1158" s="0" t="s">
        <v>379</v>
      </c>
      <c r="D1158" s="21" t="n">
        <f aca="false">D1152+D1139-D1138</f>
        <v>4.28140537512203</v>
      </c>
      <c r="E1158" s="21" t="n">
        <f aca="false">E1152+E1139-E1138</f>
        <v>1.08319438874607</v>
      </c>
      <c r="F1158" s="21" t="n">
        <f aca="false">F1152+F1139-F1138</f>
        <v>5.60694072128321</v>
      </c>
      <c r="G1158" s="21" t="n">
        <f aca="false">G1152+G1139-G1138</f>
        <v>15.880217070931</v>
      </c>
      <c r="H1158" s="30" t="n">
        <f aca="false">H1152+H1139-H1138</f>
        <v>18.9577083441329</v>
      </c>
      <c r="I1158" s="30" t="n">
        <f aca="false">I1152+I1139-I1138</f>
        <v>21.9757684382089</v>
      </c>
      <c r="J1158" s="30" t="n">
        <f aca="false">J1152+J1139-J1138</f>
        <v>24.7330398001359</v>
      </c>
      <c r="K1158" s="3" t="s">
        <v>757</v>
      </c>
    </row>
    <row r="1159" customFormat="false" ht="15" hidden="false" customHeight="false" outlineLevel="0" collapsed="false">
      <c r="A1159" s="3" t="s">
        <v>758</v>
      </c>
      <c r="B1159" s="0" t="s">
        <v>471</v>
      </c>
      <c r="D1159" s="18" t="n">
        <f aca="false">D1158/D1153</f>
        <v>8.42230943909854</v>
      </c>
      <c r="E1159" s="18" t="n">
        <f aca="false">E1158/E1153</f>
        <v>2.05574839867543</v>
      </c>
      <c r="F1159" s="18" t="n">
        <f aca="false">F1158/F1153</f>
        <v>10.6411734855729</v>
      </c>
      <c r="G1159" s="18" t="n">
        <f aca="false">G1158/G1153</f>
        <v>30.1383861967527</v>
      </c>
      <c r="H1159" s="28" t="n">
        <f aca="false">H1158/H1153</f>
        <v>35.9790255340246</v>
      </c>
      <c r="I1159" s="28" t="n">
        <f aca="false">I1158/I1153</f>
        <v>41.7068729730104</v>
      </c>
      <c r="J1159" s="28" t="n">
        <f aca="false">J1158/J1153</f>
        <v>46.9397806079519</v>
      </c>
    </row>
    <row r="1162" customFormat="false" ht="17.15" hidden="false" customHeight="false" outlineLevel="0" collapsed="false">
      <c r="A1162" s="1" t="s">
        <v>1111</v>
      </c>
    </row>
    <row r="1163" customFormat="false" ht="17.15" hidden="false" customHeight="false" outlineLevel="0" collapsed="false">
      <c r="A1163" s="4" t="s">
        <v>20</v>
      </c>
      <c r="B1163" s="4" t="s">
        <v>21</v>
      </c>
      <c r="C1163" s="13" t="s">
        <v>567</v>
      </c>
      <c r="D1163" s="13" t="s">
        <v>671</v>
      </c>
      <c r="E1163" s="13" t="s">
        <v>672</v>
      </c>
      <c r="F1163" s="13" t="s">
        <v>673</v>
      </c>
      <c r="G1163" s="13" t="s">
        <v>674</v>
      </c>
      <c r="H1163" s="13" t="s">
        <v>675</v>
      </c>
      <c r="I1163" s="13" t="s">
        <v>676</v>
      </c>
      <c r="J1163" s="13" t="s">
        <v>677</v>
      </c>
      <c r="K1163" s="4" t="s">
        <v>631</v>
      </c>
    </row>
    <row r="1164" customFormat="false" ht="17.15" hidden="false" customHeight="false" outlineLevel="0" collapsed="false">
      <c r="A1164" s="5" t="s">
        <v>695</v>
      </c>
    </row>
    <row r="1165" customFormat="false" ht="17.15" hidden="false" customHeight="false" outlineLevel="0" collapsed="false">
      <c r="A1165" s="0" t="s">
        <v>696</v>
      </c>
      <c r="B1165" s="3" t="s">
        <v>31</v>
      </c>
      <c r="D1165" s="21" t="n">
        <f aca="false">(u_bw_26+u_rb_26+u_ru_26+u_hp_26)*1</f>
        <v>7.6</v>
      </c>
      <c r="E1165" s="21" t="n">
        <f aca="false">(u_bw_27+u_rb_27+u_ru_27+u_hp_27)*1*1</f>
        <v>9.7</v>
      </c>
      <c r="F1165" s="21" t="n">
        <f aca="false">(u_bw_28+u_rb_28+u_ru_28+u_hp_28)*um28_A*1</f>
        <v>9.5</v>
      </c>
      <c r="G1165" s="21" t="n">
        <f aca="false">(u_bw_28*(1+g29_bw)+u_rb_28*(1+g29_rb)+u_ru_28*(1+g29_ru)+u_hp_28*(1+g29_hp))*um29_A*1</f>
        <v>10.6</v>
      </c>
      <c r="K1165" s="7" t="s">
        <v>697</v>
      </c>
    </row>
    <row r="1166" customFormat="false" ht="17.15" hidden="false" customHeight="false" outlineLevel="0" collapsed="false">
      <c r="A1166" s="3" t="s">
        <v>698</v>
      </c>
      <c r="B1166" s="3" t="s">
        <v>31</v>
      </c>
      <c r="D1166" s="21" t="n">
        <f aca="false">(u_amd_26+u_tpu_26+u_trn_26+u_oth_26)*1</f>
        <v>7.6</v>
      </c>
      <c r="E1166" s="21" t="n">
        <f aca="false">(u_amd_27+u_tpu_27+u_trn_27+u_oth_27)*1*1</f>
        <v>14</v>
      </c>
      <c r="F1166" s="21" t="n">
        <f aca="false">(u_amd_28+u_tpu_28+u_trn_28+u_oth_28)*um28_A*1</f>
        <v>17</v>
      </c>
      <c r="G1166" s="21" t="n">
        <f aca="false">(u_amd_28*(1+g29_amd)+u_tpu_28*(1+g29_tpu)+u_trn_28*(1+g29_trn)+u_oth_28*(1+g29_oth))*um29_A*1</f>
        <v>19.55</v>
      </c>
      <c r="K1166" s="7" t="s">
        <v>699</v>
      </c>
    </row>
    <row r="1167" customFormat="false" ht="17.15" hidden="false" customHeight="false" outlineLevel="0" collapsed="false">
      <c r="A1167" s="0" t="s">
        <v>700</v>
      </c>
      <c r="B1167" s="3" t="s">
        <v>31</v>
      </c>
      <c r="D1167" s="21" t="n">
        <f aca="false">D1165*cpu_r</f>
        <v>3.04</v>
      </c>
      <c r="E1167" s="21" t="n">
        <f aca="false">E1165*cpu_r</f>
        <v>3.88</v>
      </c>
      <c r="F1167" s="21" t="n">
        <f aca="false">F1165*cpu_r</f>
        <v>3.8</v>
      </c>
      <c r="G1167" s="21" t="n">
        <f aca="false">G1165*cpu_r</f>
        <v>4.24</v>
      </c>
      <c r="K1167" s="7" t="s">
        <v>701</v>
      </c>
    </row>
    <row r="1168" customFormat="false" ht="17.15" hidden="false" customHeight="false" outlineLevel="0" collapsed="false">
      <c r="A1168" s="3" t="s">
        <v>702</v>
      </c>
      <c r="B1168" s="0" t="s">
        <v>153</v>
      </c>
      <c r="D1168" s="19" t="n">
        <f aca="false">1</f>
        <v>1</v>
      </c>
      <c r="E1168" s="19" t="n">
        <f aca="false">D1168*(1+g_asp)</f>
        <v>1.18</v>
      </c>
      <c r="F1168" s="19" t="n">
        <f aca="false">E1168*(1+g_asp)</f>
        <v>1.3924</v>
      </c>
      <c r="G1168" s="19" t="n">
        <f aca="false">F1168*(1+g_asp)</f>
        <v>1.643032</v>
      </c>
      <c r="K1168" s="7" t="s">
        <v>703</v>
      </c>
    </row>
    <row r="1169" customFormat="false" ht="17.15" hidden="false" customHeight="false" outlineLevel="0" collapsed="false">
      <c r="A1169" s="0" t="s">
        <v>704</v>
      </c>
      <c r="B1169" s="0" t="s">
        <v>153</v>
      </c>
      <c r="D1169" s="18" t="n">
        <f aca="false">1</f>
        <v>1</v>
      </c>
      <c r="E1169" s="18" t="n">
        <f aca="false">ibpp_27</f>
        <v>1</v>
      </c>
      <c r="F1169" s="18" t="n">
        <f aca="false">ibpp_28</f>
        <v>0.95</v>
      </c>
      <c r="G1169" s="18" t="n">
        <f aca="false">ibpp_29</f>
        <v>0.9</v>
      </c>
      <c r="K1169" s="7" t="s">
        <v>705</v>
      </c>
    </row>
    <row r="1170" customFormat="false" ht="17.15" hidden="false" customHeight="false" outlineLevel="0" collapsed="false">
      <c r="A1170" s="3" t="s">
        <v>706</v>
      </c>
      <c r="B1170" s="0" t="s">
        <v>153</v>
      </c>
      <c r="D1170" s="18" t="n">
        <f aca="false">1</f>
        <v>1</v>
      </c>
      <c r="E1170" s="18" t="n">
        <f aca="false">1+carry</f>
        <v>1.15</v>
      </c>
      <c r="F1170" s="18" t="n">
        <f aca="false">1+carry</f>
        <v>1.15</v>
      </c>
      <c r="G1170" s="18" t="n">
        <f aca="false">1+carry</f>
        <v>1.15</v>
      </c>
      <c r="K1170" s="7" t="s">
        <v>707</v>
      </c>
    </row>
    <row r="1171" customFormat="false" ht="17.15" hidden="false" customHeight="false" outlineLevel="0" collapsed="false">
      <c r="A1171" s="3" t="s">
        <v>708</v>
      </c>
      <c r="B1171" s="0" t="s">
        <v>709</v>
      </c>
      <c r="D1171" s="23" t="n">
        <f aca="false">v26*D1168*D1169</f>
        <v>215.308596</v>
      </c>
      <c r="E1171" s="23" t="n">
        <f aca="false">v26*E1168*E1169</f>
        <v>254.06414328</v>
      </c>
      <c r="F1171" s="23" t="n">
        <f aca="false">v26*F1168*F1169</f>
        <v>284.80590461688</v>
      </c>
      <c r="G1171" s="23" t="n">
        <f aca="false">v26*G1168*G1169</f>
        <v>318.383021792765</v>
      </c>
      <c r="K1171" s="7" t="s">
        <v>710</v>
      </c>
    </row>
    <row r="1172" customFormat="false" ht="17.15" hidden="false" customHeight="false" outlineLevel="0" collapsed="false">
      <c r="A1172" s="3" t="s">
        <v>711</v>
      </c>
      <c r="B1172" s="0" t="s">
        <v>43</v>
      </c>
      <c r="D1172" s="20" t="n">
        <f aca="false">sh_nv_26_lo</f>
        <v>0.01</v>
      </c>
      <c r="E1172" s="20" t="n">
        <f aca="false">sh_nv_27_lo</f>
        <v>0.01</v>
      </c>
      <c r="F1172" s="20" t="n">
        <f aca="false">sh_nv_28_lo</f>
        <v>0.02</v>
      </c>
      <c r="G1172" s="20" t="n">
        <f aca="false">sh_nv_29_lo</f>
        <v>0.02</v>
      </c>
    </row>
    <row r="1173" customFormat="false" ht="17.15" hidden="false" customHeight="false" outlineLevel="0" collapsed="false">
      <c r="A1173" s="3" t="s">
        <v>712</v>
      </c>
      <c r="B1173" s="0" t="s">
        <v>43</v>
      </c>
      <c r="D1173" s="20" t="n">
        <f aca="false">sh_ot_26</f>
        <v>0.03</v>
      </c>
      <c r="E1173" s="20" t="n">
        <f aca="false">sh_ot_27</f>
        <v>0.05</v>
      </c>
      <c r="F1173" s="20" t="n">
        <f aca="false">sh_ot_28</f>
        <v>0.06</v>
      </c>
      <c r="G1173" s="20" t="n">
        <f aca="false">sh_ot_29</f>
        <v>0.06</v>
      </c>
    </row>
    <row r="1174" customFormat="false" ht="17.15" hidden="false" customHeight="false" outlineLevel="0" collapsed="false">
      <c r="A1174" s="3" t="s">
        <v>713</v>
      </c>
      <c r="B1174" s="0" t="s">
        <v>43</v>
      </c>
      <c r="D1174" s="20" t="n">
        <f aca="false">sh_cpu_26</f>
        <v>0.35</v>
      </c>
      <c r="E1174" s="20" t="n">
        <f aca="false">sh_cpu_27</f>
        <v>0.7</v>
      </c>
      <c r="F1174" s="20" t="n">
        <f aca="false">sh_cpu_28</f>
        <v>0.75</v>
      </c>
      <c r="G1174" s="20" t="n">
        <f aca="false">sh_cpu_29</f>
        <v>0.7</v>
      </c>
    </row>
    <row r="1175" customFormat="false" ht="17.15" hidden="false" customHeight="false" outlineLevel="0" collapsed="false">
      <c r="A1175" s="3" t="s">
        <v>714</v>
      </c>
      <c r="B1175" s="0" t="s">
        <v>661</v>
      </c>
      <c r="D1175" s="22" t="n">
        <f aca="false">(D1165*D1171*D1172+D1166*D1171*v_ot*D1173+D1167*D1171*v_cpu*D1174)*D1170</f>
        <v>124.3622450496</v>
      </c>
      <c r="E1175" s="22" t="n">
        <f aca="false">(E1165*E1171*E1172+E1166*E1171*v_ot*E1173+E1167*E1171*v_cpu*E1174)*E1170</f>
        <v>430.02134699143</v>
      </c>
      <c r="F1175" s="22" t="n">
        <f aca="false">(F1165*F1171*F1172+F1166*F1171*v_ot*F1173+F1167*F1171*v_cpu*F1174)*F1170</f>
        <v>609.527356765816</v>
      </c>
      <c r="G1175" s="22" t="n">
        <f aca="false">(G1165*G1171*G1172+G1166*G1171*v_ot*G1173+G1167*G1171*v_cpu*G1174)*G1170</f>
        <v>747.219481505875</v>
      </c>
    </row>
    <row r="1176" customFormat="false" ht="17.15" hidden="false" customHeight="false" outlineLevel="0" collapsed="false">
      <c r="A1176" s="3" t="s">
        <v>715</v>
      </c>
      <c r="B1176" s="0" t="s">
        <v>379</v>
      </c>
      <c r="D1176" s="21" t="n">
        <f aca="false">D1175*fx/1000</f>
        <v>3.9795918415872</v>
      </c>
      <c r="E1176" s="21" t="n">
        <f aca="false">E1175*fx/1000</f>
        <v>13.7606831037257</v>
      </c>
      <c r="F1176" s="21" t="n">
        <f aca="false">F1175*fx/1000</f>
        <v>19.5048754165061</v>
      </c>
      <c r="G1176" s="21" t="n">
        <f aca="false">G1175*fx/1000</f>
        <v>23.911023408188</v>
      </c>
    </row>
    <row r="1177" customFormat="false" ht="17.15" hidden="false" customHeight="false" outlineLevel="0" collapsed="false">
      <c r="A1177" s="5" t="s">
        <v>716</v>
      </c>
    </row>
    <row r="1178" customFormat="false" ht="17.15" hidden="false" customHeight="false" outlineLevel="0" collapsed="false">
      <c r="A1178" s="0" t="s">
        <v>717</v>
      </c>
      <c r="B1178" s="0" t="s">
        <v>379</v>
      </c>
      <c r="D1178" s="21" t="n">
        <f aca="false">a26_abf*ai_abf</f>
        <v>5.714709</v>
      </c>
      <c r="K1178" s="3" t="s">
        <v>718</v>
      </c>
    </row>
    <row r="1179" customFormat="false" ht="17.15" hidden="false" customHeight="false" outlineLevel="0" collapsed="false">
      <c r="A1179" s="3" t="s">
        <v>719</v>
      </c>
      <c r="B1179" s="0" t="s">
        <v>379</v>
      </c>
      <c r="D1179" s="21" t="n">
        <f aca="false">D1178-D1176</f>
        <v>1.7351171584128</v>
      </c>
      <c r="E1179" s="21" t="n">
        <f aca="false">$D1179*(swm_27/swm_26)^el_o*1*1*E1169*E1170</f>
        <v>2.79097014919763</v>
      </c>
      <c r="F1179" s="21" t="n">
        <f aca="false">$D1179*(swm_28/swm_26)^el_o*um28_A*1*F1169*F1170</f>
        <v>2.85226358791432</v>
      </c>
      <c r="G1179" s="21" t="n">
        <f aca="false">$D1179*(swm_29/swm_26)^el_o*um29_A*1*G1169*G1170</f>
        <v>2.88266928159087</v>
      </c>
      <c r="K1179" s="7" t="s">
        <v>720</v>
      </c>
    </row>
    <row r="1180" customFormat="false" ht="17.15" hidden="false" customHeight="false" outlineLevel="0" collapsed="false">
      <c r="A1180" s="3" t="s">
        <v>721</v>
      </c>
      <c r="B1180" s="0" t="s">
        <v>379</v>
      </c>
      <c r="D1180" s="21" t="n">
        <f aca="false">a26_abf-D1178</f>
        <v>17.144127</v>
      </c>
      <c r="E1180" s="21" t="n">
        <f aca="false">$D1180*(1+g_nai)^1*E1170</f>
        <v>20.898690813</v>
      </c>
      <c r="F1180" s="21" t="n">
        <f aca="false">$D1180*(1+g_nai)^2*F1170</f>
        <v>22.15261226178</v>
      </c>
      <c r="G1180" s="21" t="n">
        <f aca="false">$D1180*(1+g_nai)^3*G1170</f>
        <v>23.4817689974868</v>
      </c>
      <c r="K1180" s="3" t="s">
        <v>722</v>
      </c>
    </row>
    <row r="1181" customFormat="false" ht="17.15" hidden="false" customHeight="false" outlineLevel="0" collapsed="false">
      <c r="A1181" s="0" t="s">
        <v>723</v>
      </c>
      <c r="B1181" s="0" t="s">
        <v>379</v>
      </c>
      <c r="D1181" s="21" t="n">
        <f aca="false">D1176+D1179+D1180</f>
        <v>22.858836</v>
      </c>
      <c r="E1181" s="21" t="n">
        <f aca="false">E1176+E1179+E1180</f>
        <v>37.4503440659234</v>
      </c>
      <c r="F1181" s="21" t="n">
        <f aca="false">F1176+F1179+F1180</f>
        <v>44.5097512662004</v>
      </c>
      <c r="G1181" s="21" t="n">
        <f aca="false">G1176+G1179+G1180</f>
        <v>50.2754616872657</v>
      </c>
    </row>
    <row r="1182" customFormat="false" ht="17.15" hidden="false" customHeight="false" outlineLevel="0" collapsed="false">
      <c r="A1182" s="0" t="s">
        <v>724</v>
      </c>
      <c r="B1182" s="0" t="s">
        <v>379</v>
      </c>
      <c r="D1182" s="21" t="n">
        <f aca="false">a26_abf</f>
        <v>22.858836</v>
      </c>
      <c r="E1182" s="21" t="n">
        <f aca="false">$D1181*cap_27*(1+g_mix)^1*E1169*E1170</f>
        <v>33.122453364</v>
      </c>
      <c r="F1182" s="21" t="n">
        <f aca="false">$D1181*cap_28*(1+g_mix)^2*F1169*F1170</f>
        <v>41.2995590382375</v>
      </c>
      <c r="G1182" s="21" t="n">
        <f aca="false">$D1181*cap_29*(1+g_mix)^3*G1169*G1170</f>
        <v>50.6680379569114</v>
      </c>
      <c r="K1182" s="7" t="s">
        <v>725</v>
      </c>
    </row>
    <row r="1183" customFormat="false" ht="17.15" hidden="false" customHeight="false" outlineLevel="0" collapsed="false">
      <c r="A1183" s="0" t="s">
        <v>726</v>
      </c>
      <c r="B1183" s="0" t="s">
        <v>379</v>
      </c>
      <c r="D1183" s="21" t="n">
        <f aca="false">a26_abf</f>
        <v>22.858836</v>
      </c>
      <c r="E1183" s="21" t="n">
        <f aca="false">MIN(E1181,E1182)</f>
        <v>33.122453364</v>
      </c>
      <c r="F1183" s="21" t="n">
        <f aca="false">MIN(F1181,F1182)</f>
        <v>41.2995590382375</v>
      </c>
      <c r="G1183" s="21" t="n">
        <f aca="false">MIN(G1181,G1182)</f>
        <v>50.2754616872657</v>
      </c>
    </row>
    <row r="1184" customFormat="false" ht="17.15" hidden="false" customHeight="false" outlineLevel="0" collapsed="false">
      <c r="A1184" s="3" t="s">
        <v>727</v>
      </c>
      <c r="B1184" s="0" t="s">
        <v>43</v>
      </c>
      <c r="D1184" s="20" t="n">
        <f aca="false">D1183/D1181</f>
        <v>1</v>
      </c>
      <c r="E1184" s="20" t="n">
        <f aca="false">E1183/E1181</f>
        <v>0.884436556996511</v>
      </c>
      <c r="F1184" s="20" t="n">
        <f aca="false">F1183/F1181</f>
        <v>0.927876653168344</v>
      </c>
      <c r="G1184" s="20" t="n">
        <f aca="false">G1183/G1181</f>
        <v>1</v>
      </c>
    </row>
    <row r="1185" customFormat="false" ht="17.15" hidden="false" customHeight="false" outlineLevel="0" collapsed="false">
      <c r="A1185" s="0" t="s">
        <v>728</v>
      </c>
      <c r="B1185" s="0" t="s">
        <v>379</v>
      </c>
      <c r="D1185" s="21" t="n">
        <f aca="false">(D1176+D1179)*D1184</f>
        <v>5.714709</v>
      </c>
      <c r="E1185" s="21" t="n">
        <f aca="false">(E1176+E1179)*E1184</f>
        <v>14.6388872156157</v>
      </c>
      <c r="F1185" s="21" t="n">
        <f aca="false">(F1176+F1179)*F1184</f>
        <v>20.7446673138411</v>
      </c>
      <c r="G1185" s="21" t="n">
        <f aca="false">(G1176+G1179)*G1184</f>
        <v>26.7936926897789</v>
      </c>
    </row>
    <row r="1186" customFormat="false" ht="17.15" hidden="false" customHeight="false" outlineLevel="0" collapsed="false">
      <c r="A1186" s="3" t="s">
        <v>729</v>
      </c>
      <c r="B1186" s="0" t="s">
        <v>43</v>
      </c>
      <c r="D1186" s="20" t="n">
        <f aca="false">D1176/(D1176+D1179)</f>
        <v>0.696376988152363</v>
      </c>
      <c r="E1186" s="20" t="n">
        <f aca="false">E1176/(E1176+E1179)</f>
        <v>0.831378164673388</v>
      </c>
      <c r="F1186" s="20" t="n">
        <f aca="false">F1176/(F1176+F1179)</f>
        <v>0.872422692932652</v>
      </c>
      <c r="G1186" s="20" t="n">
        <f aca="false">G1176/(G1176+G1179)</f>
        <v>0.892412392910271</v>
      </c>
    </row>
    <row r="1187" customFormat="false" ht="17.15" hidden="false" customHeight="false" outlineLevel="0" collapsed="false">
      <c r="A1187" s="5" t="s">
        <v>730</v>
      </c>
    </row>
    <row r="1188" customFormat="false" ht="17.15" hidden="false" customHeight="false" outlineLevel="0" collapsed="false">
      <c r="A1188" s="0" t="s">
        <v>731</v>
      </c>
      <c r="B1188" s="0" t="s">
        <v>379</v>
      </c>
      <c r="D1188" s="21" t="n">
        <f aca="false">a26_bt</f>
        <v>23.265964</v>
      </c>
      <c r="E1188" s="21" t="n">
        <f aca="false">D1188*(1+g_bt27_A)</f>
        <v>29.78043392</v>
      </c>
      <c r="F1188" s="21" t="n">
        <f aca="false">E1188*(1+g_bt28_A)</f>
        <v>32.758477312</v>
      </c>
      <c r="G1188" s="21" t="n">
        <f aca="false">F1188*(1+g_bt29_A)</f>
        <v>34.3964011776</v>
      </c>
      <c r="K1188" s="7" t="s">
        <v>732</v>
      </c>
    </row>
    <row r="1189" customFormat="false" ht="17.15" hidden="false" customHeight="false" outlineLevel="0" collapsed="false">
      <c r="A1189" s="3" t="s">
        <v>617</v>
      </c>
      <c r="B1189" s="0" t="s">
        <v>379</v>
      </c>
      <c r="C1189" s="21" t="n">
        <f aca="false">a25_lens</f>
        <v>7.039</v>
      </c>
      <c r="D1189" s="21" t="n">
        <f aca="false">a26_lens</f>
        <v>8.301</v>
      </c>
      <c r="E1189" s="21" t="n">
        <f aca="false">D1189*(1+g_lens)</f>
        <v>9.1311</v>
      </c>
      <c r="F1189" s="21" t="n">
        <f aca="false">E1189*(1+g_lens)</f>
        <v>10.04421</v>
      </c>
      <c r="G1189" s="21" t="n">
        <f aca="false">F1189*(1+g_lens)</f>
        <v>11.048631</v>
      </c>
      <c r="K1189" s="3" t="s">
        <v>733</v>
      </c>
    </row>
    <row r="1190" customFormat="false" ht="17.15" hidden="false" customHeight="false" outlineLevel="0" collapsed="false">
      <c r="A1190" s="3" t="s">
        <v>574</v>
      </c>
      <c r="B1190" s="0" t="s">
        <v>379</v>
      </c>
      <c r="C1190" s="23" t="n">
        <f aca="false">a25_rev</f>
        <v>39.351</v>
      </c>
      <c r="D1190" s="23" t="n">
        <f aca="false">D1183+D1188+D1189</f>
        <v>54.4258</v>
      </c>
      <c r="E1190" s="23" t="n">
        <f aca="false">E1183+E1188+E1189</f>
        <v>72.033987284</v>
      </c>
      <c r="F1190" s="23" t="n">
        <f aca="false">F1183+F1188+F1189</f>
        <v>84.1022463502375</v>
      </c>
      <c r="G1190" s="23" t="n">
        <f aca="false">G1183+G1188+G1189</f>
        <v>95.7204938648657</v>
      </c>
      <c r="H1190" s="25" t="n">
        <f aca="false">G1190*(1+H1192)</f>
        <v>106.450398676057</v>
      </c>
      <c r="I1190" s="25" t="n">
        <f aca="false">H1190*(1+I1192)</f>
        <v>115.610253886302</v>
      </c>
      <c r="J1190" s="25" t="n">
        <f aca="false">I1190*(1+J1192)</f>
        <v>122.54686911948</v>
      </c>
      <c r="K1190" s="7" t="s">
        <v>734</v>
      </c>
    </row>
    <row r="1191" customFormat="false" ht="17.15" hidden="false" customHeight="false" outlineLevel="0" collapsed="false">
      <c r="A1191" s="3" t="s">
        <v>735</v>
      </c>
      <c r="B1191" s="0" t="s">
        <v>379</v>
      </c>
      <c r="D1191" s="19" t="n">
        <f aca="false">D1183+D1188+D1189-D1190</f>
        <v>0</v>
      </c>
      <c r="E1191" s="19" t="n">
        <f aca="false">E1183+E1188+E1189-E1190</f>
        <v>0</v>
      </c>
      <c r="F1191" s="19" t="n">
        <f aca="false">F1183+F1188+F1189-F1190</f>
        <v>0</v>
      </c>
      <c r="G1191" s="19" t="n">
        <f aca="false">G1183+G1188+G1189-G1190</f>
        <v>0</v>
      </c>
    </row>
    <row r="1192" customFormat="false" ht="15" hidden="false" customHeight="false" outlineLevel="0" collapsed="false">
      <c r="A1192" s="3" t="s">
        <v>736</v>
      </c>
      <c r="B1192" s="0" t="s">
        <v>43</v>
      </c>
      <c r="D1192" s="20" t="n">
        <f aca="false">D1190/C1190-1</f>
        <v>0.383085563263958</v>
      </c>
      <c r="E1192" s="20" t="n">
        <f aca="false">E1190/D1190-1</f>
        <v>0.323526476119781</v>
      </c>
      <c r="F1192" s="20" t="n">
        <f aca="false">F1190/E1190-1</f>
        <v>0.167535624796909</v>
      </c>
      <c r="G1192" s="20" t="n">
        <f aca="false">G1190/F1190-1</f>
        <v>0.13814431859816</v>
      </c>
      <c r="H1192" s="26" t="n">
        <f aca="false">$G1192+(fade_gA-$G1192)*1/3</f>
        <v>0.112096212398773</v>
      </c>
      <c r="I1192" s="26" t="n">
        <f aca="false">$G1192+(fade_gA-$G1192)*2/3</f>
        <v>0.0860481061993867</v>
      </c>
      <c r="J1192" s="26" t="n">
        <f aca="false">$G1192+(fade_gA-$G1192)*3/3</f>
        <v>0.06</v>
      </c>
    </row>
    <row r="1193" customFormat="false" ht="17.15" hidden="false" customHeight="false" outlineLevel="0" collapsed="false">
      <c r="A1193" s="0" t="s">
        <v>737</v>
      </c>
      <c r="B1193" s="0" t="s">
        <v>43</v>
      </c>
      <c r="D1193" s="20" t="n">
        <f aca="false">D1183/D1190</f>
        <v>0.42</v>
      </c>
      <c r="E1193" s="20" t="n">
        <f aca="false">E1183/E1190</f>
        <v>0.459817019893845</v>
      </c>
      <c r="F1193" s="20" t="n">
        <f aca="false">F1183/F1190</f>
        <v>0.491063685341395</v>
      </c>
      <c r="G1193" s="20" t="n">
        <f aca="false">G1183/G1190</f>
        <v>0.525231950414323</v>
      </c>
    </row>
    <row r="1194" customFormat="false" ht="17.15" hidden="false" customHeight="false" outlineLevel="0" collapsed="false">
      <c r="A1194" s="0" t="s">
        <v>738</v>
      </c>
      <c r="B1194" s="0" t="s">
        <v>43</v>
      </c>
      <c r="D1194" s="20" t="n">
        <f aca="false">D1185/D1190</f>
        <v>0.105</v>
      </c>
      <c r="E1194" s="20" t="n">
        <f aca="false">E1185/E1190</f>
        <v>0.203221947966043</v>
      </c>
      <c r="F1194" s="20" t="n">
        <f aca="false">F1185/F1190</f>
        <v>0.246660085955986</v>
      </c>
      <c r="G1194" s="20" t="n">
        <f aca="false">G1185/G1190</f>
        <v>0.279915947023896</v>
      </c>
      <c r="K1194" s="3" t="s">
        <v>739</v>
      </c>
    </row>
    <row r="1195" customFormat="false" ht="17.15" hidden="false" customHeight="false" outlineLevel="0" collapsed="false">
      <c r="A1195" s="5" t="s">
        <v>740</v>
      </c>
    </row>
    <row r="1196" customFormat="false" ht="15" hidden="false" customHeight="false" outlineLevel="0" collapsed="false">
      <c r="A1196" s="3" t="s">
        <v>741</v>
      </c>
      <c r="B1196" s="0" t="s">
        <v>379</v>
      </c>
      <c r="C1196" s="23" t="n">
        <f aca="false">a25_cx</f>
        <v>6.116</v>
      </c>
      <c r="D1196" s="23" t="n">
        <f aca="false">capex26</f>
        <v>11</v>
      </c>
      <c r="E1196" s="23" t="n">
        <f aca="false">cx27</f>
        <v>17</v>
      </c>
      <c r="F1196" s="23" t="n">
        <f aca="false">cx28</f>
        <v>16</v>
      </c>
      <c r="G1196" s="23" t="n">
        <f aca="false">cx29</f>
        <v>12</v>
      </c>
      <c r="H1196" s="25" t="n">
        <f aca="false">H1190*H1215</f>
        <v>13.4441208614238</v>
      </c>
      <c r="I1196" s="25" t="n">
        <f aca="false">I1190*I1215</f>
        <v>14.7084441774837</v>
      </c>
      <c r="J1196" s="25" t="n">
        <f aca="false">J1190*J1215</f>
        <v>15.7048819351365</v>
      </c>
    </row>
    <row r="1197" customFormat="false" ht="17.15" hidden="false" customHeight="false" outlineLevel="0" collapsed="false">
      <c r="A1197" s="3" t="s">
        <v>742</v>
      </c>
      <c r="B1197" s="0" t="s">
        <v>379</v>
      </c>
      <c r="C1197" s="23" t="n">
        <f aca="false">a25_da</f>
        <v>7.158</v>
      </c>
      <c r="D1197" s="23" t="n">
        <f aca="false">da26</f>
        <v>8.32</v>
      </c>
      <c r="E1197" s="23" t="n">
        <f aca="false">D1197*(1-1/life)+D1196/life</f>
        <v>8.655</v>
      </c>
      <c r="F1197" s="23" t="n">
        <f aca="false">E1197*(1-1/life)+E1196/life</f>
        <v>9.698125</v>
      </c>
      <c r="G1197" s="23" t="n">
        <f aca="false">F1197*(1-1/life)+F1196/life</f>
        <v>10.485859375</v>
      </c>
      <c r="H1197" s="25" t="n">
        <f aca="false">H1190*H1198</f>
        <v>11.6612844946837</v>
      </c>
      <c r="I1197" s="25" t="n">
        <f aca="false">I1190*I1198</f>
        <v>12.6647159413035</v>
      </c>
      <c r="J1197" s="25" t="n">
        <f aca="false">J1190*J1198</f>
        <v>13.4245988977817</v>
      </c>
      <c r="K1197" s="3" t="s">
        <v>743</v>
      </c>
    </row>
    <row r="1198" customFormat="false" ht="17.15" hidden="false" customHeight="false" outlineLevel="0" collapsed="false">
      <c r="A1198" s="3" t="s">
        <v>744</v>
      </c>
      <c r="B1198" s="0" t="s">
        <v>43</v>
      </c>
      <c r="C1198" s="20" t="n">
        <f aca="false">C1197/C1190</f>
        <v>0.181901349393916</v>
      </c>
      <c r="D1198" s="20" t="n">
        <f aca="false">D1197/D1190</f>
        <v>0.152868676252807</v>
      </c>
      <c r="E1198" s="20" t="n">
        <f aca="false">E1197/E1190</f>
        <v>0.120151616290196</v>
      </c>
      <c r="F1198" s="20" t="n">
        <f aca="false">F1197/F1190</f>
        <v>0.115313507318376</v>
      </c>
      <c r="G1198" s="20" t="n">
        <f aca="false">G1197/G1190</f>
        <v>0.109546649328863</v>
      </c>
      <c r="H1198" s="26" t="n">
        <f aca="false">$G1198</f>
        <v>0.109546649328863</v>
      </c>
      <c r="I1198" s="26" t="n">
        <f aca="false">$G1198</f>
        <v>0.109546649328863</v>
      </c>
      <c r="J1198" s="26" t="n">
        <f aca="false">$G1198</f>
        <v>0.109546649328863</v>
      </c>
    </row>
    <row r="1199" customFormat="false" ht="17.15" hidden="false" customHeight="false" outlineLevel="0" collapsed="false">
      <c r="A1199" s="0" t="s">
        <v>745</v>
      </c>
      <c r="B1199" s="0" t="s">
        <v>379</v>
      </c>
      <c r="E1199" s="21" t="n">
        <f aca="false">E1184*((E1176+E1179)*(1-1/(E1169*E1170))+E1180*(1-1/E1170))</f>
        <v>4.320320004</v>
      </c>
      <c r="F1199" s="21" t="n">
        <f aca="false">F1184*((F1176+F1179)*(1-1/(F1169*F1170))+F1180*(1-1/F1170))</f>
        <v>4.43748631327852</v>
      </c>
      <c r="G1199" s="21" t="n">
        <f aca="false">G1184*((G1176+G1179)*(1-1/(G1169*G1170))+G1180*(1-1/G1170))</f>
        <v>3.9689063370077</v>
      </c>
      <c r="K1199" s="7" t="s">
        <v>746</v>
      </c>
    </row>
    <row r="1200" customFormat="false" ht="17.15" hidden="false" customHeight="false" outlineLevel="0" collapsed="false">
      <c r="A1200" s="3" t="s">
        <v>747</v>
      </c>
      <c r="B1200" s="0" t="s">
        <v>379</v>
      </c>
      <c r="C1200" s="21" t="n">
        <f aca="false">a25_gp</f>
        <v>8.314</v>
      </c>
      <c r="D1200" s="21" t="n">
        <f aca="false">a26_gp</f>
        <v>15.328536</v>
      </c>
      <c r="E1200" s="21" t="n">
        <f aca="false">$D1200+ft_abf*(E1183-E1199-$D1183)+ft_bt*(E1188-$D1188)+ft_lens*(E1189-$D1189)+E1199-(E1197-$D1197)</f>
        <v>25.590561148</v>
      </c>
      <c r="F1200" s="21" t="n">
        <f aca="false">$D1200+ft_abf*(F1183-F1199-$D1183)+ft_bt*(F1188-$D1188)+ft_lens*(F1189-$D1189)+F1199-(F1197-$D1197)</f>
        <v>30.445591166158</v>
      </c>
      <c r="G1200" s="21" t="n">
        <f aca="false">$D1200+ft_abf*(G1183-G1199-$D1183)+ft_bt*(G1188-$D1188)+ft_lens*(G1189-$D1189)+G1199-(G1197-$D1197)</f>
        <v>35.1005733170567</v>
      </c>
      <c r="K1200" s="3" t="s">
        <v>748</v>
      </c>
    </row>
    <row r="1201" customFormat="false" ht="15" hidden="false" customHeight="false" outlineLevel="0" collapsed="false">
      <c r="A1201" s="3" t="s">
        <v>581</v>
      </c>
      <c r="B1201" s="0" t="s">
        <v>43</v>
      </c>
      <c r="C1201" s="16" t="n">
        <f aca="false">C1200/C1190</f>
        <v>0.211277985311682</v>
      </c>
      <c r="D1201" s="16" t="n">
        <f aca="false">D1200/D1190</f>
        <v>0.281640986443929</v>
      </c>
      <c r="E1201" s="16" t="n">
        <f aca="false">E1200/E1190</f>
        <v>0.3552567629931</v>
      </c>
      <c r="F1201" s="16" t="n">
        <f aca="false">F1200/F1190</f>
        <v>0.362006872436791</v>
      </c>
      <c r="G1201" s="16" t="n">
        <f aca="false">G1200/G1190</f>
        <v>0.366698623250004</v>
      </c>
    </row>
    <row r="1202" customFormat="false" ht="15" hidden="false" customHeight="false" outlineLevel="0" collapsed="false">
      <c r="A1202" s="3" t="s">
        <v>583</v>
      </c>
      <c r="B1202" s="0" t="s">
        <v>379</v>
      </c>
      <c r="C1202" s="21" t="n">
        <f aca="false">a25_opx</f>
        <v>5.644</v>
      </c>
      <c r="D1202" s="21" t="n">
        <f aca="false">a26_opx</f>
        <v>6.54036</v>
      </c>
      <c r="E1202" s="21" t="n">
        <f aca="false">D1202*(1+phi*E1192)</f>
        <v>7.80994777401287</v>
      </c>
      <c r="F1202" s="21" t="n">
        <f aca="false">E1202*(1+phi*F1192)</f>
        <v>8.59501446198315</v>
      </c>
      <c r="G1202" s="21" t="n">
        <f aca="false">F1202*(1+phi*G1192)</f>
        <v>9.30742591169834</v>
      </c>
    </row>
    <row r="1203" customFormat="false" ht="15" hidden="false" customHeight="false" outlineLevel="0" collapsed="false">
      <c r="A1203" s="3" t="s">
        <v>586</v>
      </c>
      <c r="B1203" s="0" t="s">
        <v>379</v>
      </c>
      <c r="C1203" s="21" t="n">
        <f aca="false">C1200-C1202</f>
        <v>2.67</v>
      </c>
      <c r="D1203" s="21" t="n">
        <f aca="false">D1200-D1202</f>
        <v>8.788176</v>
      </c>
      <c r="E1203" s="21" t="n">
        <f aca="false">E1200-E1202</f>
        <v>17.7806133739871</v>
      </c>
      <c r="F1203" s="21" t="n">
        <f aca="false">F1200-F1202</f>
        <v>21.8505767041749</v>
      </c>
      <c r="G1203" s="21" t="n">
        <f aca="false">G1200-G1202</f>
        <v>25.7931474053583</v>
      </c>
    </row>
    <row r="1204" customFormat="false" ht="15" hidden="false" customHeight="false" outlineLevel="0" collapsed="false">
      <c r="A1204" s="3" t="s">
        <v>684</v>
      </c>
      <c r="B1204" s="0" t="s">
        <v>43</v>
      </c>
      <c r="C1204" s="16" t="n">
        <f aca="false">C1203/C1190</f>
        <v>0.0678508805367081</v>
      </c>
      <c r="D1204" s="16" t="n">
        <f aca="false">D1203/D1190</f>
        <v>0.161470773052486</v>
      </c>
      <c r="E1204" s="16" t="n">
        <f aca="false">E1203/E1190</f>
        <v>0.246836445466854</v>
      </c>
      <c r="F1204" s="16" t="n">
        <f aca="false">F1203/F1190</f>
        <v>0.259809668022181</v>
      </c>
      <c r="G1204" s="16" t="n">
        <f aca="false">G1203/G1190</f>
        <v>0.269463166809106</v>
      </c>
    </row>
    <row r="1205" customFormat="false" ht="15" hidden="false" customHeight="false" outlineLevel="0" collapsed="false">
      <c r="A1205" s="3" t="s">
        <v>589</v>
      </c>
      <c r="B1205" s="0" t="s">
        <v>379</v>
      </c>
      <c r="C1205" s="21" t="n">
        <f aca="false">a25_nonop</f>
        <v>0.417</v>
      </c>
      <c r="D1205" s="21" t="n">
        <f aca="false">a26_nonop</f>
        <v>0.37882</v>
      </c>
      <c r="E1205" s="21" t="n">
        <f aca="false">nonop27</f>
        <v>0.4</v>
      </c>
      <c r="F1205" s="21" t="n">
        <f aca="false">nonop28</f>
        <v>0.4</v>
      </c>
      <c r="G1205" s="21" t="n">
        <f aca="false">nonop29</f>
        <v>0.4</v>
      </c>
    </row>
    <row r="1206" customFormat="false" ht="15" hidden="false" customHeight="false" outlineLevel="0" collapsed="false">
      <c r="A1206" s="3" t="s">
        <v>591</v>
      </c>
      <c r="B1206" s="0" t="s">
        <v>379</v>
      </c>
      <c r="C1206" s="21" t="n">
        <f aca="false">C1203+C1205</f>
        <v>3.087</v>
      </c>
      <c r="D1206" s="21" t="n">
        <f aca="false">D1203+D1205</f>
        <v>9.166996</v>
      </c>
      <c r="E1206" s="21" t="n">
        <f aca="false">E1203+E1205</f>
        <v>18.1806133739871</v>
      </c>
      <c r="F1206" s="21" t="n">
        <f aca="false">F1203+F1205</f>
        <v>22.2505767041749</v>
      </c>
      <c r="G1206" s="21" t="n">
        <f aca="false">G1203+G1205</f>
        <v>26.1931474053583</v>
      </c>
    </row>
    <row r="1207" customFormat="false" ht="15" hidden="false" customHeight="false" outlineLevel="0" collapsed="false">
      <c r="A1207" s="3" t="s">
        <v>592</v>
      </c>
      <c r="B1207" s="0" t="s">
        <v>379</v>
      </c>
      <c r="E1207" s="21" t="n">
        <f aca="false">E1206*tax</f>
        <v>2.18167360487846</v>
      </c>
      <c r="F1207" s="21" t="n">
        <f aca="false">F1206*tax</f>
        <v>2.67006920450098</v>
      </c>
      <c r="G1207" s="21" t="n">
        <f aca="false">G1206*tax</f>
        <v>3.143177688643</v>
      </c>
    </row>
    <row r="1208" customFormat="false" ht="15" hidden="false" customHeight="false" outlineLevel="0" collapsed="false">
      <c r="A1208" s="3" t="s">
        <v>593</v>
      </c>
      <c r="B1208" s="0" t="s">
        <v>379</v>
      </c>
      <c r="C1208" s="21" t="n">
        <f aca="false">a25_nic</f>
        <v>2.71712</v>
      </c>
      <c r="D1208" s="21" t="n">
        <f aca="false">a26_nic</f>
        <v>8.39979776</v>
      </c>
      <c r="E1208" s="21" t="n">
        <f aca="false">E1206-E1207</f>
        <v>15.9989397691087</v>
      </c>
      <c r="F1208" s="21" t="n">
        <f aca="false">F1206-F1207</f>
        <v>19.5805074996739</v>
      </c>
      <c r="G1208" s="21" t="n">
        <f aca="false">G1206-G1207</f>
        <v>23.0499697167153</v>
      </c>
    </row>
    <row r="1209" customFormat="false" ht="17.15" hidden="false" customHeight="false" outlineLevel="0" collapsed="false">
      <c r="A1209" s="3" t="s">
        <v>749</v>
      </c>
      <c r="B1209" s="0" t="s">
        <v>379</v>
      </c>
      <c r="C1209" s="21" t="n">
        <f aca="false">a25_nci</f>
        <v>1.12112</v>
      </c>
      <c r="D1209" s="21" t="n">
        <f aca="false">a26_nci</f>
        <v>1.43839238487797</v>
      </c>
      <c r="E1209" s="21" t="n">
        <f aca="false">E1189*nm_lens*nci_sh</f>
        <v>1.57074538036261</v>
      </c>
      <c r="F1209" s="21" t="n">
        <f aca="false">F1189*nm_lens*nci_sh</f>
        <v>1.72781991839887</v>
      </c>
      <c r="G1209" s="21" t="n">
        <f aca="false">G1189*nm_lens*nci_sh</f>
        <v>1.90060191023875</v>
      </c>
      <c r="K1209" s="3" t="s">
        <v>750</v>
      </c>
    </row>
    <row r="1210" customFormat="false" ht="15" hidden="false" customHeight="false" outlineLevel="0" collapsed="false">
      <c r="A1210" s="3" t="s">
        <v>599</v>
      </c>
      <c r="B1210" s="0" t="s">
        <v>379</v>
      </c>
      <c r="C1210" s="21" t="n">
        <f aca="false">a25_ni</f>
        <v>1.596</v>
      </c>
      <c r="D1210" s="21" t="n">
        <f aca="false">a26_ni</f>
        <v>6.96140537512203</v>
      </c>
      <c r="E1210" s="21" t="n">
        <f aca="false">E1208-E1209</f>
        <v>14.4281943887461</v>
      </c>
      <c r="F1210" s="21" t="n">
        <f aca="false">F1208-F1209</f>
        <v>17.852687581275</v>
      </c>
      <c r="G1210" s="21" t="n">
        <f aca="false">G1208-G1209</f>
        <v>21.1493678064766</v>
      </c>
      <c r="H1210" s="30" t="n">
        <f aca="false">H1190*H1214</f>
        <v>23.521101115901</v>
      </c>
      <c r="I1210" s="30" t="n">
        <f aca="false">I1190*I1214</f>
        <v>25.5461000113644</v>
      </c>
      <c r="J1210" s="30" t="n">
        <f aca="false">J1190*J1214</f>
        <v>27.0799818620849</v>
      </c>
    </row>
    <row r="1211" customFormat="false" ht="15" hidden="false" customHeight="false" outlineLevel="0" collapsed="false">
      <c r="A1211" s="3" t="s">
        <v>751</v>
      </c>
      <c r="B1211" s="3" t="s">
        <v>465</v>
      </c>
      <c r="C1211" s="29" t="n">
        <f aca="false">a25_sh</f>
        <v>0.454700854700855</v>
      </c>
      <c r="D1211" s="29" t="n">
        <f aca="false">a26_sh</f>
        <v>0.508341020486215</v>
      </c>
      <c r="E1211" s="29" t="n">
        <f aca="false">a26_shend*(1+sh_g)</f>
        <v>0.52691</v>
      </c>
      <c r="F1211" s="29" t="n">
        <f aca="false">E1211*(1+sh_g)</f>
        <v>0.52691</v>
      </c>
      <c r="G1211" s="29" t="n">
        <f aca="false">F1211*(1+sh_g)</f>
        <v>0.52691</v>
      </c>
      <c r="H1211" s="31" t="n">
        <f aca="false">G1211*(1+sh_g)</f>
        <v>0.52691</v>
      </c>
      <c r="I1211" s="31" t="n">
        <f aca="false">H1211*(1+sh_g)</f>
        <v>0.52691</v>
      </c>
      <c r="J1211" s="31" t="n">
        <f aca="false">I1211*(1+sh_g)</f>
        <v>0.52691</v>
      </c>
    </row>
    <row r="1212" customFormat="false" ht="17.15" hidden="false" customHeight="false" outlineLevel="0" collapsed="false">
      <c r="A1212" s="0" t="s">
        <v>604</v>
      </c>
      <c r="B1212" s="0" t="s">
        <v>471</v>
      </c>
      <c r="C1212" s="18" t="n">
        <f aca="false">C1210/C1211</f>
        <v>3.51</v>
      </c>
      <c r="D1212" s="18" t="n">
        <f aca="false">D1210/D1211</f>
        <v>13.6943608612652</v>
      </c>
      <c r="E1212" s="18" t="n">
        <f aca="false">E1210/E1211</f>
        <v>27.3826543218881</v>
      </c>
      <c r="F1212" s="18" t="n">
        <f aca="false">F1210/F1211</f>
        <v>33.8818537914919</v>
      </c>
      <c r="G1212" s="18" t="n">
        <f aca="false">G1210/G1211</f>
        <v>40.1384824855793</v>
      </c>
      <c r="H1212" s="28" t="n">
        <f aca="false">H1210/H1211</f>
        <v>44.6396939057923</v>
      </c>
      <c r="I1212" s="28" t="n">
        <f aca="false">I1210/I1211</f>
        <v>48.48285288069</v>
      </c>
      <c r="J1212" s="28" t="n">
        <f aca="false">J1210/J1211</f>
        <v>51.3939417776944</v>
      </c>
    </row>
    <row r="1213" customFormat="false" ht="17.15" hidden="false" customHeight="false" outlineLevel="0" collapsed="false">
      <c r="A1213" s="0" t="s">
        <v>752</v>
      </c>
      <c r="B1213" s="0" t="s">
        <v>43</v>
      </c>
      <c r="D1213" s="20" t="n">
        <f aca="false">D1212/C1212-1</f>
        <v>2.90152731090177</v>
      </c>
      <c r="E1213" s="20" t="n">
        <f aca="false">E1212/D1212-1</f>
        <v>0.999556941670828</v>
      </c>
      <c r="F1213" s="20" t="n">
        <f aca="false">F1212/E1212-1</f>
        <v>0.237347314588445</v>
      </c>
      <c r="G1213" s="20" t="n">
        <f aca="false">G1212/F1212-1</f>
        <v>0.184660164481864</v>
      </c>
      <c r="H1213" s="26" t="n">
        <f aca="false">H1212/G1212-1</f>
        <v>0.112142042784757</v>
      </c>
      <c r="I1213" s="26" t="n">
        <f aca="false">I1212/H1212-1</f>
        <v>0.0860928612774152</v>
      </c>
      <c r="J1213" s="26" t="n">
        <f aca="false">J1212/I1212-1</f>
        <v>0.0600436798586952</v>
      </c>
    </row>
    <row r="1214" customFormat="false" ht="17.15" hidden="false" customHeight="false" outlineLevel="0" collapsed="false">
      <c r="A1214" s="3" t="s">
        <v>753</v>
      </c>
      <c r="B1214" s="0" t="s">
        <v>43</v>
      </c>
      <c r="C1214" s="16" t="n">
        <f aca="false">C1210/C1190</f>
        <v>0.0405580544331783</v>
      </c>
      <c r="D1214" s="16" t="n">
        <f aca="false">D1210/D1190</f>
        <v>0.127906349105057</v>
      </c>
      <c r="E1214" s="16" t="n">
        <f aca="false">E1210/E1190</f>
        <v>0.20029703939422</v>
      </c>
      <c r="F1214" s="16" t="n">
        <f aca="false">F1210/F1190</f>
        <v>0.212273611657515</v>
      </c>
      <c r="G1214" s="16" t="n">
        <f aca="false">G1210/G1190</f>
        <v>0.220949213199155</v>
      </c>
      <c r="H1214" s="27" t="n">
        <f aca="false">$G1214+(fade_mA-$G1214)*1/3</f>
        <v>0.220958318695254</v>
      </c>
      <c r="I1214" s="27" t="n">
        <f aca="false">$G1214+(fade_mA-$G1214)*2/3</f>
        <v>0.220967424191353</v>
      </c>
      <c r="J1214" s="27" t="n">
        <f aca="false">$G1214+(fade_mA-$G1214)*3/3</f>
        <v>0.220976529687452</v>
      </c>
    </row>
    <row r="1215" customFormat="false" ht="17.15" hidden="false" customHeight="false" outlineLevel="0" collapsed="false">
      <c r="A1215" s="3" t="s">
        <v>754</v>
      </c>
      <c r="B1215" s="0" t="s">
        <v>43</v>
      </c>
      <c r="C1215" s="20" t="n">
        <f aca="false">C1196/C1190</f>
        <v>0.155421717364235</v>
      </c>
      <c r="D1215" s="20" t="n">
        <f aca="false">D1196/D1190</f>
        <v>0.202110028699624</v>
      </c>
      <c r="E1215" s="20" t="n">
        <f aca="false">E1196/E1190</f>
        <v>0.235999708484498</v>
      </c>
      <c r="F1215" s="20" t="n">
        <f aca="false">F1196/F1190</f>
        <v>0.190244621212247</v>
      </c>
      <c r="G1215" s="20" t="n">
        <f aca="false">G1196/G1190</f>
        <v>0.125365002994459</v>
      </c>
      <c r="H1215" s="26" t="n">
        <f aca="false">$G1215+($G1198*(1+tp_g)^(life/2)-$G1215)*1/3</f>
        <v>0.126294697141869</v>
      </c>
      <c r="I1215" s="26" t="n">
        <f aca="false">$G1215+($G1198*(1+tp_g)^(life/2)-$G1215)*2/3</f>
        <v>0.127224391289279</v>
      </c>
      <c r="J1215" s="26" t="n">
        <f aca="false">$G1215+($G1198*(1+tp_g)^(life/2)-$G1215)*3/3</f>
        <v>0.128154085436688</v>
      </c>
      <c r="K1215" s="7" t="s">
        <v>755</v>
      </c>
    </row>
    <row r="1216" customFormat="false" ht="15" hidden="false" customHeight="false" outlineLevel="0" collapsed="false">
      <c r="A1216" s="3" t="s">
        <v>756</v>
      </c>
      <c r="B1216" s="0" t="s">
        <v>379</v>
      </c>
      <c r="D1216" s="21" t="n">
        <f aca="false">D1210+D1197-D1196</f>
        <v>4.28140537512203</v>
      </c>
      <c r="E1216" s="21" t="n">
        <f aca="false">E1210+E1197-E1196</f>
        <v>6.08319438874607</v>
      </c>
      <c r="F1216" s="21" t="n">
        <f aca="false">F1210+F1197-F1196</f>
        <v>11.550812581275</v>
      </c>
      <c r="G1216" s="21" t="n">
        <f aca="false">G1210+G1197-G1196</f>
        <v>19.6352271814766</v>
      </c>
      <c r="H1216" s="30" t="n">
        <f aca="false">H1210+H1197-H1196</f>
        <v>21.7382647491609</v>
      </c>
      <c r="I1216" s="30" t="n">
        <f aca="false">I1210+I1197-I1196</f>
        <v>23.5023717751842</v>
      </c>
      <c r="J1216" s="30" t="n">
        <f aca="false">J1210+J1197-J1196</f>
        <v>24.7996988247302</v>
      </c>
      <c r="K1216" s="3" t="s">
        <v>757</v>
      </c>
    </row>
    <row r="1217" customFormat="false" ht="15" hidden="false" customHeight="false" outlineLevel="0" collapsed="false">
      <c r="A1217" s="3" t="s">
        <v>758</v>
      </c>
      <c r="B1217" s="0" t="s">
        <v>471</v>
      </c>
      <c r="D1217" s="18" t="n">
        <f aca="false">D1216/D1211</f>
        <v>8.42230943909854</v>
      </c>
      <c r="E1217" s="18" t="n">
        <f aca="false">E1216/E1211</f>
        <v>11.5450349941092</v>
      </c>
      <c r="F1217" s="18" t="n">
        <f aca="false">F1216/F1211</f>
        <v>21.9217941987721</v>
      </c>
      <c r="G1217" s="18" t="n">
        <f aca="false">G1216/G1211</f>
        <v>37.2648596182965</v>
      </c>
      <c r="H1217" s="28" t="n">
        <f aca="false">H1216/H1211</f>
        <v>41.2561248584405</v>
      </c>
      <c r="I1217" s="28" t="n">
        <f aca="false">I1216/I1211</f>
        <v>44.6041482894312</v>
      </c>
      <c r="J1217" s="28" t="n">
        <f aca="false">J1216/J1211</f>
        <v>47.0662899256612</v>
      </c>
    </row>
    <row r="1220" customFormat="false" ht="17.15" hidden="false" customHeight="false" outlineLevel="0" collapsed="false">
      <c r="A1220" s="1" t="s">
        <v>1112</v>
      </c>
    </row>
    <row r="1221" customFormat="false" ht="17.15" hidden="false" customHeight="false" outlineLevel="0" collapsed="false">
      <c r="A1221" s="4" t="s">
        <v>20</v>
      </c>
      <c r="B1221" s="4" t="s">
        <v>21</v>
      </c>
      <c r="C1221" s="13" t="s">
        <v>567</v>
      </c>
      <c r="D1221" s="13" t="s">
        <v>671</v>
      </c>
      <c r="E1221" s="13" t="s">
        <v>672</v>
      </c>
      <c r="F1221" s="13" t="s">
        <v>673</v>
      </c>
      <c r="G1221" s="13" t="s">
        <v>674</v>
      </c>
      <c r="H1221" s="13" t="s">
        <v>675</v>
      </c>
      <c r="I1221" s="13" t="s">
        <v>676</v>
      </c>
      <c r="J1221" s="13" t="s">
        <v>677</v>
      </c>
      <c r="K1221" s="4" t="s">
        <v>631</v>
      </c>
    </row>
    <row r="1222" customFormat="false" ht="17.15" hidden="false" customHeight="false" outlineLevel="0" collapsed="false">
      <c r="A1222" s="5" t="s">
        <v>695</v>
      </c>
    </row>
    <row r="1223" customFormat="false" ht="17.15" hidden="false" customHeight="false" outlineLevel="0" collapsed="false">
      <c r="A1223" s="0" t="s">
        <v>696</v>
      </c>
      <c r="B1223" s="3" t="s">
        <v>31</v>
      </c>
      <c r="D1223" s="21" t="n">
        <f aca="false">(u_bw_26+u_rb_26+u_ru_26+u_hp_26)*1</f>
        <v>7.6</v>
      </c>
      <c r="E1223" s="21" t="n">
        <f aca="false">(u_bw_27+u_rb_27+u_ru_27+u_hp_27)*1*1</f>
        <v>9.7</v>
      </c>
      <c r="F1223" s="21" t="n">
        <f aca="false">(u_bw_28+u_rb_28+u_ru_28+u_hp_28)*um28_A*1</f>
        <v>9.5</v>
      </c>
      <c r="G1223" s="21" t="n">
        <f aca="false">(u_bw_28*(1+g29_bw)+u_rb_28*(1+g29_rb)+u_ru_28*(1+g29_ru)+u_hp_28*(1+g29_hp))*um29_A*1</f>
        <v>10.6</v>
      </c>
      <c r="K1223" s="7" t="s">
        <v>697</v>
      </c>
    </row>
    <row r="1224" customFormat="false" ht="17.15" hidden="false" customHeight="false" outlineLevel="0" collapsed="false">
      <c r="A1224" s="3" t="s">
        <v>698</v>
      </c>
      <c r="B1224" s="3" t="s">
        <v>31</v>
      </c>
      <c r="D1224" s="21" t="n">
        <f aca="false">(u_amd_26+u_tpu_26+u_trn_26+u_oth_26)*1</f>
        <v>7.6</v>
      </c>
      <c r="E1224" s="21" t="n">
        <f aca="false">(u_amd_27+u_tpu_27+u_trn_27+u_oth_27)*1*1</f>
        <v>14</v>
      </c>
      <c r="F1224" s="21" t="n">
        <f aca="false">(u_amd_28+u_tpu_28+u_trn_28+u_oth_28)*um28_A*1</f>
        <v>17</v>
      </c>
      <c r="G1224" s="21" t="n">
        <f aca="false">(u_amd_28*(1+g29_amd)+u_tpu_28*(1+g29_tpu)+u_trn_28*(1+g29_trn)+u_oth_28*(1+g29_oth))*um29_A*1</f>
        <v>19.55</v>
      </c>
      <c r="K1224" s="7" t="s">
        <v>699</v>
      </c>
    </row>
    <row r="1225" customFormat="false" ht="17.15" hidden="false" customHeight="false" outlineLevel="0" collapsed="false">
      <c r="A1225" s="0" t="s">
        <v>700</v>
      </c>
      <c r="B1225" s="3" t="s">
        <v>31</v>
      </c>
      <c r="D1225" s="21" t="n">
        <f aca="false">D1223*cpu_r</f>
        <v>3.04</v>
      </c>
      <c r="E1225" s="21" t="n">
        <f aca="false">E1223*cpu_r</f>
        <v>3.88</v>
      </c>
      <c r="F1225" s="21" t="n">
        <f aca="false">F1223*cpu_r</f>
        <v>3.8</v>
      </c>
      <c r="G1225" s="21" t="n">
        <f aca="false">G1223*cpu_r</f>
        <v>4.24</v>
      </c>
      <c r="K1225" s="7" t="s">
        <v>701</v>
      </c>
    </row>
    <row r="1226" customFormat="false" ht="17.15" hidden="false" customHeight="false" outlineLevel="0" collapsed="false">
      <c r="A1226" s="3" t="s">
        <v>702</v>
      </c>
      <c r="B1226" s="0" t="s">
        <v>153</v>
      </c>
      <c r="D1226" s="19" t="n">
        <f aca="false">1</f>
        <v>1</v>
      </c>
      <c r="E1226" s="19" t="n">
        <f aca="false">D1226*(1+g_asp)</f>
        <v>1.18</v>
      </c>
      <c r="F1226" s="19" t="n">
        <f aca="false">E1226*(1+g_asp)</f>
        <v>1.3924</v>
      </c>
      <c r="G1226" s="19" t="n">
        <f aca="false">F1226*(1+g_asp)</f>
        <v>1.643032</v>
      </c>
      <c r="K1226" s="7" t="s">
        <v>703</v>
      </c>
    </row>
    <row r="1227" customFormat="false" ht="17.15" hidden="false" customHeight="false" outlineLevel="0" collapsed="false">
      <c r="A1227" s="0" t="s">
        <v>704</v>
      </c>
      <c r="B1227" s="0" t="s">
        <v>153</v>
      </c>
      <c r="D1227" s="18" t="n">
        <f aca="false">1</f>
        <v>1</v>
      </c>
      <c r="E1227" s="18" t="n">
        <f aca="false">ibpp_27</f>
        <v>1</v>
      </c>
      <c r="F1227" s="18" t="n">
        <f aca="false">ibpp_28</f>
        <v>0.95</v>
      </c>
      <c r="G1227" s="18" t="n">
        <f aca="false">ibpp_29</f>
        <v>0.9</v>
      </c>
      <c r="K1227" s="7" t="s">
        <v>705</v>
      </c>
    </row>
    <row r="1228" customFormat="false" ht="17.15" hidden="false" customHeight="false" outlineLevel="0" collapsed="false">
      <c r="A1228" s="3" t="s">
        <v>706</v>
      </c>
      <c r="B1228" s="0" t="s">
        <v>153</v>
      </c>
      <c r="D1228" s="18" t="n">
        <f aca="false">1</f>
        <v>1</v>
      </c>
      <c r="E1228" s="18" t="n">
        <f aca="false">1+carry</f>
        <v>1.15</v>
      </c>
      <c r="F1228" s="18" t="n">
        <f aca="false">1+carry</f>
        <v>1.15</v>
      </c>
      <c r="G1228" s="18" t="n">
        <f aca="false">1+carry</f>
        <v>1.15</v>
      </c>
      <c r="K1228" s="7" t="s">
        <v>707</v>
      </c>
    </row>
    <row r="1229" customFormat="false" ht="17.15" hidden="false" customHeight="false" outlineLevel="0" collapsed="false">
      <c r="A1229" s="3" t="s">
        <v>708</v>
      </c>
      <c r="B1229" s="0" t="s">
        <v>709</v>
      </c>
      <c r="D1229" s="23" t="n">
        <f aca="false">v26*D1226*D1227</f>
        <v>215.308596</v>
      </c>
      <c r="E1229" s="23" t="n">
        <f aca="false">v26*E1226*E1227</f>
        <v>254.06414328</v>
      </c>
      <c r="F1229" s="23" t="n">
        <f aca="false">v26*F1226*F1227</f>
        <v>284.80590461688</v>
      </c>
      <c r="G1229" s="23" t="n">
        <f aca="false">v26*G1226*G1227</f>
        <v>318.383021792765</v>
      </c>
      <c r="K1229" s="7" t="s">
        <v>710</v>
      </c>
    </row>
    <row r="1230" customFormat="false" ht="17.15" hidden="false" customHeight="false" outlineLevel="0" collapsed="false">
      <c r="A1230" s="3" t="s">
        <v>711</v>
      </c>
      <c r="B1230" s="0" t="s">
        <v>43</v>
      </c>
      <c r="D1230" s="20" t="n">
        <f aca="false">sh_nv_26_hi</f>
        <v>0.05</v>
      </c>
      <c r="E1230" s="20" t="n">
        <f aca="false">sh_nv_27_hi</f>
        <v>0.1</v>
      </c>
      <c r="F1230" s="20" t="n">
        <f aca="false">sh_nv_28_hi</f>
        <v>0.15</v>
      </c>
      <c r="G1230" s="20" t="n">
        <f aca="false">sh_nv_29_hi</f>
        <v>0.15</v>
      </c>
    </row>
    <row r="1231" customFormat="false" ht="17.15" hidden="false" customHeight="false" outlineLevel="0" collapsed="false">
      <c r="A1231" s="3" t="s">
        <v>712</v>
      </c>
      <c r="B1231" s="0" t="s">
        <v>43</v>
      </c>
      <c r="D1231" s="20" t="n">
        <f aca="false">sh_ot_26</f>
        <v>0.03</v>
      </c>
      <c r="E1231" s="20" t="n">
        <f aca="false">sh_ot_27</f>
        <v>0.05</v>
      </c>
      <c r="F1231" s="20" t="n">
        <f aca="false">sh_ot_28</f>
        <v>0.06</v>
      </c>
      <c r="G1231" s="20" t="n">
        <f aca="false">sh_ot_29</f>
        <v>0.06</v>
      </c>
    </row>
    <row r="1232" customFormat="false" ht="17.15" hidden="false" customHeight="false" outlineLevel="0" collapsed="false">
      <c r="A1232" s="3" t="s">
        <v>713</v>
      </c>
      <c r="B1232" s="0" t="s">
        <v>43</v>
      </c>
      <c r="D1232" s="20" t="n">
        <f aca="false">sh_cpu_26</f>
        <v>0.35</v>
      </c>
      <c r="E1232" s="20" t="n">
        <f aca="false">sh_cpu_27</f>
        <v>0.7</v>
      </c>
      <c r="F1232" s="20" t="n">
        <f aca="false">sh_cpu_28</f>
        <v>0.75</v>
      </c>
      <c r="G1232" s="20" t="n">
        <f aca="false">sh_cpu_29</f>
        <v>0.7</v>
      </c>
    </row>
    <row r="1233" customFormat="false" ht="17.15" hidden="false" customHeight="false" outlineLevel="0" collapsed="false">
      <c r="A1233" s="3" t="s">
        <v>714</v>
      </c>
      <c r="B1233" s="0" t="s">
        <v>661</v>
      </c>
      <c r="D1233" s="22" t="n">
        <f aca="false">(D1223*D1229*D1230+D1224*D1229*v_ot*D1231+D1225*D1229*v_cpu*D1232)*D1228</f>
        <v>189.8160582336</v>
      </c>
      <c r="E1233" s="22" t="n">
        <f aca="false">(E1223*E1229*E1230+E1224*E1229*v_ot*E1231+E1225*E1229*v_cpu*E1232)*E1228</f>
        <v>685.089043637385</v>
      </c>
      <c r="F1233" s="22" t="n">
        <f aca="false">(F1223*F1229*F1230+F1224*F1229*v_ot*F1231+F1225*F1229*v_cpu*F1232)*F1228</f>
        <v>1014.02294279794</v>
      </c>
      <c r="G1233" s="22" t="n">
        <f aca="false">(G1223*G1229*G1230+G1224*G1229*v_ot*G1231+G1225*G1229*v_cpu*G1232)*G1228</f>
        <v>1251.76105614087</v>
      </c>
    </row>
    <row r="1234" customFormat="false" ht="17.15" hidden="false" customHeight="false" outlineLevel="0" collapsed="false">
      <c r="A1234" s="3" t="s">
        <v>715</v>
      </c>
      <c r="B1234" s="0" t="s">
        <v>379</v>
      </c>
      <c r="D1234" s="21" t="n">
        <f aca="false">D1233*fx/1000</f>
        <v>6.0741138634752</v>
      </c>
      <c r="E1234" s="21" t="n">
        <f aca="false">E1233*fx/1000</f>
        <v>21.9228493963963</v>
      </c>
      <c r="F1234" s="21" t="n">
        <f aca="false">F1233*fx/1000</f>
        <v>32.4487341695341</v>
      </c>
      <c r="G1234" s="21" t="n">
        <f aca="false">G1233*fx/1000</f>
        <v>40.0563537965078</v>
      </c>
    </row>
    <row r="1235" customFormat="false" ht="17.15" hidden="false" customHeight="false" outlineLevel="0" collapsed="false">
      <c r="A1235" s="5" t="s">
        <v>716</v>
      </c>
    </row>
    <row r="1236" customFormat="false" ht="17.15" hidden="false" customHeight="false" outlineLevel="0" collapsed="false">
      <c r="A1236" s="0" t="s">
        <v>717</v>
      </c>
      <c r="B1236" s="0" t="s">
        <v>379</v>
      </c>
      <c r="D1236" s="21" t="n">
        <f aca="false">a26_abf*ai_abf</f>
        <v>5.714709</v>
      </c>
      <c r="K1236" s="3" t="s">
        <v>718</v>
      </c>
    </row>
    <row r="1237" customFormat="false" ht="17.15" hidden="false" customHeight="false" outlineLevel="0" collapsed="false">
      <c r="A1237" s="3" t="s">
        <v>719</v>
      </c>
      <c r="B1237" s="0" t="s">
        <v>379</v>
      </c>
      <c r="D1237" s="21" t="n">
        <f aca="false">D1236-D1234</f>
        <v>-0.359404863475201</v>
      </c>
      <c r="E1237" s="21" t="n">
        <f aca="false">$D1237*(swm_27/swm_26)^el_o*1*1*E1227*E1228</f>
        <v>-0.57810980692123</v>
      </c>
      <c r="F1237" s="21" t="n">
        <f aca="false">$D1237*(swm_28/swm_26)^el_o*um28_A*1*F1227*F1228</f>
        <v>-0.590805871776037</v>
      </c>
      <c r="G1237" s="21" t="n">
        <f aca="false">$D1237*(swm_29/swm_26)^el_o*um29_A*1*G1227*G1228</f>
        <v>-0.597103979158414</v>
      </c>
      <c r="K1237" s="7" t="s">
        <v>720</v>
      </c>
    </row>
    <row r="1238" customFormat="false" ht="17.15" hidden="false" customHeight="false" outlineLevel="0" collapsed="false">
      <c r="A1238" s="3" t="s">
        <v>721</v>
      </c>
      <c r="B1238" s="0" t="s">
        <v>379</v>
      </c>
      <c r="D1238" s="21" t="n">
        <f aca="false">a26_abf-D1236</f>
        <v>17.144127</v>
      </c>
      <c r="E1238" s="21" t="n">
        <f aca="false">$D1238*(1+g_nai)^1*E1228</f>
        <v>20.898690813</v>
      </c>
      <c r="F1238" s="21" t="n">
        <f aca="false">$D1238*(1+g_nai)^2*F1228</f>
        <v>22.15261226178</v>
      </c>
      <c r="G1238" s="21" t="n">
        <f aca="false">$D1238*(1+g_nai)^3*G1228</f>
        <v>23.4817689974868</v>
      </c>
      <c r="K1238" s="3" t="s">
        <v>722</v>
      </c>
    </row>
    <row r="1239" customFormat="false" ht="17.15" hidden="false" customHeight="false" outlineLevel="0" collapsed="false">
      <c r="A1239" s="0" t="s">
        <v>723</v>
      </c>
      <c r="B1239" s="0" t="s">
        <v>379</v>
      </c>
      <c r="D1239" s="21" t="n">
        <f aca="false">D1234+D1237+D1238</f>
        <v>22.858836</v>
      </c>
      <c r="E1239" s="21" t="n">
        <f aca="false">E1234+E1237+E1238</f>
        <v>42.2434304024751</v>
      </c>
      <c r="F1239" s="21" t="n">
        <f aca="false">F1234+F1237+F1238</f>
        <v>54.010540559538</v>
      </c>
      <c r="G1239" s="21" t="n">
        <f aca="false">G1234+G1237+G1238</f>
        <v>62.9410188148362</v>
      </c>
    </row>
    <row r="1240" customFormat="false" ht="17.15" hidden="false" customHeight="false" outlineLevel="0" collapsed="false">
      <c r="A1240" s="0" t="s">
        <v>724</v>
      </c>
      <c r="B1240" s="0" t="s">
        <v>379</v>
      </c>
      <c r="D1240" s="21" t="n">
        <f aca="false">a26_abf</f>
        <v>22.858836</v>
      </c>
      <c r="E1240" s="21" t="n">
        <f aca="false">$D1239*cap_27*(1+g_mix)^1*E1227*E1228</f>
        <v>33.122453364</v>
      </c>
      <c r="F1240" s="21" t="n">
        <f aca="false">$D1239*cap_28*(1+g_mix)^2*F1227*F1228</f>
        <v>41.2995590382375</v>
      </c>
      <c r="G1240" s="21" t="n">
        <f aca="false">$D1239*cap_29*(1+g_mix)^3*G1227*G1228</f>
        <v>50.6680379569114</v>
      </c>
      <c r="K1240" s="7" t="s">
        <v>725</v>
      </c>
    </row>
    <row r="1241" customFormat="false" ht="17.15" hidden="false" customHeight="false" outlineLevel="0" collapsed="false">
      <c r="A1241" s="0" t="s">
        <v>726</v>
      </c>
      <c r="B1241" s="0" t="s">
        <v>379</v>
      </c>
      <c r="D1241" s="21" t="n">
        <f aca="false">a26_abf</f>
        <v>22.858836</v>
      </c>
      <c r="E1241" s="21" t="n">
        <f aca="false">MIN(E1239,E1240)</f>
        <v>33.122453364</v>
      </c>
      <c r="F1241" s="21" t="n">
        <f aca="false">MIN(F1239,F1240)</f>
        <v>41.2995590382375</v>
      </c>
      <c r="G1241" s="21" t="n">
        <f aca="false">MIN(G1239,G1240)</f>
        <v>50.6680379569114</v>
      </c>
    </row>
    <row r="1242" customFormat="false" ht="17.15" hidden="false" customHeight="false" outlineLevel="0" collapsed="false">
      <c r="A1242" s="3" t="s">
        <v>727</v>
      </c>
      <c r="B1242" s="0" t="s">
        <v>43</v>
      </c>
      <c r="D1242" s="20" t="n">
        <f aca="false">D1241/D1239</f>
        <v>1</v>
      </c>
      <c r="E1242" s="20" t="n">
        <f aca="false">E1241/E1239</f>
        <v>0.784085313347547</v>
      </c>
      <c r="F1242" s="20" t="n">
        <f aca="false">F1241/F1239</f>
        <v>0.764657391138519</v>
      </c>
      <c r="G1242" s="20" t="n">
        <f aca="false">G1241/G1239</f>
        <v>0.80500822692384</v>
      </c>
    </row>
    <row r="1243" customFormat="false" ht="17.15" hidden="false" customHeight="false" outlineLevel="0" collapsed="false">
      <c r="A1243" s="0" t="s">
        <v>728</v>
      </c>
      <c r="B1243" s="0" t="s">
        <v>379</v>
      </c>
      <c r="D1243" s="21" t="n">
        <f aca="false">(D1234+D1237)*D1242</f>
        <v>5.714709</v>
      </c>
      <c r="E1243" s="21" t="n">
        <f aca="false">(E1234+E1237)*E1242</f>
        <v>16.7360968293354</v>
      </c>
      <c r="F1243" s="21" t="n">
        <f aca="false">(F1234+F1237)*F1242</f>
        <v>24.3604003392416</v>
      </c>
      <c r="G1243" s="21" t="n">
        <f aca="false">(G1234+G1237)*G1242</f>
        <v>31.7650207312093</v>
      </c>
    </row>
    <row r="1244" customFormat="false" ht="17.15" hidden="false" customHeight="false" outlineLevel="0" collapsed="false">
      <c r="A1244" s="3" t="s">
        <v>729</v>
      </c>
      <c r="B1244" s="0" t="s">
        <v>43</v>
      </c>
      <c r="D1244" s="20" t="n">
        <f aca="false">D1234/(D1234+D1237)</f>
        <v>1.06289119244308</v>
      </c>
      <c r="E1244" s="20" t="n">
        <f aca="false">E1234/(E1234+E1237)</f>
        <v>1.02708441602194</v>
      </c>
      <c r="F1244" s="20" t="n">
        <f aca="false">F1234/(F1234+F1237)</f>
        <v>1.01854501856662</v>
      </c>
      <c r="G1244" s="20" t="n">
        <f aca="false">G1234/(G1234+G1237)</f>
        <v>1.01513216753796</v>
      </c>
    </row>
    <row r="1245" customFormat="false" ht="17.15" hidden="false" customHeight="false" outlineLevel="0" collapsed="false">
      <c r="A1245" s="5" t="s">
        <v>730</v>
      </c>
    </row>
    <row r="1246" customFormat="false" ht="17.15" hidden="false" customHeight="false" outlineLevel="0" collapsed="false">
      <c r="A1246" s="0" t="s">
        <v>731</v>
      </c>
      <c r="B1246" s="0" t="s">
        <v>379</v>
      </c>
      <c r="D1246" s="21" t="n">
        <f aca="false">a26_bt</f>
        <v>23.265964</v>
      </c>
      <c r="E1246" s="21" t="n">
        <f aca="false">D1246*(1+g_bt27_A)</f>
        <v>29.78043392</v>
      </c>
      <c r="F1246" s="21" t="n">
        <f aca="false">E1246*(1+g_bt28_A)</f>
        <v>32.758477312</v>
      </c>
      <c r="G1246" s="21" t="n">
        <f aca="false">F1246*(1+g_bt29_A)</f>
        <v>34.3964011776</v>
      </c>
      <c r="K1246" s="7" t="s">
        <v>732</v>
      </c>
    </row>
    <row r="1247" customFormat="false" ht="17.15" hidden="false" customHeight="false" outlineLevel="0" collapsed="false">
      <c r="A1247" s="3" t="s">
        <v>617</v>
      </c>
      <c r="B1247" s="0" t="s">
        <v>379</v>
      </c>
      <c r="C1247" s="21" t="n">
        <f aca="false">a25_lens</f>
        <v>7.039</v>
      </c>
      <c r="D1247" s="21" t="n">
        <f aca="false">a26_lens</f>
        <v>8.301</v>
      </c>
      <c r="E1247" s="21" t="n">
        <f aca="false">D1247*(1+g_lens)</f>
        <v>9.1311</v>
      </c>
      <c r="F1247" s="21" t="n">
        <f aca="false">E1247*(1+g_lens)</f>
        <v>10.04421</v>
      </c>
      <c r="G1247" s="21" t="n">
        <f aca="false">F1247*(1+g_lens)</f>
        <v>11.048631</v>
      </c>
      <c r="K1247" s="3" t="s">
        <v>733</v>
      </c>
    </row>
    <row r="1248" customFormat="false" ht="17.15" hidden="false" customHeight="false" outlineLevel="0" collapsed="false">
      <c r="A1248" s="3" t="s">
        <v>574</v>
      </c>
      <c r="B1248" s="0" t="s">
        <v>379</v>
      </c>
      <c r="C1248" s="23" t="n">
        <f aca="false">a25_rev</f>
        <v>39.351</v>
      </c>
      <c r="D1248" s="23" t="n">
        <f aca="false">D1241+D1246+D1247</f>
        <v>54.4258</v>
      </c>
      <c r="E1248" s="23" t="n">
        <f aca="false">E1241+E1246+E1247</f>
        <v>72.033987284</v>
      </c>
      <c r="F1248" s="23" t="n">
        <f aca="false">F1241+F1246+F1247</f>
        <v>84.1022463502375</v>
      </c>
      <c r="G1248" s="23" t="n">
        <f aca="false">G1241+G1246+G1247</f>
        <v>96.1130701345114</v>
      </c>
      <c r="H1248" s="25" t="n">
        <f aca="false">G1248*(1+H1250)</f>
        <v>107.186075216063</v>
      </c>
      <c r="I1248" s="25" t="n">
        <f aca="false">H1248*(1+I1250)</f>
        <v>116.576010002736</v>
      </c>
      <c r="J1248" s="25" t="n">
        <f aca="false">I1248*(1+J1250)</f>
        <v>123.5705706029</v>
      </c>
      <c r="K1248" s="7" t="s">
        <v>734</v>
      </c>
    </row>
    <row r="1249" customFormat="false" ht="17.15" hidden="false" customHeight="false" outlineLevel="0" collapsed="false">
      <c r="A1249" s="3" t="s">
        <v>735</v>
      </c>
      <c r="B1249" s="0" t="s">
        <v>379</v>
      </c>
      <c r="D1249" s="19" t="n">
        <f aca="false">D1241+D1246+D1247-D1248</f>
        <v>0</v>
      </c>
      <c r="E1249" s="19" t="n">
        <f aca="false">E1241+E1246+E1247-E1248</f>
        <v>0</v>
      </c>
      <c r="F1249" s="19" t="n">
        <f aca="false">F1241+F1246+F1247-F1248</f>
        <v>0</v>
      </c>
      <c r="G1249" s="19" t="n">
        <f aca="false">G1241+G1246+G1247-G1248</f>
        <v>0</v>
      </c>
    </row>
    <row r="1250" customFormat="false" ht="15" hidden="false" customHeight="false" outlineLevel="0" collapsed="false">
      <c r="A1250" s="3" t="s">
        <v>736</v>
      </c>
      <c r="B1250" s="0" t="s">
        <v>43</v>
      </c>
      <c r="D1250" s="20" t="n">
        <f aca="false">D1248/C1248-1</f>
        <v>0.383085563263958</v>
      </c>
      <c r="E1250" s="20" t="n">
        <f aca="false">E1248/D1248-1</f>
        <v>0.323526476119781</v>
      </c>
      <c r="F1250" s="20" t="n">
        <f aca="false">F1248/E1248-1</f>
        <v>0.167535624796909</v>
      </c>
      <c r="G1250" s="20" t="n">
        <f aca="false">G1248/F1248-1</f>
        <v>0.142812163830389</v>
      </c>
      <c r="H1250" s="26" t="n">
        <f aca="false">$G1250+(fade_gA-$G1250)*1/3</f>
        <v>0.115208109220259</v>
      </c>
      <c r="I1250" s="26" t="n">
        <f aca="false">$G1250+(fade_gA-$G1250)*2/3</f>
        <v>0.0876040546101297</v>
      </c>
      <c r="J1250" s="26" t="n">
        <f aca="false">$G1250+(fade_gA-$G1250)*3/3</f>
        <v>0.06</v>
      </c>
    </row>
    <row r="1251" customFormat="false" ht="17.15" hidden="false" customHeight="false" outlineLevel="0" collapsed="false">
      <c r="A1251" s="0" t="s">
        <v>737</v>
      </c>
      <c r="B1251" s="0" t="s">
        <v>43</v>
      </c>
      <c r="D1251" s="20" t="n">
        <f aca="false">D1241/D1248</f>
        <v>0.42</v>
      </c>
      <c r="E1251" s="20" t="n">
        <f aca="false">E1241/E1248</f>
        <v>0.459817019893845</v>
      </c>
      <c r="F1251" s="20" t="n">
        <f aca="false">F1241/F1248</f>
        <v>0.491063685341395</v>
      </c>
      <c r="G1251" s="20" t="n">
        <f aca="false">G1241/G1248</f>
        <v>0.527171152539409</v>
      </c>
    </row>
    <row r="1252" customFormat="false" ht="17.15" hidden="false" customHeight="false" outlineLevel="0" collapsed="false">
      <c r="A1252" s="0" t="s">
        <v>738</v>
      </c>
      <c r="B1252" s="0" t="s">
        <v>43</v>
      </c>
      <c r="D1252" s="20" t="n">
        <f aca="false">D1243/D1248</f>
        <v>0.105</v>
      </c>
      <c r="E1252" s="20" t="n">
        <f aca="false">E1243/E1248</f>
        <v>0.23233611605244</v>
      </c>
      <c r="F1252" s="20" t="n">
        <f aca="false">F1243/F1248</f>
        <v>0.289652195944857</v>
      </c>
      <c r="G1252" s="20" t="n">
        <f aca="false">G1243/G1248</f>
        <v>0.330496369398603</v>
      </c>
      <c r="K1252" s="3" t="s">
        <v>739</v>
      </c>
    </row>
    <row r="1253" customFormat="false" ht="17.15" hidden="false" customHeight="false" outlineLevel="0" collapsed="false">
      <c r="A1253" s="5" t="s">
        <v>740</v>
      </c>
    </row>
    <row r="1254" customFormat="false" ht="15" hidden="false" customHeight="false" outlineLevel="0" collapsed="false">
      <c r="A1254" s="3" t="s">
        <v>741</v>
      </c>
      <c r="B1254" s="0" t="s">
        <v>379</v>
      </c>
      <c r="C1254" s="23" t="n">
        <f aca="false">a25_cx</f>
        <v>6.116</v>
      </c>
      <c r="D1254" s="23" t="n">
        <f aca="false">capex26</f>
        <v>11</v>
      </c>
      <c r="E1254" s="23" t="n">
        <f aca="false">cx27</f>
        <v>17</v>
      </c>
      <c r="F1254" s="23" t="n">
        <f aca="false">cx28</f>
        <v>16</v>
      </c>
      <c r="G1254" s="23" t="n">
        <f aca="false">cx29</f>
        <v>12</v>
      </c>
      <c r="H1254" s="25" t="n">
        <f aca="false">H1248*H1273</f>
        <v>13.4817405534162</v>
      </c>
      <c r="I1254" s="25" t="n">
        <f aca="false">I1248*I1273</f>
        <v>14.77073304233</v>
      </c>
      <c r="J1254" s="25" t="n">
        <f aca="false">J1248*J1273</f>
        <v>15.7713906192965</v>
      </c>
    </row>
    <row r="1255" customFormat="false" ht="17.15" hidden="false" customHeight="false" outlineLevel="0" collapsed="false">
      <c r="A1255" s="3" t="s">
        <v>742</v>
      </c>
      <c r="B1255" s="0" t="s">
        <v>379</v>
      </c>
      <c r="C1255" s="23" t="n">
        <f aca="false">a25_da</f>
        <v>7.158</v>
      </c>
      <c r="D1255" s="23" t="n">
        <f aca="false">da26</f>
        <v>8.32</v>
      </c>
      <c r="E1255" s="23" t="n">
        <f aca="false">D1255*(1-1/life)+D1254/life</f>
        <v>8.655</v>
      </c>
      <c r="F1255" s="23" t="n">
        <f aca="false">E1255*(1-1/life)+E1254/life</f>
        <v>9.698125</v>
      </c>
      <c r="G1255" s="23" t="n">
        <f aca="false">F1255*(1-1/life)+F1254/life</f>
        <v>10.485859375</v>
      </c>
      <c r="H1255" s="25" t="n">
        <f aca="false">H1248*H1256</f>
        <v>11.6939154071433</v>
      </c>
      <c r="I1255" s="25" t="n">
        <f aca="false">I1248*I1256</f>
        <v>12.7183498110769</v>
      </c>
      <c r="J1255" s="25" t="n">
        <f aca="false">J1248*J1256</f>
        <v>13.4814507997415</v>
      </c>
      <c r="K1255" s="3" t="s">
        <v>743</v>
      </c>
    </row>
    <row r="1256" customFormat="false" ht="17.15" hidden="false" customHeight="false" outlineLevel="0" collapsed="false">
      <c r="A1256" s="3" t="s">
        <v>744</v>
      </c>
      <c r="B1256" s="0" t="s">
        <v>43</v>
      </c>
      <c r="C1256" s="20" t="n">
        <f aca="false">C1255/C1248</f>
        <v>0.181901349393916</v>
      </c>
      <c r="D1256" s="20" t="n">
        <f aca="false">D1255/D1248</f>
        <v>0.152868676252807</v>
      </c>
      <c r="E1256" s="20" t="n">
        <f aca="false">E1255/E1248</f>
        <v>0.120151616290196</v>
      </c>
      <c r="F1256" s="20" t="n">
        <f aca="false">F1255/F1248</f>
        <v>0.115313507318376</v>
      </c>
      <c r="G1256" s="20" t="n">
        <f aca="false">G1255/G1248</f>
        <v>0.109099203264706</v>
      </c>
      <c r="H1256" s="26" t="n">
        <f aca="false">$G1256</f>
        <v>0.109099203264706</v>
      </c>
      <c r="I1256" s="26" t="n">
        <f aca="false">$G1256</f>
        <v>0.109099203264706</v>
      </c>
      <c r="J1256" s="26" t="n">
        <f aca="false">$G1256</f>
        <v>0.109099203264706</v>
      </c>
    </row>
    <row r="1257" customFormat="false" ht="17.15" hidden="false" customHeight="false" outlineLevel="0" collapsed="false">
      <c r="A1257" s="0" t="s">
        <v>745</v>
      </c>
      <c r="B1257" s="0" t="s">
        <v>379</v>
      </c>
      <c r="E1257" s="21" t="n">
        <f aca="false">E1242*((E1234+E1237)*(1-1/(E1227*E1228))+E1238*(1-1/E1228))</f>
        <v>4.320320004</v>
      </c>
      <c r="F1257" s="21" t="n">
        <f aca="false">F1242*((F1234+F1237)*(1-1/(F1227*F1228))+F1238*(1-1/F1228))</f>
        <v>4.27200654094898</v>
      </c>
      <c r="G1257" s="21" t="n">
        <f aca="false">G1242*((G1234+G1237)*(1-1/(G1227*G1228))+G1238*(1-1/G1228))</f>
        <v>3.53979038749961</v>
      </c>
      <c r="K1257" s="7" t="s">
        <v>746</v>
      </c>
    </row>
    <row r="1258" customFormat="false" ht="17.15" hidden="false" customHeight="false" outlineLevel="0" collapsed="false">
      <c r="A1258" s="3" t="s">
        <v>747</v>
      </c>
      <c r="B1258" s="0" t="s">
        <v>379</v>
      </c>
      <c r="C1258" s="21" t="n">
        <f aca="false">a25_gp</f>
        <v>8.314</v>
      </c>
      <c r="D1258" s="21" t="n">
        <f aca="false">a26_gp</f>
        <v>15.328536</v>
      </c>
      <c r="E1258" s="21" t="n">
        <f aca="false">$D1258+ft_abf*(E1241-E1257-$D1241)+ft_bt*(E1246-$D1246)+ft_lens*(E1247-$D1247)+E1257-(E1255-$D1255)</f>
        <v>25.590561148</v>
      </c>
      <c r="F1258" s="21" t="n">
        <f aca="false">$D1258+ft_abf*(F1241-F1257-$D1241)+ft_bt*(F1246-$D1246)+ft_lens*(F1247-$D1247)+F1257-(F1255-$D1255)</f>
        <v>30.3628512799932</v>
      </c>
      <c r="G1258" s="21" t="n">
        <f aca="false">$D1258+ft_abf*(G1241-G1257-$D1241)+ft_bt*(G1246-$D1246)+ft_lens*(G1247-$D1247)+G1257-(G1255-$D1255)</f>
        <v>35.0823034771255</v>
      </c>
      <c r="K1258" s="3" t="s">
        <v>748</v>
      </c>
    </row>
    <row r="1259" customFormat="false" ht="15" hidden="false" customHeight="false" outlineLevel="0" collapsed="false">
      <c r="A1259" s="3" t="s">
        <v>581</v>
      </c>
      <c r="B1259" s="0" t="s">
        <v>43</v>
      </c>
      <c r="C1259" s="16" t="n">
        <f aca="false">C1258/C1248</f>
        <v>0.211277985311682</v>
      </c>
      <c r="D1259" s="16" t="n">
        <f aca="false">D1258/D1248</f>
        <v>0.281640986443929</v>
      </c>
      <c r="E1259" s="16" t="n">
        <f aca="false">E1258/E1248</f>
        <v>0.3552567629931</v>
      </c>
      <c r="F1259" s="16" t="n">
        <f aca="false">F1258/F1248</f>
        <v>0.361023071292881</v>
      </c>
      <c r="G1259" s="16" t="n">
        <f aca="false">G1258/G1248</f>
        <v>0.36501074648877</v>
      </c>
    </row>
    <row r="1260" customFormat="false" ht="15" hidden="false" customHeight="false" outlineLevel="0" collapsed="false">
      <c r="A1260" s="3" t="s">
        <v>583</v>
      </c>
      <c r="B1260" s="0" t="s">
        <v>379</v>
      </c>
      <c r="C1260" s="21" t="n">
        <f aca="false">a25_opx</f>
        <v>5.644</v>
      </c>
      <c r="D1260" s="21" t="n">
        <f aca="false">a26_opx</f>
        <v>6.54036</v>
      </c>
      <c r="E1260" s="21" t="n">
        <f aca="false">D1260*(1+phi*E1250)</f>
        <v>7.80994777401287</v>
      </c>
      <c r="F1260" s="21" t="n">
        <f aca="false">E1260*(1+phi*F1250)</f>
        <v>8.59501446198315</v>
      </c>
      <c r="G1260" s="21" t="n">
        <f aca="false">F1260*(1+phi*G1250)</f>
        <v>9.33149803006473</v>
      </c>
    </row>
    <row r="1261" customFormat="false" ht="15" hidden="false" customHeight="false" outlineLevel="0" collapsed="false">
      <c r="A1261" s="3" t="s">
        <v>586</v>
      </c>
      <c r="B1261" s="0" t="s">
        <v>379</v>
      </c>
      <c r="C1261" s="21" t="n">
        <f aca="false">C1258-C1260</f>
        <v>2.67</v>
      </c>
      <c r="D1261" s="21" t="n">
        <f aca="false">D1258-D1260</f>
        <v>8.788176</v>
      </c>
      <c r="E1261" s="21" t="n">
        <f aca="false">E1258-E1260</f>
        <v>17.7806133739871</v>
      </c>
      <c r="F1261" s="21" t="n">
        <f aca="false">F1258-F1260</f>
        <v>21.7678368180101</v>
      </c>
      <c r="G1261" s="21" t="n">
        <f aca="false">G1258-G1260</f>
        <v>25.7508054470608</v>
      </c>
    </row>
    <row r="1262" customFormat="false" ht="15" hidden="false" customHeight="false" outlineLevel="0" collapsed="false">
      <c r="A1262" s="3" t="s">
        <v>684</v>
      </c>
      <c r="B1262" s="0" t="s">
        <v>43</v>
      </c>
      <c r="C1262" s="16" t="n">
        <f aca="false">C1261/C1248</f>
        <v>0.0678508805367081</v>
      </c>
      <c r="D1262" s="16" t="n">
        <f aca="false">D1261/D1248</f>
        <v>0.161470773052486</v>
      </c>
      <c r="E1262" s="16" t="n">
        <f aca="false">E1261/E1248</f>
        <v>0.246836445466854</v>
      </c>
      <c r="F1262" s="16" t="n">
        <f aca="false">F1261/F1248</f>
        <v>0.258825866878271</v>
      </c>
      <c r="G1262" s="16" t="n">
        <f aca="false">G1261/G1248</f>
        <v>0.267921994490679</v>
      </c>
    </row>
    <row r="1263" customFormat="false" ht="15" hidden="false" customHeight="false" outlineLevel="0" collapsed="false">
      <c r="A1263" s="3" t="s">
        <v>589</v>
      </c>
      <c r="B1263" s="0" t="s">
        <v>379</v>
      </c>
      <c r="C1263" s="21" t="n">
        <f aca="false">a25_nonop</f>
        <v>0.417</v>
      </c>
      <c r="D1263" s="21" t="n">
        <f aca="false">a26_nonop</f>
        <v>0.37882</v>
      </c>
      <c r="E1263" s="21" t="n">
        <f aca="false">nonop27</f>
        <v>0.4</v>
      </c>
      <c r="F1263" s="21" t="n">
        <f aca="false">nonop28</f>
        <v>0.4</v>
      </c>
      <c r="G1263" s="21" t="n">
        <f aca="false">nonop29</f>
        <v>0.4</v>
      </c>
    </row>
    <row r="1264" customFormat="false" ht="15" hidden="false" customHeight="false" outlineLevel="0" collapsed="false">
      <c r="A1264" s="3" t="s">
        <v>591</v>
      </c>
      <c r="B1264" s="0" t="s">
        <v>379</v>
      </c>
      <c r="C1264" s="21" t="n">
        <f aca="false">C1261+C1263</f>
        <v>3.087</v>
      </c>
      <c r="D1264" s="21" t="n">
        <f aca="false">D1261+D1263</f>
        <v>9.166996</v>
      </c>
      <c r="E1264" s="21" t="n">
        <f aca="false">E1261+E1263</f>
        <v>18.1806133739871</v>
      </c>
      <c r="F1264" s="21" t="n">
        <f aca="false">F1261+F1263</f>
        <v>22.1678368180101</v>
      </c>
      <c r="G1264" s="21" t="n">
        <f aca="false">G1261+G1263</f>
        <v>26.1508054470608</v>
      </c>
    </row>
    <row r="1265" customFormat="false" ht="15" hidden="false" customHeight="false" outlineLevel="0" collapsed="false">
      <c r="A1265" s="3" t="s">
        <v>592</v>
      </c>
      <c r="B1265" s="0" t="s">
        <v>379</v>
      </c>
      <c r="E1265" s="21" t="n">
        <f aca="false">E1264*tax</f>
        <v>2.18167360487846</v>
      </c>
      <c r="F1265" s="21" t="n">
        <f aca="false">F1264*tax</f>
        <v>2.66014041816121</v>
      </c>
      <c r="G1265" s="21" t="n">
        <f aca="false">G1264*tax</f>
        <v>3.13809665364729</v>
      </c>
    </row>
    <row r="1266" customFormat="false" ht="15" hidden="false" customHeight="false" outlineLevel="0" collapsed="false">
      <c r="A1266" s="3" t="s">
        <v>593</v>
      </c>
      <c r="B1266" s="0" t="s">
        <v>379</v>
      </c>
      <c r="C1266" s="21" t="n">
        <f aca="false">a25_nic</f>
        <v>2.71712</v>
      </c>
      <c r="D1266" s="21" t="n">
        <f aca="false">a26_nic</f>
        <v>8.39979776</v>
      </c>
      <c r="E1266" s="21" t="n">
        <f aca="false">E1264-E1265</f>
        <v>15.9989397691087</v>
      </c>
      <c r="F1266" s="21" t="n">
        <f aca="false">F1264-F1265</f>
        <v>19.5076963998489</v>
      </c>
      <c r="G1266" s="21" t="n">
        <f aca="false">G1264-G1265</f>
        <v>23.0127087934135</v>
      </c>
    </row>
    <row r="1267" customFormat="false" ht="17.15" hidden="false" customHeight="false" outlineLevel="0" collapsed="false">
      <c r="A1267" s="3" t="s">
        <v>749</v>
      </c>
      <c r="B1267" s="0" t="s">
        <v>379</v>
      </c>
      <c r="C1267" s="21" t="n">
        <f aca="false">a25_nci</f>
        <v>1.12112</v>
      </c>
      <c r="D1267" s="21" t="n">
        <f aca="false">a26_nci</f>
        <v>1.43839238487797</v>
      </c>
      <c r="E1267" s="21" t="n">
        <f aca="false">E1247*nm_lens*nci_sh</f>
        <v>1.57074538036261</v>
      </c>
      <c r="F1267" s="21" t="n">
        <f aca="false">F1247*nm_lens*nci_sh</f>
        <v>1.72781991839887</v>
      </c>
      <c r="G1267" s="21" t="n">
        <f aca="false">G1247*nm_lens*nci_sh</f>
        <v>1.90060191023875</v>
      </c>
      <c r="K1267" s="3" t="s">
        <v>750</v>
      </c>
    </row>
    <row r="1268" customFormat="false" ht="15" hidden="false" customHeight="false" outlineLevel="0" collapsed="false">
      <c r="A1268" s="3" t="s">
        <v>599</v>
      </c>
      <c r="B1268" s="0" t="s">
        <v>379</v>
      </c>
      <c r="C1268" s="21" t="n">
        <f aca="false">a25_ni</f>
        <v>1.596</v>
      </c>
      <c r="D1268" s="21" t="n">
        <f aca="false">a26_ni</f>
        <v>6.96140537512203</v>
      </c>
      <c r="E1268" s="21" t="n">
        <f aca="false">E1266-E1267</f>
        <v>14.4281943887461</v>
      </c>
      <c r="F1268" s="21" t="n">
        <f aca="false">F1266-F1267</f>
        <v>17.77987648145</v>
      </c>
      <c r="G1268" s="21" t="n">
        <f aca="false">G1266-G1267</f>
        <v>21.1121068831747</v>
      </c>
      <c r="H1268" s="30" t="n">
        <f aca="false">H1248*H1272</f>
        <v>23.5914641765821</v>
      </c>
      <c r="I1268" s="30" t="n">
        <f aca="false">I1248*I1272</f>
        <v>25.7093671139273</v>
      </c>
      <c r="J1268" s="30" t="n">
        <f aca="false">J1248*J1272</f>
        <v>27.3061958633271</v>
      </c>
    </row>
    <row r="1269" customFormat="false" ht="15" hidden="false" customHeight="false" outlineLevel="0" collapsed="false">
      <c r="A1269" s="3" t="s">
        <v>751</v>
      </c>
      <c r="B1269" s="3" t="s">
        <v>465</v>
      </c>
      <c r="C1269" s="29" t="n">
        <f aca="false">a25_sh</f>
        <v>0.454700854700855</v>
      </c>
      <c r="D1269" s="29" t="n">
        <f aca="false">a26_sh</f>
        <v>0.508341020486215</v>
      </c>
      <c r="E1269" s="29" t="n">
        <f aca="false">a26_shend*(1+sh_g)</f>
        <v>0.52691</v>
      </c>
      <c r="F1269" s="29" t="n">
        <f aca="false">E1269*(1+sh_g)</f>
        <v>0.52691</v>
      </c>
      <c r="G1269" s="29" t="n">
        <f aca="false">F1269*(1+sh_g)</f>
        <v>0.52691</v>
      </c>
      <c r="H1269" s="31" t="n">
        <f aca="false">G1269*(1+sh_g)</f>
        <v>0.52691</v>
      </c>
      <c r="I1269" s="31" t="n">
        <f aca="false">H1269*(1+sh_g)</f>
        <v>0.52691</v>
      </c>
      <c r="J1269" s="31" t="n">
        <f aca="false">I1269*(1+sh_g)</f>
        <v>0.52691</v>
      </c>
    </row>
    <row r="1270" customFormat="false" ht="17.15" hidden="false" customHeight="false" outlineLevel="0" collapsed="false">
      <c r="A1270" s="0" t="s">
        <v>604</v>
      </c>
      <c r="B1270" s="0" t="s">
        <v>471</v>
      </c>
      <c r="C1270" s="18" t="n">
        <f aca="false">C1268/C1269</f>
        <v>3.51</v>
      </c>
      <c r="D1270" s="18" t="n">
        <f aca="false">D1268/D1269</f>
        <v>13.6943608612652</v>
      </c>
      <c r="E1270" s="18" t="n">
        <f aca="false">E1268/E1269</f>
        <v>27.3826543218881</v>
      </c>
      <c r="F1270" s="18" t="n">
        <f aca="false">F1268/F1269</f>
        <v>33.7436687127783</v>
      </c>
      <c r="G1270" s="18" t="n">
        <f aca="false">G1268/G1269</f>
        <v>40.0677665695749</v>
      </c>
      <c r="H1270" s="28" t="n">
        <f aca="false">H1268/H1269</f>
        <v>44.7732329554992</v>
      </c>
      <c r="I1270" s="28" t="n">
        <f aca="false">I1268/I1269</f>
        <v>48.7927105462551</v>
      </c>
      <c r="J1270" s="28" t="n">
        <f aca="false">J1268/J1269</f>
        <v>51.8232636756317</v>
      </c>
    </row>
    <row r="1271" customFormat="false" ht="17.15" hidden="false" customHeight="false" outlineLevel="0" collapsed="false">
      <c r="A1271" s="0" t="s">
        <v>752</v>
      </c>
      <c r="B1271" s="0" t="s">
        <v>43</v>
      </c>
      <c r="D1271" s="20" t="n">
        <f aca="false">D1270/C1270-1</f>
        <v>2.90152731090177</v>
      </c>
      <c r="E1271" s="20" t="n">
        <f aca="false">E1270/D1270-1</f>
        <v>0.999556941670828</v>
      </c>
      <c r="F1271" s="20" t="n">
        <f aca="false">F1270/E1270-1</f>
        <v>0.232300868868127</v>
      </c>
      <c r="G1271" s="20" t="n">
        <f aca="false">G1270/F1270-1</f>
        <v>0.187415835267543</v>
      </c>
      <c r="H1271" s="26" t="n">
        <f aca="false">H1270/G1270-1</f>
        <v>0.117437700894897</v>
      </c>
      <c r="I1271" s="26" t="n">
        <f aca="false">I1270/H1270-1</f>
        <v>0.0897741200585382</v>
      </c>
      <c r="J1271" s="26" t="n">
        <f aca="false">J1270/I1270-1</f>
        <v>0.0621107762911362</v>
      </c>
    </row>
    <row r="1272" customFormat="false" ht="17.15" hidden="false" customHeight="false" outlineLevel="0" collapsed="false">
      <c r="A1272" s="3" t="s">
        <v>753</v>
      </c>
      <c r="B1272" s="0" t="s">
        <v>43</v>
      </c>
      <c r="C1272" s="16" t="n">
        <f aca="false">C1268/C1248</f>
        <v>0.0405580544331783</v>
      </c>
      <c r="D1272" s="16" t="n">
        <f aca="false">D1268/D1248</f>
        <v>0.127906349105057</v>
      </c>
      <c r="E1272" s="16" t="n">
        <f aca="false">E1268/E1248</f>
        <v>0.20029703939422</v>
      </c>
      <c r="F1272" s="16" t="n">
        <f aca="false">F1268/F1248</f>
        <v>0.211407866650875</v>
      </c>
      <c r="G1272" s="16" t="n">
        <f aca="false">G1268/G1248</f>
        <v>0.2196590625357</v>
      </c>
      <c r="H1272" s="27" t="n">
        <f aca="false">$G1272+(fade_mA-$G1272)*1/3</f>
        <v>0.22009821825295</v>
      </c>
      <c r="I1272" s="27" t="n">
        <f aca="false">$G1272+(fade_mA-$G1272)*2/3</f>
        <v>0.220537373970201</v>
      </c>
      <c r="J1272" s="27" t="n">
        <f aca="false">$G1272+(fade_mA-$G1272)*3/3</f>
        <v>0.220976529687452</v>
      </c>
    </row>
    <row r="1273" customFormat="false" ht="17.15" hidden="false" customHeight="false" outlineLevel="0" collapsed="false">
      <c r="A1273" s="3" t="s">
        <v>754</v>
      </c>
      <c r="B1273" s="0" t="s">
        <v>43</v>
      </c>
      <c r="C1273" s="20" t="n">
        <f aca="false">C1254/C1248</f>
        <v>0.155421717364235</v>
      </c>
      <c r="D1273" s="20" t="n">
        <f aca="false">D1254/D1248</f>
        <v>0.202110028699624</v>
      </c>
      <c r="E1273" s="20" t="n">
        <f aca="false">E1254/E1248</f>
        <v>0.235999708484498</v>
      </c>
      <c r="F1273" s="20" t="n">
        <f aca="false">F1254/F1248</f>
        <v>0.190244621212247</v>
      </c>
      <c r="G1273" s="20" t="n">
        <f aca="false">G1254/G1248</f>
        <v>0.124852946464054</v>
      </c>
      <c r="H1273" s="26" t="n">
        <f aca="false">$G1273+($G1256*(1+tp_g)^(life/2)-$G1273)*1/3</f>
        <v>0.125778843252168</v>
      </c>
      <c r="I1273" s="26" t="n">
        <f aca="false">$G1273+($G1256*(1+tp_g)^(life/2)-$G1273)*2/3</f>
        <v>0.126704740040282</v>
      </c>
      <c r="J1273" s="26" t="n">
        <f aca="false">$G1273+($G1256*(1+tp_g)^(life/2)-$G1273)*3/3</f>
        <v>0.127630636828396</v>
      </c>
      <c r="K1273" s="7" t="s">
        <v>755</v>
      </c>
    </row>
    <row r="1274" customFormat="false" ht="15" hidden="false" customHeight="false" outlineLevel="0" collapsed="false">
      <c r="A1274" s="3" t="s">
        <v>756</v>
      </c>
      <c r="B1274" s="0" t="s">
        <v>379</v>
      </c>
      <c r="D1274" s="21" t="n">
        <f aca="false">D1268+D1255-D1254</f>
        <v>4.28140537512203</v>
      </c>
      <c r="E1274" s="21" t="n">
        <f aca="false">E1268+E1255-E1254</f>
        <v>6.08319438874607</v>
      </c>
      <c r="F1274" s="21" t="n">
        <f aca="false">F1268+F1255-F1254</f>
        <v>11.47800148145</v>
      </c>
      <c r="G1274" s="21" t="n">
        <f aca="false">G1268+G1255-G1254</f>
        <v>19.5979662581747</v>
      </c>
      <c r="H1274" s="30" t="n">
        <f aca="false">H1268+H1255-H1254</f>
        <v>21.8036390303091</v>
      </c>
      <c r="I1274" s="30" t="n">
        <f aca="false">I1268+I1255-I1254</f>
        <v>23.6569838826742</v>
      </c>
      <c r="J1274" s="30" t="n">
        <f aca="false">J1268+J1255-J1254</f>
        <v>25.0162560437722</v>
      </c>
      <c r="K1274" s="3" t="s">
        <v>757</v>
      </c>
    </row>
    <row r="1275" customFormat="false" ht="15" hidden="false" customHeight="false" outlineLevel="0" collapsed="false">
      <c r="A1275" s="3" t="s">
        <v>758</v>
      </c>
      <c r="B1275" s="0" t="s">
        <v>471</v>
      </c>
      <c r="D1275" s="18" t="n">
        <f aca="false">D1274/D1269</f>
        <v>8.42230943909854</v>
      </c>
      <c r="E1275" s="18" t="n">
        <f aca="false">E1274/E1269</f>
        <v>11.5450349941092</v>
      </c>
      <c r="F1275" s="18" t="n">
        <f aca="false">F1274/F1269</f>
        <v>21.7836091200585</v>
      </c>
      <c r="G1275" s="18" t="n">
        <f aca="false">G1274/G1269</f>
        <v>37.1941437022921</v>
      </c>
      <c r="H1275" s="28" t="n">
        <f aca="false">H1274/H1269</f>
        <v>41.3801959163978</v>
      </c>
      <c r="I1275" s="28" t="n">
        <f aca="false">I1274/I1269</f>
        <v>44.8975800092505</v>
      </c>
      <c r="J1275" s="28" t="n">
        <f aca="false">J1274/J1269</f>
        <v>47.4772846288212</v>
      </c>
    </row>
    <row r="1278" customFormat="false" ht="17.15" hidden="false" customHeight="false" outlineLevel="0" collapsed="false">
      <c r="A1278" s="1" t="s">
        <v>1113</v>
      </c>
    </row>
    <row r="1279" customFormat="false" ht="17.15" hidden="false" customHeight="false" outlineLevel="0" collapsed="false">
      <c r="A1279" s="4" t="s">
        <v>20</v>
      </c>
      <c r="B1279" s="4" t="s">
        <v>21</v>
      </c>
      <c r="C1279" s="13" t="s">
        <v>567</v>
      </c>
      <c r="D1279" s="13" t="s">
        <v>671</v>
      </c>
      <c r="E1279" s="13" t="s">
        <v>672</v>
      </c>
      <c r="F1279" s="13" t="s">
        <v>673</v>
      </c>
      <c r="G1279" s="13" t="s">
        <v>674</v>
      </c>
      <c r="H1279" s="13" t="s">
        <v>675</v>
      </c>
      <c r="I1279" s="13" t="s">
        <v>676</v>
      </c>
      <c r="J1279" s="13" t="s">
        <v>677</v>
      </c>
      <c r="K1279" s="4" t="s">
        <v>631</v>
      </c>
    </row>
    <row r="1280" customFormat="false" ht="17.15" hidden="false" customHeight="false" outlineLevel="0" collapsed="false">
      <c r="A1280" s="5" t="s">
        <v>695</v>
      </c>
    </row>
    <row r="1281" customFormat="false" ht="17.15" hidden="false" customHeight="false" outlineLevel="0" collapsed="false">
      <c r="A1281" s="0" t="s">
        <v>696</v>
      </c>
      <c r="B1281" s="3" t="s">
        <v>31</v>
      </c>
      <c r="D1281" s="21" t="n">
        <f aca="false">(u_bw_26+u_rb_26+u_ru_26+u_hp_26)*1</f>
        <v>7.6</v>
      </c>
      <c r="E1281" s="21" t="n">
        <f aca="false">(u_bw_27+u_rb_27+u_ru_27+u_hp_27)*1*1</f>
        <v>9.7</v>
      </c>
      <c r="F1281" s="21" t="n">
        <f aca="false">(u_bw_28+u_rb_28+u_ru_28+u_hp_28)*um28_A*1</f>
        <v>9.5</v>
      </c>
      <c r="G1281" s="21" t="n">
        <f aca="false">(u_bw_28*(1+g29_bw)+u_rb_28*(1+g29_rb)+u_ru_28*(1+g29_ru)+u_hp_28*(1+g29_hp))*um29_A*1</f>
        <v>10.6</v>
      </c>
      <c r="K1281" s="7" t="s">
        <v>697</v>
      </c>
    </row>
    <row r="1282" customFormat="false" ht="17.15" hidden="false" customHeight="false" outlineLevel="0" collapsed="false">
      <c r="A1282" s="3" t="s">
        <v>698</v>
      </c>
      <c r="B1282" s="3" t="s">
        <v>31</v>
      </c>
      <c r="D1282" s="21" t="n">
        <f aca="false">(u_amd_26+u_tpu_26+u_trn_26+u_oth_26)*1</f>
        <v>7.6</v>
      </c>
      <c r="E1282" s="21" t="n">
        <f aca="false">(u_amd_27+u_tpu_27+u_trn_27+u_oth_27)*1*1</f>
        <v>14</v>
      </c>
      <c r="F1282" s="21" t="n">
        <f aca="false">(u_amd_28+u_tpu_28+u_trn_28+u_oth_28)*um28_A*1</f>
        <v>17</v>
      </c>
      <c r="G1282" s="21" t="n">
        <f aca="false">(u_amd_28*(1+g29_amd)+u_tpu_28*(1+g29_tpu)+u_trn_28*(1+g29_trn)+u_oth_28*(1+g29_oth))*um29_A*1</f>
        <v>19.55</v>
      </c>
      <c r="K1282" s="7" t="s">
        <v>699</v>
      </c>
    </row>
    <row r="1283" customFormat="false" ht="17.15" hidden="false" customHeight="false" outlineLevel="0" collapsed="false">
      <c r="A1283" s="0" t="s">
        <v>700</v>
      </c>
      <c r="B1283" s="3" t="s">
        <v>31</v>
      </c>
      <c r="D1283" s="21" t="n">
        <f aca="false">D1281*cpu_r</f>
        <v>3.04</v>
      </c>
      <c r="E1283" s="21" t="n">
        <f aca="false">E1281*cpu_r</f>
        <v>3.88</v>
      </c>
      <c r="F1283" s="21" t="n">
        <f aca="false">F1281*cpu_r</f>
        <v>3.8</v>
      </c>
      <c r="G1283" s="21" t="n">
        <f aca="false">G1281*cpu_r</f>
        <v>4.24</v>
      </c>
      <c r="K1283" s="7" t="s">
        <v>701</v>
      </c>
    </row>
    <row r="1284" customFormat="false" ht="17.15" hidden="false" customHeight="false" outlineLevel="0" collapsed="false">
      <c r="A1284" s="3" t="s">
        <v>702</v>
      </c>
      <c r="B1284" s="0" t="s">
        <v>153</v>
      </c>
      <c r="D1284" s="19" t="n">
        <f aca="false">1</f>
        <v>1</v>
      </c>
      <c r="E1284" s="19" t="n">
        <f aca="false">D1284*(1+g_asp)</f>
        <v>1.18</v>
      </c>
      <c r="F1284" s="19" t="n">
        <f aca="false">E1284*(1+g_asp)</f>
        <v>1.3924</v>
      </c>
      <c r="G1284" s="19" t="n">
        <f aca="false">F1284*(1+g_asp)</f>
        <v>1.643032</v>
      </c>
      <c r="K1284" s="7" t="s">
        <v>703</v>
      </c>
    </row>
    <row r="1285" customFormat="false" ht="17.15" hidden="false" customHeight="false" outlineLevel="0" collapsed="false">
      <c r="A1285" s="0" t="s">
        <v>704</v>
      </c>
      <c r="B1285" s="0" t="s">
        <v>153</v>
      </c>
      <c r="D1285" s="18" t="n">
        <f aca="false">1</f>
        <v>1</v>
      </c>
      <c r="E1285" s="18" t="n">
        <f aca="false">ibpp_27</f>
        <v>1</v>
      </c>
      <c r="F1285" s="18" t="n">
        <f aca="false">ibpp_28</f>
        <v>0.95</v>
      </c>
      <c r="G1285" s="18" t="n">
        <f aca="false">ibpp_29</f>
        <v>0.9</v>
      </c>
      <c r="K1285" s="7" t="s">
        <v>705</v>
      </c>
    </row>
    <row r="1286" customFormat="false" ht="17.15" hidden="false" customHeight="false" outlineLevel="0" collapsed="false">
      <c r="A1286" s="3" t="s">
        <v>706</v>
      </c>
      <c r="B1286" s="0" t="s">
        <v>153</v>
      </c>
      <c r="D1286" s="18" t="n">
        <f aca="false">1</f>
        <v>1</v>
      </c>
      <c r="E1286" s="18" t="n">
        <f aca="false">1+carry</f>
        <v>1.15</v>
      </c>
      <c r="F1286" s="18" t="n">
        <f aca="false">1+carry</f>
        <v>1.15</v>
      </c>
      <c r="G1286" s="18" t="n">
        <f aca="false">1+carry</f>
        <v>1.15</v>
      </c>
      <c r="K1286" s="7" t="s">
        <v>707</v>
      </c>
    </row>
    <row r="1287" customFormat="false" ht="17.15" hidden="false" customHeight="false" outlineLevel="0" collapsed="false">
      <c r="A1287" s="3" t="s">
        <v>708</v>
      </c>
      <c r="B1287" s="0" t="s">
        <v>709</v>
      </c>
      <c r="D1287" s="23" t="n">
        <f aca="false">v26*D1284*D1285</f>
        <v>215.308596</v>
      </c>
      <c r="E1287" s="23" t="n">
        <f aca="false">v26*E1284*E1285</f>
        <v>254.06414328</v>
      </c>
      <c r="F1287" s="23" t="n">
        <f aca="false">v26*F1284*F1285</f>
        <v>284.80590461688</v>
      </c>
      <c r="G1287" s="23" t="n">
        <f aca="false">v26*G1284*G1285</f>
        <v>318.383021792765</v>
      </c>
      <c r="K1287" s="7" t="s">
        <v>710</v>
      </c>
    </row>
    <row r="1288" customFormat="false" ht="17.15" hidden="false" customHeight="false" outlineLevel="0" collapsed="false">
      <c r="A1288" s="3" t="s">
        <v>711</v>
      </c>
      <c r="B1288" s="0" t="s">
        <v>43</v>
      </c>
      <c r="D1288" s="20" t="n">
        <f aca="false">sh_nv_26</f>
        <v>0.02</v>
      </c>
      <c r="E1288" s="20" t="n">
        <f aca="false">sh_nv_27</f>
        <v>0.03</v>
      </c>
      <c r="F1288" s="20" t="n">
        <f aca="false">sh_nv_28</f>
        <v>0.05</v>
      </c>
      <c r="G1288" s="20" t="n">
        <f aca="false">sh_nv_29</f>
        <v>0.06</v>
      </c>
    </row>
    <row r="1289" customFormat="false" ht="17.15" hidden="false" customHeight="false" outlineLevel="0" collapsed="false">
      <c r="A1289" s="3" t="s">
        <v>712</v>
      </c>
      <c r="B1289" s="0" t="s">
        <v>43</v>
      </c>
      <c r="D1289" s="20" t="n">
        <f aca="false">sh_ot_26</f>
        <v>0.03</v>
      </c>
      <c r="E1289" s="20" t="n">
        <f aca="false">sh_ot_27</f>
        <v>0.05</v>
      </c>
      <c r="F1289" s="20" t="n">
        <f aca="false">sh_ot_28</f>
        <v>0.06</v>
      </c>
      <c r="G1289" s="20" t="n">
        <f aca="false">sh_ot_29</f>
        <v>0.06</v>
      </c>
    </row>
    <row r="1290" customFormat="false" ht="17.15" hidden="false" customHeight="false" outlineLevel="0" collapsed="false">
      <c r="A1290" s="3" t="s">
        <v>713</v>
      </c>
      <c r="B1290" s="0" t="s">
        <v>43</v>
      </c>
      <c r="D1290" s="20" t="n">
        <f aca="false">sh_cpu_26_lo</f>
        <v>0.25</v>
      </c>
      <c r="E1290" s="20" t="n">
        <f aca="false">sh_cpu_27_lo</f>
        <v>0.5</v>
      </c>
      <c r="F1290" s="20" t="n">
        <f aca="false">sh_cpu_28_lo</f>
        <v>0.5</v>
      </c>
      <c r="G1290" s="20" t="n">
        <f aca="false">sh_cpu_29_lo</f>
        <v>0.45</v>
      </c>
    </row>
    <row r="1291" customFormat="false" ht="17.15" hidden="false" customHeight="false" outlineLevel="0" collapsed="false">
      <c r="A1291" s="3" t="s">
        <v>714</v>
      </c>
      <c r="B1291" s="0" t="s">
        <v>661</v>
      </c>
      <c r="D1291" s="22" t="n">
        <f aca="false">(D1281*D1287*D1288+D1282*D1287*v_ot*D1289+D1283*D1287*v_cpu*D1290)*D1286</f>
        <v>121.0895543904</v>
      </c>
      <c r="E1291" s="22" t="n">
        <f aca="false">(E1281*E1287*E1288+E1282*E1287*v_ot*E1289+E1283*E1287*v_cpu*E1290)*E1286</f>
        <v>418.685004918276</v>
      </c>
      <c r="F1291" s="22" t="n">
        <f aca="false">(F1281*F1287*F1288+F1282*F1287*v_ot*F1289+F1283*F1287*v_cpu*F1290)*F1286</f>
        <v>609.527356765816</v>
      </c>
      <c r="G1291" s="22" t="n">
        <f aca="false">(G1281*G1287*G1288+G1282*G1287*v_ot*G1289+G1283*G1287*v_cpu*G1290)*G1286</f>
        <v>786.030371862413</v>
      </c>
    </row>
    <row r="1292" customFormat="false" ht="17.15" hidden="false" customHeight="false" outlineLevel="0" collapsed="false">
      <c r="A1292" s="3" t="s">
        <v>715</v>
      </c>
      <c r="B1292" s="0" t="s">
        <v>379</v>
      </c>
      <c r="D1292" s="21" t="n">
        <f aca="false">D1291*fx/1000</f>
        <v>3.8748657404928</v>
      </c>
      <c r="E1292" s="21" t="n">
        <f aca="false">E1291*fx/1000</f>
        <v>13.3979201573848</v>
      </c>
      <c r="F1292" s="21" t="n">
        <f aca="false">F1291*fx/1000</f>
        <v>19.5048754165061</v>
      </c>
      <c r="G1292" s="21" t="n">
        <f aca="false">G1291*fx/1000</f>
        <v>25.1529718995972</v>
      </c>
    </row>
    <row r="1293" customFormat="false" ht="17.15" hidden="false" customHeight="false" outlineLevel="0" collapsed="false">
      <c r="A1293" s="5" t="s">
        <v>716</v>
      </c>
    </row>
    <row r="1294" customFormat="false" ht="17.15" hidden="false" customHeight="false" outlineLevel="0" collapsed="false">
      <c r="A1294" s="0" t="s">
        <v>717</v>
      </c>
      <c r="B1294" s="0" t="s">
        <v>379</v>
      </c>
      <c r="D1294" s="21" t="n">
        <f aca="false">a26_abf*ai_abf</f>
        <v>5.714709</v>
      </c>
      <c r="K1294" s="3" t="s">
        <v>718</v>
      </c>
    </row>
    <row r="1295" customFormat="false" ht="17.15" hidden="false" customHeight="false" outlineLevel="0" collapsed="false">
      <c r="A1295" s="3" t="s">
        <v>719</v>
      </c>
      <c r="B1295" s="0" t="s">
        <v>379</v>
      </c>
      <c r="D1295" s="21" t="n">
        <f aca="false">D1294-D1292</f>
        <v>1.8398432595072</v>
      </c>
      <c r="E1295" s="21" t="n">
        <f aca="false">$D1295*(swm_27/swm_26)^el_o*1*1*E1285*E1286</f>
        <v>2.95942414700357</v>
      </c>
      <c r="F1295" s="21" t="n">
        <f aca="false">$D1295*(swm_28/swm_26)^el_o*um28_A*1*F1285*F1286</f>
        <v>3.02441706089884</v>
      </c>
      <c r="G1295" s="21" t="n">
        <f aca="false">$D1295*(swm_29/swm_26)^el_o*um29_A*1*G1285*G1286</f>
        <v>3.05665794462833</v>
      </c>
      <c r="K1295" s="7" t="s">
        <v>720</v>
      </c>
    </row>
    <row r="1296" customFormat="false" ht="17.15" hidden="false" customHeight="false" outlineLevel="0" collapsed="false">
      <c r="A1296" s="3" t="s">
        <v>721</v>
      </c>
      <c r="B1296" s="0" t="s">
        <v>379</v>
      </c>
      <c r="D1296" s="21" t="n">
        <f aca="false">a26_abf-D1294</f>
        <v>17.144127</v>
      </c>
      <c r="E1296" s="21" t="n">
        <f aca="false">$D1296*(1+g_nai)^1*E1286</f>
        <v>20.898690813</v>
      </c>
      <c r="F1296" s="21" t="n">
        <f aca="false">$D1296*(1+g_nai)^2*F1286</f>
        <v>22.15261226178</v>
      </c>
      <c r="G1296" s="21" t="n">
        <f aca="false">$D1296*(1+g_nai)^3*G1286</f>
        <v>23.4817689974868</v>
      </c>
      <c r="K1296" s="3" t="s">
        <v>722</v>
      </c>
    </row>
    <row r="1297" customFormat="false" ht="17.15" hidden="false" customHeight="false" outlineLevel="0" collapsed="false">
      <c r="A1297" s="0" t="s">
        <v>723</v>
      </c>
      <c r="B1297" s="0" t="s">
        <v>379</v>
      </c>
      <c r="D1297" s="21" t="n">
        <f aca="false">D1292+D1295+D1296</f>
        <v>22.858836</v>
      </c>
      <c r="E1297" s="21" t="n">
        <f aca="false">E1292+E1295+E1296</f>
        <v>37.2560351173884</v>
      </c>
      <c r="F1297" s="21" t="n">
        <f aca="false">F1292+F1295+F1296</f>
        <v>44.6819047391849</v>
      </c>
      <c r="G1297" s="21" t="n">
        <f aca="false">G1292+G1295+G1296</f>
        <v>51.6913988417124</v>
      </c>
    </row>
    <row r="1298" customFormat="false" ht="17.15" hidden="false" customHeight="false" outlineLevel="0" collapsed="false">
      <c r="A1298" s="0" t="s">
        <v>724</v>
      </c>
      <c r="B1298" s="0" t="s">
        <v>379</v>
      </c>
      <c r="D1298" s="21" t="n">
        <f aca="false">a26_abf</f>
        <v>22.858836</v>
      </c>
      <c r="E1298" s="21" t="n">
        <f aca="false">$D1297*cap_27*(1+g_mix)^1*E1285*E1286</f>
        <v>33.122453364</v>
      </c>
      <c r="F1298" s="21" t="n">
        <f aca="false">$D1297*cap_28*(1+g_mix)^2*F1285*F1286</f>
        <v>41.2995590382375</v>
      </c>
      <c r="G1298" s="21" t="n">
        <f aca="false">$D1297*cap_29*(1+g_mix)^3*G1285*G1286</f>
        <v>50.6680379569114</v>
      </c>
      <c r="K1298" s="7" t="s">
        <v>725</v>
      </c>
    </row>
    <row r="1299" customFormat="false" ht="17.15" hidden="false" customHeight="false" outlineLevel="0" collapsed="false">
      <c r="A1299" s="0" t="s">
        <v>726</v>
      </c>
      <c r="B1299" s="0" t="s">
        <v>379</v>
      </c>
      <c r="D1299" s="21" t="n">
        <f aca="false">a26_abf</f>
        <v>22.858836</v>
      </c>
      <c r="E1299" s="21" t="n">
        <f aca="false">MIN(E1297,E1298)</f>
        <v>33.122453364</v>
      </c>
      <c r="F1299" s="21" t="n">
        <f aca="false">MIN(F1297,F1298)</f>
        <v>41.2995590382375</v>
      </c>
      <c r="G1299" s="21" t="n">
        <f aca="false">MIN(G1297,G1298)</f>
        <v>50.6680379569114</v>
      </c>
    </row>
    <row r="1300" customFormat="false" ht="17.15" hidden="false" customHeight="false" outlineLevel="0" collapsed="false">
      <c r="A1300" s="3" t="s">
        <v>727</v>
      </c>
      <c r="B1300" s="0" t="s">
        <v>43</v>
      </c>
      <c r="D1300" s="20" t="n">
        <f aca="false">D1299/D1297</f>
        <v>1</v>
      </c>
      <c r="E1300" s="20" t="n">
        <f aca="false">E1299/E1297</f>
        <v>0.889049338171277</v>
      </c>
      <c r="F1300" s="20" t="n">
        <f aca="false">F1299/F1297</f>
        <v>0.92430166706879</v>
      </c>
      <c r="G1300" s="20" t="n">
        <f aca="false">G1299/G1297</f>
        <v>0.980202491947748</v>
      </c>
    </row>
    <row r="1301" customFormat="false" ht="17.15" hidden="false" customHeight="false" outlineLevel="0" collapsed="false">
      <c r="A1301" s="0" t="s">
        <v>728</v>
      </c>
      <c r="B1301" s="0" t="s">
        <v>379</v>
      </c>
      <c r="D1301" s="21" t="n">
        <f aca="false">(D1292+D1295)*D1300</f>
        <v>5.714709</v>
      </c>
      <c r="E1301" s="21" t="n">
        <f aca="false">(E1292+E1295)*E1300</f>
        <v>14.5424861280562</v>
      </c>
      <c r="F1301" s="21" t="n">
        <f aca="false">(F1292+F1295)*F1300</f>
        <v>20.8238625947457</v>
      </c>
      <c r="G1301" s="21" t="n">
        <f aca="false">(G1292+G1295)*G1300</f>
        <v>27.6511494702334</v>
      </c>
    </row>
    <row r="1302" customFormat="false" ht="17.15" hidden="false" customHeight="false" outlineLevel="0" collapsed="false">
      <c r="A1302" s="3" t="s">
        <v>729</v>
      </c>
      <c r="B1302" s="0" t="s">
        <v>43</v>
      </c>
      <c r="D1302" s="20" t="n">
        <f aca="false">D1292/(D1292+D1295)</f>
        <v>0.678051277937827</v>
      </c>
      <c r="E1302" s="20" t="n">
        <f aca="false">E1292/(E1292+E1295)</f>
        <v>0.819076734466633</v>
      </c>
      <c r="F1302" s="20" t="n">
        <f aca="false">F1292/(F1292+F1295)</f>
        <v>0.865756234292218</v>
      </c>
      <c r="G1302" s="20" t="n">
        <f aca="false">G1292/(G1292+G1295)</f>
        <v>0.891644875827606</v>
      </c>
    </row>
    <row r="1303" customFormat="false" ht="17.15" hidden="false" customHeight="false" outlineLevel="0" collapsed="false">
      <c r="A1303" s="5" t="s">
        <v>730</v>
      </c>
    </row>
    <row r="1304" customFormat="false" ht="17.15" hidden="false" customHeight="false" outlineLevel="0" collapsed="false">
      <c r="A1304" s="0" t="s">
        <v>731</v>
      </c>
      <c r="B1304" s="0" t="s">
        <v>379</v>
      </c>
      <c r="D1304" s="21" t="n">
        <f aca="false">a26_bt</f>
        <v>23.265964</v>
      </c>
      <c r="E1304" s="21" t="n">
        <f aca="false">D1304*(1+g_bt27_A)</f>
        <v>29.78043392</v>
      </c>
      <c r="F1304" s="21" t="n">
        <f aca="false">E1304*(1+g_bt28_A)</f>
        <v>32.758477312</v>
      </c>
      <c r="G1304" s="21" t="n">
        <f aca="false">F1304*(1+g_bt29_A)</f>
        <v>34.3964011776</v>
      </c>
      <c r="K1304" s="7" t="s">
        <v>732</v>
      </c>
    </row>
    <row r="1305" customFormat="false" ht="17.15" hidden="false" customHeight="false" outlineLevel="0" collapsed="false">
      <c r="A1305" s="3" t="s">
        <v>617</v>
      </c>
      <c r="B1305" s="0" t="s">
        <v>379</v>
      </c>
      <c r="C1305" s="21" t="n">
        <f aca="false">a25_lens</f>
        <v>7.039</v>
      </c>
      <c r="D1305" s="21" t="n">
        <f aca="false">a26_lens</f>
        <v>8.301</v>
      </c>
      <c r="E1305" s="21" t="n">
        <f aca="false">D1305*(1+g_lens)</f>
        <v>9.1311</v>
      </c>
      <c r="F1305" s="21" t="n">
        <f aca="false">E1305*(1+g_lens)</f>
        <v>10.04421</v>
      </c>
      <c r="G1305" s="21" t="n">
        <f aca="false">F1305*(1+g_lens)</f>
        <v>11.048631</v>
      </c>
      <c r="K1305" s="3" t="s">
        <v>733</v>
      </c>
    </row>
    <row r="1306" customFormat="false" ht="17.15" hidden="false" customHeight="false" outlineLevel="0" collapsed="false">
      <c r="A1306" s="3" t="s">
        <v>574</v>
      </c>
      <c r="B1306" s="0" t="s">
        <v>379</v>
      </c>
      <c r="C1306" s="23" t="n">
        <f aca="false">a25_rev</f>
        <v>39.351</v>
      </c>
      <c r="D1306" s="23" t="n">
        <f aca="false">D1299+D1304+D1305</f>
        <v>54.4258</v>
      </c>
      <c r="E1306" s="23" t="n">
        <f aca="false">E1299+E1304+E1305</f>
        <v>72.033987284</v>
      </c>
      <c r="F1306" s="23" t="n">
        <f aca="false">F1299+F1304+F1305</f>
        <v>84.1022463502375</v>
      </c>
      <c r="G1306" s="23" t="n">
        <f aca="false">G1299+G1304+G1305</f>
        <v>96.1130701345114</v>
      </c>
      <c r="H1306" s="25" t="n">
        <f aca="false">G1306*(1+H1308)</f>
        <v>107.186075216063</v>
      </c>
      <c r="I1306" s="25" t="n">
        <f aca="false">H1306*(1+I1308)</f>
        <v>116.576010002736</v>
      </c>
      <c r="J1306" s="25" t="n">
        <f aca="false">I1306*(1+J1308)</f>
        <v>123.5705706029</v>
      </c>
      <c r="K1306" s="7" t="s">
        <v>734</v>
      </c>
    </row>
    <row r="1307" customFormat="false" ht="17.15" hidden="false" customHeight="false" outlineLevel="0" collapsed="false">
      <c r="A1307" s="3" t="s">
        <v>735</v>
      </c>
      <c r="B1307" s="0" t="s">
        <v>379</v>
      </c>
      <c r="D1307" s="19" t="n">
        <f aca="false">D1299+D1304+D1305-D1306</f>
        <v>0</v>
      </c>
      <c r="E1307" s="19" t="n">
        <f aca="false">E1299+E1304+E1305-E1306</f>
        <v>0</v>
      </c>
      <c r="F1307" s="19" t="n">
        <f aca="false">F1299+F1304+F1305-F1306</f>
        <v>0</v>
      </c>
      <c r="G1307" s="19" t="n">
        <f aca="false">G1299+G1304+G1305-G1306</f>
        <v>0</v>
      </c>
    </row>
    <row r="1308" customFormat="false" ht="15" hidden="false" customHeight="false" outlineLevel="0" collapsed="false">
      <c r="A1308" s="3" t="s">
        <v>736</v>
      </c>
      <c r="B1308" s="0" t="s">
        <v>43</v>
      </c>
      <c r="D1308" s="20" t="n">
        <f aca="false">D1306/C1306-1</f>
        <v>0.383085563263958</v>
      </c>
      <c r="E1308" s="20" t="n">
        <f aca="false">E1306/D1306-1</f>
        <v>0.323526476119781</v>
      </c>
      <c r="F1308" s="20" t="n">
        <f aca="false">F1306/E1306-1</f>
        <v>0.167535624796909</v>
      </c>
      <c r="G1308" s="20" t="n">
        <f aca="false">G1306/F1306-1</f>
        <v>0.142812163830389</v>
      </c>
      <c r="H1308" s="26" t="n">
        <f aca="false">$G1308+(fade_gA-$G1308)*1/3</f>
        <v>0.115208109220259</v>
      </c>
      <c r="I1308" s="26" t="n">
        <f aca="false">$G1308+(fade_gA-$G1308)*2/3</f>
        <v>0.0876040546101297</v>
      </c>
      <c r="J1308" s="26" t="n">
        <f aca="false">$G1308+(fade_gA-$G1308)*3/3</f>
        <v>0.06</v>
      </c>
    </row>
    <row r="1309" customFormat="false" ht="17.15" hidden="false" customHeight="false" outlineLevel="0" collapsed="false">
      <c r="A1309" s="0" t="s">
        <v>737</v>
      </c>
      <c r="B1309" s="0" t="s">
        <v>43</v>
      </c>
      <c r="D1309" s="20" t="n">
        <f aca="false">D1299/D1306</f>
        <v>0.42</v>
      </c>
      <c r="E1309" s="20" t="n">
        <f aca="false">E1299/E1306</f>
        <v>0.459817019893845</v>
      </c>
      <c r="F1309" s="20" t="n">
        <f aca="false">F1299/F1306</f>
        <v>0.491063685341395</v>
      </c>
      <c r="G1309" s="20" t="n">
        <f aca="false">G1299/G1306</f>
        <v>0.527171152539409</v>
      </c>
    </row>
    <row r="1310" customFormat="false" ht="17.15" hidden="false" customHeight="false" outlineLevel="0" collapsed="false">
      <c r="A1310" s="0" t="s">
        <v>738</v>
      </c>
      <c r="B1310" s="0" t="s">
        <v>43</v>
      </c>
      <c r="D1310" s="20" t="n">
        <f aca="false">D1301/D1306</f>
        <v>0.105</v>
      </c>
      <c r="E1310" s="20" t="n">
        <f aca="false">E1301/E1306</f>
        <v>0.201883675697713</v>
      </c>
      <c r="F1310" s="20" t="n">
        <f aca="false">F1301/F1306</f>
        <v>0.24760174071958</v>
      </c>
      <c r="G1310" s="20" t="n">
        <f aca="false">G1301/G1306</f>
        <v>0.287693957039717</v>
      </c>
      <c r="K1310" s="3" t="s">
        <v>739</v>
      </c>
    </row>
    <row r="1311" customFormat="false" ht="17.15" hidden="false" customHeight="false" outlineLevel="0" collapsed="false">
      <c r="A1311" s="5" t="s">
        <v>740</v>
      </c>
    </row>
    <row r="1312" customFormat="false" ht="15" hidden="false" customHeight="false" outlineLevel="0" collapsed="false">
      <c r="A1312" s="3" t="s">
        <v>741</v>
      </c>
      <c r="B1312" s="0" t="s">
        <v>379</v>
      </c>
      <c r="C1312" s="23" t="n">
        <f aca="false">a25_cx</f>
        <v>6.116</v>
      </c>
      <c r="D1312" s="23" t="n">
        <f aca="false">capex26</f>
        <v>11</v>
      </c>
      <c r="E1312" s="23" t="n">
        <f aca="false">cx27</f>
        <v>17</v>
      </c>
      <c r="F1312" s="23" t="n">
        <f aca="false">cx28</f>
        <v>16</v>
      </c>
      <c r="G1312" s="23" t="n">
        <f aca="false">cx29</f>
        <v>12</v>
      </c>
      <c r="H1312" s="25" t="n">
        <f aca="false">H1306*H1331</f>
        <v>13.4817405534162</v>
      </c>
      <c r="I1312" s="25" t="n">
        <f aca="false">I1306*I1331</f>
        <v>14.77073304233</v>
      </c>
      <c r="J1312" s="25" t="n">
        <f aca="false">J1306*J1331</f>
        <v>15.7713906192965</v>
      </c>
    </row>
    <row r="1313" customFormat="false" ht="17.15" hidden="false" customHeight="false" outlineLevel="0" collapsed="false">
      <c r="A1313" s="3" t="s">
        <v>742</v>
      </c>
      <c r="B1313" s="0" t="s">
        <v>379</v>
      </c>
      <c r="C1313" s="23" t="n">
        <f aca="false">a25_da</f>
        <v>7.158</v>
      </c>
      <c r="D1313" s="23" t="n">
        <f aca="false">da26</f>
        <v>8.32</v>
      </c>
      <c r="E1313" s="23" t="n">
        <f aca="false">D1313*(1-1/life)+D1312/life</f>
        <v>8.655</v>
      </c>
      <c r="F1313" s="23" t="n">
        <f aca="false">E1313*(1-1/life)+E1312/life</f>
        <v>9.698125</v>
      </c>
      <c r="G1313" s="23" t="n">
        <f aca="false">F1313*(1-1/life)+F1312/life</f>
        <v>10.485859375</v>
      </c>
      <c r="H1313" s="25" t="n">
        <f aca="false">H1306*H1314</f>
        <v>11.6939154071433</v>
      </c>
      <c r="I1313" s="25" t="n">
        <f aca="false">I1306*I1314</f>
        <v>12.7183498110769</v>
      </c>
      <c r="J1313" s="25" t="n">
        <f aca="false">J1306*J1314</f>
        <v>13.4814507997415</v>
      </c>
      <c r="K1313" s="3" t="s">
        <v>743</v>
      </c>
    </row>
    <row r="1314" customFormat="false" ht="17.15" hidden="false" customHeight="false" outlineLevel="0" collapsed="false">
      <c r="A1314" s="3" t="s">
        <v>744</v>
      </c>
      <c r="B1314" s="0" t="s">
        <v>43</v>
      </c>
      <c r="C1314" s="20" t="n">
        <f aca="false">C1313/C1306</f>
        <v>0.181901349393916</v>
      </c>
      <c r="D1314" s="20" t="n">
        <f aca="false">D1313/D1306</f>
        <v>0.152868676252807</v>
      </c>
      <c r="E1314" s="20" t="n">
        <f aca="false">E1313/E1306</f>
        <v>0.120151616290196</v>
      </c>
      <c r="F1314" s="20" t="n">
        <f aca="false">F1313/F1306</f>
        <v>0.115313507318376</v>
      </c>
      <c r="G1314" s="20" t="n">
        <f aca="false">G1313/G1306</f>
        <v>0.109099203264706</v>
      </c>
      <c r="H1314" s="26" t="n">
        <f aca="false">$G1314</f>
        <v>0.109099203264706</v>
      </c>
      <c r="I1314" s="26" t="n">
        <f aca="false">$G1314</f>
        <v>0.109099203264706</v>
      </c>
      <c r="J1314" s="26" t="n">
        <f aca="false">$G1314</f>
        <v>0.109099203264706</v>
      </c>
    </row>
    <row r="1315" customFormat="false" ht="17.15" hidden="false" customHeight="false" outlineLevel="0" collapsed="false">
      <c r="A1315" s="0" t="s">
        <v>745</v>
      </c>
      <c r="B1315" s="0" t="s">
        <v>379</v>
      </c>
      <c r="E1315" s="21" t="n">
        <f aca="false">E1300*((E1292+E1295)*(1-1/(E1285*E1286))+E1296*(1-1/E1286))</f>
        <v>4.320320004</v>
      </c>
      <c r="F1315" s="21" t="n">
        <f aca="false">F1300*((F1292+F1295)*(1-1/(F1285*F1286))+F1296*(1-1/F1286))</f>
        <v>4.43386181529661</v>
      </c>
      <c r="G1315" s="21" t="n">
        <f aca="false">G1300*((G1292+G1295)*(1-1/(G1285*G1286))+G1296*(1-1/G1286))</f>
        <v>3.93726587165187</v>
      </c>
      <c r="K1315" s="7" t="s">
        <v>746</v>
      </c>
    </row>
    <row r="1316" customFormat="false" ht="17.15" hidden="false" customHeight="false" outlineLevel="0" collapsed="false">
      <c r="A1316" s="3" t="s">
        <v>747</v>
      </c>
      <c r="B1316" s="0" t="s">
        <v>379</v>
      </c>
      <c r="C1316" s="21" t="n">
        <f aca="false">a25_gp</f>
        <v>8.314</v>
      </c>
      <c r="D1316" s="21" t="n">
        <f aca="false">a26_gp</f>
        <v>15.328536</v>
      </c>
      <c r="E1316" s="21" t="n">
        <f aca="false">$D1316+ft_abf*(E1299-E1315-$D1299)+ft_bt*(E1304-$D1304)+ft_lens*(E1305-$D1305)+E1315-(E1313-$D1313)</f>
        <v>25.590561148</v>
      </c>
      <c r="F1316" s="21" t="n">
        <f aca="false">$D1316+ft_abf*(F1299-F1315-$D1299)+ft_bt*(F1304-$D1304)+ft_lens*(F1305-$D1305)+F1315-(F1313-$D1313)</f>
        <v>30.4437789171671</v>
      </c>
      <c r="G1316" s="21" t="n">
        <f aca="false">$D1316+ft_abf*(G1299-G1315-$D1299)+ft_bt*(G1304-$D1304)+ft_lens*(G1305-$D1305)+G1315-(G1313-$D1313)</f>
        <v>35.2810412192016</v>
      </c>
      <c r="K1316" s="3" t="s">
        <v>748</v>
      </c>
    </row>
    <row r="1317" customFormat="false" ht="15" hidden="false" customHeight="false" outlineLevel="0" collapsed="false">
      <c r="A1317" s="3" t="s">
        <v>581</v>
      </c>
      <c r="B1317" s="0" t="s">
        <v>43</v>
      </c>
      <c r="C1317" s="16" t="n">
        <f aca="false">C1316/C1306</f>
        <v>0.211277985311682</v>
      </c>
      <c r="D1317" s="16" t="n">
        <f aca="false">D1316/D1306</f>
        <v>0.281640986443929</v>
      </c>
      <c r="E1317" s="16" t="n">
        <f aca="false">E1316/E1306</f>
        <v>0.3552567629931</v>
      </c>
      <c r="F1317" s="16" t="n">
        <f aca="false">F1316/F1306</f>
        <v>0.361985324272864</v>
      </c>
      <c r="G1317" s="16" t="n">
        <f aca="false">G1316/G1306</f>
        <v>0.367078495878088</v>
      </c>
    </row>
    <row r="1318" customFormat="false" ht="15" hidden="false" customHeight="false" outlineLevel="0" collapsed="false">
      <c r="A1318" s="3" t="s">
        <v>583</v>
      </c>
      <c r="B1318" s="0" t="s">
        <v>379</v>
      </c>
      <c r="C1318" s="21" t="n">
        <f aca="false">a25_opx</f>
        <v>5.644</v>
      </c>
      <c r="D1318" s="21" t="n">
        <f aca="false">a26_opx</f>
        <v>6.54036</v>
      </c>
      <c r="E1318" s="21" t="n">
        <f aca="false">D1318*(1+phi*E1308)</f>
        <v>7.80994777401287</v>
      </c>
      <c r="F1318" s="21" t="n">
        <f aca="false">E1318*(1+phi*F1308)</f>
        <v>8.59501446198315</v>
      </c>
      <c r="G1318" s="21" t="n">
        <f aca="false">F1318*(1+phi*G1308)</f>
        <v>9.33149803006473</v>
      </c>
    </row>
    <row r="1319" customFormat="false" ht="15" hidden="false" customHeight="false" outlineLevel="0" collapsed="false">
      <c r="A1319" s="3" t="s">
        <v>586</v>
      </c>
      <c r="B1319" s="0" t="s">
        <v>379</v>
      </c>
      <c r="C1319" s="21" t="n">
        <f aca="false">C1316-C1318</f>
        <v>2.67</v>
      </c>
      <c r="D1319" s="21" t="n">
        <f aca="false">D1316-D1318</f>
        <v>8.788176</v>
      </c>
      <c r="E1319" s="21" t="n">
        <f aca="false">E1316-E1318</f>
        <v>17.7806133739871</v>
      </c>
      <c r="F1319" s="21" t="n">
        <f aca="false">F1316-F1318</f>
        <v>21.8487644551839</v>
      </c>
      <c r="G1319" s="21" t="n">
        <f aca="false">G1316-G1318</f>
        <v>25.9495431891369</v>
      </c>
    </row>
    <row r="1320" customFormat="false" ht="15" hidden="false" customHeight="false" outlineLevel="0" collapsed="false">
      <c r="A1320" s="3" t="s">
        <v>684</v>
      </c>
      <c r="B1320" s="0" t="s">
        <v>43</v>
      </c>
      <c r="C1320" s="16" t="n">
        <f aca="false">C1319/C1306</f>
        <v>0.0678508805367081</v>
      </c>
      <c r="D1320" s="16" t="n">
        <f aca="false">D1319/D1306</f>
        <v>0.161470773052486</v>
      </c>
      <c r="E1320" s="16" t="n">
        <f aca="false">E1319/E1306</f>
        <v>0.246836445466854</v>
      </c>
      <c r="F1320" s="16" t="n">
        <f aca="false">F1319/F1306</f>
        <v>0.259788119858254</v>
      </c>
      <c r="G1320" s="16" t="n">
        <f aca="false">G1319/G1306</f>
        <v>0.269989743879997</v>
      </c>
    </row>
    <row r="1321" customFormat="false" ht="15" hidden="false" customHeight="false" outlineLevel="0" collapsed="false">
      <c r="A1321" s="3" t="s">
        <v>589</v>
      </c>
      <c r="B1321" s="0" t="s">
        <v>379</v>
      </c>
      <c r="C1321" s="21" t="n">
        <f aca="false">a25_nonop</f>
        <v>0.417</v>
      </c>
      <c r="D1321" s="21" t="n">
        <f aca="false">a26_nonop</f>
        <v>0.37882</v>
      </c>
      <c r="E1321" s="21" t="n">
        <f aca="false">nonop27</f>
        <v>0.4</v>
      </c>
      <c r="F1321" s="21" t="n">
        <f aca="false">nonop28</f>
        <v>0.4</v>
      </c>
      <c r="G1321" s="21" t="n">
        <f aca="false">nonop29</f>
        <v>0.4</v>
      </c>
    </row>
    <row r="1322" customFormat="false" ht="15" hidden="false" customHeight="false" outlineLevel="0" collapsed="false">
      <c r="A1322" s="3" t="s">
        <v>591</v>
      </c>
      <c r="B1322" s="0" t="s">
        <v>379</v>
      </c>
      <c r="C1322" s="21" t="n">
        <f aca="false">C1319+C1321</f>
        <v>3.087</v>
      </c>
      <c r="D1322" s="21" t="n">
        <f aca="false">D1319+D1321</f>
        <v>9.166996</v>
      </c>
      <c r="E1322" s="21" t="n">
        <f aca="false">E1319+E1321</f>
        <v>18.1806133739871</v>
      </c>
      <c r="F1322" s="21" t="n">
        <f aca="false">F1319+F1321</f>
        <v>22.2487644551839</v>
      </c>
      <c r="G1322" s="21" t="n">
        <f aca="false">G1319+G1321</f>
        <v>26.3495431891369</v>
      </c>
    </row>
    <row r="1323" customFormat="false" ht="15" hidden="false" customHeight="false" outlineLevel="0" collapsed="false">
      <c r="A1323" s="3" t="s">
        <v>592</v>
      </c>
      <c r="B1323" s="0" t="s">
        <v>379</v>
      </c>
      <c r="E1323" s="21" t="n">
        <f aca="false">E1322*tax</f>
        <v>2.18167360487846</v>
      </c>
      <c r="F1323" s="21" t="n">
        <f aca="false">F1322*tax</f>
        <v>2.66985173462207</v>
      </c>
      <c r="G1323" s="21" t="n">
        <f aca="false">G1322*tax</f>
        <v>3.16194518269643</v>
      </c>
    </row>
    <row r="1324" customFormat="false" ht="15" hidden="false" customHeight="false" outlineLevel="0" collapsed="false">
      <c r="A1324" s="3" t="s">
        <v>593</v>
      </c>
      <c r="B1324" s="0" t="s">
        <v>379</v>
      </c>
      <c r="C1324" s="21" t="n">
        <f aca="false">a25_nic</f>
        <v>2.71712</v>
      </c>
      <c r="D1324" s="21" t="n">
        <f aca="false">a26_nic</f>
        <v>8.39979776</v>
      </c>
      <c r="E1324" s="21" t="n">
        <f aca="false">E1322-E1323</f>
        <v>15.9989397691087</v>
      </c>
      <c r="F1324" s="21" t="n">
        <f aca="false">F1322-F1323</f>
        <v>19.5789127205618</v>
      </c>
      <c r="G1324" s="21" t="n">
        <f aca="false">G1322-G1323</f>
        <v>23.1875980064405</v>
      </c>
    </row>
    <row r="1325" customFormat="false" ht="17.15" hidden="false" customHeight="false" outlineLevel="0" collapsed="false">
      <c r="A1325" s="3" t="s">
        <v>749</v>
      </c>
      <c r="B1325" s="0" t="s">
        <v>379</v>
      </c>
      <c r="C1325" s="21" t="n">
        <f aca="false">a25_nci</f>
        <v>1.12112</v>
      </c>
      <c r="D1325" s="21" t="n">
        <f aca="false">a26_nci</f>
        <v>1.43839238487797</v>
      </c>
      <c r="E1325" s="21" t="n">
        <f aca="false">E1305*nm_lens*nci_sh</f>
        <v>1.57074538036261</v>
      </c>
      <c r="F1325" s="21" t="n">
        <f aca="false">F1305*nm_lens*nci_sh</f>
        <v>1.72781991839887</v>
      </c>
      <c r="G1325" s="21" t="n">
        <f aca="false">G1305*nm_lens*nci_sh</f>
        <v>1.90060191023875</v>
      </c>
      <c r="K1325" s="3" t="s">
        <v>750</v>
      </c>
    </row>
    <row r="1326" customFormat="false" ht="15" hidden="false" customHeight="false" outlineLevel="0" collapsed="false">
      <c r="A1326" s="3" t="s">
        <v>599</v>
      </c>
      <c r="B1326" s="0" t="s">
        <v>379</v>
      </c>
      <c r="C1326" s="21" t="n">
        <f aca="false">a25_ni</f>
        <v>1.596</v>
      </c>
      <c r="D1326" s="21" t="n">
        <f aca="false">a26_ni</f>
        <v>6.96140537512203</v>
      </c>
      <c r="E1326" s="21" t="n">
        <f aca="false">E1324-E1325</f>
        <v>14.4281943887461</v>
      </c>
      <c r="F1326" s="21" t="n">
        <f aca="false">F1324-F1325</f>
        <v>17.851092802163</v>
      </c>
      <c r="G1326" s="21" t="n">
        <f aca="false">G1324-G1325</f>
        <v>21.2869960962017</v>
      </c>
      <c r="H1326" s="30" t="n">
        <f aca="false">H1306*H1330</f>
        <v>23.721489422304</v>
      </c>
      <c r="I1326" s="30" t="n">
        <f aca="false">I1306*I1330</f>
        <v>25.7800751061517</v>
      </c>
      <c r="J1326" s="30" t="n">
        <f aca="false">J1306*J1330</f>
        <v>27.3061958633271</v>
      </c>
    </row>
    <row r="1327" customFormat="false" ht="15" hidden="false" customHeight="false" outlineLevel="0" collapsed="false">
      <c r="A1327" s="3" t="s">
        <v>751</v>
      </c>
      <c r="B1327" s="3" t="s">
        <v>465</v>
      </c>
      <c r="C1327" s="29" t="n">
        <f aca="false">a25_sh</f>
        <v>0.454700854700855</v>
      </c>
      <c r="D1327" s="29" t="n">
        <f aca="false">a26_sh</f>
        <v>0.508341020486215</v>
      </c>
      <c r="E1327" s="29" t="n">
        <f aca="false">a26_shend*(1+sh_g)</f>
        <v>0.52691</v>
      </c>
      <c r="F1327" s="29" t="n">
        <f aca="false">E1327*(1+sh_g)</f>
        <v>0.52691</v>
      </c>
      <c r="G1327" s="29" t="n">
        <f aca="false">F1327*(1+sh_g)</f>
        <v>0.52691</v>
      </c>
      <c r="H1327" s="31" t="n">
        <f aca="false">G1327*(1+sh_g)</f>
        <v>0.52691</v>
      </c>
      <c r="I1327" s="31" t="n">
        <f aca="false">H1327*(1+sh_g)</f>
        <v>0.52691</v>
      </c>
      <c r="J1327" s="31" t="n">
        <f aca="false">I1327*(1+sh_g)</f>
        <v>0.52691</v>
      </c>
    </row>
    <row r="1328" customFormat="false" ht="17.15" hidden="false" customHeight="false" outlineLevel="0" collapsed="false">
      <c r="A1328" s="0" t="s">
        <v>604</v>
      </c>
      <c r="B1328" s="0" t="s">
        <v>471</v>
      </c>
      <c r="C1328" s="18" t="n">
        <f aca="false">C1326/C1327</f>
        <v>3.51</v>
      </c>
      <c r="D1328" s="18" t="n">
        <f aca="false">D1326/D1327</f>
        <v>13.6943608612652</v>
      </c>
      <c r="E1328" s="18" t="n">
        <f aca="false">E1326/E1327</f>
        <v>27.3826543218881</v>
      </c>
      <c r="F1328" s="18" t="n">
        <f aca="false">F1326/F1327</f>
        <v>33.8788271282818</v>
      </c>
      <c r="G1328" s="18" t="n">
        <f aca="false">G1326/G1327</f>
        <v>40.3996813425475</v>
      </c>
      <c r="H1328" s="28" t="n">
        <f aca="false">H1326/H1327</f>
        <v>45.0200023197586</v>
      </c>
      <c r="I1328" s="28" t="n">
        <f aca="false">I1326/I1327</f>
        <v>48.9269042268161</v>
      </c>
      <c r="J1328" s="28" t="n">
        <f aca="false">J1326/J1327</f>
        <v>51.8232636756317</v>
      </c>
    </row>
    <row r="1329" customFormat="false" ht="17.15" hidden="false" customHeight="false" outlineLevel="0" collapsed="false">
      <c r="A1329" s="0" t="s">
        <v>752</v>
      </c>
      <c r="B1329" s="0" t="s">
        <v>43</v>
      </c>
      <c r="D1329" s="20" t="n">
        <f aca="false">D1328/C1328-1</f>
        <v>2.90152731090177</v>
      </c>
      <c r="E1329" s="20" t="n">
        <f aca="false">E1328/D1328-1</f>
        <v>0.999556941670828</v>
      </c>
      <c r="F1329" s="20" t="n">
        <f aca="false">F1328/E1328-1</f>
        <v>0.237236782454688</v>
      </c>
      <c r="G1329" s="20" t="n">
        <f aca="false">G1328/F1328-1</f>
        <v>0.192475795858415</v>
      </c>
      <c r="H1329" s="26" t="n">
        <f aca="false">H1328/G1328-1</f>
        <v>0.114365282687146</v>
      </c>
      <c r="I1329" s="26" t="n">
        <f aca="false">I1328/H1328-1</f>
        <v>0.0867814683639603</v>
      </c>
      <c r="J1329" s="26" t="n">
        <f aca="false">J1328/I1328-1</f>
        <v>0.0591976846805715</v>
      </c>
    </row>
    <row r="1330" customFormat="false" ht="17.15" hidden="false" customHeight="false" outlineLevel="0" collapsed="false">
      <c r="A1330" s="3" t="s">
        <v>753</v>
      </c>
      <c r="B1330" s="0" t="s">
        <v>43</v>
      </c>
      <c r="C1330" s="16" t="n">
        <f aca="false">C1326/C1306</f>
        <v>0.0405580544331783</v>
      </c>
      <c r="D1330" s="16" t="n">
        <f aca="false">D1326/D1306</f>
        <v>0.127906349105057</v>
      </c>
      <c r="E1330" s="16" t="n">
        <f aca="false">E1326/E1306</f>
        <v>0.20029703939422</v>
      </c>
      <c r="F1330" s="16" t="n">
        <f aca="false">F1326/F1306</f>
        <v>0.21225464927326</v>
      </c>
      <c r="G1330" s="16" t="n">
        <f aca="false">G1326/G1306</f>
        <v>0.2214786819983</v>
      </c>
      <c r="H1330" s="27" t="n">
        <f aca="false">$G1330+(fade_mA-$G1330)*1/3</f>
        <v>0.221311297894684</v>
      </c>
      <c r="I1330" s="27" t="n">
        <f aca="false">$G1330+(fade_mA-$G1330)*2/3</f>
        <v>0.221143913791068</v>
      </c>
      <c r="J1330" s="27" t="n">
        <f aca="false">$G1330+(fade_mA-$G1330)*3/3</f>
        <v>0.220976529687452</v>
      </c>
    </row>
    <row r="1331" customFormat="false" ht="17.15" hidden="false" customHeight="false" outlineLevel="0" collapsed="false">
      <c r="A1331" s="3" t="s">
        <v>754</v>
      </c>
      <c r="B1331" s="0" t="s">
        <v>43</v>
      </c>
      <c r="C1331" s="20" t="n">
        <f aca="false">C1312/C1306</f>
        <v>0.155421717364235</v>
      </c>
      <c r="D1331" s="20" t="n">
        <f aca="false">D1312/D1306</f>
        <v>0.202110028699624</v>
      </c>
      <c r="E1331" s="20" t="n">
        <f aca="false">E1312/E1306</f>
        <v>0.235999708484498</v>
      </c>
      <c r="F1331" s="20" t="n">
        <f aca="false">F1312/F1306</f>
        <v>0.190244621212247</v>
      </c>
      <c r="G1331" s="20" t="n">
        <f aca="false">G1312/G1306</f>
        <v>0.124852946464054</v>
      </c>
      <c r="H1331" s="26" t="n">
        <f aca="false">$G1331+($G1314*(1+tp_g)^(life/2)-$G1331)*1/3</f>
        <v>0.125778843252168</v>
      </c>
      <c r="I1331" s="26" t="n">
        <f aca="false">$G1331+($G1314*(1+tp_g)^(life/2)-$G1331)*2/3</f>
        <v>0.126704740040282</v>
      </c>
      <c r="J1331" s="26" t="n">
        <f aca="false">$G1331+($G1314*(1+tp_g)^(life/2)-$G1331)*3/3</f>
        <v>0.127630636828396</v>
      </c>
      <c r="K1331" s="7" t="s">
        <v>755</v>
      </c>
    </row>
    <row r="1332" customFormat="false" ht="15" hidden="false" customHeight="false" outlineLevel="0" collapsed="false">
      <c r="A1332" s="3" t="s">
        <v>756</v>
      </c>
      <c r="B1332" s="0" t="s">
        <v>379</v>
      </c>
      <c r="D1332" s="21" t="n">
        <f aca="false">D1326+D1313-D1312</f>
        <v>4.28140537512203</v>
      </c>
      <c r="E1332" s="21" t="n">
        <f aca="false">E1326+E1313-E1312</f>
        <v>6.08319438874607</v>
      </c>
      <c r="F1332" s="21" t="n">
        <f aca="false">F1326+F1313-F1312</f>
        <v>11.549217802163</v>
      </c>
      <c r="G1332" s="21" t="n">
        <f aca="false">G1326+G1313-G1312</f>
        <v>19.7728554712017</v>
      </c>
      <c r="H1332" s="30" t="n">
        <f aca="false">H1326+H1313-H1312</f>
        <v>21.9336642760311</v>
      </c>
      <c r="I1332" s="30" t="n">
        <f aca="false">I1326+I1313-I1312</f>
        <v>23.7276918748986</v>
      </c>
      <c r="J1332" s="30" t="n">
        <f aca="false">J1326+J1313-J1312</f>
        <v>25.0162560437722</v>
      </c>
      <c r="K1332" s="3" t="s">
        <v>757</v>
      </c>
    </row>
    <row r="1333" customFormat="false" ht="15" hidden="false" customHeight="false" outlineLevel="0" collapsed="false">
      <c r="A1333" s="3" t="s">
        <v>758</v>
      </c>
      <c r="B1333" s="0" t="s">
        <v>471</v>
      </c>
      <c r="D1333" s="18" t="n">
        <f aca="false">D1332/D1327</f>
        <v>8.42230943909854</v>
      </c>
      <c r="E1333" s="18" t="n">
        <f aca="false">E1332/E1327</f>
        <v>11.5450349941092</v>
      </c>
      <c r="F1333" s="18" t="n">
        <f aca="false">F1332/F1327</f>
        <v>21.918767535562</v>
      </c>
      <c r="G1333" s="18" t="n">
        <f aca="false">G1332/G1327</f>
        <v>37.5260584752647</v>
      </c>
      <c r="H1333" s="28" t="n">
        <f aca="false">H1332/H1327</f>
        <v>41.6269652806571</v>
      </c>
      <c r="I1333" s="28" t="n">
        <f aca="false">I1332/I1327</f>
        <v>45.0317736898115</v>
      </c>
      <c r="J1333" s="28" t="n">
        <f aca="false">J1332/J1327</f>
        <v>47.4772846288212</v>
      </c>
    </row>
    <row r="1336" customFormat="false" ht="17.15" hidden="false" customHeight="false" outlineLevel="0" collapsed="false">
      <c r="A1336" s="1" t="s">
        <v>1114</v>
      </c>
    </row>
    <row r="1337" customFormat="false" ht="17.15" hidden="false" customHeight="false" outlineLevel="0" collapsed="false">
      <c r="A1337" s="4" t="s">
        <v>20</v>
      </c>
      <c r="B1337" s="4" t="s">
        <v>21</v>
      </c>
      <c r="C1337" s="13" t="s">
        <v>567</v>
      </c>
      <c r="D1337" s="13" t="s">
        <v>671</v>
      </c>
      <c r="E1337" s="13" t="s">
        <v>672</v>
      </c>
      <c r="F1337" s="13" t="s">
        <v>673</v>
      </c>
      <c r="G1337" s="13" t="s">
        <v>674</v>
      </c>
      <c r="H1337" s="13" t="s">
        <v>675</v>
      </c>
      <c r="I1337" s="13" t="s">
        <v>676</v>
      </c>
      <c r="J1337" s="13" t="s">
        <v>677</v>
      </c>
      <c r="K1337" s="4" t="s">
        <v>631</v>
      </c>
    </row>
    <row r="1338" customFormat="false" ht="17.15" hidden="false" customHeight="false" outlineLevel="0" collapsed="false">
      <c r="A1338" s="5" t="s">
        <v>695</v>
      </c>
    </row>
    <row r="1339" customFormat="false" ht="17.15" hidden="false" customHeight="false" outlineLevel="0" collapsed="false">
      <c r="A1339" s="0" t="s">
        <v>696</v>
      </c>
      <c r="B1339" s="3" t="s">
        <v>31</v>
      </c>
      <c r="D1339" s="21" t="n">
        <f aca="false">(u_bw_26+u_rb_26+u_ru_26+u_hp_26)*1</f>
        <v>7.6</v>
      </c>
      <c r="E1339" s="21" t="n">
        <f aca="false">(u_bw_27+u_rb_27+u_ru_27+u_hp_27)*1*1</f>
        <v>9.7</v>
      </c>
      <c r="F1339" s="21" t="n">
        <f aca="false">(u_bw_28+u_rb_28+u_ru_28+u_hp_28)*um28_A*1</f>
        <v>9.5</v>
      </c>
      <c r="G1339" s="21" t="n">
        <f aca="false">(u_bw_28*(1+g29_bw)+u_rb_28*(1+g29_rb)+u_ru_28*(1+g29_ru)+u_hp_28*(1+g29_hp))*um29_A*1</f>
        <v>10.6</v>
      </c>
      <c r="K1339" s="7" t="s">
        <v>697</v>
      </c>
    </row>
    <row r="1340" customFormat="false" ht="17.15" hidden="false" customHeight="false" outlineLevel="0" collapsed="false">
      <c r="A1340" s="3" t="s">
        <v>698</v>
      </c>
      <c r="B1340" s="3" t="s">
        <v>31</v>
      </c>
      <c r="D1340" s="21" t="n">
        <f aca="false">(u_amd_26+u_tpu_26+u_trn_26+u_oth_26)*1</f>
        <v>7.6</v>
      </c>
      <c r="E1340" s="21" t="n">
        <f aca="false">(u_amd_27+u_tpu_27+u_trn_27+u_oth_27)*1*1</f>
        <v>14</v>
      </c>
      <c r="F1340" s="21" t="n">
        <f aca="false">(u_amd_28+u_tpu_28+u_trn_28+u_oth_28)*um28_A*1</f>
        <v>17</v>
      </c>
      <c r="G1340" s="21" t="n">
        <f aca="false">(u_amd_28*(1+g29_amd)+u_tpu_28*(1+g29_tpu)+u_trn_28*(1+g29_trn)+u_oth_28*(1+g29_oth))*um29_A*1</f>
        <v>19.55</v>
      </c>
      <c r="K1340" s="7" t="s">
        <v>699</v>
      </c>
    </row>
    <row r="1341" customFormat="false" ht="17.15" hidden="false" customHeight="false" outlineLevel="0" collapsed="false">
      <c r="A1341" s="0" t="s">
        <v>700</v>
      </c>
      <c r="B1341" s="3" t="s">
        <v>31</v>
      </c>
      <c r="D1341" s="21" t="n">
        <f aca="false">D1339*cpu_r</f>
        <v>3.04</v>
      </c>
      <c r="E1341" s="21" t="n">
        <f aca="false">E1339*cpu_r</f>
        <v>3.88</v>
      </c>
      <c r="F1341" s="21" t="n">
        <f aca="false">F1339*cpu_r</f>
        <v>3.8</v>
      </c>
      <c r="G1341" s="21" t="n">
        <f aca="false">G1339*cpu_r</f>
        <v>4.24</v>
      </c>
      <c r="K1341" s="7" t="s">
        <v>701</v>
      </c>
    </row>
    <row r="1342" customFormat="false" ht="17.15" hidden="false" customHeight="false" outlineLevel="0" collapsed="false">
      <c r="A1342" s="3" t="s">
        <v>702</v>
      </c>
      <c r="B1342" s="0" t="s">
        <v>153</v>
      </c>
      <c r="D1342" s="19" t="n">
        <f aca="false">1</f>
        <v>1</v>
      </c>
      <c r="E1342" s="19" t="n">
        <f aca="false">D1342*(1+g_asp)</f>
        <v>1.18</v>
      </c>
      <c r="F1342" s="19" t="n">
        <f aca="false">E1342*(1+g_asp)</f>
        <v>1.3924</v>
      </c>
      <c r="G1342" s="19" t="n">
        <f aca="false">F1342*(1+g_asp)</f>
        <v>1.643032</v>
      </c>
      <c r="K1342" s="7" t="s">
        <v>703</v>
      </c>
    </row>
    <row r="1343" customFormat="false" ht="17.15" hidden="false" customHeight="false" outlineLevel="0" collapsed="false">
      <c r="A1343" s="0" t="s">
        <v>704</v>
      </c>
      <c r="B1343" s="0" t="s">
        <v>153</v>
      </c>
      <c r="D1343" s="18" t="n">
        <f aca="false">1</f>
        <v>1</v>
      </c>
      <c r="E1343" s="18" t="n">
        <f aca="false">ibpp_27</f>
        <v>1</v>
      </c>
      <c r="F1343" s="18" t="n">
        <f aca="false">ibpp_28</f>
        <v>0.95</v>
      </c>
      <c r="G1343" s="18" t="n">
        <f aca="false">ibpp_29</f>
        <v>0.9</v>
      </c>
      <c r="K1343" s="7" t="s">
        <v>705</v>
      </c>
    </row>
    <row r="1344" customFormat="false" ht="17.15" hidden="false" customHeight="false" outlineLevel="0" collapsed="false">
      <c r="A1344" s="3" t="s">
        <v>706</v>
      </c>
      <c r="B1344" s="0" t="s">
        <v>153</v>
      </c>
      <c r="D1344" s="18" t="n">
        <f aca="false">1</f>
        <v>1</v>
      </c>
      <c r="E1344" s="18" t="n">
        <f aca="false">1+carry</f>
        <v>1.15</v>
      </c>
      <c r="F1344" s="18" t="n">
        <f aca="false">1+carry</f>
        <v>1.15</v>
      </c>
      <c r="G1344" s="18" t="n">
        <f aca="false">1+carry</f>
        <v>1.15</v>
      </c>
      <c r="K1344" s="7" t="s">
        <v>707</v>
      </c>
    </row>
    <row r="1345" customFormat="false" ht="17.15" hidden="false" customHeight="false" outlineLevel="0" collapsed="false">
      <c r="A1345" s="3" t="s">
        <v>708</v>
      </c>
      <c r="B1345" s="0" t="s">
        <v>709</v>
      </c>
      <c r="D1345" s="23" t="n">
        <f aca="false">v26*D1342*D1343</f>
        <v>215.308596</v>
      </c>
      <c r="E1345" s="23" t="n">
        <f aca="false">v26*E1342*E1343</f>
        <v>254.06414328</v>
      </c>
      <c r="F1345" s="23" t="n">
        <f aca="false">v26*F1342*F1343</f>
        <v>284.80590461688</v>
      </c>
      <c r="G1345" s="23" t="n">
        <f aca="false">v26*G1342*G1343</f>
        <v>318.383021792765</v>
      </c>
      <c r="K1345" s="7" t="s">
        <v>710</v>
      </c>
    </row>
    <row r="1346" customFormat="false" ht="17.15" hidden="false" customHeight="false" outlineLevel="0" collapsed="false">
      <c r="A1346" s="3" t="s">
        <v>711</v>
      </c>
      <c r="B1346" s="0" t="s">
        <v>43</v>
      </c>
      <c r="D1346" s="20" t="n">
        <f aca="false">sh_nv_26</f>
        <v>0.02</v>
      </c>
      <c r="E1346" s="20" t="n">
        <f aca="false">sh_nv_27</f>
        <v>0.03</v>
      </c>
      <c r="F1346" s="20" t="n">
        <f aca="false">sh_nv_28</f>
        <v>0.05</v>
      </c>
      <c r="G1346" s="20" t="n">
        <f aca="false">sh_nv_29</f>
        <v>0.06</v>
      </c>
    </row>
    <row r="1347" customFormat="false" ht="17.15" hidden="false" customHeight="false" outlineLevel="0" collapsed="false">
      <c r="A1347" s="3" t="s">
        <v>712</v>
      </c>
      <c r="B1347" s="0" t="s">
        <v>43</v>
      </c>
      <c r="D1347" s="20" t="n">
        <f aca="false">sh_ot_26</f>
        <v>0.03</v>
      </c>
      <c r="E1347" s="20" t="n">
        <f aca="false">sh_ot_27</f>
        <v>0.05</v>
      </c>
      <c r="F1347" s="20" t="n">
        <f aca="false">sh_ot_28</f>
        <v>0.06</v>
      </c>
      <c r="G1347" s="20" t="n">
        <f aca="false">sh_ot_29</f>
        <v>0.06</v>
      </c>
    </row>
    <row r="1348" customFormat="false" ht="17.15" hidden="false" customHeight="false" outlineLevel="0" collapsed="false">
      <c r="A1348" s="3" t="s">
        <v>713</v>
      </c>
      <c r="B1348" s="0" t="s">
        <v>43</v>
      </c>
      <c r="D1348" s="20" t="n">
        <f aca="false">sh_cpu_26_hi</f>
        <v>0.5</v>
      </c>
      <c r="E1348" s="20" t="n">
        <f aca="false">sh_cpu_27_hi</f>
        <v>0.9</v>
      </c>
      <c r="F1348" s="20" t="n">
        <f aca="false">sh_cpu_28_hi</f>
        <v>1</v>
      </c>
      <c r="G1348" s="20" t="n">
        <f aca="false">sh_cpu_29_hi</f>
        <v>1</v>
      </c>
    </row>
    <row r="1349" customFormat="false" ht="17.15" hidden="false" customHeight="false" outlineLevel="0" collapsed="false">
      <c r="A1349" s="3" t="s">
        <v>714</v>
      </c>
      <c r="B1349" s="0" t="s">
        <v>661</v>
      </c>
      <c r="D1349" s="22" t="n">
        <f aca="false">(D1339*D1345*D1346+D1340*D1345*v_ot*D1347+D1341*D1345*v_cpu*D1348)*D1344</f>
        <v>170.1799142784</v>
      </c>
      <c r="E1349" s="22" t="n">
        <f aca="false">(E1339*E1345*E1346+E1340*E1345*v_ot*E1347+E1341*E1345*v_cpu*E1348)*E1344</f>
        <v>554.721109796119</v>
      </c>
      <c r="F1349" s="22" t="n">
        <f aca="false">(F1339*F1345*F1346+F1340*F1345*v_ot*F1347+F1341*F1345*v_cpu*F1348)*F1344</f>
        <v>796.217627242181</v>
      </c>
      <c r="G1349" s="22" t="n">
        <f aca="false">(G1339*G1345*G1346+G1340*G1345*v_ot*G1347+G1341*G1345*v_cpu*G1348)*G1344</f>
        <v>1042.18224821556</v>
      </c>
    </row>
    <row r="1350" customFormat="false" ht="17.15" hidden="false" customHeight="false" outlineLevel="0" collapsed="false">
      <c r="A1350" s="3" t="s">
        <v>715</v>
      </c>
      <c r="B1350" s="0" t="s">
        <v>379</v>
      </c>
      <c r="D1350" s="21" t="n">
        <f aca="false">D1349*fx/1000</f>
        <v>5.4457572569088</v>
      </c>
      <c r="E1350" s="21" t="n">
        <f aca="false">E1349*fx/1000</f>
        <v>17.7510755134758</v>
      </c>
      <c r="F1350" s="21" t="n">
        <f aca="false">F1349*fx/1000</f>
        <v>25.4789640717498</v>
      </c>
      <c r="G1350" s="21" t="n">
        <f aca="false">G1349*fx/1000</f>
        <v>33.3498319428981</v>
      </c>
    </row>
    <row r="1351" customFormat="false" ht="17.15" hidden="false" customHeight="false" outlineLevel="0" collapsed="false">
      <c r="A1351" s="5" t="s">
        <v>716</v>
      </c>
    </row>
    <row r="1352" customFormat="false" ht="17.15" hidden="false" customHeight="false" outlineLevel="0" collapsed="false">
      <c r="A1352" s="0" t="s">
        <v>717</v>
      </c>
      <c r="B1352" s="0" t="s">
        <v>379</v>
      </c>
      <c r="D1352" s="21" t="n">
        <f aca="false">a26_abf*ai_abf</f>
        <v>5.714709</v>
      </c>
      <c r="K1352" s="3" t="s">
        <v>718</v>
      </c>
    </row>
    <row r="1353" customFormat="false" ht="17.15" hidden="false" customHeight="false" outlineLevel="0" collapsed="false">
      <c r="A1353" s="3" t="s">
        <v>719</v>
      </c>
      <c r="B1353" s="0" t="s">
        <v>379</v>
      </c>
      <c r="D1353" s="21" t="n">
        <f aca="false">D1352-D1350</f>
        <v>0.268951743091199</v>
      </c>
      <c r="E1353" s="21" t="n">
        <f aca="false">$D1353*(swm_27/swm_26)^el_o*1*1*E1343*E1344</f>
        <v>0.432614179914428</v>
      </c>
      <c r="F1353" s="21" t="n">
        <f aca="false">$D1353*(swm_28/swm_26)^el_o*um28_A*1*F1343*F1344</f>
        <v>0.44211496613107</v>
      </c>
      <c r="G1353" s="21" t="n">
        <f aca="false">$D1353*(swm_29/swm_26)^el_o*um29_A*1*G1343*G1344</f>
        <v>0.446827999066371</v>
      </c>
      <c r="K1353" s="7" t="s">
        <v>720</v>
      </c>
    </row>
    <row r="1354" customFormat="false" ht="17.15" hidden="false" customHeight="false" outlineLevel="0" collapsed="false">
      <c r="A1354" s="3" t="s">
        <v>721</v>
      </c>
      <c r="B1354" s="0" t="s">
        <v>379</v>
      </c>
      <c r="D1354" s="21" t="n">
        <f aca="false">a26_abf-D1352</f>
        <v>17.144127</v>
      </c>
      <c r="E1354" s="21" t="n">
        <f aca="false">$D1354*(1+g_nai)^1*E1344</f>
        <v>20.898690813</v>
      </c>
      <c r="F1354" s="21" t="n">
        <f aca="false">$D1354*(1+g_nai)^2*F1344</f>
        <v>22.15261226178</v>
      </c>
      <c r="G1354" s="21" t="n">
        <f aca="false">$D1354*(1+g_nai)^3*G1344</f>
        <v>23.4817689974868</v>
      </c>
      <c r="K1354" s="3" t="s">
        <v>722</v>
      </c>
    </row>
    <row r="1355" customFormat="false" ht="17.15" hidden="false" customHeight="false" outlineLevel="0" collapsed="false">
      <c r="A1355" s="0" t="s">
        <v>723</v>
      </c>
      <c r="B1355" s="0" t="s">
        <v>379</v>
      </c>
      <c r="D1355" s="21" t="n">
        <f aca="false">D1350+D1353+D1354</f>
        <v>22.858836</v>
      </c>
      <c r="E1355" s="21" t="n">
        <f aca="false">E1350+E1353+E1354</f>
        <v>39.0823805063902</v>
      </c>
      <c r="F1355" s="21" t="n">
        <f aca="false">F1350+F1353+F1354</f>
        <v>48.0736912996608</v>
      </c>
      <c r="G1355" s="21" t="n">
        <f aca="false">G1350+G1353+G1354</f>
        <v>57.2784289394512</v>
      </c>
    </row>
    <row r="1356" customFormat="false" ht="17.15" hidden="false" customHeight="false" outlineLevel="0" collapsed="false">
      <c r="A1356" s="0" t="s">
        <v>724</v>
      </c>
      <c r="B1356" s="0" t="s">
        <v>379</v>
      </c>
      <c r="D1356" s="21" t="n">
        <f aca="false">a26_abf</f>
        <v>22.858836</v>
      </c>
      <c r="E1356" s="21" t="n">
        <f aca="false">$D1355*cap_27*(1+g_mix)^1*E1343*E1344</f>
        <v>33.122453364</v>
      </c>
      <c r="F1356" s="21" t="n">
        <f aca="false">$D1355*cap_28*(1+g_mix)^2*F1343*F1344</f>
        <v>41.2995590382375</v>
      </c>
      <c r="G1356" s="21" t="n">
        <f aca="false">$D1355*cap_29*(1+g_mix)^3*G1343*G1344</f>
        <v>50.6680379569114</v>
      </c>
      <c r="K1356" s="7" t="s">
        <v>725</v>
      </c>
    </row>
    <row r="1357" customFormat="false" ht="17.15" hidden="false" customHeight="false" outlineLevel="0" collapsed="false">
      <c r="A1357" s="0" t="s">
        <v>726</v>
      </c>
      <c r="B1357" s="0" t="s">
        <v>379</v>
      </c>
      <c r="D1357" s="21" t="n">
        <f aca="false">a26_abf</f>
        <v>22.858836</v>
      </c>
      <c r="E1357" s="21" t="n">
        <f aca="false">MIN(E1355,E1356)</f>
        <v>33.122453364</v>
      </c>
      <c r="F1357" s="21" t="n">
        <f aca="false">MIN(F1355,F1356)</f>
        <v>41.2995590382375</v>
      </c>
      <c r="G1357" s="21" t="n">
        <f aca="false">MIN(G1355,G1356)</f>
        <v>50.6680379569114</v>
      </c>
    </row>
    <row r="1358" customFormat="false" ht="17.15" hidden="false" customHeight="false" outlineLevel="0" collapsed="false">
      <c r="A1358" s="3" t="s">
        <v>727</v>
      </c>
      <c r="B1358" s="0" t="s">
        <v>43</v>
      </c>
      <c r="D1358" s="20" t="n">
        <f aca="false">D1357/D1355</f>
        <v>1</v>
      </c>
      <c r="E1358" s="20" t="n">
        <f aca="false">E1357/E1355</f>
        <v>0.84750347688223</v>
      </c>
      <c r="F1358" s="20" t="n">
        <f aca="false">F1357/F1355</f>
        <v>0.859088576760255</v>
      </c>
      <c r="G1358" s="20" t="n">
        <f aca="false">G1357/G1355</f>
        <v>0.884591964113966</v>
      </c>
    </row>
    <row r="1359" customFormat="false" ht="17.15" hidden="false" customHeight="false" outlineLevel="0" collapsed="false">
      <c r="A1359" s="0" t="s">
        <v>728</v>
      </c>
      <c r="B1359" s="0" t="s">
        <v>379</v>
      </c>
      <c r="D1359" s="21" t="n">
        <f aca="false">(D1350+D1353)*D1358</f>
        <v>5.714709</v>
      </c>
      <c r="E1359" s="21" t="n">
        <f aca="false">(E1350+E1353)*E1358</f>
        <v>15.4107402376958</v>
      </c>
      <c r="F1359" s="21" t="n">
        <f aca="false">(F1350+F1353)*F1358</f>
        <v>22.2685028987431</v>
      </c>
      <c r="G1359" s="21" t="n">
        <f aca="false">(G1350+G1353)*G1358</f>
        <v>29.8962537985541</v>
      </c>
    </row>
    <row r="1360" customFormat="false" ht="17.15" hidden="false" customHeight="false" outlineLevel="0" collapsed="false">
      <c r="A1360" s="3" t="s">
        <v>729</v>
      </c>
      <c r="B1360" s="0" t="s">
        <v>43</v>
      </c>
      <c r="D1360" s="20" t="n">
        <f aca="false">D1350/(D1350+D1353)</f>
        <v>0.952936931155865</v>
      </c>
      <c r="E1360" s="20" t="n">
        <f aca="false">E1350/(E1350+E1353)</f>
        <v>0.976208669021025</v>
      </c>
      <c r="F1360" s="20" t="n">
        <f aca="false">F1350/(F1350+F1353)</f>
        <v>0.98294380548414</v>
      </c>
      <c r="G1360" s="20" t="n">
        <f aca="false">G1350/(G1350+G1353)</f>
        <v>0.986778930230571</v>
      </c>
    </row>
    <row r="1361" customFormat="false" ht="17.15" hidden="false" customHeight="false" outlineLevel="0" collapsed="false">
      <c r="A1361" s="5" t="s">
        <v>730</v>
      </c>
    </row>
    <row r="1362" customFormat="false" ht="17.15" hidden="false" customHeight="false" outlineLevel="0" collapsed="false">
      <c r="A1362" s="0" t="s">
        <v>731</v>
      </c>
      <c r="B1362" s="0" t="s">
        <v>379</v>
      </c>
      <c r="D1362" s="21" t="n">
        <f aca="false">a26_bt</f>
        <v>23.265964</v>
      </c>
      <c r="E1362" s="21" t="n">
        <f aca="false">D1362*(1+g_bt27_A)</f>
        <v>29.78043392</v>
      </c>
      <c r="F1362" s="21" t="n">
        <f aca="false">E1362*(1+g_bt28_A)</f>
        <v>32.758477312</v>
      </c>
      <c r="G1362" s="21" t="n">
        <f aca="false">F1362*(1+g_bt29_A)</f>
        <v>34.3964011776</v>
      </c>
      <c r="K1362" s="7" t="s">
        <v>732</v>
      </c>
    </row>
    <row r="1363" customFormat="false" ht="17.15" hidden="false" customHeight="false" outlineLevel="0" collapsed="false">
      <c r="A1363" s="3" t="s">
        <v>617</v>
      </c>
      <c r="B1363" s="0" t="s">
        <v>379</v>
      </c>
      <c r="C1363" s="21" t="n">
        <f aca="false">a25_lens</f>
        <v>7.039</v>
      </c>
      <c r="D1363" s="21" t="n">
        <f aca="false">a26_lens</f>
        <v>8.301</v>
      </c>
      <c r="E1363" s="21" t="n">
        <f aca="false">D1363*(1+g_lens)</f>
        <v>9.1311</v>
      </c>
      <c r="F1363" s="21" t="n">
        <f aca="false">E1363*(1+g_lens)</f>
        <v>10.04421</v>
      </c>
      <c r="G1363" s="21" t="n">
        <f aca="false">F1363*(1+g_lens)</f>
        <v>11.048631</v>
      </c>
      <c r="K1363" s="3" t="s">
        <v>733</v>
      </c>
    </row>
    <row r="1364" customFormat="false" ht="17.15" hidden="false" customHeight="false" outlineLevel="0" collapsed="false">
      <c r="A1364" s="3" t="s">
        <v>574</v>
      </c>
      <c r="B1364" s="0" t="s">
        <v>379</v>
      </c>
      <c r="C1364" s="23" t="n">
        <f aca="false">a25_rev</f>
        <v>39.351</v>
      </c>
      <c r="D1364" s="23" t="n">
        <f aca="false">D1357+D1362+D1363</f>
        <v>54.4258</v>
      </c>
      <c r="E1364" s="23" t="n">
        <f aca="false">E1357+E1362+E1363</f>
        <v>72.033987284</v>
      </c>
      <c r="F1364" s="23" t="n">
        <f aca="false">F1357+F1362+F1363</f>
        <v>84.1022463502375</v>
      </c>
      <c r="G1364" s="23" t="n">
        <f aca="false">G1357+G1362+G1363</f>
        <v>96.1130701345114</v>
      </c>
      <c r="H1364" s="25" t="n">
        <f aca="false">G1364*(1+H1366)</f>
        <v>107.186075216063</v>
      </c>
      <c r="I1364" s="25" t="n">
        <f aca="false">H1364*(1+I1366)</f>
        <v>116.576010002736</v>
      </c>
      <c r="J1364" s="25" t="n">
        <f aca="false">I1364*(1+J1366)</f>
        <v>123.5705706029</v>
      </c>
      <c r="K1364" s="7" t="s">
        <v>734</v>
      </c>
    </row>
    <row r="1365" customFormat="false" ht="17.15" hidden="false" customHeight="false" outlineLevel="0" collapsed="false">
      <c r="A1365" s="3" t="s">
        <v>735</v>
      </c>
      <c r="B1365" s="0" t="s">
        <v>379</v>
      </c>
      <c r="D1365" s="19" t="n">
        <f aca="false">D1357+D1362+D1363-D1364</f>
        <v>0</v>
      </c>
      <c r="E1365" s="19" t="n">
        <f aca="false">E1357+E1362+E1363-E1364</f>
        <v>0</v>
      </c>
      <c r="F1365" s="19" t="n">
        <f aca="false">F1357+F1362+F1363-F1364</f>
        <v>0</v>
      </c>
      <c r="G1365" s="19" t="n">
        <f aca="false">G1357+G1362+G1363-G1364</f>
        <v>0</v>
      </c>
    </row>
    <row r="1366" customFormat="false" ht="15" hidden="false" customHeight="false" outlineLevel="0" collapsed="false">
      <c r="A1366" s="3" t="s">
        <v>736</v>
      </c>
      <c r="B1366" s="0" t="s">
        <v>43</v>
      </c>
      <c r="D1366" s="20" t="n">
        <f aca="false">D1364/C1364-1</f>
        <v>0.383085563263958</v>
      </c>
      <c r="E1366" s="20" t="n">
        <f aca="false">E1364/D1364-1</f>
        <v>0.323526476119781</v>
      </c>
      <c r="F1366" s="20" t="n">
        <f aca="false">F1364/E1364-1</f>
        <v>0.167535624796909</v>
      </c>
      <c r="G1366" s="20" t="n">
        <f aca="false">G1364/F1364-1</f>
        <v>0.142812163830389</v>
      </c>
      <c r="H1366" s="26" t="n">
        <f aca="false">$G1366+(fade_gA-$G1366)*1/3</f>
        <v>0.115208109220259</v>
      </c>
      <c r="I1366" s="26" t="n">
        <f aca="false">$G1366+(fade_gA-$G1366)*2/3</f>
        <v>0.0876040546101297</v>
      </c>
      <c r="J1366" s="26" t="n">
        <f aca="false">$G1366+(fade_gA-$G1366)*3/3</f>
        <v>0.06</v>
      </c>
    </row>
    <row r="1367" customFormat="false" ht="17.15" hidden="false" customHeight="false" outlineLevel="0" collapsed="false">
      <c r="A1367" s="0" t="s">
        <v>737</v>
      </c>
      <c r="B1367" s="0" t="s">
        <v>43</v>
      </c>
      <c r="D1367" s="20" t="n">
        <f aca="false">D1357/D1364</f>
        <v>0.42</v>
      </c>
      <c r="E1367" s="20" t="n">
        <f aca="false">E1357/E1364</f>
        <v>0.459817019893845</v>
      </c>
      <c r="F1367" s="20" t="n">
        <f aca="false">F1357/F1364</f>
        <v>0.491063685341395</v>
      </c>
      <c r="G1367" s="20" t="n">
        <f aca="false">G1357/G1364</f>
        <v>0.527171152539409</v>
      </c>
    </row>
    <row r="1368" customFormat="false" ht="17.15" hidden="false" customHeight="false" outlineLevel="0" collapsed="false">
      <c r="A1368" s="0" t="s">
        <v>738</v>
      </c>
      <c r="B1368" s="0" t="s">
        <v>43</v>
      </c>
      <c r="D1368" s="20" t="n">
        <f aca="false">D1359/D1364</f>
        <v>0.105</v>
      </c>
      <c r="E1368" s="20" t="n">
        <f aca="false">E1359/E1364</f>
        <v>0.21393707080156</v>
      </c>
      <c r="F1368" s="20" t="n">
        <f aca="false">F1359/F1364</f>
        <v>0.264778931183451</v>
      </c>
      <c r="G1368" s="20" t="n">
        <f aca="false">G1359/G1364</f>
        <v>0.311052947915553</v>
      </c>
      <c r="K1368" s="3" t="s">
        <v>739</v>
      </c>
    </row>
    <row r="1369" customFormat="false" ht="17.15" hidden="false" customHeight="false" outlineLevel="0" collapsed="false">
      <c r="A1369" s="5" t="s">
        <v>740</v>
      </c>
    </row>
    <row r="1370" customFormat="false" ht="15" hidden="false" customHeight="false" outlineLevel="0" collapsed="false">
      <c r="A1370" s="3" t="s">
        <v>741</v>
      </c>
      <c r="B1370" s="0" t="s">
        <v>379</v>
      </c>
      <c r="C1370" s="23" t="n">
        <f aca="false">a25_cx</f>
        <v>6.116</v>
      </c>
      <c r="D1370" s="23" t="n">
        <f aca="false">capex26</f>
        <v>11</v>
      </c>
      <c r="E1370" s="23" t="n">
        <f aca="false">cx27</f>
        <v>17</v>
      </c>
      <c r="F1370" s="23" t="n">
        <f aca="false">cx28</f>
        <v>16</v>
      </c>
      <c r="G1370" s="23" t="n">
        <f aca="false">cx29</f>
        <v>12</v>
      </c>
      <c r="H1370" s="25" t="n">
        <f aca="false">H1364*H1389</f>
        <v>13.4817405534162</v>
      </c>
      <c r="I1370" s="25" t="n">
        <f aca="false">I1364*I1389</f>
        <v>14.77073304233</v>
      </c>
      <c r="J1370" s="25" t="n">
        <f aca="false">J1364*J1389</f>
        <v>15.7713906192965</v>
      </c>
    </row>
    <row r="1371" customFormat="false" ht="17.15" hidden="false" customHeight="false" outlineLevel="0" collapsed="false">
      <c r="A1371" s="3" t="s">
        <v>742</v>
      </c>
      <c r="B1371" s="0" t="s">
        <v>379</v>
      </c>
      <c r="C1371" s="23" t="n">
        <f aca="false">a25_da</f>
        <v>7.158</v>
      </c>
      <c r="D1371" s="23" t="n">
        <f aca="false">da26</f>
        <v>8.32</v>
      </c>
      <c r="E1371" s="23" t="n">
        <f aca="false">D1371*(1-1/life)+D1370/life</f>
        <v>8.655</v>
      </c>
      <c r="F1371" s="23" t="n">
        <f aca="false">E1371*(1-1/life)+E1370/life</f>
        <v>9.698125</v>
      </c>
      <c r="G1371" s="23" t="n">
        <f aca="false">F1371*(1-1/life)+F1370/life</f>
        <v>10.485859375</v>
      </c>
      <c r="H1371" s="25" t="n">
        <f aca="false">H1364*H1372</f>
        <v>11.6939154071433</v>
      </c>
      <c r="I1371" s="25" t="n">
        <f aca="false">I1364*I1372</f>
        <v>12.7183498110769</v>
      </c>
      <c r="J1371" s="25" t="n">
        <f aca="false">J1364*J1372</f>
        <v>13.4814507997415</v>
      </c>
      <c r="K1371" s="3" t="s">
        <v>743</v>
      </c>
    </row>
    <row r="1372" customFormat="false" ht="17.15" hidden="false" customHeight="false" outlineLevel="0" collapsed="false">
      <c r="A1372" s="3" t="s">
        <v>744</v>
      </c>
      <c r="B1372" s="0" t="s">
        <v>43</v>
      </c>
      <c r="C1372" s="20" t="n">
        <f aca="false">C1371/C1364</f>
        <v>0.181901349393916</v>
      </c>
      <c r="D1372" s="20" t="n">
        <f aca="false">D1371/D1364</f>
        <v>0.152868676252807</v>
      </c>
      <c r="E1372" s="20" t="n">
        <f aca="false">E1371/E1364</f>
        <v>0.120151616290196</v>
      </c>
      <c r="F1372" s="20" t="n">
        <f aca="false">F1371/F1364</f>
        <v>0.115313507318376</v>
      </c>
      <c r="G1372" s="20" t="n">
        <f aca="false">G1371/G1364</f>
        <v>0.109099203264706</v>
      </c>
      <c r="H1372" s="26" t="n">
        <f aca="false">$G1372</f>
        <v>0.109099203264706</v>
      </c>
      <c r="I1372" s="26" t="n">
        <f aca="false">$G1372</f>
        <v>0.109099203264706</v>
      </c>
      <c r="J1372" s="26" t="n">
        <f aca="false">$G1372</f>
        <v>0.109099203264706</v>
      </c>
    </row>
    <row r="1373" customFormat="false" ht="17.15" hidden="false" customHeight="false" outlineLevel="0" collapsed="false">
      <c r="A1373" s="0" t="s">
        <v>745</v>
      </c>
      <c r="B1373" s="0" t="s">
        <v>379</v>
      </c>
      <c r="E1373" s="21" t="n">
        <f aca="false">E1358*((E1350+E1353)*(1-1/(E1343*E1344))+E1354*(1-1/E1344))</f>
        <v>4.320320004</v>
      </c>
      <c r="F1373" s="21" t="n">
        <f aca="false">F1358*((F1350+F1353)*(1-1/(F1343*F1344))+F1354*(1-1/F1344))</f>
        <v>4.3677455542441</v>
      </c>
      <c r="G1373" s="21" t="n">
        <f aca="false">G1358*((G1350+G1353)*(1-1/(G1343*G1344))+G1354*(1-1/G1344))</f>
        <v>3.7203475790605</v>
      </c>
      <c r="K1373" s="7" t="s">
        <v>746</v>
      </c>
    </row>
    <row r="1374" customFormat="false" ht="17.15" hidden="false" customHeight="false" outlineLevel="0" collapsed="false">
      <c r="A1374" s="3" t="s">
        <v>747</v>
      </c>
      <c r="B1374" s="0" t="s">
        <v>379</v>
      </c>
      <c r="C1374" s="21" t="n">
        <f aca="false">a25_gp</f>
        <v>8.314</v>
      </c>
      <c r="D1374" s="21" t="n">
        <f aca="false">a26_gp</f>
        <v>15.328536</v>
      </c>
      <c r="E1374" s="21" t="n">
        <f aca="false">$D1374+ft_abf*(E1357-E1373-$D1357)+ft_bt*(E1362-$D1362)+ft_lens*(E1363-$D1363)+E1373-(E1371-$D1371)</f>
        <v>25.590561148</v>
      </c>
      <c r="F1374" s="21" t="n">
        <f aca="false">$D1374+ft_abf*(F1357-F1373-$D1357)+ft_bt*(F1362-$D1362)+ft_lens*(F1363-$D1363)+F1373-(F1371-$D1371)</f>
        <v>30.4107207866408</v>
      </c>
      <c r="G1374" s="21" t="n">
        <f aca="false">$D1374+ft_abf*(G1357-G1373-$D1357)+ft_bt*(G1362-$D1362)+ft_lens*(G1363-$D1363)+G1373-(G1371-$D1371)</f>
        <v>35.1725820729059</v>
      </c>
      <c r="K1374" s="3" t="s">
        <v>748</v>
      </c>
    </row>
    <row r="1375" customFormat="false" ht="15" hidden="false" customHeight="false" outlineLevel="0" collapsed="false">
      <c r="A1375" s="3" t="s">
        <v>581</v>
      </c>
      <c r="B1375" s="0" t="s">
        <v>43</v>
      </c>
      <c r="C1375" s="16" t="n">
        <f aca="false">C1374/C1364</f>
        <v>0.211277985311682</v>
      </c>
      <c r="D1375" s="16" t="n">
        <f aca="false">D1374/D1364</f>
        <v>0.281640986443929</v>
      </c>
      <c r="E1375" s="16" t="n">
        <f aca="false">E1374/E1364</f>
        <v>0.3552567629931</v>
      </c>
      <c r="F1375" s="16" t="n">
        <f aca="false">F1374/F1364</f>
        <v>0.361592253552867</v>
      </c>
      <c r="G1375" s="16" t="n">
        <f aca="false">G1374/G1364</f>
        <v>0.365950042212589</v>
      </c>
    </row>
    <row r="1376" customFormat="false" ht="15" hidden="false" customHeight="false" outlineLevel="0" collapsed="false">
      <c r="A1376" s="3" t="s">
        <v>583</v>
      </c>
      <c r="B1376" s="0" t="s">
        <v>379</v>
      </c>
      <c r="C1376" s="21" t="n">
        <f aca="false">a25_opx</f>
        <v>5.644</v>
      </c>
      <c r="D1376" s="21" t="n">
        <f aca="false">a26_opx</f>
        <v>6.54036</v>
      </c>
      <c r="E1376" s="21" t="n">
        <f aca="false">D1376*(1+phi*E1366)</f>
        <v>7.80994777401287</v>
      </c>
      <c r="F1376" s="21" t="n">
        <f aca="false">E1376*(1+phi*F1366)</f>
        <v>8.59501446198315</v>
      </c>
      <c r="G1376" s="21" t="n">
        <f aca="false">F1376*(1+phi*G1366)</f>
        <v>9.33149803006473</v>
      </c>
    </row>
    <row r="1377" customFormat="false" ht="15" hidden="false" customHeight="false" outlineLevel="0" collapsed="false">
      <c r="A1377" s="3" t="s">
        <v>586</v>
      </c>
      <c r="B1377" s="0" t="s">
        <v>379</v>
      </c>
      <c r="C1377" s="21" t="n">
        <f aca="false">C1374-C1376</f>
        <v>2.67</v>
      </c>
      <c r="D1377" s="21" t="n">
        <f aca="false">D1374-D1376</f>
        <v>8.788176</v>
      </c>
      <c r="E1377" s="21" t="n">
        <f aca="false">E1374-E1376</f>
        <v>17.7806133739871</v>
      </c>
      <c r="F1377" s="21" t="n">
        <f aca="false">F1374-F1376</f>
        <v>21.8157063246577</v>
      </c>
      <c r="G1377" s="21" t="n">
        <f aca="false">G1374-G1376</f>
        <v>25.8410840428412</v>
      </c>
    </row>
    <row r="1378" customFormat="false" ht="15" hidden="false" customHeight="false" outlineLevel="0" collapsed="false">
      <c r="A1378" s="3" t="s">
        <v>684</v>
      </c>
      <c r="B1378" s="0" t="s">
        <v>43</v>
      </c>
      <c r="C1378" s="16" t="n">
        <f aca="false">C1377/C1364</f>
        <v>0.0678508805367081</v>
      </c>
      <c r="D1378" s="16" t="n">
        <f aca="false">D1377/D1364</f>
        <v>0.161470773052486</v>
      </c>
      <c r="E1378" s="16" t="n">
        <f aca="false">E1377/E1364</f>
        <v>0.246836445466854</v>
      </c>
      <c r="F1378" s="16" t="n">
        <f aca="false">F1377/F1364</f>
        <v>0.259395049138257</v>
      </c>
      <c r="G1378" s="16" t="n">
        <f aca="false">G1377/G1364</f>
        <v>0.268861290214497</v>
      </c>
    </row>
    <row r="1379" customFormat="false" ht="15" hidden="false" customHeight="false" outlineLevel="0" collapsed="false">
      <c r="A1379" s="3" t="s">
        <v>589</v>
      </c>
      <c r="B1379" s="0" t="s">
        <v>379</v>
      </c>
      <c r="C1379" s="21" t="n">
        <f aca="false">a25_nonop</f>
        <v>0.417</v>
      </c>
      <c r="D1379" s="21" t="n">
        <f aca="false">a26_nonop</f>
        <v>0.37882</v>
      </c>
      <c r="E1379" s="21" t="n">
        <f aca="false">nonop27</f>
        <v>0.4</v>
      </c>
      <c r="F1379" s="21" t="n">
        <f aca="false">nonop28</f>
        <v>0.4</v>
      </c>
      <c r="G1379" s="21" t="n">
        <f aca="false">nonop29</f>
        <v>0.4</v>
      </c>
    </row>
    <row r="1380" customFormat="false" ht="15" hidden="false" customHeight="false" outlineLevel="0" collapsed="false">
      <c r="A1380" s="3" t="s">
        <v>591</v>
      </c>
      <c r="B1380" s="0" t="s">
        <v>379</v>
      </c>
      <c r="C1380" s="21" t="n">
        <f aca="false">C1377+C1379</f>
        <v>3.087</v>
      </c>
      <c r="D1380" s="21" t="n">
        <f aca="false">D1377+D1379</f>
        <v>9.166996</v>
      </c>
      <c r="E1380" s="21" t="n">
        <f aca="false">E1377+E1379</f>
        <v>18.1806133739871</v>
      </c>
      <c r="F1380" s="21" t="n">
        <f aca="false">F1377+F1379</f>
        <v>22.2157063246577</v>
      </c>
      <c r="G1380" s="21" t="n">
        <f aca="false">G1377+G1379</f>
        <v>26.2410840428412</v>
      </c>
    </row>
    <row r="1381" customFormat="false" ht="15" hidden="false" customHeight="false" outlineLevel="0" collapsed="false">
      <c r="A1381" s="3" t="s">
        <v>592</v>
      </c>
      <c r="B1381" s="0" t="s">
        <v>379</v>
      </c>
      <c r="E1381" s="21" t="n">
        <f aca="false">E1380*tax</f>
        <v>2.18167360487846</v>
      </c>
      <c r="F1381" s="21" t="n">
        <f aca="false">F1380*tax</f>
        <v>2.66588475895892</v>
      </c>
      <c r="G1381" s="21" t="n">
        <f aca="false">G1380*tax</f>
        <v>3.14893008514095</v>
      </c>
    </row>
    <row r="1382" customFormat="false" ht="15" hidden="false" customHeight="false" outlineLevel="0" collapsed="false">
      <c r="A1382" s="3" t="s">
        <v>593</v>
      </c>
      <c r="B1382" s="0" t="s">
        <v>379</v>
      </c>
      <c r="C1382" s="21" t="n">
        <f aca="false">a25_nic</f>
        <v>2.71712</v>
      </c>
      <c r="D1382" s="21" t="n">
        <f aca="false">a26_nic</f>
        <v>8.39979776</v>
      </c>
      <c r="E1382" s="21" t="n">
        <f aca="false">E1380-E1381</f>
        <v>15.9989397691087</v>
      </c>
      <c r="F1382" s="21" t="n">
        <f aca="false">F1380-F1381</f>
        <v>19.5498215656987</v>
      </c>
      <c r="G1382" s="21" t="n">
        <f aca="false">G1380-G1381</f>
        <v>23.0921539577003</v>
      </c>
    </row>
    <row r="1383" customFormat="false" ht="17.15" hidden="false" customHeight="false" outlineLevel="0" collapsed="false">
      <c r="A1383" s="3" t="s">
        <v>749</v>
      </c>
      <c r="B1383" s="0" t="s">
        <v>379</v>
      </c>
      <c r="C1383" s="21" t="n">
        <f aca="false">a25_nci</f>
        <v>1.12112</v>
      </c>
      <c r="D1383" s="21" t="n">
        <f aca="false">a26_nci</f>
        <v>1.43839238487797</v>
      </c>
      <c r="E1383" s="21" t="n">
        <f aca="false">E1363*nm_lens*nci_sh</f>
        <v>1.57074538036261</v>
      </c>
      <c r="F1383" s="21" t="n">
        <f aca="false">F1363*nm_lens*nci_sh</f>
        <v>1.72781991839887</v>
      </c>
      <c r="G1383" s="21" t="n">
        <f aca="false">G1363*nm_lens*nci_sh</f>
        <v>1.90060191023875</v>
      </c>
      <c r="K1383" s="3" t="s">
        <v>750</v>
      </c>
    </row>
    <row r="1384" customFormat="false" ht="15" hidden="false" customHeight="false" outlineLevel="0" collapsed="false">
      <c r="A1384" s="3" t="s">
        <v>599</v>
      </c>
      <c r="B1384" s="0" t="s">
        <v>379</v>
      </c>
      <c r="C1384" s="21" t="n">
        <f aca="false">a25_ni</f>
        <v>1.596</v>
      </c>
      <c r="D1384" s="21" t="n">
        <f aca="false">a26_ni</f>
        <v>6.96140537512203</v>
      </c>
      <c r="E1384" s="21" t="n">
        <f aca="false">E1382-E1383</f>
        <v>14.4281943887461</v>
      </c>
      <c r="F1384" s="21" t="n">
        <f aca="false">F1382-F1383</f>
        <v>17.8220016472999</v>
      </c>
      <c r="G1384" s="21" t="n">
        <f aca="false">G1382-G1383</f>
        <v>21.1915520474615</v>
      </c>
      <c r="H1384" s="30" t="n">
        <f aca="false">H1364*H1388</f>
        <v>23.6505294375494</v>
      </c>
      <c r="I1384" s="30" t="n">
        <f aca="false">I1364*I1388</f>
        <v>25.7414869225846</v>
      </c>
      <c r="J1384" s="30" t="n">
        <f aca="false">J1364*J1388</f>
        <v>27.3061958633271</v>
      </c>
    </row>
    <row r="1385" customFormat="false" ht="15" hidden="false" customHeight="false" outlineLevel="0" collapsed="false">
      <c r="A1385" s="3" t="s">
        <v>751</v>
      </c>
      <c r="B1385" s="3" t="s">
        <v>465</v>
      </c>
      <c r="C1385" s="29" t="n">
        <f aca="false">a25_sh</f>
        <v>0.454700854700855</v>
      </c>
      <c r="D1385" s="29" t="n">
        <f aca="false">a26_sh</f>
        <v>0.508341020486215</v>
      </c>
      <c r="E1385" s="29" t="n">
        <f aca="false">a26_shend*(1+sh_g)</f>
        <v>0.52691</v>
      </c>
      <c r="F1385" s="29" t="n">
        <f aca="false">E1385*(1+sh_g)</f>
        <v>0.52691</v>
      </c>
      <c r="G1385" s="29" t="n">
        <f aca="false">F1385*(1+sh_g)</f>
        <v>0.52691</v>
      </c>
      <c r="H1385" s="31" t="n">
        <f aca="false">G1385*(1+sh_g)</f>
        <v>0.52691</v>
      </c>
      <c r="I1385" s="31" t="n">
        <f aca="false">H1385*(1+sh_g)</f>
        <v>0.52691</v>
      </c>
      <c r="J1385" s="31" t="n">
        <f aca="false">I1385*(1+sh_g)</f>
        <v>0.52691</v>
      </c>
    </row>
    <row r="1386" customFormat="false" ht="17.15" hidden="false" customHeight="false" outlineLevel="0" collapsed="false">
      <c r="A1386" s="0" t="s">
        <v>604</v>
      </c>
      <c r="B1386" s="0" t="s">
        <v>471</v>
      </c>
      <c r="C1386" s="18" t="n">
        <f aca="false">C1384/C1385</f>
        <v>3.51</v>
      </c>
      <c r="D1386" s="18" t="n">
        <f aca="false">D1384/D1385</f>
        <v>13.6943608612652</v>
      </c>
      <c r="E1386" s="18" t="n">
        <f aca="false">E1384/E1385</f>
        <v>27.3826543218881</v>
      </c>
      <c r="F1386" s="18" t="n">
        <f aca="false">F1384/F1385</f>
        <v>33.8236162671042</v>
      </c>
      <c r="G1386" s="18" t="n">
        <f aca="false">G1384/G1385</f>
        <v>40.2185421560827</v>
      </c>
      <c r="H1386" s="28" t="n">
        <f aca="false">H1384/H1385</f>
        <v>44.8853303933298</v>
      </c>
      <c r="I1386" s="28" t="n">
        <f aca="false">I1384/I1385</f>
        <v>48.8536693602031</v>
      </c>
      <c r="J1386" s="28" t="n">
        <f aca="false">J1384/J1385</f>
        <v>51.8232636756317</v>
      </c>
    </row>
    <row r="1387" customFormat="false" ht="17.15" hidden="false" customHeight="false" outlineLevel="0" collapsed="false">
      <c r="A1387" s="0" t="s">
        <v>752</v>
      </c>
      <c r="B1387" s="0" t="s">
        <v>43</v>
      </c>
      <c r="D1387" s="20" t="n">
        <f aca="false">D1386/C1386-1</f>
        <v>2.90152731090177</v>
      </c>
      <c r="E1387" s="20" t="n">
        <f aca="false">E1386/D1386-1</f>
        <v>0.999556941670828</v>
      </c>
      <c r="F1387" s="20" t="n">
        <f aca="false">F1386/E1386-1</f>
        <v>0.235220511112669</v>
      </c>
      <c r="G1387" s="20" t="n">
        <f aca="false">G1386/F1386-1</f>
        <v>0.189066888604634</v>
      </c>
      <c r="H1387" s="26" t="n">
        <f aca="false">H1386/G1386-1</f>
        <v>0.116035738419756</v>
      </c>
      <c r="I1387" s="26" t="n">
        <f aca="false">I1386/H1386-1</f>
        <v>0.0884105994564095</v>
      </c>
      <c r="J1387" s="26" t="n">
        <f aca="false">J1386/I1386-1</f>
        <v>0.0607854917413369</v>
      </c>
    </row>
    <row r="1388" customFormat="false" ht="17.15" hidden="false" customHeight="false" outlineLevel="0" collapsed="false">
      <c r="A1388" s="3" t="s">
        <v>753</v>
      </c>
      <c r="B1388" s="0" t="s">
        <v>43</v>
      </c>
      <c r="C1388" s="16" t="n">
        <f aca="false">C1384/C1364</f>
        <v>0.0405580544331783</v>
      </c>
      <c r="D1388" s="16" t="n">
        <f aca="false">D1384/D1364</f>
        <v>0.127906349105057</v>
      </c>
      <c r="E1388" s="16" t="n">
        <f aca="false">E1384/E1364</f>
        <v>0.20029703939422</v>
      </c>
      <c r="F1388" s="16" t="n">
        <f aca="false">F1384/F1364</f>
        <v>0.211908747039663</v>
      </c>
      <c r="G1388" s="16" t="n">
        <f aca="false">G1384/G1364</f>
        <v>0.22048564277266</v>
      </c>
      <c r="H1388" s="27" t="n">
        <f aca="false">$G1388+(fade_mA-$G1388)*1/3</f>
        <v>0.220649271744257</v>
      </c>
      <c r="I1388" s="27" t="n">
        <f aca="false">$G1388+(fade_mA-$G1388)*2/3</f>
        <v>0.220812900715854</v>
      </c>
      <c r="J1388" s="27" t="n">
        <f aca="false">$G1388+(fade_mA-$G1388)*3/3</f>
        <v>0.220976529687452</v>
      </c>
    </row>
    <row r="1389" customFormat="false" ht="17.15" hidden="false" customHeight="false" outlineLevel="0" collapsed="false">
      <c r="A1389" s="3" t="s">
        <v>754</v>
      </c>
      <c r="B1389" s="0" t="s">
        <v>43</v>
      </c>
      <c r="C1389" s="20" t="n">
        <f aca="false">C1370/C1364</f>
        <v>0.155421717364235</v>
      </c>
      <c r="D1389" s="20" t="n">
        <f aca="false">D1370/D1364</f>
        <v>0.202110028699624</v>
      </c>
      <c r="E1389" s="20" t="n">
        <f aca="false">E1370/E1364</f>
        <v>0.235999708484498</v>
      </c>
      <c r="F1389" s="20" t="n">
        <f aca="false">F1370/F1364</f>
        <v>0.190244621212247</v>
      </c>
      <c r="G1389" s="20" t="n">
        <f aca="false">G1370/G1364</f>
        <v>0.124852946464054</v>
      </c>
      <c r="H1389" s="26" t="n">
        <f aca="false">$G1389+($G1372*(1+tp_g)^(life/2)-$G1389)*1/3</f>
        <v>0.125778843252168</v>
      </c>
      <c r="I1389" s="26" t="n">
        <f aca="false">$G1389+($G1372*(1+tp_g)^(life/2)-$G1389)*2/3</f>
        <v>0.126704740040282</v>
      </c>
      <c r="J1389" s="26" t="n">
        <f aca="false">$G1389+($G1372*(1+tp_g)^(life/2)-$G1389)*3/3</f>
        <v>0.127630636828396</v>
      </c>
      <c r="K1389" s="7" t="s">
        <v>755</v>
      </c>
    </row>
    <row r="1390" customFormat="false" ht="15" hidden="false" customHeight="false" outlineLevel="0" collapsed="false">
      <c r="A1390" s="3" t="s">
        <v>756</v>
      </c>
      <c r="B1390" s="0" t="s">
        <v>379</v>
      </c>
      <c r="D1390" s="21" t="n">
        <f aca="false">D1384+D1371-D1370</f>
        <v>4.28140537512203</v>
      </c>
      <c r="E1390" s="21" t="n">
        <f aca="false">E1384+E1371-E1370</f>
        <v>6.08319438874607</v>
      </c>
      <c r="F1390" s="21" t="n">
        <f aca="false">F1384+F1371-F1370</f>
        <v>11.5201266472999</v>
      </c>
      <c r="G1390" s="21" t="n">
        <f aca="false">G1384+G1371-G1370</f>
        <v>19.6774114224615</v>
      </c>
      <c r="H1390" s="30" t="n">
        <f aca="false">H1384+H1371-H1370</f>
        <v>21.8627042912765</v>
      </c>
      <c r="I1390" s="30" t="n">
        <f aca="false">I1384+I1371-I1370</f>
        <v>23.6891036913315</v>
      </c>
      <c r="J1390" s="30" t="n">
        <f aca="false">J1384+J1371-J1370</f>
        <v>25.0162560437722</v>
      </c>
      <c r="K1390" s="3" t="s">
        <v>757</v>
      </c>
    </row>
    <row r="1391" customFormat="false" ht="15" hidden="false" customHeight="false" outlineLevel="0" collapsed="false">
      <c r="A1391" s="3" t="s">
        <v>758</v>
      </c>
      <c r="B1391" s="0" t="s">
        <v>471</v>
      </c>
      <c r="D1391" s="18" t="n">
        <f aca="false">D1390/D1385</f>
        <v>8.42230943909854</v>
      </c>
      <c r="E1391" s="18" t="n">
        <f aca="false">E1390/E1385</f>
        <v>11.5450349941092</v>
      </c>
      <c r="F1391" s="18" t="n">
        <f aca="false">F1390/F1385</f>
        <v>21.8635566743844</v>
      </c>
      <c r="G1391" s="18" t="n">
        <f aca="false">G1390/G1385</f>
        <v>37.3449192887998</v>
      </c>
      <c r="H1391" s="28" t="n">
        <f aca="false">H1390/H1385</f>
        <v>41.4922933542283</v>
      </c>
      <c r="I1391" s="28" t="n">
        <f aca="false">I1390/I1385</f>
        <v>44.9585388231985</v>
      </c>
      <c r="J1391" s="28" t="n">
        <f aca="false">J1390/J1385</f>
        <v>47.4772846288212</v>
      </c>
    </row>
    <row r="1394" customFormat="false" ht="17.15" hidden="false" customHeight="false" outlineLevel="0" collapsed="false">
      <c r="A1394" s="1" t="s">
        <v>1115</v>
      </c>
    </row>
    <row r="1395" customFormat="false" ht="17.15" hidden="false" customHeight="false" outlineLevel="0" collapsed="false">
      <c r="A1395" s="4" t="s">
        <v>20</v>
      </c>
      <c r="B1395" s="4" t="s">
        <v>21</v>
      </c>
      <c r="C1395" s="13" t="s">
        <v>567</v>
      </c>
      <c r="D1395" s="13" t="s">
        <v>671</v>
      </c>
      <c r="E1395" s="13" t="s">
        <v>672</v>
      </c>
      <c r="F1395" s="13" t="s">
        <v>673</v>
      </c>
      <c r="G1395" s="13" t="s">
        <v>674</v>
      </c>
      <c r="H1395" s="13" t="s">
        <v>675</v>
      </c>
      <c r="I1395" s="13" t="s">
        <v>676</v>
      </c>
      <c r="J1395" s="13" t="s">
        <v>677</v>
      </c>
      <c r="K1395" s="4" t="s">
        <v>631</v>
      </c>
    </row>
    <row r="1396" customFormat="false" ht="17.15" hidden="false" customHeight="false" outlineLevel="0" collapsed="false">
      <c r="A1396" s="5" t="s">
        <v>695</v>
      </c>
    </row>
    <row r="1397" customFormat="false" ht="17.15" hidden="false" customHeight="false" outlineLevel="0" collapsed="false">
      <c r="A1397" s="0" t="s">
        <v>696</v>
      </c>
      <c r="B1397" s="3" t="s">
        <v>31</v>
      </c>
      <c r="D1397" s="21" t="n">
        <f aca="false">(u_bw_26+u_rb_26+u_ru_26+u_hp_26)*1</f>
        <v>7.6</v>
      </c>
      <c r="E1397" s="21" t="n">
        <f aca="false">(u_bw_27+u_rb_27+u_ru_27+u_hp_27)*1*1</f>
        <v>9.7</v>
      </c>
      <c r="F1397" s="21" t="n">
        <f aca="false">(u_bw_28+u_rb_28+u_ru_28+u_hp_28)*um28_A*1</f>
        <v>9.5</v>
      </c>
      <c r="G1397" s="21" t="n">
        <f aca="false">(u_bw_28*(1+g29_bw)+u_rb_28*(1+g29_rb)+u_ru_28*(1+g29_ru)+u_hp_28*(1+g29_hp))*um29_A*1</f>
        <v>10.6</v>
      </c>
      <c r="K1397" s="7" t="s">
        <v>697</v>
      </c>
    </row>
    <row r="1398" customFormat="false" ht="17.15" hidden="false" customHeight="false" outlineLevel="0" collapsed="false">
      <c r="A1398" s="3" t="s">
        <v>698</v>
      </c>
      <c r="B1398" s="3" t="s">
        <v>31</v>
      </c>
      <c r="D1398" s="21" t="n">
        <f aca="false">(u_amd_26+u_tpu_26+u_trn_26+u_oth_26)*1</f>
        <v>7.6</v>
      </c>
      <c r="E1398" s="21" t="n">
        <f aca="false">(u_amd_27+u_tpu_27+u_trn_27+u_oth_27)*1*1</f>
        <v>14</v>
      </c>
      <c r="F1398" s="21" t="n">
        <f aca="false">(u_amd_28+u_tpu_28+u_trn_28+u_oth_28)*um28_A*1</f>
        <v>17</v>
      </c>
      <c r="G1398" s="21" t="n">
        <f aca="false">(u_amd_28*(1+g29_amd)+u_tpu_28*(1+g29_tpu)+u_trn_28*(1+g29_trn)+u_oth_28*(1+g29_oth))*um29_A*1</f>
        <v>19.55</v>
      </c>
      <c r="K1398" s="7" t="s">
        <v>699</v>
      </c>
    </row>
    <row r="1399" customFormat="false" ht="17.15" hidden="false" customHeight="false" outlineLevel="0" collapsed="false">
      <c r="A1399" s="0" t="s">
        <v>700</v>
      </c>
      <c r="B1399" s="3" t="s">
        <v>31</v>
      </c>
      <c r="D1399" s="21" t="n">
        <f aca="false">D1397*cpu_r</f>
        <v>3.04</v>
      </c>
      <c r="E1399" s="21" t="n">
        <f aca="false">E1397*cpu_r</f>
        <v>3.88</v>
      </c>
      <c r="F1399" s="21" t="n">
        <f aca="false">F1397*cpu_r</f>
        <v>3.8</v>
      </c>
      <c r="G1399" s="21" t="n">
        <f aca="false">G1397*cpu_r</f>
        <v>4.24</v>
      </c>
      <c r="K1399" s="7" t="s">
        <v>701</v>
      </c>
    </row>
    <row r="1400" customFormat="false" ht="17.15" hidden="false" customHeight="false" outlineLevel="0" collapsed="false">
      <c r="A1400" s="3" t="s">
        <v>702</v>
      </c>
      <c r="B1400" s="0" t="s">
        <v>153</v>
      </c>
      <c r="D1400" s="19" t="n">
        <f aca="false">1</f>
        <v>1</v>
      </c>
      <c r="E1400" s="19" t="n">
        <f aca="false">D1400*(1+g_asp)</f>
        <v>1.18</v>
      </c>
      <c r="F1400" s="19" t="n">
        <f aca="false">E1400*(1+g_asp)</f>
        <v>1.3924</v>
      </c>
      <c r="G1400" s="19" t="n">
        <f aca="false">F1400*(1+g_asp)</f>
        <v>1.643032</v>
      </c>
      <c r="K1400" s="7" t="s">
        <v>703</v>
      </c>
    </row>
    <row r="1401" customFormat="false" ht="17.15" hidden="false" customHeight="false" outlineLevel="0" collapsed="false">
      <c r="A1401" s="0" t="s">
        <v>704</v>
      </c>
      <c r="B1401" s="0" t="s">
        <v>153</v>
      </c>
      <c r="D1401" s="18" t="n">
        <f aca="false">1</f>
        <v>1</v>
      </c>
      <c r="E1401" s="18" t="n">
        <f aca="false">ibpp_27</f>
        <v>1</v>
      </c>
      <c r="F1401" s="18" t="n">
        <f aca="false">ibpp_28</f>
        <v>0.95</v>
      </c>
      <c r="G1401" s="18" t="n">
        <f aca="false">ibpp_29</f>
        <v>0.9</v>
      </c>
      <c r="K1401" s="7" t="s">
        <v>705</v>
      </c>
    </row>
    <row r="1402" customFormat="false" ht="17.15" hidden="false" customHeight="false" outlineLevel="0" collapsed="false">
      <c r="A1402" s="3" t="s">
        <v>706</v>
      </c>
      <c r="B1402" s="0" t="s">
        <v>153</v>
      </c>
      <c r="D1402" s="18" t="n">
        <f aca="false">1</f>
        <v>1</v>
      </c>
      <c r="E1402" s="18" t="n">
        <f aca="false">1+carry</f>
        <v>1.15</v>
      </c>
      <c r="F1402" s="18" t="n">
        <f aca="false">1+carry</f>
        <v>1.15</v>
      </c>
      <c r="G1402" s="18" t="n">
        <f aca="false">1+carry</f>
        <v>1.15</v>
      </c>
      <c r="K1402" s="7" t="s">
        <v>707</v>
      </c>
    </row>
    <row r="1403" customFormat="false" ht="17.15" hidden="false" customHeight="false" outlineLevel="0" collapsed="false">
      <c r="A1403" s="3" t="s">
        <v>708</v>
      </c>
      <c r="B1403" s="0" t="s">
        <v>709</v>
      </c>
      <c r="D1403" s="23" t="n">
        <f aca="false">v26*D1400*D1401</f>
        <v>215.308596</v>
      </c>
      <c r="E1403" s="23" t="n">
        <f aca="false">v26*E1400*E1401</f>
        <v>254.06414328</v>
      </c>
      <c r="F1403" s="23" t="n">
        <f aca="false">v26*F1400*F1401</f>
        <v>284.80590461688</v>
      </c>
      <c r="G1403" s="23" t="n">
        <f aca="false">v26*G1400*G1401</f>
        <v>318.383021792765</v>
      </c>
      <c r="K1403" s="7" t="s">
        <v>710</v>
      </c>
    </row>
    <row r="1404" customFormat="false" ht="17.15" hidden="false" customHeight="false" outlineLevel="0" collapsed="false">
      <c r="A1404" s="3" t="s">
        <v>711</v>
      </c>
      <c r="B1404" s="0" t="s">
        <v>43</v>
      </c>
      <c r="D1404" s="20" t="n">
        <f aca="false">sh_nv_26</f>
        <v>0.02</v>
      </c>
      <c r="E1404" s="20" t="n">
        <f aca="false">sh_nv_27</f>
        <v>0.03</v>
      </c>
      <c r="F1404" s="20" t="n">
        <f aca="false">sh_nv_28</f>
        <v>0.05</v>
      </c>
      <c r="G1404" s="20" t="n">
        <f aca="false">sh_nv_29</f>
        <v>0.06</v>
      </c>
    </row>
    <row r="1405" customFormat="false" ht="17.15" hidden="false" customHeight="false" outlineLevel="0" collapsed="false">
      <c r="A1405" s="3" t="s">
        <v>712</v>
      </c>
      <c r="B1405" s="0" t="s">
        <v>43</v>
      </c>
      <c r="D1405" s="20" t="n">
        <f aca="false">sh_ot_26_lo</f>
        <v>0.02</v>
      </c>
      <c r="E1405" s="20" t="n">
        <f aca="false">sh_ot_27_lo</f>
        <v>0.02</v>
      </c>
      <c r="F1405" s="20" t="n">
        <f aca="false">sh_ot_28_lo</f>
        <v>0.03</v>
      </c>
      <c r="G1405" s="20" t="n">
        <f aca="false">sh_ot_29_lo</f>
        <v>0.03</v>
      </c>
    </row>
    <row r="1406" customFormat="false" ht="17.15" hidden="false" customHeight="false" outlineLevel="0" collapsed="false">
      <c r="A1406" s="3" t="s">
        <v>713</v>
      </c>
      <c r="B1406" s="0" t="s">
        <v>43</v>
      </c>
      <c r="D1406" s="20" t="n">
        <f aca="false">sh_cpu_26</f>
        <v>0.35</v>
      </c>
      <c r="E1406" s="20" t="n">
        <f aca="false">sh_cpu_27</f>
        <v>0.7</v>
      </c>
      <c r="F1406" s="20" t="n">
        <f aca="false">sh_cpu_28</f>
        <v>0.75</v>
      </c>
      <c r="G1406" s="20" t="n">
        <f aca="false">sh_cpu_29</f>
        <v>0.7</v>
      </c>
    </row>
    <row r="1407" customFormat="false" ht="17.15" hidden="false" customHeight="false" outlineLevel="0" collapsed="false">
      <c r="A1407" s="3" t="s">
        <v>714</v>
      </c>
      <c r="B1407" s="0" t="s">
        <v>661</v>
      </c>
      <c r="D1407" s="22" t="n">
        <f aca="false">(D1397*D1403*D1404+D1398*D1403*v_ot*D1405+D1399*D1403*v_cpu*D1406)*D1402</f>
        <v>127.6349357088</v>
      </c>
      <c r="E1407" s="22" t="n">
        <f aca="false">(E1397*E1403*E1404+E1398*E1403*v_ot*E1405+E1399*E1403*v_cpu*E1406)*E1402</f>
        <v>388.532672393806</v>
      </c>
      <c r="F1407" s="22" t="n">
        <f aca="false">(F1397*F1403*F1404+F1398*F1403*v_ot*F1405+F1399*F1403*v_cpu*F1406)*F1402</f>
        <v>569.241561557758</v>
      </c>
      <c r="G1407" s="22" t="n">
        <f aca="false">(G1397*G1403*G1404+G1398*G1403*v_ot*G1405+G1399*G1403*v_cpu*G1406)*G1402</f>
        <v>730.669932033087</v>
      </c>
    </row>
    <row r="1408" customFormat="false" ht="17.15" hidden="false" customHeight="false" outlineLevel="0" collapsed="false">
      <c r="A1408" s="3" t="s">
        <v>715</v>
      </c>
      <c r="B1408" s="0" t="s">
        <v>379</v>
      </c>
      <c r="D1408" s="21" t="n">
        <f aca="false">D1407*fx/1000</f>
        <v>4.0843179426816</v>
      </c>
      <c r="E1408" s="21" t="n">
        <f aca="false">E1407*fx/1000</f>
        <v>12.4330455166018</v>
      </c>
      <c r="F1408" s="21" t="n">
        <f aca="false">F1407*fx/1000</f>
        <v>18.2157299698483</v>
      </c>
      <c r="G1408" s="21" t="n">
        <f aca="false">G1407*fx/1000</f>
        <v>23.3814378250588</v>
      </c>
    </row>
    <row r="1409" customFormat="false" ht="17.15" hidden="false" customHeight="false" outlineLevel="0" collapsed="false">
      <c r="A1409" s="5" t="s">
        <v>716</v>
      </c>
    </row>
    <row r="1410" customFormat="false" ht="17.15" hidden="false" customHeight="false" outlineLevel="0" collapsed="false">
      <c r="A1410" s="0" t="s">
        <v>717</v>
      </c>
      <c r="B1410" s="0" t="s">
        <v>379</v>
      </c>
      <c r="D1410" s="21" t="n">
        <f aca="false">a26_abf*ai_abf</f>
        <v>5.714709</v>
      </c>
      <c r="K1410" s="3" t="s">
        <v>718</v>
      </c>
    </row>
    <row r="1411" customFormat="false" ht="17.15" hidden="false" customHeight="false" outlineLevel="0" collapsed="false">
      <c r="A1411" s="3" t="s">
        <v>719</v>
      </c>
      <c r="B1411" s="0" t="s">
        <v>379</v>
      </c>
      <c r="D1411" s="21" t="n">
        <f aca="false">D1410-D1408</f>
        <v>1.6303910573184</v>
      </c>
      <c r="E1411" s="21" t="n">
        <f aca="false">$D1411*(swm_27/swm_26)^el_o*1*1*E1401*E1402</f>
        <v>2.62251615139169</v>
      </c>
      <c r="F1411" s="21" t="n">
        <f aca="false">$D1411*(swm_28/swm_26)^el_o*um28_A*1*F1401*F1402</f>
        <v>2.6801101149298</v>
      </c>
      <c r="G1411" s="21" t="n">
        <f aca="false">$D1411*(swm_29/swm_26)^el_o*um29_A*1*G1401*G1402</f>
        <v>2.7086806185534</v>
      </c>
      <c r="K1411" s="7" t="s">
        <v>720</v>
      </c>
    </row>
    <row r="1412" customFormat="false" ht="17.15" hidden="false" customHeight="false" outlineLevel="0" collapsed="false">
      <c r="A1412" s="3" t="s">
        <v>721</v>
      </c>
      <c r="B1412" s="0" t="s">
        <v>379</v>
      </c>
      <c r="D1412" s="21" t="n">
        <f aca="false">a26_abf-D1410</f>
        <v>17.144127</v>
      </c>
      <c r="E1412" s="21" t="n">
        <f aca="false">$D1412*(1+g_nai)^1*E1402</f>
        <v>20.898690813</v>
      </c>
      <c r="F1412" s="21" t="n">
        <f aca="false">$D1412*(1+g_nai)^2*F1402</f>
        <v>22.15261226178</v>
      </c>
      <c r="G1412" s="21" t="n">
        <f aca="false">$D1412*(1+g_nai)^3*G1402</f>
        <v>23.4817689974868</v>
      </c>
      <c r="K1412" s="3" t="s">
        <v>722</v>
      </c>
    </row>
    <row r="1413" customFormat="false" ht="17.15" hidden="false" customHeight="false" outlineLevel="0" collapsed="false">
      <c r="A1413" s="0" t="s">
        <v>723</v>
      </c>
      <c r="B1413" s="0" t="s">
        <v>379</v>
      </c>
      <c r="D1413" s="21" t="n">
        <f aca="false">D1408+D1411+D1412</f>
        <v>22.858836</v>
      </c>
      <c r="E1413" s="21" t="n">
        <f aca="false">E1408+E1411+E1412</f>
        <v>35.9542524809935</v>
      </c>
      <c r="F1413" s="21" t="n">
        <f aca="false">F1408+F1411+F1412</f>
        <v>43.0484523465581</v>
      </c>
      <c r="G1413" s="21" t="n">
        <f aca="false">G1408+G1411+G1412</f>
        <v>49.571887441099</v>
      </c>
    </row>
    <row r="1414" customFormat="false" ht="17.15" hidden="false" customHeight="false" outlineLevel="0" collapsed="false">
      <c r="A1414" s="0" t="s">
        <v>724</v>
      </c>
      <c r="B1414" s="0" t="s">
        <v>379</v>
      </c>
      <c r="D1414" s="21" t="n">
        <f aca="false">a26_abf</f>
        <v>22.858836</v>
      </c>
      <c r="E1414" s="21" t="n">
        <f aca="false">$D1413*cap_27*(1+g_mix)^1*E1401*E1402</f>
        <v>33.122453364</v>
      </c>
      <c r="F1414" s="21" t="n">
        <f aca="false">$D1413*cap_28*(1+g_mix)^2*F1401*F1402</f>
        <v>41.2995590382375</v>
      </c>
      <c r="G1414" s="21" t="n">
        <f aca="false">$D1413*cap_29*(1+g_mix)^3*G1401*G1402</f>
        <v>50.6680379569114</v>
      </c>
      <c r="K1414" s="7" t="s">
        <v>725</v>
      </c>
    </row>
    <row r="1415" customFormat="false" ht="17.15" hidden="false" customHeight="false" outlineLevel="0" collapsed="false">
      <c r="A1415" s="0" t="s">
        <v>726</v>
      </c>
      <c r="B1415" s="0" t="s">
        <v>379</v>
      </c>
      <c r="D1415" s="21" t="n">
        <f aca="false">a26_abf</f>
        <v>22.858836</v>
      </c>
      <c r="E1415" s="21" t="n">
        <f aca="false">MIN(E1413,E1414)</f>
        <v>33.122453364</v>
      </c>
      <c r="F1415" s="21" t="n">
        <f aca="false">MIN(F1413,F1414)</f>
        <v>41.2995590382375</v>
      </c>
      <c r="G1415" s="21" t="n">
        <f aca="false">MIN(G1413,G1414)</f>
        <v>49.571887441099</v>
      </c>
    </row>
    <row r="1416" customFormat="false" ht="17.15" hidden="false" customHeight="false" outlineLevel="0" collapsed="false">
      <c r="A1416" s="3" t="s">
        <v>727</v>
      </c>
      <c r="B1416" s="0" t="s">
        <v>43</v>
      </c>
      <c r="D1416" s="20" t="n">
        <f aca="false">D1415/D1413</f>
        <v>1</v>
      </c>
      <c r="E1416" s="20" t="n">
        <f aca="false">E1415/E1413</f>
        <v>0.921238826520161</v>
      </c>
      <c r="F1416" s="20" t="n">
        <f aca="false">F1415/F1413</f>
        <v>0.959373840103676</v>
      </c>
      <c r="G1416" s="20" t="n">
        <f aca="false">G1415/G1413</f>
        <v>1</v>
      </c>
    </row>
    <row r="1417" customFormat="false" ht="17.15" hidden="false" customHeight="false" outlineLevel="0" collapsed="false">
      <c r="A1417" s="0" t="s">
        <v>728</v>
      </c>
      <c r="B1417" s="0" t="s">
        <v>379</v>
      </c>
      <c r="D1417" s="21" t="n">
        <f aca="false">(D1408+D1411)*D1416</f>
        <v>5.714709</v>
      </c>
      <c r="E1417" s="21" t="n">
        <f aca="false">(E1408+E1411)*E1416</f>
        <v>13.8697679636242</v>
      </c>
      <c r="F1417" s="21" t="n">
        <f aca="false">(F1408+F1411)*F1416</f>
        <v>20.0469223443258</v>
      </c>
      <c r="G1417" s="21" t="n">
        <f aca="false">(G1408+G1411)*G1416</f>
        <v>26.0901184436122</v>
      </c>
    </row>
    <row r="1418" customFormat="false" ht="17.15" hidden="false" customHeight="false" outlineLevel="0" collapsed="false">
      <c r="A1418" s="3" t="s">
        <v>729</v>
      </c>
      <c r="B1418" s="0" t="s">
        <v>43</v>
      </c>
      <c r="D1418" s="20" t="n">
        <f aca="false">D1408/(D1408+D1411)</f>
        <v>0.714702698366899</v>
      </c>
      <c r="E1418" s="20" t="n">
        <f aca="false">E1408/(E1408+E1411)</f>
        <v>0.825810806051369</v>
      </c>
      <c r="F1418" s="20" t="n">
        <f aca="false">F1408/(F1408+F1411)</f>
        <v>0.871739537436345</v>
      </c>
      <c r="G1418" s="20" t="n">
        <f aca="false">G1408/(G1408+G1411)</f>
        <v>0.896179826687733</v>
      </c>
    </row>
    <row r="1419" customFormat="false" ht="17.15" hidden="false" customHeight="false" outlineLevel="0" collapsed="false">
      <c r="A1419" s="5" t="s">
        <v>730</v>
      </c>
    </row>
    <row r="1420" customFormat="false" ht="17.15" hidden="false" customHeight="false" outlineLevel="0" collapsed="false">
      <c r="A1420" s="0" t="s">
        <v>731</v>
      </c>
      <c r="B1420" s="0" t="s">
        <v>379</v>
      </c>
      <c r="D1420" s="21" t="n">
        <f aca="false">a26_bt</f>
        <v>23.265964</v>
      </c>
      <c r="E1420" s="21" t="n">
        <f aca="false">D1420*(1+g_bt27_A)</f>
        <v>29.78043392</v>
      </c>
      <c r="F1420" s="21" t="n">
        <f aca="false">E1420*(1+g_bt28_A)</f>
        <v>32.758477312</v>
      </c>
      <c r="G1420" s="21" t="n">
        <f aca="false">F1420*(1+g_bt29_A)</f>
        <v>34.3964011776</v>
      </c>
      <c r="K1420" s="7" t="s">
        <v>732</v>
      </c>
    </row>
    <row r="1421" customFormat="false" ht="17.15" hidden="false" customHeight="false" outlineLevel="0" collapsed="false">
      <c r="A1421" s="3" t="s">
        <v>617</v>
      </c>
      <c r="B1421" s="0" t="s">
        <v>379</v>
      </c>
      <c r="C1421" s="21" t="n">
        <f aca="false">a25_lens</f>
        <v>7.039</v>
      </c>
      <c r="D1421" s="21" t="n">
        <f aca="false">a26_lens</f>
        <v>8.301</v>
      </c>
      <c r="E1421" s="21" t="n">
        <f aca="false">D1421*(1+g_lens)</f>
        <v>9.1311</v>
      </c>
      <c r="F1421" s="21" t="n">
        <f aca="false">E1421*(1+g_lens)</f>
        <v>10.04421</v>
      </c>
      <c r="G1421" s="21" t="n">
        <f aca="false">F1421*(1+g_lens)</f>
        <v>11.048631</v>
      </c>
      <c r="K1421" s="3" t="s">
        <v>733</v>
      </c>
    </row>
    <row r="1422" customFormat="false" ht="17.15" hidden="false" customHeight="false" outlineLevel="0" collapsed="false">
      <c r="A1422" s="3" t="s">
        <v>574</v>
      </c>
      <c r="B1422" s="0" t="s">
        <v>379</v>
      </c>
      <c r="C1422" s="23" t="n">
        <f aca="false">a25_rev</f>
        <v>39.351</v>
      </c>
      <c r="D1422" s="23" t="n">
        <f aca="false">D1415+D1420+D1421</f>
        <v>54.4258</v>
      </c>
      <c r="E1422" s="23" t="n">
        <f aca="false">E1415+E1420+E1421</f>
        <v>72.033987284</v>
      </c>
      <c r="F1422" s="23" t="n">
        <f aca="false">F1415+F1420+F1421</f>
        <v>84.1022463502375</v>
      </c>
      <c r="G1422" s="23" t="n">
        <f aca="false">G1415+G1420+G1421</f>
        <v>95.016919618699</v>
      </c>
      <c r="H1422" s="25" t="n">
        <f aca="false">G1422*(1+H1424)</f>
        <v>105.138034328945</v>
      </c>
      <c r="I1422" s="25" t="n">
        <f aca="false">H1422*(1+I1424)</f>
        <v>113.891778619597</v>
      </c>
      <c r="J1422" s="25" t="n">
        <f aca="false">I1422*(1+J1424)</f>
        <v>120.725285336773</v>
      </c>
      <c r="K1422" s="7" t="s">
        <v>734</v>
      </c>
    </row>
    <row r="1423" customFormat="false" ht="17.15" hidden="false" customHeight="false" outlineLevel="0" collapsed="false">
      <c r="A1423" s="3" t="s">
        <v>735</v>
      </c>
      <c r="B1423" s="0" t="s">
        <v>379</v>
      </c>
      <c r="D1423" s="19" t="n">
        <f aca="false">D1415+D1420+D1421-D1422</f>
        <v>0</v>
      </c>
      <c r="E1423" s="19" t="n">
        <f aca="false">E1415+E1420+E1421-E1422</f>
        <v>0</v>
      </c>
      <c r="F1423" s="19" t="n">
        <f aca="false">F1415+F1420+F1421-F1422</f>
        <v>0</v>
      </c>
      <c r="G1423" s="19" t="n">
        <f aca="false">G1415+G1420+G1421-G1422</f>
        <v>0</v>
      </c>
    </row>
    <row r="1424" customFormat="false" ht="15" hidden="false" customHeight="false" outlineLevel="0" collapsed="false">
      <c r="A1424" s="3" t="s">
        <v>736</v>
      </c>
      <c r="B1424" s="0" t="s">
        <v>43</v>
      </c>
      <c r="D1424" s="20" t="n">
        <f aca="false">D1422/C1422-1</f>
        <v>0.383085563263958</v>
      </c>
      <c r="E1424" s="20" t="n">
        <f aca="false">E1422/D1422-1</f>
        <v>0.323526476119781</v>
      </c>
      <c r="F1424" s="20" t="n">
        <f aca="false">F1422/E1422-1</f>
        <v>0.167535624796909</v>
      </c>
      <c r="G1424" s="20" t="n">
        <f aca="false">G1422/F1422-1</f>
        <v>0.129778617600868</v>
      </c>
      <c r="H1424" s="26" t="n">
        <f aca="false">$G1424+(fade_gA-$G1424)*1/3</f>
        <v>0.106519078400579</v>
      </c>
      <c r="I1424" s="26" t="n">
        <f aca="false">$G1424+(fade_gA-$G1424)*2/3</f>
        <v>0.0832595392002894</v>
      </c>
      <c r="J1424" s="26" t="n">
        <f aca="false">$G1424+(fade_gA-$G1424)*3/3</f>
        <v>0.06</v>
      </c>
    </row>
    <row r="1425" customFormat="false" ht="17.15" hidden="false" customHeight="false" outlineLevel="0" collapsed="false">
      <c r="A1425" s="0" t="s">
        <v>737</v>
      </c>
      <c r="B1425" s="0" t="s">
        <v>43</v>
      </c>
      <c r="D1425" s="20" t="n">
        <f aca="false">D1415/D1422</f>
        <v>0.42</v>
      </c>
      <c r="E1425" s="20" t="n">
        <f aca="false">E1415/E1422</f>
        <v>0.459817019893845</v>
      </c>
      <c r="F1425" s="20" t="n">
        <f aca="false">F1415/F1422</f>
        <v>0.491063685341395</v>
      </c>
      <c r="G1425" s="20" t="n">
        <f aca="false">G1415/G1422</f>
        <v>0.521716423138426</v>
      </c>
    </row>
    <row r="1426" customFormat="false" ht="17.15" hidden="false" customHeight="false" outlineLevel="0" collapsed="false">
      <c r="A1426" s="0" t="s">
        <v>738</v>
      </c>
      <c r="B1426" s="0" t="s">
        <v>43</v>
      </c>
      <c r="D1426" s="20" t="n">
        <f aca="false">D1417/D1422</f>
        <v>0.105</v>
      </c>
      <c r="E1426" s="20" t="n">
        <f aca="false">E1417/E1422</f>
        <v>0.192544776244879</v>
      </c>
      <c r="F1426" s="20" t="n">
        <f aca="false">F1417/F1422</f>
        <v>0.238363696741725</v>
      </c>
      <c r="G1426" s="20" t="n">
        <f aca="false">G1417/G1422</f>
        <v>0.274583921982646</v>
      </c>
      <c r="K1426" s="3" t="s">
        <v>739</v>
      </c>
    </row>
    <row r="1427" customFormat="false" ht="17.15" hidden="false" customHeight="false" outlineLevel="0" collapsed="false">
      <c r="A1427" s="5" t="s">
        <v>740</v>
      </c>
    </row>
    <row r="1428" customFormat="false" ht="15" hidden="false" customHeight="false" outlineLevel="0" collapsed="false">
      <c r="A1428" s="3" t="s">
        <v>741</v>
      </c>
      <c r="B1428" s="0" t="s">
        <v>379</v>
      </c>
      <c r="C1428" s="23" t="n">
        <f aca="false">a25_cx</f>
        <v>6.116</v>
      </c>
      <c r="D1428" s="23" t="n">
        <f aca="false">capex26</f>
        <v>11</v>
      </c>
      <c r="E1428" s="23" t="n">
        <f aca="false">cx27</f>
        <v>17</v>
      </c>
      <c r="F1428" s="23" t="n">
        <f aca="false">cx28</f>
        <v>16</v>
      </c>
      <c r="G1428" s="23" t="n">
        <f aca="false">cx29</f>
        <v>12</v>
      </c>
      <c r="H1428" s="25" t="n">
        <f aca="false">H1422*H1447</f>
        <v>13.3766989399245</v>
      </c>
      <c r="I1428" s="25" t="n">
        <f aca="false">I1422*I1447</f>
        <v>14.5971052955527</v>
      </c>
      <c r="J1428" s="25" t="n">
        <f aca="false">J1422*J1447</f>
        <v>15.5860002931071</v>
      </c>
    </row>
    <row r="1429" customFormat="false" ht="17.15" hidden="false" customHeight="false" outlineLevel="0" collapsed="false">
      <c r="A1429" s="3" t="s">
        <v>742</v>
      </c>
      <c r="B1429" s="0" t="s">
        <v>379</v>
      </c>
      <c r="C1429" s="23" t="n">
        <f aca="false">a25_da</f>
        <v>7.158</v>
      </c>
      <c r="D1429" s="23" t="n">
        <f aca="false">da26</f>
        <v>8.32</v>
      </c>
      <c r="E1429" s="23" t="n">
        <f aca="false">D1429*(1-1/life)+D1428/life</f>
        <v>8.655</v>
      </c>
      <c r="F1429" s="23" t="n">
        <f aca="false">E1429*(1-1/life)+E1428/life</f>
        <v>9.698125</v>
      </c>
      <c r="G1429" s="23" t="n">
        <f aca="false">F1429*(1-1/life)+F1428/life</f>
        <v>10.485859375</v>
      </c>
      <c r="H1429" s="25" t="n">
        <f aca="false">H1422*H1430</f>
        <v>11.6028034518631</v>
      </c>
      <c r="I1429" s="25" t="n">
        <f aca="false">I1422*I1430</f>
        <v>12.5688475206967</v>
      </c>
      <c r="J1429" s="25" t="n">
        <f aca="false">J1422*J1430</f>
        <v>13.3229783719385</v>
      </c>
      <c r="K1429" s="3" t="s">
        <v>743</v>
      </c>
    </row>
    <row r="1430" customFormat="false" ht="17.15" hidden="false" customHeight="false" outlineLevel="0" collapsed="false">
      <c r="A1430" s="3" t="s">
        <v>744</v>
      </c>
      <c r="B1430" s="0" t="s">
        <v>43</v>
      </c>
      <c r="C1430" s="20" t="n">
        <f aca="false">C1429/C1422</f>
        <v>0.181901349393916</v>
      </c>
      <c r="D1430" s="20" t="n">
        <f aca="false">D1429/D1422</f>
        <v>0.152868676252807</v>
      </c>
      <c r="E1430" s="20" t="n">
        <f aca="false">E1429/E1422</f>
        <v>0.120151616290196</v>
      </c>
      <c r="F1430" s="20" t="n">
        <f aca="false">F1429/F1422</f>
        <v>0.115313507318376</v>
      </c>
      <c r="G1430" s="20" t="n">
        <f aca="false">G1429/G1422</f>
        <v>0.110357812241015</v>
      </c>
      <c r="H1430" s="26" t="n">
        <f aca="false">$G1430</f>
        <v>0.110357812241015</v>
      </c>
      <c r="I1430" s="26" t="n">
        <f aca="false">$G1430</f>
        <v>0.110357812241015</v>
      </c>
      <c r="J1430" s="26" t="n">
        <f aca="false">$G1430</f>
        <v>0.110357812241015</v>
      </c>
    </row>
    <row r="1431" customFormat="false" ht="17.15" hidden="false" customHeight="false" outlineLevel="0" collapsed="false">
      <c r="A1431" s="0" t="s">
        <v>745</v>
      </c>
      <c r="B1431" s="0" t="s">
        <v>379</v>
      </c>
      <c r="E1431" s="21" t="n">
        <f aca="false">E1416*((E1408+E1411)*(1-1/(E1401*E1402))+E1412*(1-1/E1402))</f>
        <v>4.320320004</v>
      </c>
      <c r="F1431" s="21" t="n">
        <f aca="false">F1416*((F1408+F1411)*(1-1/(F1401*F1402))+F1412*(1-1/F1402))</f>
        <v>4.46941972149432</v>
      </c>
      <c r="G1431" s="21" t="n">
        <f aca="false">G1416*((G1408+G1411)*(1-1/(G1401*G1402))+G1412*(1-1/G1402))</f>
        <v>3.9451139711953</v>
      </c>
      <c r="K1431" s="7" t="s">
        <v>746</v>
      </c>
    </row>
    <row r="1432" customFormat="false" ht="17.15" hidden="false" customHeight="false" outlineLevel="0" collapsed="false">
      <c r="A1432" s="3" t="s">
        <v>747</v>
      </c>
      <c r="B1432" s="0" t="s">
        <v>379</v>
      </c>
      <c r="C1432" s="21" t="n">
        <f aca="false">a25_gp</f>
        <v>8.314</v>
      </c>
      <c r="D1432" s="21" t="n">
        <f aca="false">a26_gp</f>
        <v>15.328536</v>
      </c>
      <c r="E1432" s="21" t="n">
        <f aca="false">$D1432+ft_abf*(E1415-E1431-$D1415)+ft_bt*(E1420-$D1420)+ft_lens*(E1421-$D1421)+E1431-(E1429-$D1429)</f>
        <v>25.590561148</v>
      </c>
      <c r="F1432" s="21" t="n">
        <f aca="false">$D1432+ft_abf*(F1415-F1431-$D1415)+ft_bt*(F1420-$D1420)+ft_lens*(F1421-$D1421)+F1431-(F1429-$D1429)</f>
        <v>30.4615578702659</v>
      </c>
      <c r="G1432" s="21" t="n">
        <f aca="false">$D1432+ft_abf*(G1415-G1431-$D1415)+ft_bt*(G1420-$D1420)+ft_lens*(G1421-$D1421)+G1431-(G1429-$D1429)</f>
        <v>34.7368900110671</v>
      </c>
      <c r="K1432" s="3" t="s">
        <v>748</v>
      </c>
    </row>
    <row r="1433" customFormat="false" ht="15" hidden="false" customHeight="false" outlineLevel="0" collapsed="false">
      <c r="A1433" s="3" t="s">
        <v>581</v>
      </c>
      <c r="B1433" s="0" t="s">
        <v>43</v>
      </c>
      <c r="C1433" s="16" t="n">
        <f aca="false">C1432/C1422</f>
        <v>0.211277985311682</v>
      </c>
      <c r="D1433" s="16" t="n">
        <f aca="false">D1432/D1422</f>
        <v>0.281640986443929</v>
      </c>
      <c r="E1433" s="16" t="n">
        <f aca="false">E1432/E1422</f>
        <v>0.3552567629931</v>
      </c>
      <c r="F1433" s="16" t="n">
        <f aca="false">F1432/F1422</f>
        <v>0.36219672116023</v>
      </c>
      <c r="G1433" s="16" t="n">
        <f aca="false">G1432/G1422</f>
        <v>0.365586362412774</v>
      </c>
    </row>
    <row r="1434" customFormat="false" ht="15" hidden="false" customHeight="false" outlineLevel="0" collapsed="false">
      <c r="A1434" s="3" t="s">
        <v>583</v>
      </c>
      <c r="B1434" s="0" t="s">
        <v>379</v>
      </c>
      <c r="C1434" s="21" t="n">
        <f aca="false">a25_opx</f>
        <v>5.644</v>
      </c>
      <c r="D1434" s="21" t="n">
        <f aca="false">a26_opx</f>
        <v>6.54036</v>
      </c>
      <c r="E1434" s="21" t="n">
        <f aca="false">D1434*(1+phi*E1424)</f>
        <v>7.80994777401287</v>
      </c>
      <c r="F1434" s="21" t="n">
        <f aca="false">E1434*(1+phi*F1424)</f>
        <v>8.59501446198315</v>
      </c>
      <c r="G1434" s="21" t="n">
        <f aca="false">F1434*(1+phi*G1424)</f>
        <v>9.26428391906453</v>
      </c>
    </row>
    <row r="1435" customFormat="false" ht="15" hidden="false" customHeight="false" outlineLevel="0" collapsed="false">
      <c r="A1435" s="3" t="s">
        <v>586</v>
      </c>
      <c r="B1435" s="0" t="s">
        <v>379</v>
      </c>
      <c r="C1435" s="21" t="n">
        <f aca="false">C1432-C1434</f>
        <v>2.67</v>
      </c>
      <c r="D1435" s="21" t="n">
        <f aca="false">D1432-D1434</f>
        <v>8.788176</v>
      </c>
      <c r="E1435" s="21" t="n">
        <f aca="false">E1432-E1434</f>
        <v>17.7806133739871</v>
      </c>
      <c r="F1435" s="21" t="n">
        <f aca="false">F1432-F1434</f>
        <v>21.8665434082828</v>
      </c>
      <c r="G1435" s="21" t="n">
        <f aca="false">G1432-G1434</f>
        <v>25.4726060920026</v>
      </c>
    </row>
    <row r="1436" customFormat="false" ht="15" hidden="false" customHeight="false" outlineLevel="0" collapsed="false">
      <c r="A1436" s="3" t="s">
        <v>684</v>
      </c>
      <c r="B1436" s="0" t="s">
        <v>43</v>
      </c>
      <c r="C1436" s="16" t="n">
        <f aca="false">C1435/C1422</f>
        <v>0.0678508805367081</v>
      </c>
      <c r="D1436" s="16" t="n">
        <f aca="false">D1435/D1422</f>
        <v>0.161470773052486</v>
      </c>
      <c r="E1436" s="16" t="n">
        <f aca="false">E1435/E1422</f>
        <v>0.246836445466854</v>
      </c>
      <c r="F1436" s="16" t="n">
        <f aca="false">F1435/F1422</f>
        <v>0.259999516745619</v>
      </c>
      <c r="G1436" s="16" t="n">
        <f aca="false">G1435/G1422</f>
        <v>0.268084949440833</v>
      </c>
    </row>
    <row r="1437" customFormat="false" ht="15" hidden="false" customHeight="false" outlineLevel="0" collapsed="false">
      <c r="A1437" s="3" t="s">
        <v>589</v>
      </c>
      <c r="B1437" s="0" t="s">
        <v>379</v>
      </c>
      <c r="C1437" s="21" t="n">
        <f aca="false">a25_nonop</f>
        <v>0.417</v>
      </c>
      <c r="D1437" s="21" t="n">
        <f aca="false">a26_nonop</f>
        <v>0.37882</v>
      </c>
      <c r="E1437" s="21" t="n">
        <f aca="false">nonop27</f>
        <v>0.4</v>
      </c>
      <c r="F1437" s="21" t="n">
        <f aca="false">nonop28</f>
        <v>0.4</v>
      </c>
      <c r="G1437" s="21" t="n">
        <f aca="false">nonop29</f>
        <v>0.4</v>
      </c>
    </row>
    <row r="1438" customFormat="false" ht="15" hidden="false" customHeight="false" outlineLevel="0" collapsed="false">
      <c r="A1438" s="3" t="s">
        <v>591</v>
      </c>
      <c r="B1438" s="0" t="s">
        <v>379</v>
      </c>
      <c r="C1438" s="21" t="n">
        <f aca="false">C1435+C1437</f>
        <v>3.087</v>
      </c>
      <c r="D1438" s="21" t="n">
        <f aca="false">D1435+D1437</f>
        <v>9.166996</v>
      </c>
      <c r="E1438" s="21" t="n">
        <f aca="false">E1435+E1437</f>
        <v>18.1806133739871</v>
      </c>
      <c r="F1438" s="21" t="n">
        <f aca="false">F1435+F1437</f>
        <v>22.2665434082828</v>
      </c>
      <c r="G1438" s="21" t="n">
        <f aca="false">G1435+G1437</f>
        <v>25.8726060920026</v>
      </c>
    </row>
    <row r="1439" customFormat="false" ht="15" hidden="false" customHeight="false" outlineLevel="0" collapsed="false">
      <c r="A1439" s="3" t="s">
        <v>592</v>
      </c>
      <c r="B1439" s="0" t="s">
        <v>379</v>
      </c>
      <c r="E1439" s="21" t="n">
        <f aca="false">E1438*tax</f>
        <v>2.18167360487846</v>
      </c>
      <c r="F1439" s="21" t="n">
        <f aca="false">F1438*tax</f>
        <v>2.67198520899393</v>
      </c>
      <c r="G1439" s="21" t="n">
        <f aca="false">G1438*tax</f>
        <v>3.10471273104031</v>
      </c>
    </row>
    <row r="1440" customFormat="false" ht="15" hidden="false" customHeight="false" outlineLevel="0" collapsed="false">
      <c r="A1440" s="3" t="s">
        <v>593</v>
      </c>
      <c r="B1440" s="0" t="s">
        <v>379</v>
      </c>
      <c r="C1440" s="21" t="n">
        <f aca="false">a25_nic</f>
        <v>2.71712</v>
      </c>
      <c r="D1440" s="21" t="n">
        <f aca="false">a26_nic</f>
        <v>8.39979776</v>
      </c>
      <c r="E1440" s="21" t="n">
        <f aca="false">E1438-E1439</f>
        <v>15.9989397691087</v>
      </c>
      <c r="F1440" s="21" t="n">
        <f aca="false">F1438-F1439</f>
        <v>19.5945581992888</v>
      </c>
      <c r="G1440" s="21" t="n">
        <f aca="false">G1438-G1439</f>
        <v>22.7678933609623</v>
      </c>
    </row>
    <row r="1441" customFormat="false" ht="17.15" hidden="false" customHeight="false" outlineLevel="0" collapsed="false">
      <c r="A1441" s="3" t="s">
        <v>749</v>
      </c>
      <c r="B1441" s="0" t="s">
        <v>379</v>
      </c>
      <c r="C1441" s="21" t="n">
        <f aca="false">a25_nci</f>
        <v>1.12112</v>
      </c>
      <c r="D1441" s="21" t="n">
        <f aca="false">a26_nci</f>
        <v>1.43839238487797</v>
      </c>
      <c r="E1441" s="21" t="n">
        <f aca="false">E1421*nm_lens*nci_sh</f>
        <v>1.57074538036261</v>
      </c>
      <c r="F1441" s="21" t="n">
        <f aca="false">F1421*nm_lens*nci_sh</f>
        <v>1.72781991839887</v>
      </c>
      <c r="G1441" s="21" t="n">
        <f aca="false">G1421*nm_lens*nci_sh</f>
        <v>1.90060191023875</v>
      </c>
      <c r="K1441" s="3" t="s">
        <v>750</v>
      </c>
    </row>
    <row r="1442" customFormat="false" ht="15" hidden="false" customHeight="false" outlineLevel="0" collapsed="false">
      <c r="A1442" s="3" t="s">
        <v>599</v>
      </c>
      <c r="B1442" s="0" t="s">
        <v>379</v>
      </c>
      <c r="C1442" s="21" t="n">
        <f aca="false">a25_ni</f>
        <v>1.596</v>
      </c>
      <c r="D1442" s="21" t="n">
        <f aca="false">a26_ni</f>
        <v>6.96140537512203</v>
      </c>
      <c r="E1442" s="21" t="n">
        <f aca="false">E1440-E1441</f>
        <v>14.4281943887461</v>
      </c>
      <c r="F1442" s="21" t="n">
        <f aca="false">F1440-F1441</f>
        <v>17.86673828089</v>
      </c>
      <c r="G1442" s="21" t="n">
        <f aca="false">G1440-G1441</f>
        <v>20.8672914507235</v>
      </c>
      <c r="H1442" s="30" t="n">
        <f aca="false">H1422*H1446</f>
        <v>23.1377167245707</v>
      </c>
      <c r="I1442" s="30" t="n">
        <f aca="false">I1422*I1446</f>
        <v>25.1157811782476</v>
      </c>
      <c r="J1442" s="30" t="n">
        <f aca="false">J1422*J1446</f>
        <v>26.6774545992474</v>
      </c>
    </row>
    <row r="1443" customFormat="false" ht="15" hidden="false" customHeight="false" outlineLevel="0" collapsed="false">
      <c r="A1443" s="3" t="s">
        <v>751</v>
      </c>
      <c r="B1443" s="3" t="s">
        <v>465</v>
      </c>
      <c r="C1443" s="29" t="n">
        <f aca="false">a25_sh</f>
        <v>0.454700854700855</v>
      </c>
      <c r="D1443" s="29" t="n">
        <f aca="false">a26_sh</f>
        <v>0.508341020486215</v>
      </c>
      <c r="E1443" s="29" t="n">
        <f aca="false">a26_shend*(1+sh_g)</f>
        <v>0.52691</v>
      </c>
      <c r="F1443" s="29" t="n">
        <f aca="false">E1443*(1+sh_g)</f>
        <v>0.52691</v>
      </c>
      <c r="G1443" s="29" t="n">
        <f aca="false">F1443*(1+sh_g)</f>
        <v>0.52691</v>
      </c>
      <c r="H1443" s="31" t="n">
        <f aca="false">G1443*(1+sh_g)</f>
        <v>0.52691</v>
      </c>
      <c r="I1443" s="31" t="n">
        <f aca="false">H1443*(1+sh_g)</f>
        <v>0.52691</v>
      </c>
      <c r="J1443" s="31" t="n">
        <f aca="false">I1443*(1+sh_g)</f>
        <v>0.52691</v>
      </c>
    </row>
    <row r="1444" customFormat="false" ht="17.15" hidden="false" customHeight="false" outlineLevel="0" collapsed="false">
      <c r="A1444" s="0" t="s">
        <v>604</v>
      </c>
      <c r="B1444" s="0" t="s">
        <v>471</v>
      </c>
      <c r="C1444" s="18" t="n">
        <f aca="false">C1442/C1443</f>
        <v>3.51</v>
      </c>
      <c r="D1444" s="18" t="n">
        <f aca="false">D1442/D1443</f>
        <v>13.6943608612652</v>
      </c>
      <c r="E1444" s="18" t="n">
        <f aca="false">E1442/E1443</f>
        <v>27.3826543218881</v>
      </c>
      <c r="F1444" s="18" t="n">
        <f aca="false">F1442/F1443</f>
        <v>33.9085200145945</v>
      </c>
      <c r="G1444" s="18" t="n">
        <f aca="false">G1442/G1443</f>
        <v>39.6031418092721</v>
      </c>
      <c r="H1444" s="28" t="n">
        <f aca="false">H1442/H1443</f>
        <v>43.9120850326824</v>
      </c>
      <c r="I1444" s="28" t="n">
        <f aca="false">I1442/I1443</f>
        <v>47.6661691337185</v>
      </c>
      <c r="J1444" s="28" t="n">
        <f aca="false">J1442/J1443</f>
        <v>50.6300024657862</v>
      </c>
    </row>
    <row r="1445" customFormat="false" ht="17.15" hidden="false" customHeight="false" outlineLevel="0" collapsed="false">
      <c r="A1445" s="0" t="s">
        <v>752</v>
      </c>
      <c r="B1445" s="0" t="s">
        <v>43</v>
      </c>
      <c r="D1445" s="20" t="n">
        <f aca="false">D1444/C1444-1</f>
        <v>2.90152731090177</v>
      </c>
      <c r="E1445" s="20" t="n">
        <f aca="false">E1444/D1444-1</f>
        <v>0.999556941670828</v>
      </c>
      <c r="F1445" s="20" t="n">
        <f aca="false">F1444/E1444-1</f>
        <v>0.238321150900625</v>
      </c>
      <c r="G1445" s="20" t="n">
        <f aca="false">G1444/F1444-1</f>
        <v>0.167940735609416</v>
      </c>
      <c r="H1445" s="26" t="n">
        <f aca="false">H1444/G1444-1</f>
        <v>0.108803065276037</v>
      </c>
      <c r="I1445" s="26" t="n">
        <f aca="false">I1444/H1444-1</f>
        <v>0.0854909098085879</v>
      </c>
      <c r="J1445" s="26" t="n">
        <f aca="false">J1444/I1444-1</f>
        <v>0.0621789706605778</v>
      </c>
    </row>
    <row r="1446" customFormat="false" ht="17.15" hidden="false" customHeight="false" outlineLevel="0" collapsed="false">
      <c r="A1446" s="3" t="s">
        <v>753</v>
      </c>
      <c r="B1446" s="0" t="s">
        <v>43</v>
      </c>
      <c r="C1446" s="16" t="n">
        <f aca="false">C1442/C1422</f>
        <v>0.0405580544331783</v>
      </c>
      <c r="D1446" s="16" t="n">
        <f aca="false">D1442/D1422</f>
        <v>0.127906349105057</v>
      </c>
      <c r="E1446" s="16" t="n">
        <f aca="false">E1442/E1422</f>
        <v>0.20029703939422</v>
      </c>
      <c r="F1446" s="16" t="n">
        <f aca="false">F1442/F1422</f>
        <v>0.212440678534141</v>
      </c>
      <c r="G1446" s="16" t="n">
        <f aca="false">G1442/G1422</f>
        <v>0.219616585493021</v>
      </c>
      <c r="H1446" s="27" t="n">
        <f aca="false">$G1446+(fade_mA-$G1446)*1/3</f>
        <v>0.220069900224498</v>
      </c>
      <c r="I1446" s="27" t="n">
        <f aca="false">$G1446+(fade_mA-$G1446)*2/3</f>
        <v>0.220523214955975</v>
      </c>
      <c r="J1446" s="27" t="n">
        <f aca="false">$G1446+(fade_mA-$G1446)*3/3</f>
        <v>0.220976529687452</v>
      </c>
    </row>
    <row r="1447" customFormat="false" ht="17.15" hidden="false" customHeight="false" outlineLevel="0" collapsed="false">
      <c r="A1447" s="3" t="s">
        <v>754</v>
      </c>
      <c r="B1447" s="0" t="s">
        <v>43</v>
      </c>
      <c r="C1447" s="20" t="n">
        <f aca="false">C1428/C1422</f>
        <v>0.155421717364235</v>
      </c>
      <c r="D1447" s="20" t="n">
        <f aca="false">D1428/D1422</f>
        <v>0.202110028699624</v>
      </c>
      <c r="E1447" s="20" t="n">
        <f aca="false">E1428/E1422</f>
        <v>0.235999708484498</v>
      </c>
      <c r="F1447" s="20" t="n">
        <f aca="false">F1428/F1422</f>
        <v>0.190244621212247</v>
      </c>
      <c r="G1447" s="20" t="n">
        <f aca="false">G1428/G1422</f>
        <v>0.126293296479782</v>
      </c>
      <c r="H1447" s="26" t="n">
        <f aca="false">$G1447+($G1430*(1+tp_g)^(life/2)-$G1447)*1/3</f>
        <v>0.12722987475753</v>
      </c>
      <c r="I1447" s="26" t="n">
        <f aca="false">$G1447+($G1430*(1+tp_g)^(life/2)-$G1447)*2/3</f>
        <v>0.128166453035277</v>
      </c>
      <c r="J1447" s="26" t="n">
        <f aca="false">$G1447+($G1430*(1+tp_g)^(life/2)-$G1447)*3/3</f>
        <v>0.129103031313024</v>
      </c>
      <c r="K1447" s="7" t="s">
        <v>755</v>
      </c>
    </row>
    <row r="1448" customFormat="false" ht="15" hidden="false" customHeight="false" outlineLevel="0" collapsed="false">
      <c r="A1448" s="3" t="s">
        <v>756</v>
      </c>
      <c r="B1448" s="0" t="s">
        <v>379</v>
      </c>
      <c r="D1448" s="21" t="n">
        <f aca="false">D1442+D1429-D1428</f>
        <v>4.28140537512203</v>
      </c>
      <c r="E1448" s="21" t="n">
        <f aca="false">E1442+E1429-E1428</f>
        <v>6.08319438874607</v>
      </c>
      <c r="F1448" s="21" t="n">
        <f aca="false">F1442+F1429-F1428</f>
        <v>11.56486328089</v>
      </c>
      <c r="G1448" s="21" t="n">
        <f aca="false">G1442+G1429-G1428</f>
        <v>19.3531508257235</v>
      </c>
      <c r="H1448" s="30" t="n">
        <f aca="false">H1442+H1429-H1428</f>
        <v>21.3638212365093</v>
      </c>
      <c r="I1448" s="30" t="n">
        <f aca="false">I1442+I1429-I1428</f>
        <v>23.0875234033916</v>
      </c>
      <c r="J1448" s="30" t="n">
        <f aca="false">J1442+J1429-J1428</f>
        <v>24.4144326780788</v>
      </c>
      <c r="K1448" s="3" t="s">
        <v>757</v>
      </c>
    </row>
    <row r="1449" customFormat="false" ht="15" hidden="false" customHeight="false" outlineLevel="0" collapsed="false">
      <c r="A1449" s="3" t="s">
        <v>758</v>
      </c>
      <c r="B1449" s="0" t="s">
        <v>471</v>
      </c>
      <c r="D1449" s="18" t="n">
        <f aca="false">D1448/D1443</f>
        <v>8.42230943909854</v>
      </c>
      <c r="E1449" s="18" t="n">
        <f aca="false">E1448/E1443</f>
        <v>11.5450349941092</v>
      </c>
      <c r="F1449" s="18" t="n">
        <f aca="false">F1448/F1443</f>
        <v>21.9484604218746</v>
      </c>
      <c r="G1449" s="18" t="n">
        <f aca="false">G1448/G1443</f>
        <v>36.7295189419892</v>
      </c>
      <c r="H1449" s="28" t="n">
        <f aca="false">H1448/H1443</f>
        <v>40.5454844973701</v>
      </c>
      <c r="I1449" s="28" t="n">
        <f aca="false">I1448/I1443</f>
        <v>43.8168252707135</v>
      </c>
      <c r="J1449" s="28" t="n">
        <f aca="false">J1448/J1443</f>
        <v>46.3351097494425</v>
      </c>
    </row>
    <row r="1452" customFormat="false" ht="17.15" hidden="false" customHeight="false" outlineLevel="0" collapsed="false">
      <c r="A1452" s="1" t="s">
        <v>1116</v>
      </c>
    </row>
    <row r="1453" customFormat="false" ht="17.15" hidden="false" customHeight="false" outlineLevel="0" collapsed="false">
      <c r="A1453" s="4" t="s">
        <v>20</v>
      </c>
      <c r="B1453" s="4" t="s">
        <v>21</v>
      </c>
      <c r="C1453" s="13" t="s">
        <v>567</v>
      </c>
      <c r="D1453" s="13" t="s">
        <v>671</v>
      </c>
      <c r="E1453" s="13" t="s">
        <v>672</v>
      </c>
      <c r="F1453" s="13" t="s">
        <v>673</v>
      </c>
      <c r="G1453" s="13" t="s">
        <v>674</v>
      </c>
      <c r="H1453" s="13" t="s">
        <v>675</v>
      </c>
      <c r="I1453" s="13" t="s">
        <v>676</v>
      </c>
      <c r="J1453" s="13" t="s">
        <v>677</v>
      </c>
      <c r="K1453" s="4" t="s">
        <v>631</v>
      </c>
    </row>
    <row r="1454" customFormat="false" ht="17.15" hidden="false" customHeight="false" outlineLevel="0" collapsed="false">
      <c r="A1454" s="5" t="s">
        <v>695</v>
      </c>
    </row>
    <row r="1455" customFormat="false" ht="17.15" hidden="false" customHeight="false" outlineLevel="0" collapsed="false">
      <c r="A1455" s="0" t="s">
        <v>696</v>
      </c>
      <c r="B1455" s="3" t="s">
        <v>31</v>
      </c>
      <c r="D1455" s="21" t="n">
        <f aca="false">(u_bw_26+u_rb_26+u_ru_26+u_hp_26)*1</f>
        <v>7.6</v>
      </c>
      <c r="E1455" s="21" t="n">
        <f aca="false">(u_bw_27+u_rb_27+u_ru_27+u_hp_27)*1*1</f>
        <v>9.7</v>
      </c>
      <c r="F1455" s="21" t="n">
        <f aca="false">(u_bw_28+u_rb_28+u_ru_28+u_hp_28)*um28_A*1</f>
        <v>9.5</v>
      </c>
      <c r="G1455" s="21" t="n">
        <f aca="false">(u_bw_28*(1+g29_bw)+u_rb_28*(1+g29_rb)+u_ru_28*(1+g29_ru)+u_hp_28*(1+g29_hp))*um29_A*1</f>
        <v>10.6</v>
      </c>
      <c r="K1455" s="7" t="s">
        <v>697</v>
      </c>
    </row>
    <row r="1456" customFormat="false" ht="17.15" hidden="false" customHeight="false" outlineLevel="0" collapsed="false">
      <c r="A1456" s="3" t="s">
        <v>698</v>
      </c>
      <c r="B1456" s="3" t="s">
        <v>31</v>
      </c>
      <c r="D1456" s="21" t="n">
        <f aca="false">(u_amd_26+u_tpu_26+u_trn_26+u_oth_26)*1</f>
        <v>7.6</v>
      </c>
      <c r="E1456" s="21" t="n">
        <f aca="false">(u_amd_27+u_tpu_27+u_trn_27+u_oth_27)*1*1</f>
        <v>14</v>
      </c>
      <c r="F1456" s="21" t="n">
        <f aca="false">(u_amd_28+u_tpu_28+u_trn_28+u_oth_28)*um28_A*1</f>
        <v>17</v>
      </c>
      <c r="G1456" s="21" t="n">
        <f aca="false">(u_amd_28*(1+g29_amd)+u_tpu_28*(1+g29_tpu)+u_trn_28*(1+g29_trn)+u_oth_28*(1+g29_oth))*um29_A*1</f>
        <v>19.55</v>
      </c>
      <c r="K1456" s="7" t="s">
        <v>699</v>
      </c>
    </row>
    <row r="1457" customFormat="false" ht="17.15" hidden="false" customHeight="false" outlineLevel="0" collapsed="false">
      <c r="A1457" s="0" t="s">
        <v>700</v>
      </c>
      <c r="B1457" s="3" t="s">
        <v>31</v>
      </c>
      <c r="D1457" s="21" t="n">
        <f aca="false">D1455*cpu_r</f>
        <v>3.04</v>
      </c>
      <c r="E1457" s="21" t="n">
        <f aca="false">E1455*cpu_r</f>
        <v>3.88</v>
      </c>
      <c r="F1457" s="21" t="n">
        <f aca="false">F1455*cpu_r</f>
        <v>3.8</v>
      </c>
      <c r="G1457" s="21" t="n">
        <f aca="false">G1455*cpu_r</f>
        <v>4.24</v>
      </c>
      <c r="K1457" s="7" t="s">
        <v>701</v>
      </c>
    </row>
    <row r="1458" customFormat="false" ht="17.15" hidden="false" customHeight="false" outlineLevel="0" collapsed="false">
      <c r="A1458" s="3" t="s">
        <v>702</v>
      </c>
      <c r="B1458" s="0" t="s">
        <v>153</v>
      </c>
      <c r="D1458" s="19" t="n">
        <f aca="false">1</f>
        <v>1</v>
      </c>
      <c r="E1458" s="19" t="n">
        <f aca="false">D1458*(1+g_asp)</f>
        <v>1.18</v>
      </c>
      <c r="F1458" s="19" t="n">
        <f aca="false">E1458*(1+g_asp)</f>
        <v>1.3924</v>
      </c>
      <c r="G1458" s="19" t="n">
        <f aca="false">F1458*(1+g_asp)</f>
        <v>1.643032</v>
      </c>
      <c r="K1458" s="7" t="s">
        <v>703</v>
      </c>
    </row>
    <row r="1459" customFormat="false" ht="17.15" hidden="false" customHeight="false" outlineLevel="0" collapsed="false">
      <c r="A1459" s="0" t="s">
        <v>704</v>
      </c>
      <c r="B1459" s="0" t="s">
        <v>153</v>
      </c>
      <c r="D1459" s="18" t="n">
        <f aca="false">1</f>
        <v>1</v>
      </c>
      <c r="E1459" s="18" t="n">
        <f aca="false">ibpp_27</f>
        <v>1</v>
      </c>
      <c r="F1459" s="18" t="n">
        <f aca="false">ibpp_28</f>
        <v>0.95</v>
      </c>
      <c r="G1459" s="18" t="n">
        <f aca="false">ibpp_29</f>
        <v>0.9</v>
      </c>
      <c r="K1459" s="7" t="s">
        <v>705</v>
      </c>
    </row>
    <row r="1460" customFormat="false" ht="17.15" hidden="false" customHeight="false" outlineLevel="0" collapsed="false">
      <c r="A1460" s="3" t="s">
        <v>706</v>
      </c>
      <c r="B1460" s="0" t="s">
        <v>153</v>
      </c>
      <c r="D1460" s="18" t="n">
        <f aca="false">1</f>
        <v>1</v>
      </c>
      <c r="E1460" s="18" t="n">
        <f aca="false">1+carry</f>
        <v>1.15</v>
      </c>
      <c r="F1460" s="18" t="n">
        <f aca="false">1+carry</f>
        <v>1.15</v>
      </c>
      <c r="G1460" s="18" t="n">
        <f aca="false">1+carry</f>
        <v>1.15</v>
      </c>
      <c r="K1460" s="7" t="s">
        <v>707</v>
      </c>
    </row>
    <row r="1461" customFormat="false" ht="17.15" hidden="false" customHeight="false" outlineLevel="0" collapsed="false">
      <c r="A1461" s="3" t="s">
        <v>708</v>
      </c>
      <c r="B1461" s="0" t="s">
        <v>709</v>
      </c>
      <c r="D1461" s="23" t="n">
        <f aca="false">v26*D1458*D1459</f>
        <v>215.308596</v>
      </c>
      <c r="E1461" s="23" t="n">
        <f aca="false">v26*E1458*E1459</f>
        <v>254.06414328</v>
      </c>
      <c r="F1461" s="23" t="n">
        <f aca="false">v26*F1458*F1459</f>
        <v>284.80590461688</v>
      </c>
      <c r="G1461" s="23" t="n">
        <f aca="false">v26*G1458*G1459</f>
        <v>318.383021792765</v>
      </c>
      <c r="K1461" s="7" t="s">
        <v>710</v>
      </c>
    </row>
    <row r="1462" customFormat="false" ht="17.15" hidden="false" customHeight="false" outlineLevel="0" collapsed="false">
      <c r="A1462" s="3" t="s">
        <v>711</v>
      </c>
      <c r="B1462" s="0" t="s">
        <v>43</v>
      </c>
      <c r="D1462" s="20" t="n">
        <f aca="false">sh_nv_26</f>
        <v>0.02</v>
      </c>
      <c r="E1462" s="20" t="n">
        <f aca="false">sh_nv_27</f>
        <v>0.03</v>
      </c>
      <c r="F1462" s="20" t="n">
        <f aca="false">sh_nv_28</f>
        <v>0.05</v>
      </c>
      <c r="G1462" s="20" t="n">
        <f aca="false">sh_nv_29</f>
        <v>0.06</v>
      </c>
    </row>
    <row r="1463" customFormat="false" ht="17.15" hidden="false" customHeight="false" outlineLevel="0" collapsed="false">
      <c r="A1463" s="3" t="s">
        <v>712</v>
      </c>
      <c r="B1463" s="0" t="s">
        <v>43</v>
      </c>
      <c r="D1463" s="20" t="n">
        <f aca="false">sh_ot_26_hi</f>
        <v>0.05</v>
      </c>
      <c r="E1463" s="20" t="n">
        <f aca="false">sh_ot_27_hi</f>
        <v>0.08</v>
      </c>
      <c r="F1463" s="20" t="n">
        <f aca="false">sh_ot_28_hi</f>
        <v>0.1</v>
      </c>
      <c r="G1463" s="20" t="n">
        <f aca="false">sh_ot_29_hi</f>
        <v>0.1</v>
      </c>
    </row>
    <row r="1464" customFormat="false" ht="17.15" hidden="false" customHeight="false" outlineLevel="0" collapsed="false">
      <c r="A1464" s="3" t="s">
        <v>713</v>
      </c>
      <c r="B1464" s="0" t="s">
        <v>43</v>
      </c>
      <c r="D1464" s="20" t="n">
        <f aca="false">sh_cpu_26</f>
        <v>0.35</v>
      </c>
      <c r="E1464" s="20" t="n">
        <f aca="false">sh_cpu_27</f>
        <v>0.7</v>
      </c>
      <c r="F1464" s="20" t="n">
        <f aca="false">sh_cpu_28</f>
        <v>0.75</v>
      </c>
      <c r="G1464" s="20" t="n">
        <f aca="false">sh_cpu_29</f>
        <v>0.7</v>
      </c>
    </row>
    <row r="1465" customFormat="false" ht="17.15" hidden="false" customHeight="false" outlineLevel="0" collapsed="false">
      <c r="A1465" s="3" t="s">
        <v>714</v>
      </c>
      <c r="B1465" s="0" t="s">
        <v>661</v>
      </c>
      <c r="D1465" s="22" t="n">
        <f aca="false">(D1455*D1461*D1462+D1456*D1461*v_ot*D1463+D1457*D1461*v_cpu*D1464)*D1460</f>
        <v>166.9072236192</v>
      </c>
      <c r="E1465" s="22" t="n">
        <f aca="false">(E1455*E1461*E1462+E1456*E1461*v_ot*E1463+E1457*E1461*v_cpu*E1464)*E1460</f>
        <v>584.87344232059</v>
      </c>
      <c r="F1465" s="22" t="n">
        <f aca="false">(F1455*F1461*F1462+F1456*F1461*v_ot*F1463+F1457*F1461*v_cpu*F1464)*F1460</f>
        <v>881.047065932318</v>
      </c>
      <c r="G1465" s="22" t="n">
        <f aca="false">(G1455*G1461*G1462+G1456*G1461*v_ot*G1463+G1457*G1461*v_cpu*G1464)*G1460</f>
        <v>1131.52052413061</v>
      </c>
    </row>
    <row r="1466" customFormat="false" ht="17.15" hidden="false" customHeight="false" outlineLevel="0" collapsed="false">
      <c r="A1466" s="3" t="s">
        <v>715</v>
      </c>
      <c r="B1466" s="0" t="s">
        <v>379</v>
      </c>
      <c r="D1466" s="21" t="n">
        <f aca="false">D1465*fx/1000</f>
        <v>5.3410311558144</v>
      </c>
      <c r="E1466" s="21" t="n">
        <f aca="false">E1465*fx/1000</f>
        <v>18.7159501542589</v>
      </c>
      <c r="F1466" s="21" t="n">
        <f aca="false">F1465*fx/1000</f>
        <v>28.1935061098342</v>
      </c>
      <c r="G1466" s="21" t="n">
        <f aca="false">G1465*fx/1000</f>
        <v>36.2086567721797</v>
      </c>
    </row>
    <row r="1467" customFormat="false" ht="17.15" hidden="false" customHeight="false" outlineLevel="0" collapsed="false">
      <c r="A1467" s="5" t="s">
        <v>716</v>
      </c>
    </row>
    <row r="1468" customFormat="false" ht="17.15" hidden="false" customHeight="false" outlineLevel="0" collapsed="false">
      <c r="A1468" s="0" t="s">
        <v>717</v>
      </c>
      <c r="B1468" s="0" t="s">
        <v>379</v>
      </c>
      <c r="D1468" s="21" t="n">
        <f aca="false">a26_abf*ai_abf</f>
        <v>5.714709</v>
      </c>
      <c r="K1468" s="3" t="s">
        <v>718</v>
      </c>
    </row>
    <row r="1469" customFormat="false" ht="17.15" hidden="false" customHeight="false" outlineLevel="0" collapsed="false">
      <c r="A1469" s="3" t="s">
        <v>719</v>
      </c>
      <c r="B1469" s="0" t="s">
        <v>379</v>
      </c>
      <c r="D1469" s="21" t="n">
        <f aca="false">D1468-D1466</f>
        <v>0.373677844185599</v>
      </c>
      <c r="E1469" s="21" t="n">
        <f aca="false">$D1469*(swm_27/swm_26)^el_o*1*1*E1459*E1460</f>
        <v>0.601068177720371</v>
      </c>
      <c r="F1469" s="21" t="n">
        <f aca="false">$D1469*(swm_28/swm_26)^el_o*um28_A*1*F1459*F1460</f>
        <v>0.614268439115588</v>
      </c>
      <c r="G1469" s="21" t="n">
        <f aca="false">$D1469*(swm_29/swm_26)^el_o*um29_A*1*G1459*G1460</f>
        <v>0.620816662103834</v>
      </c>
      <c r="K1469" s="7" t="s">
        <v>720</v>
      </c>
    </row>
    <row r="1470" customFormat="false" ht="17.15" hidden="false" customHeight="false" outlineLevel="0" collapsed="false">
      <c r="A1470" s="3" t="s">
        <v>721</v>
      </c>
      <c r="B1470" s="0" t="s">
        <v>379</v>
      </c>
      <c r="D1470" s="21" t="n">
        <f aca="false">a26_abf-D1468</f>
        <v>17.144127</v>
      </c>
      <c r="E1470" s="21" t="n">
        <f aca="false">$D1470*(1+g_nai)^1*E1460</f>
        <v>20.898690813</v>
      </c>
      <c r="F1470" s="21" t="n">
        <f aca="false">$D1470*(1+g_nai)^2*F1460</f>
        <v>22.15261226178</v>
      </c>
      <c r="G1470" s="21" t="n">
        <f aca="false">$D1470*(1+g_nai)^3*G1460</f>
        <v>23.4817689974868</v>
      </c>
      <c r="K1470" s="3" t="s">
        <v>722</v>
      </c>
    </row>
    <row r="1471" customFormat="false" ht="17.15" hidden="false" customHeight="false" outlineLevel="0" collapsed="false">
      <c r="A1471" s="0" t="s">
        <v>723</v>
      </c>
      <c r="B1471" s="0" t="s">
        <v>379</v>
      </c>
      <c r="D1471" s="21" t="n">
        <f aca="false">D1466+D1469+D1470</f>
        <v>22.858836</v>
      </c>
      <c r="E1471" s="21" t="n">
        <f aca="false">E1466+E1469+E1470</f>
        <v>40.2157091449792</v>
      </c>
      <c r="F1471" s="21" t="n">
        <f aca="false">F1466+F1469+F1470</f>
        <v>50.9603868107298</v>
      </c>
      <c r="G1471" s="21" t="n">
        <f aca="false">G1466+G1469+G1470</f>
        <v>60.3112424317703</v>
      </c>
    </row>
    <row r="1472" customFormat="false" ht="17.15" hidden="false" customHeight="false" outlineLevel="0" collapsed="false">
      <c r="A1472" s="0" t="s">
        <v>724</v>
      </c>
      <c r="B1472" s="0" t="s">
        <v>379</v>
      </c>
      <c r="D1472" s="21" t="n">
        <f aca="false">a26_abf</f>
        <v>22.858836</v>
      </c>
      <c r="E1472" s="21" t="n">
        <f aca="false">$D1471*cap_27*(1+g_mix)^1*E1459*E1460</f>
        <v>33.122453364</v>
      </c>
      <c r="F1472" s="21" t="n">
        <f aca="false">$D1471*cap_28*(1+g_mix)^2*F1459*F1460</f>
        <v>41.2995590382375</v>
      </c>
      <c r="G1472" s="21" t="n">
        <f aca="false">$D1471*cap_29*(1+g_mix)^3*G1459*G1460</f>
        <v>50.6680379569114</v>
      </c>
      <c r="K1472" s="7" t="s">
        <v>725</v>
      </c>
    </row>
    <row r="1473" customFormat="false" ht="17.15" hidden="false" customHeight="false" outlineLevel="0" collapsed="false">
      <c r="A1473" s="0" t="s">
        <v>726</v>
      </c>
      <c r="B1473" s="0" t="s">
        <v>379</v>
      </c>
      <c r="D1473" s="21" t="n">
        <f aca="false">a26_abf</f>
        <v>22.858836</v>
      </c>
      <c r="E1473" s="21" t="n">
        <f aca="false">MIN(E1471,E1472)</f>
        <v>33.122453364</v>
      </c>
      <c r="F1473" s="21" t="n">
        <f aca="false">MIN(F1471,F1472)</f>
        <v>41.2995590382375</v>
      </c>
      <c r="G1473" s="21" t="n">
        <f aca="false">MIN(G1471,G1472)</f>
        <v>50.6680379569114</v>
      </c>
    </row>
    <row r="1474" customFormat="false" ht="17.15" hidden="false" customHeight="false" outlineLevel="0" collapsed="false">
      <c r="A1474" s="3" t="s">
        <v>727</v>
      </c>
      <c r="B1474" s="0" t="s">
        <v>43</v>
      </c>
      <c r="D1474" s="20" t="n">
        <f aca="false">D1473/D1471</f>
        <v>1</v>
      </c>
      <c r="E1474" s="20" t="n">
        <f aca="false">E1473/E1471</f>
        <v>0.823619776157427</v>
      </c>
      <c r="F1474" s="20" t="n">
        <f aca="false">F1473/F1471</f>
        <v>0.810424755832933</v>
      </c>
      <c r="G1474" s="20" t="n">
        <f aca="false">G1473/G1471</f>
        <v>0.840109338059679</v>
      </c>
    </row>
    <row r="1475" customFormat="false" ht="17.15" hidden="false" customHeight="false" outlineLevel="0" collapsed="false">
      <c r="A1475" s="0" t="s">
        <v>728</v>
      </c>
      <c r="B1475" s="0" t="s">
        <v>379</v>
      </c>
      <c r="D1475" s="21" t="n">
        <f aca="false">(D1466+D1469)*D1474</f>
        <v>5.714709</v>
      </c>
      <c r="E1475" s="21" t="n">
        <f aca="false">(E1466+E1469)*E1474</f>
        <v>15.9098783146137</v>
      </c>
      <c r="F1475" s="21" t="n">
        <f aca="false">(F1466+F1469)*F1474</f>
        <v>23.3465336549228</v>
      </c>
      <c r="G1475" s="21" t="n">
        <f aca="false">(G1466+G1469)*G1474</f>
        <v>30.9407845479624</v>
      </c>
    </row>
    <row r="1476" customFormat="false" ht="17.15" hidden="false" customHeight="false" outlineLevel="0" collapsed="false">
      <c r="A1476" s="3" t="s">
        <v>729</v>
      </c>
      <c r="B1476" s="0" t="s">
        <v>43</v>
      </c>
      <c r="D1476" s="20" t="n">
        <f aca="false">D1466/(D1466+D1469)</f>
        <v>0.934611220941329</v>
      </c>
      <c r="E1476" s="20" t="n">
        <f aca="false">E1466/(E1466+E1469)</f>
        <v>0.968884008526031</v>
      </c>
      <c r="F1476" s="20" t="n">
        <f aca="false">F1466/(F1466+F1469)</f>
        <v>0.978676990891059</v>
      </c>
      <c r="G1476" s="20" t="n">
        <f aca="false">G1466/(G1466+G1469)</f>
        <v>0.983143482536844</v>
      </c>
    </row>
    <row r="1477" customFormat="false" ht="17.15" hidden="false" customHeight="false" outlineLevel="0" collapsed="false">
      <c r="A1477" s="5" t="s">
        <v>730</v>
      </c>
    </row>
    <row r="1478" customFormat="false" ht="17.15" hidden="false" customHeight="false" outlineLevel="0" collapsed="false">
      <c r="A1478" s="0" t="s">
        <v>731</v>
      </c>
      <c r="B1478" s="0" t="s">
        <v>379</v>
      </c>
      <c r="D1478" s="21" t="n">
        <f aca="false">a26_bt</f>
        <v>23.265964</v>
      </c>
      <c r="E1478" s="21" t="n">
        <f aca="false">D1478*(1+g_bt27_A)</f>
        <v>29.78043392</v>
      </c>
      <c r="F1478" s="21" t="n">
        <f aca="false">E1478*(1+g_bt28_A)</f>
        <v>32.758477312</v>
      </c>
      <c r="G1478" s="21" t="n">
        <f aca="false">F1478*(1+g_bt29_A)</f>
        <v>34.3964011776</v>
      </c>
      <c r="K1478" s="7" t="s">
        <v>732</v>
      </c>
    </row>
    <row r="1479" customFormat="false" ht="17.15" hidden="false" customHeight="false" outlineLevel="0" collapsed="false">
      <c r="A1479" s="3" t="s">
        <v>617</v>
      </c>
      <c r="B1479" s="0" t="s">
        <v>379</v>
      </c>
      <c r="C1479" s="21" t="n">
        <f aca="false">a25_lens</f>
        <v>7.039</v>
      </c>
      <c r="D1479" s="21" t="n">
        <f aca="false">a26_lens</f>
        <v>8.301</v>
      </c>
      <c r="E1479" s="21" t="n">
        <f aca="false">D1479*(1+g_lens)</f>
        <v>9.1311</v>
      </c>
      <c r="F1479" s="21" t="n">
        <f aca="false">E1479*(1+g_lens)</f>
        <v>10.04421</v>
      </c>
      <c r="G1479" s="21" t="n">
        <f aca="false">F1479*(1+g_lens)</f>
        <v>11.048631</v>
      </c>
      <c r="K1479" s="3" t="s">
        <v>733</v>
      </c>
    </row>
    <row r="1480" customFormat="false" ht="17.15" hidden="false" customHeight="false" outlineLevel="0" collapsed="false">
      <c r="A1480" s="3" t="s">
        <v>574</v>
      </c>
      <c r="B1480" s="0" t="s">
        <v>379</v>
      </c>
      <c r="C1480" s="23" t="n">
        <f aca="false">a25_rev</f>
        <v>39.351</v>
      </c>
      <c r="D1480" s="23" t="n">
        <f aca="false">D1473+D1478+D1479</f>
        <v>54.4258</v>
      </c>
      <c r="E1480" s="23" t="n">
        <f aca="false">E1473+E1478+E1479</f>
        <v>72.033987284</v>
      </c>
      <c r="F1480" s="23" t="n">
        <f aca="false">F1473+F1478+F1479</f>
        <v>84.1022463502375</v>
      </c>
      <c r="G1480" s="23" t="n">
        <f aca="false">G1473+G1478+G1479</f>
        <v>96.1130701345114</v>
      </c>
      <c r="H1480" s="25" t="n">
        <f aca="false">G1480*(1+H1482)</f>
        <v>107.186075216063</v>
      </c>
      <c r="I1480" s="25" t="n">
        <f aca="false">H1480*(1+I1482)</f>
        <v>116.576010002736</v>
      </c>
      <c r="J1480" s="25" t="n">
        <f aca="false">I1480*(1+J1482)</f>
        <v>123.5705706029</v>
      </c>
      <c r="K1480" s="7" t="s">
        <v>734</v>
      </c>
    </row>
    <row r="1481" customFormat="false" ht="17.15" hidden="false" customHeight="false" outlineLevel="0" collapsed="false">
      <c r="A1481" s="3" t="s">
        <v>735</v>
      </c>
      <c r="B1481" s="0" t="s">
        <v>379</v>
      </c>
      <c r="D1481" s="19" t="n">
        <f aca="false">D1473+D1478+D1479-D1480</f>
        <v>0</v>
      </c>
      <c r="E1481" s="19" t="n">
        <f aca="false">E1473+E1478+E1479-E1480</f>
        <v>0</v>
      </c>
      <c r="F1481" s="19" t="n">
        <f aca="false">F1473+F1478+F1479-F1480</f>
        <v>0</v>
      </c>
      <c r="G1481" s="19" t="n">
        <f aca="false">G1473+G1478+G1479-G1480</f>
        <v>0</v>
      </c>
    </row>
    <row r="1482" customFormat="false" ht="15" hidden="false" customHeight="false" outlineLevel="0" collapsed="false">
      <c r="A1482" s="3" t="s">
        <v>736</v>
      </c>
      <c r="B1482" s="0" t="s">
        <v>43</v>
      </c>
      <c r="D1482" s="20" t="n">
        <f aca="false">D1480/C1480-1</f>
        <v>0.383085563263958</v>
      </c>
      <c r="E1482" s="20" t="n">
        <f aca="false">E1480/D1480-1</f>
        <v>0.323526476119781</v>
      </c>
      <c r="F1482" s="20" t="n">
        <f aca="false">F1480/E1480-1</f>
        <v>0.167535624796909</v>
      </c>
      <c r="G1482" s="20" t="n">
        <f aca="false">G1480/F1480-1</f>
        <v>0.142812163830389</v>
      </c>
      <c r="H1482" s="26" t="n">
        <f aca="false">$G1482+(fade_gA-$G1482)*1/3</f>
        <v>0.115208109220259</v>
      </c>
      <c r="I1482" s="26" t="n">
        <f aca="false">$G1482+(fade_gA-$G1482)*2/3</f>
        <v>0.0876040546101297</v>
      </c>
      <c r="J1482" s="26" t="n">
        <f aca="false">$G1482+(fade_gA-$G1482)*3/3</f>
        <v>0.06</v>
      </c>
    </row>
    <row r="1483" customFormat="false" ht="17.15" hidden="false" customHeight="false" outlineLevel="0" collapsed="false">
      <c r="A1483" s="0" t="s">
        <v>737</v>
      </c>
      <c r="B1483" s="0" t="s">
        <v>43</v>
      </c>
      <c r="D1483" s="20" t="n">
        <f aca="false">D1473/D1480</f>
        <v>0.42</v>
      </c>
      <c r="E1483" s="20" t="n">
        <f aca="false">E1473/E1480</f>
        <v>0.459817019893845</v>
      </c>
      <c r="F1483" s="20" t="n">
        <f aca="false">F1473/F1480</f>
        <v>0.491063685341395</v>
      </c>
      <c r="G1483" s="20" t="n">
        <f aca="false">G1473/G1480</f>
        <v>0.527171152539409</v>
      </c>
    </row>
    <row r="1484" customFormat="false" ht="17.15" hidden="false" customHeight="false" outlineLevel="0" collapsed="false">
      <c r="A1484" s="0" t="s">
        <v>738</v>
      </c>
      <c r="B1484" s="0" t="s">
        <v>43</v>
      </c>
      <c r="D1484" s="20" t="n">
        <f aca="false">D1475/D1480</f>
        <v>0.105</v>
      </c>
      <c r="E1484" s="20" t="n">
        <f aca="false">E1475/E1480</f>
        <v>0.220866273192509</v>
      </c>
      <c r="F1484" s="20" t="n">
        <f aca="false">F1475/F1480</f>
        <v>0.277597028237485</v>
      </c>
      <c r="G1484" s="20" t="n">
        <f aca="false">G1475/G1480</f>
        <v>0.321920676393548</v>
      </c>
      <c r="K1484" s="3" t="s">
        <v>739</v>
      </c>
    </row>
    <row r="1485" customFormat="false" ht="17.15" hidden="false" customHeight="false" outlineLevel="0" collapsed="false">
      <c r="A1485" s="5" t="s">
        <v>740</v>
      </c>
    </row>
    <row r="1486" customFormat="false" ht="15" hidden="false" customHeight="false" outlineLevel="0" collapsed="false">
      <c r="A1486" s="3" t="s">
        <v>741</v>
      </c>
      <c r="B1486" s="0" t="s">
        <v>379</v>
      </c>
      <c r="C1486" s="23" t="n">
        <f aca="false">a25_cx</f>
        <v>6.116</v>
      </c>
      <c r="D1486" s="23" t="n">
        <f aca="false">capex26</f>
        <v>11</v>
      </c>
      <c r="E1486" s="23" t="n">
        <f aca="false">cx27</f>
        <v>17</v>
      </c>
      <c r="F1486" s="23" t="n">
        <f aca="false">cx28</f>
        <v>16</v>
      </c>
      <c r="G1486" s="23" t="n">
        <f aca="false">cx29</f>
        <v>12</v>
      </c>
      <c r="H1486" s="25" t="n">
        <f aca="false">H1480*H1505</f>
        <v>13.4817405534162</v>
      </c>
      <c r="I1486" s="25" t="n">
        <f aca="false">I1480*I1505</f>
        <v>14.77073304233</v>
      </c>
      <c r="J1486" s="25" t="n">
        <f aca="false">J1480*J1505</f>
        <v>15.7713906192965</v>
      </c>
    </row>
    <row r="1487" customFormat="false" ht="17.15" hidden="false" customHeight="false" outlineLevel="0" collapsed="false">
      <c r="A1487" s="3" t="s">
        <v>742</v>
      </c>
      <c r="B1487" s="0" t="s">
        <v>379</v>
      </c>
      <c r="C1487" s="23" t="n">
        <f aca="false">a25_da</f>
        <v>7.158</v>
      </c>
      <c r="D1487" s="23" t="n">
        <f aca="false">da26</f>
        <v>8.32</v>
      </c>
      <c r="E1487" s="23" t="n">
        <f aca="false">D1487*(1-1/life)+D1486/life</f>
        <v>8.655</v>
      </c>
      <c r="F1487" s="23" t="n">
        <f aca="false">E1487*(1-1/life)+E1486/life</f>
        <v>9.698125</v>
      </c>
      <c r="G1487" s="23" t="n">
        <f aca="false">F1487*(1-1/life)+F1486/life</f>
        <v>10.485859375</v>
      </c>
      <c r="H1487" s="25" t="n">
        <f aca="false">H1480*H1488</f>
        <v>11.6939154071433</v>
      </c>
      <c r="I1487" s="25" t="n">
        <f aca="false">I1480*I1488</f>
        <v>12.7183498110769</v>
      </c>
      <c r="J1487" s="25" t="n">
        <f aca="false">J1480*J1488</f>
        <v>13.4814507997415</v>
      </c>
      <c r="K1487" s="3" t="s">
        <v>743</v>
      </c>
    </row>
    <row r="1488" customFormat="false" ht="17.15" hidden="false" customHeight="false" outlineLevel="0" collapsed="false">
      <c r="A1488" s="3" t="s">
        <v>744</v>
      </c>
      <c r="B1488" s="0" t="s">
        <v>43</v>
      </c>
      <c r="C1488" s="20" t="n">
        <f aca="false">C1487/C1480</f>
        <v>0.181901349393916</v>
      </c>
      <c r="D1488" s="20" t="n">
        <f aca="false">D1487/D1480</f>
        <v>0.152868676252807</v>
      </c>
      <c r="E1488" s="20" t="n">
        <f aca="false">E1487/E1480</f>
        <v>0.120151616290196</v>
      </c>
      <c r="F1488" s="20" t="n">
        <f aca="false">F1487/F1480</f>
        <v>0.115313507318376</v>
      </c>
      <c r="G1488" s="20" t="n">
        <f aca="false">G1487/G1480</f>
        <v>0.109099203264706</v>
      </c>
      <c r="H1488" s="26" t="n">
        <f aca="false">$G1488</f>
        <v>0.109099203264706</v>
      </c>
      <c r="I1488" s="26" t="n">
        <f aca="false">$G1488</f>
        <v>0.109099203264706</v>
      </c>
      <c r="J1488" s="26" t="n">
        <f aca="false">$G1488</f>
        <v>0.109099203264706</v>
      </c>
    </row>
    <row r="1489" customFormat="false" ht="17.15" hidden="false" customHeight="false" outlineLevel="0" collapsed="false">
      <c r="A1489" s="0" t="s">
        <v>745</v>
      </c>
      <c r="B1489" s="0" t="s">
        <v>379</v>
      </c>
      <c r="E1489" s="21" t="n">
        <f aca="false">E1474*((E1466+E1469)*(1-1/(E1459*E1460))+E1470*(1-1/E1460))</f>
        <v>4.320320004</v>
      </c>
      <c r="F1489" s="21" t="n">
        <f aca="false">F1474*((F1466+F1469)*(1-1/(F1459*F1460))+F1470*(1-1/F1460))</f>
        <v>4.31840776219927</v>
      </c>
      <c r="G1489" s="21" t="n">
        <f aca="false">G1474*((G1466+G1469)*(1-1/(G1459*G1460))+G1470*(1-1/G1460))</f>
        <v>3.61942673370704</v>
      </c>
      <c r="K1489" s="7" t="s">
        <v>746</v>
      </c>
    </row>
    <row r="1490" customFormat="false" ht="17.15" hidden="false" customHeight="false" outlineLevel="0" collapsed="false">
      <c r="A1490" s="3" t="s">
        <v>747</v>
      </c>
      <c r="B1490" s="0" t="s">
        <v>379</v>
      </c>
      <c r="C1490" s="21" t="n">
        <f aca="false">a25_gp</f>
        <v>8.314</v>
      </c>
      <c r="D1490" s="21" t="n">
        <f aca="false">a26_gp</f>
        <v>15.328536</v>
      </c>
      <c r="E1490" s="21" t="n">
        <f aca="false">$D1490+ft_abf*(E1473-E1489-$D1473)+ft_bt*(E1478-$D1478)+ft_lens*(E1479-$D1479)+E1489-(E1487-$D1487)</f>
        <v>25.590561148</v>
      </c>
      <c r="F1490" s="21" t="n">
        <f aca="false">$D1490+ft_abf*(F1473-F1489-$D1473)+ft_bt*(F1478-$D1478)+ft_lens*(F1479-$D1479)+F1489-(F1487-$D1487)</f>
        <v>30.3860518906184</v>
      </c>
      <c r="G1490" s="21" t="n">
        <f aca="false">$D1490+ft_abf*(G1473-G1489-$D1473)+ft_bt*(G1478-$D1478)+ft_lens*(G1479-$D1479)+G1489-(G1487-$D1487)</f>
        <v>35.1221216502292</v>
      </c>
      <c r="K1490" s="3" t="s">
        <v>748</v>
      </c>
    </row>
    <row r="1491" customFormat="false" ht="15" hidden="false" customHeight="false" outlineLevel="0" collapsed="false">
      <c r="A1491" s="3" t="s">
        <v>581</v>
      </c>
      <c r="B1491" s="0" t="s">
        <v>43</v>
      </c>
      <c r="C1491" s="16" t="n">
        <f aca="false">C1490/C1480</f>
        <v>0.211277985311682</v>
      </c>
      <c r="D1491" s="16" t="n">
        <f aca="false">D1490/D1480</f>
        <v>0.281640986443929</v>
      </c>
      <c r="E1491" s="16" t="n">
        <f aca="false">E1490/E1480</f>
        <v>0.3552567629931</v>
      </c>
      <c r="F1491" s="16" t="n">
        <f aca="false">F1490/F1480</f>
        <v>0.361298933254148</v>
      </c>
      <c r="G1491" s="16" t="n">
        <f aca="false">G1490/G1480</f>
        <v>0.365425031175004</v>
      </c>
    </row>
    <row r="1492" customFormat="false" ht="15" hidden="false" customHeight="false" outlineLevel="0" collapsed="false">
      <c r="A1492" s="3" t="s">
        <v>583</v>
      </c>
      <c r="B1492" s="0" t="s">
        <v>379</v>
      </c>
      <c r="C1492" s="21" t="n">
        <f aca="false">a25_opx</f>
        <v>5.644</v>
      </c>
      <c r="D1492" s="21" t="n">
        <f aca="false">a26_opx</f>
        <v>6.54036</v>
      </c>
      <c r="E1492" s="21" t="n">
        <f aca="false">D1492*(1+phi*E1482)</f>
        <v>7.80994777401287</v>
      </c>
      <c r="F1492" s="21" t="n">
        <f aca="false">E1492*(1+phi*F1482)</f>
        <v>8.59501446198315</v>
      </c>
      <c r="G1492" s="21" t="n">
        <f aca="false">F1492*(1+phi*G1482)</f>
        <v>9.33149803006473</v>
      </c>
    </row>
    <row r="1493" customFormat="false" ht="15" hidden="false" customHeight="false" outlineLevel="0" collapsed="false">
      <c r="A1493" s="3" t="s">
        <v>586</v>
      </c>
      <c r="B1493" s="0" t="s">
        <v>379</v>
      </c>
      <c r="C1493" s="21" t="n">
        <f aca="false">C1490-C1492</f>
        <v>2.67</v>
      </c>
      <c r="D1493" s="21" t="n">
        <f aca="false">D1490-D1492</f>
        <v>8.788176</v>
      </c>
      <c r="E1493" s="21" t="n">
        <f aca="false">E1490-E1492</f>
        <v>17.7806133739871</v>
      </c>
      <c r="F1493" s="21" t="n">
        <f aca="false">F1490-F1492</f>
        <v>21.7910374286352</v>
      </c>
      <c r="G1493" s="21" t="n">
        <f aca="false">G1490-G1492</f>
        <v>25.7906236201645</v>
      </c>
    </row>
    <row r="1494" customFormat="false" ht="15" hidden="false" customHeight="false" outlineLevel="0" collapsed="false">
      <c r="A1494" s="3" t="s">
        <v>684</v>
      </c>
      <c r="B1494" s="0" t="s">
        <v>43</v>
      </c>
      <c r="C1494" s="16" t="n">
        <f aca="false">C1493/C1480</f>
        <v>0.0678508805367081</v>
      </c>
      <c r="D1494" s="16" t="n">
        <f aca="false">D1493/D1480</f>
        <v>0.161470773052486</v>
      </c>
      <c r="E1494" s="16" t="n">
        <f aca="false">E1493/E1480</f>
        <v>0.246836445466854</v>
      </c>
      <c r="F1494" s="16" t="n">
        <f aca="false">F1493/F1480</f>
        <v>0.259101728839538</v>
      </c>
      <c r="G1494" s="16" t="n">
        <f aca="false">G1493/G1480</f>
        <v>0.268336279176913</v>
      </c>
    </row>
    <row r="1495" customFormat="false" ht="15" hidden="false" customHeight="false" outlineLevel="0" collapsed="false">
      <c r="A1495" s="3" t="s">
        <v>589</v>
      </c>
      <c r="B1495" s="0" t="s">
        <v>379</v>
      </c>
      <c r="C1495" s="21" t="n">
        <f aca="false">a25_nonop</f>
        <v>0.417</v>
      </c>
      <c r="D1495" s="21" t="n">
        <f aca="false">a26_nonop</f>
        <v>0.37882</v>
      </c>
      <c r="E1495" s="21" t="n">
        <f aca="false">nonop27</f>
        <v>0.4</v>
      </c>
      <c r="F1495" s="21" t="n">
        <f aca="false">nonop28</f>
        <v>0.4</v>
      </c>
      <c r="G1495" s="21" t="n">
        <f aca="false">nonop29</f>
        <v>0.4</v>
      </c>
    </row>
    <row r="1496" customFormat="false" ht="15" hidden="false" customHeight="false" outlineLevel="0" collapsed="false">
      <c r="A1496" s="3" t="s">
        <v>591</v>
      </c>
      <c r="B1496" s="0" t="s">
        <v>379</v>
      </c>
      <c r="C1496" s="21" t="n">
        <f aca="false">C1493+C1495</f>
        <v>3.087</v>
      </c>
      <c r="D1496" s="21" t="n">
        <f aca="false">D1493+D1495</f>
        <v>9.166996</v>
      </c>
      <c r="E1496" s="21" t="n">
        <f aca="false">E1493+E1495</f>
        <v>18.1806133739871</v>
      </c>
      <c r="F1496" s="21" t="n">
        <f aca="false">F1493+F1495</f>
        <v>22.1910374286352</v>
      </c>
      <c r="G1496" s="21" t="n">
        <f aca="false">G1493+G1495</f>
        <v>26.1906236201645</v>
      </c>
    </row>
    <row r="1497" customFormat="false" ht="15" hidden="false" customHeight="false" outlineLevel="0" collapsed="false">
      <c r="A1497" s="3" t="s">
        <v>592</v>
      </c>
      <c r="B1497" s="0" t="s">
        <v>379</v>
      </c>
      <c r="E1497" s="21" t="n">
        <f aca="false">E1496*tax</f>
        <v>2.18167360487846</v>
      </c>
      <c r="F1497" s="21" t="n">
        <f aca="false">F1496*tax</f>
        <v>2.66292449143623</v>
      </c>
      <c r="G1497" s="21" t="n">
        <f aca="false">G1496*tax</f>
        <v>3.14287483441974</v>
      </c>
    </row>
    <row r="1498" customFormat="false" ht="15" hidden="false" customHeight="false" outlineLevel="0" collapsed="false">
      <c r="A1498" s="3" t="s">
        <v>593</v>
      </c>
      <c r="B1498" s="0" t="s">
        <v>379</v>
      </c>
      <c r="C1498" s="21" t="n">
        <f aca="false">a25_nic</f>
        <v>2.71712</v>
      </c>
      <c r="D1498" s="21" t="n">
        <f aca="false">a26_nic</f>
        <v>8.39979776</v>
      </c>
      <c r="E1498" s="21" t="n">
        <f aca="false">E1496-E1497</f>
        <v>15.9989397691087</v>
      </c>
      <c r="F1498" s="21" t="n">
        <f aca="false">F1496-F1497</f>
        <v>19.528112937199</v>
      </c>
      <c r="G1498" s="21" t="n">
        <f aca="false">G1496-G1497</f>
        <v>23.0477487857447</v>
      </c>
    </row>
    <row r="1499" customFormat="false" ht="17.15" hidden="false" customHeight="false" outlineLevel="0" collapsed="false">
      <c r="A1499" s="3" t="s">
        <v>749</v>
      </c>
      <c r="B1499" s="0" t="s">
        <v>379</v>
      </c>
      <c r="C1499" s="21" t="n">
        <f aca="false">a25_nci</f>
        <v>1.12112</v>
      </c>
      <c r="D1499" s="21" t="n">
        <f aca="false">a26_nci</f>
        <v>1.43839238487797</v>
      </c>
      <c r="E1499" s="21" t="n">
        <f aca="false">E1479*nm_lens*nci_sh</f>
        <v>1.57074538036261</v>
      </c>
      <c r="F1499" s="21" t="n">
        <f aca="false">F1479*nm_lens*nci_sh</f>
        <v>1.72781991839887</v>
      </c>
      <c r="G1499" s="21" t="n">
        <f aca="false">G1479*nm_lens*nci_sh</f>
        <v>1.90060191023875</v>
      </c>
      <c r="K1499" s="3" t="s">
        <v>750</v>
      </c>
    </row>
    <row r="1500" customFormat="false" ht="15" hidden="false" customHeight="false" outlineLevel="0" collapsed="false">
      <c r="A1500" s="3" t="s">
        <v>599</v>
      </c>
      <c r="B1500" s="0" t="s">
        <v>379</v>
      </c>
      <c r="C1500" s="21" t="n">
        <f aca="false">a25_ni</f>
        <v>1.596</v>
      </c>
      <c r="D1500" s="21" t="n">
        <f aca="false">a26_ni</f>
        <v>6.96140537512203</v>
      </c>
      <c r="E1500" s="21" t="n">
        <f aca="false">E1498-E1499</f>
        <v>14.4281943887461</v>
      </c>
      <c r="F1500" s="21" t="n">
        <f aca="false">F1498-F1499</f>
        <v>17.8002930188001</v>
      </c>
      <c r="G1500" s="21" t="n">
        <f aca="false">G1498-G1499</f>
        <v>21.147146875506</v>
      </c>
      <c r="H1500" s="30" t="n">
        <f aca="false">H1480*H1504</f>
        <v>23.617515432312</v>
      </c>
      <c r="I1500" s="30" t="n">
        <f aca="false">I1480*I1504</f>
        <v>25.723533839607</v>
      </c>
      <c r="J1500" s="30" t="n">
        <f aca="false">J1480*J1504</f>
        <v>27.3061958633271</v>
      </c>
    </row>
    <row r="1501" customFormat="false" ht="15" hidden="false" customHeight="false" outlineLevel="0" collapsed="false">
      <c r="A1501" s="3" t="s">
        <v>751</v>
      </c>
      <c r="B1501" s="3" t="s">
        <v>465</v>
      </c>
      <c r="C1501" s="29" t="n">
        <f aca="false">a25_sh</f>
        <v>0.454700854700855</v>
      </c>
      <c r="D1501" s="29" t="n">
        <f aca="false">a26_sh</f>
        <v>0.508341020486215</v>
      </c>
      <c r="E1501" s="29" t="n">
        <f aca="false">a26_shend*(1+sh_g)</f>
        <v>0.52691</v>
      </c>
      <c r="F1501" s="29" t="n">
        <f aca="false">E1501*(1+sh_g)</f>
        <v>0.52691</v>
      </c>
      <c r="G1501" s="29" t="n">
        <f aca="false">F1501*(1+sh_g)</f>
        <v>0.52691</v>
      </c>
      <c r="H1501" s="31" t="n">
        <f aca="false">G1501*(1+sh_g)</f>
        <v>0.52691</v>
      </c>
      <c r="I1501" s="31" t="n">
        <f aca="false">H1501*(1+sh_g)</f>
        <v>0.52691</v>
      </c>
      <c r="J1501" s="31" t="n">
        <f aca="false">I1501*(1+sh_g)</f>
        <v>0.52691</v>
      </c>
    </row>
    <row r="1502" customFormat="false" ht="17.15" hidden="false" customHeight="false" outlineLevel="0" collapsed="false">
      <c r="A1502" s="0" t="s">
        <v>604</v>
      </c>
      <c r="B1502" s="0" t="s">
        <v>471</v>
      </c>
      <c r="C1502" s="18" t="n">
        <f aca="false">C1500/C1501</f>
        <v>3.51</v>
      </c>
      <c r="D1502" s="18" t="n">
        <f aca="false">D1500/D1501</f>
        <v>13.6943608612652</v>
      </c>
      <c r="E1502" s="18" t="n">
        <f aca="false">E1500/E1501</f>
        <v>27.3826543218881</v>
      </c>
      <c r="F1502" s="18" t="n">
        <f aca="false">F1500/F1501</f>
        <v>33.7824163876186</v>
      </c>
      <c r="G1502" s="18" t="n">
        <f aca="false">G1500/G1501</f>
        <v>40.1342674754816</v>
      </c>
      <c r="H1502" s="28" t="n">
        <f aca="false">H1500/H1501</f>
        <v>44.8226745218576</v>
      </c>
      <c r="I1502" s="28" t="n">
        <f aca="false">I1500/I1501</f>
        <v>48.8195969702739</v>
      </c>
      <c r="J1502" s="28" t="n">
        <f aca="false">J1500/J1501</f>
        <v>51.8232636756317</v>
      </c>
    </row>
    <row r="1503" customFormat="false" ht="17.15" hidden="false" customHeight="false" outlineLevel="0" collapsed="false">
      <c r="A1503" s="0" t="s">
        <v>752</v>
      </c>
      <c r="B1503" s="0" t="s">
        <v>43</v>
      </c>
      <c r="D1503" s="20" t="n">
        <f aca="false">D1502/C1502-1</f>
        <v>2.90152731090177</v>
      </c>
      <c r="E1503" s="20" t="n">
        <f aca="false">E1502/D1502-1</f>
        <v>0.999556941670828</v>
      </c>
      <c r="F1503" s="20" t="n">
        <f aca="false">F1502/E1502-1</f>
        <v>0.233715913384442</v>
      </c>
      <c r="G1503" s="20" t="n">
        <f aca="false">G1502/F1502-1</f>
        <v>0.188022402393657</v>
      </c>
      <c r="H1503" s="26" t="n">
        <f aca="false">H1502/G1502-1</f>
        <v>0.116818054527599</v>
      </c>
      <c r="I1503" s="26" t="n">
        <f aca="false">I1502/H1502-1</f>
        <v>0.0891718865742213</v>
      </c>
      <c r="J1503" s="26" t="n">
        <f aca="false">J1502/I1502-1</f>
        <v>0.0615258398627645</v>
      </c>
    </row>
    <row r="1504" customFormat="false" ht="17.15" hidden="false" customHeight="false" outlineLevel="0" collapsed="false">
      <c r="A1504" s="3" t="s">
        <v>753</v>
      </c>
      <c r="B1504" s="0" t="s">
        <v>43</v>
      </c>
      <c r="C1504" s="16" t="n">
        <f aca="false">C1500/C1480</f>
        <v>0.0405580544331783</v>
      </c>
      <c r="D1504" s="16" t="n">
        <f aca="false">D1500/D1480</f>
        <v>0.127906349105057</v>
      </c>
      <c r="E1504" s="16" t="n">
        <f aca="false">E1500/E1480</f>
        <v>0.20029703939422</v>
      </c>
      <c r="F1504" s="16" t="n">
        <f aca="false">F1500/F1480</f>
        <v>0.21165062517679</v>
      </c>
      <c r="G1504" s="16" t="n">
        <f aca="false">G1500/G1480</f>
        <v>0.220023633059586</v>
      </c>
      <c r="H1504" s="27" t="n">
        <f aca="false">$G1504+(fade_mA-$G1504)*1/3</f>
        <v>0.220341265268875</v>
      </c>
      <c r="I1504" s="27" t="n">
        <f aca="false">$G1504+(fade_mA-$G1504)*2/3</f>
        <v>0.220658897478163</v>
      </c>
      <c r="J1504" s="27" t="n">
        <f aca="false">$G1504+(fade_mA-$G1504)*3/3</f>
        <v>0.220976529687452</v>
      </c>
    </row>
    <row r="1505" customFormat="false" ht="17.15" hidden="false" customHeight="false" outlineLevel="0" collapsed="false">
      <c r="A1505" s="3" t="s">
        <v>754</v>
      </c>
      <c r="B1505" s="0" t="s">
        <v>43</v>
      </c>
      <c r="C1505" s="20" t="n">
        <f aca="false">C1486/C1480</f>
        <v>0.155421717364235</v>
      </c>
      <c r="D1505" s="20" t="n">
        <f aca="false">D1486/D1480</f>
        <v>0.202110028699624</v>
      </c>
      <c r="E1505" s="20" t="n">
        <f aca="false">E1486/E1480</f>
        <v>0.235999708484498</v>
      </c>
      <c r="F1505" s="20" t="n">
        <f aca="false">F1486/F1480</f>
        <v>0.190244621212247</v>
      </c>
      <c r="G1505" s="20" t="n">
        <f aca="false">G1486/G1480</f>
        <v>0.124852946464054</v>
      </c>
      <c r="H1505" s="26" t="n">
        <f aca="false">$G1505+($G1488*(1+tp_g)^(life/2)-$G1505)*1/3</f>
        <v>0.125778843252168</v>
      </c>
      <c r="I1505" s="26" t="n">
        <f aca="false">$G1505+($G1488*(1+tp_g)^(life/2)-$G1505)*2/3</f>
        <v>0.126704740040282</v>
      </c>
      <c r="J1505" s="26" t="n">
        <f aca="false">$G1505+($G1488*(1+tp_g)^(life/2)-$G1505)*3/3</f>
        <v>0.127630636828396</v>
      </c>
      <c r="K1505" s="7" t="s">
        <v>755</v>
      </c>
    </row>
    <row r="1506" customFormat="false" ht="15" hidden="false" customHeight="false" outlineLevel="0" collapsed="false">
      <c r="A1506" s="3" t="s">
        <v>756</v>
      </c>
      <c r="B1506" s="0" t="s">
        <v>379</v>
      </c>
      <c r="D1506" s="21" t="n">
        <f aca="false">D1500+D1487-D1486</f>
        <v>4.28140537512203</v>
      </c>
      <c r="E1506" s="21" t="n">
        <f aca="false">E1500+E1487-E1486</f>
        <v>6.08319438874607</v>
      </c>
      <c r="F1506" s="21" t="n">
        <f aca="false">F1500+F1487-F1486</f>
        <v>11.4984180188001</v>
      </c>
      <c r="G1506" s="21" t="n">
        <f aca="false">G1500+G1487-G1486</f>
        <v>19.633006250506</v>
      </c>
      <c r="H1506" s="30" t="n">
        <f aca="false">H1500+H1487-H1486</f>
        <v>21.829690286039</v>
      </c>
      <c r="I1506" s="30" t="n">
        <f aca="false">I1500+I1487-I1486</f>
        <v>23.6711506083539</v>
      </c>
      <c r="J1506" s="30" t="n">
        <f aca="false">J1500+J1487-J1486</f>
        <v>25.0162560437722</v>
      </c>
      <c r="K1506" s="3" t="s">
        <v>757</v>
      </c>
    </row>
    <row r="1507" customFormat="false" ht="15" hidden="false" customHeight="false" outlineLevel="0" collapsed="false">
      <c r="A1507" s="3" t="s">
        <v>758</v>
      </c>
      <c r="B1507" s="0" t="s">
        <v>471</v>
      </c>
      <c r="D1507" s="18" t="n">
        <f aca="false">D1506/D1501</f>
        <v>8.42230943909854</v>
      </c>
      <c r="E1507" s="18" t="n">
        <f aca="false">E1506/E1501</f>
        <v>11.5450349941092</v>
      </c>
      <c r="F1507" s="18" t="n">
        <f aca="false">F1506/F1501</f>
        <v>21.8223567948988</v>
      </c>
      <c r="G1507" s="18" t="n">
        <f aca="false">G1506/G1501</f>
        <v>37.2606446081987</v>
      </c>
      <c r="H1507" s="28" t="n">
        <f aca="false">H1506/H1501</f>
        <v>41.4296374827562</v>
      </c>
      <c r="I1507" s="28" t="n">
        <f aca="false">I1506/I1501</f>
        <v>44.9244664332693</v>
      </c>
      <c r="J1507" s="28" t="n">
        <f aca="false">J1506/J1501</f>
        <v>47.4772846288212</v>
      </c>
    </row>
    <row r="1510" customFormat="false" ht="17.15" hidden="false" customHeight="false" outlineLevel="0" collapsed="false">
      <c r="A1510" s="1" t="s">
        <v>1117</v>
      </c>
    </row>
    <row r="1511" customFormat="false" ht="17.15" hidden="false" customHeight="false" outlineLevel="0" collapsed="false">
      <c r="A1511" s="4" t="s">
        <v>20</v>
      </c>
      <c r="B1511" s="4" t="s">
        <v>21</v>
      </c>
      <c r="C1511" s="13" t="s">
        <v>567</v>
      </c>
      <c r="D1511" s="13" t="s">
        <v>671</v>
      </c>
      <c r="E1511" s="13" t="s">
        <v>672</v>
      </c>
      <c r="F1511" s="13" t="s">
        <v>673</v>
      </c>
      <c r="G1511" s="13" t="s">
        <v>674</v>
      </c>
      <c r="H1511" s="13" t="s">
        <v>675</v>
      </c>
      <c r="I1511" s="13" t="s">
        <v>676</v>
      </c>
      <c r="J1511" s="13" t="s">
        <v>677</v>
      </c>
      <c r="K1511" s="4" t="s">
        <v>631</v>
      </c>
    </row>
    <row r="1512" customFormat="false" ht="17.15" hidden="false" customHeight="false" outlineLevel="0" collapsed="false">
      <c r="A1512" s="5" t="s">
        <v>695</v>
      </c>
    </row>
    <row r="1513" customFormat="false" ht="17.15" hidden="false" customHeight="false" outlineLevel="0" collapsed="false">
      <c r="A1513" s="0" t="s">
        <v>696</v>
      </c>
      <c r="B1513" s="3" t="s">
        <v>31</v>
      </c>
      <c r="D1513" s="21" t="n">
        <f aca="false">(u_bw_26+u_rb_26+u_ru_26+u_hp_26)*1</f>
        <v>7.6</v>
      </c>
      <c r="E1513" s="21" t="n">
        <f aca="false">(u_bw_27+u_rb_27+u_ru_27+u_hp_27)*1*1</f>
        <v>9.7</v>
      </c>
      <c r="F1513" s="21" t="n">
        <f aca="false">(u_bw_28+u_rb_28+u_ru_28+u_hp_28)*um28_A*1</f>
        <v>9.5</v>
      </c>
      <c r="G1513" s="21" t="n">
        <f aca="false">(u_bw_28*(1+g29_bw)+u_rb_28*(1+g29_rb)+u_ru_28*(1+g29_ru)+u_hp_28*(1+g29_hp))*um29_A*1</f>
        <v>10.6</v>
      </c>
      <c r="K1513" s="7" t="s">
        <v>697</v>
      </c>
    </row>
    <row r="1514" customFormat="false" ht="17.15" hidden="false" customHeight="false" outlineLevel="0" collapsed="false">
      <c r="A1514" s="3" t="s">
        <v>698</v>
      </c>
      <c r="B1514" s="3" t="s">
        <v>31</v>
      </c>
      <c r="D1514" s="21" t="n">
        <f aca="false">(u_amd_26+u_tpu_26+u_trn_26+u_oth_26)*1</f>
        <v>7.6</v>
      </c>
      <c r="E1514" s="21" t="n">
        <f aca="false">(u_amd_27+u_tpu_27+u_trn_27+u_oth_27)*1*1</f>
        <v>14</v>
      </c>
      <c r="F1514" s="21" t="n">
        <f aca="false">(u_amd_28+u_tpu_28+u_trn_28+u_oth_28)*um28_A*1</f>
        <v>17</v>
      </c>
      <c r="G1514" s="21" t="n">
        <f aca="false">(u_amd_28*(1+g29_amd)+u_tpu_28*(1+g29_tpu)+u_trn_28*(1+g29_trn)+u_oth_28*(1+g29_oth))*um29_A*1</f>
        <v>19.55</v>
      </c>
      <c r="K1514" s="7" t="s">
        <v>699</v>
      </c>
    </row>
    <row r="1515" customFormat="false" ht="17.15" hidden="false" customHeight="false" outlineLevel="0" collapsed="false">
      <c r="A1515" s="0" t="s">
        <v>700</v>
      </c>
      <c r="B1515" s="3" t="s">
        <v>31</v>
      </c>
      <c r="D1515" s="21" t="n">
        <f aca="false">D1513*cpu_r</f>
        <v>3.04</v>
      </c>
      <c r="E1515" s="21" t="n">
        <f aca="false">E1513*cpu_r</f>
        <v>3.88</v>
      </c>
      <c r="F1515" s="21" t="n">
        <f aca="false">F1513*cpu_r</f>
        <v>3.8</v>
      </c>
      <c r="G1515" s="21" t="n">
        <f aca="false">G1513*cpu_r</f>
        <v>4.24</v>
      </c>
      <c r="K1515" s="7" t="s">
        <v>701</v>
      </c>
    </row>
    <row r="1516" customFormat="false" ht="17.15" hidden="false" customHeight="false" outlineLevel="0" collapsed="false">
      <c r="A1516" s="3" t="s">
        <v>702</v>
      </c>
      <c r="B1516" s="0" t="s">
        <v>153</v>
      </c>
      <c r="D1516" s="19" t="n">
        <f aca="false">1</f>
        <v>1</v>
      </c>
      <c r="E1516" s="19" t="n">
        <f aca="false">D1516*(1+g_asp)</f>
        <v>1.18</v>
      </c>
      <c r="F1516" s="19" t="n">
        <f aca="false">E1516*(1+g_asp)</f>
        <v>1.3924</v>
      </c>
      <c r="G1516" s="19" t="n">
        <f aca="false">F1516*(1+g_asp)</f>
        <v>1.643032</v>
      </c>
      <c r="K1516" s="7" t="s">
        <v>703</v>
      </c>
    </row>
    <row r="1517" customFormat="false" ht="17.15" hidden="false" customHeight="false" outlineLevel="0" collapsed="false">
      <c r="A1517" s="0" t="s">
        <v>704</v>
      </c>
      <c r="B1517" s="0" t="s">
        <v>153</v>
      </c>
      <c r="D1517" s="18" t="n">
        <f aca="false">1</f>
        <v>1</v>
      </c>
      <c r="E1517" s="18" t="n">
        <f aca="false">ibpp_27</f>
        <v>1</v>
      </c>
      <c r="F1517" s="18" t="n">
        <f aca="false">ibpp_28</f>
        <v>0.95</v>
      </c>
      <c r="G1517" s="18" t="n">
        <f aca="false">ibpp_29</f>
        <v>0.9</v>
      </c>
      <c r="K1517" s="7" t="s">
        <v>705</v>
      </c>
    </row>
    <row r="1518" customFormat="false" ht="17.15" hidden="false" customHeight="false" outlineLevel="0" collapsed="false">
      <c r="A1518" s="3" t="s">
        <v>706</v>
      </c>
      <c r="B1518" s="0" t="s">
        <v>153</v>
      </c>
      <c r="D1518" s="18" t="n">
        <f aca="false">1</f>
        <v>1</v>
      </c>
      <c r="E1518" s="18" t="n">
        <f aca="false">1+carry</f>
        <v>1.15</v>
      </c>
      <c r="F1518" s="18" t="n">
        <f aca="false">1+carry</f>
        <v>1.15</v>
      </c>
      <c r="G1518" s="18" t="n">
        <f aca="false">1+carry</f>
        <v>1.15</v>
      </c>
      <c r="K1518" s="7" t="s">
        <v>707</v>
      </c>
    </row>
    <row r="1519" customFormat="false" ht="17.15" hidden="false" customHeight="false" outlineLevel="0" collapsed="false">
      <c r="A1519" s="3" t="s">
        <v>708</v>
      </c>
      <c r="B1519" s="0" t="s">
        <v>709</v>
      </c>
      <c r="D1519" s="23" t="n">
        <f aca="false">v26*D1516*D1517</f>
        <v>215.308596</v>
      </c>
      <c r="E1519" s="23" t="n">
        <f aca="false">v26*E1516*E1517</f>
        <v>254.06414328</v>
      </c>
      <c r="F1519" s="23" t="n">
        <f aca="false">v26*F1516*F1517</f>
        <v>284.80590461688</v>
      </c>
      <c r="G1519" s="23" t="n">
        <f aca="false">v26*G1516*G1517</f>
        <v>318.383021792765</v>
      </c>
      <c r="K1519" s="7" t="s">
        <v>710</v>
      </c>
    </row>
    <row r="1520" customFormat="false" ht="17.15" hidden="false" customHeight="false" outlineLevel="0" collapsed="false">
      <c r="A1520" s="3" t="s">
        <v>711</v>
      </c>
      <c r="B1520" s="0" t="s">
        <v>43</v>
      </c>
      <c r="D1520" s="20" t="n">
        <f aca="false">sh_nv_26</f>
        <v>0.02</v>
      </c>
      <c r="E1520" s="20" t="n">
        <f aca="false">sh_nv_27</f>
        <v>0.03</v>
      </c>
      <c r="F1520" s="20" t="n">
        <f aca="false">sh_nv_28</f>
        <v>0.05</v>
      </c>
      <c r="G1520" s="20" t="n">
        <f aca="false">sh_nv_29</f>
        <v>0.06</v>
      </c>
    </row>
    <row r="1521" customFormat="false" ht="17.15" hidden="false" customHeight="false" outlineLevel="0" collapsed="false">
      <c r="A1521" s="3" t="s">
        <v>712</v>
      </c>
      <c r="B1521" s="0" t="s">
        <v>43</v>
      </c>
      <c r="D1521" s="20" t="n">
        <f aca="false">sh_ot_26</f>
        <v>0.03</v>
      </c>
      <c r="E1521" s="20" t="n">
        <f aca="false">sh_ot_27</f>
        <v>0.05</v>
      </c>
      <c r="F1521" s="20" t="n">
        <f aca="false">sh_ot_28</f>
        <v>0.06</v>
      </c>
      <c r="G1521" s="20" t="n">
        <f aca="false">sh_ot_29</f>
        <v>0.06</v>
      </c>
    </row>
    <row r="1522" customFormat="false" ht="17.15" hidden="false" customHeight="false" outlineLevel="0" collapsed="false">
      <c r="A1522" s="3" t="s">
        <v>713</v>
      </c>
      <c r="B1522" s="0" t="s">
        <v>43</v>
      </c>
      <c r="D1522" s="20" t="n">
        <f aca="false">sh_cpu_26</f>
        <v>0.35</v>
      </c>
      <c r="E1522" s="20" t="n">
        <f aca="false">sh_cpu_27</f>
        <v>0.7</v>
      </c>
      <c r="F1522" s="20" t="n">
        <f aca="false">sh_cpu_28</f>
        <v>0.75</v>
      </c>
      <c r="G1522" s="20" t="n">
        <f aca="false">sh_cpu_29</f>
        <v>0.7</v>
      </c>
    </row>
    <row r="1523" customFormat="false" ht="17.15" hidden="false" customHeight="false" outlineLevel="0" collapsed="false">
      <c r="A1523" s="3" t="s">
        <v>714</v>
      </c>
      <c r="B1523" s="0" t="s">
        <v>661</v>
      </c>
      <c r="D1523" s="22" t="n">
        <f aca="false">(D1513*D1519*D1520+D1514*D1519*v_ot*D1521+D1515*D1519*v_cpu_lo*D1522)*D1518</f>
        <v>117.8168637312</v>
      </c>
      <c r="E1523" s="22" t="n">
        <f aca="false">(E1513*E1519*E1520+E1514*E1519*v_ot*E1521+E1515*E1519*v_cpu_lo*E1522)*E1518</f>
        <v>407.348662845122</v>
      </c>
      <c r="F1523" s="22" t="n">
        <f aca="false">(F1513*F1519*F1520+F1514*F1519*v_ot*F1521+F1515*F1519*v_cpu_lo*F1522)*F1518</f>
        <v>609.527356765816</v>
      </c>
      <c r="G1523" s="22" t="n">
        <f aca="false">(G1513*G1519*G1520+G1514*G1519*v_ot*G1521+G1515*G1519*v_cpu_lo*G1522)*G1518</f>
        <v>793.792549933721</v>
      </c>
    </row>
    <row r="1524" customFormat="false" ht="17.15" hidden="false" customHeight="false" outlineLevel="0" collapsed="false">
      <c r="A1524" s="3" t="s">
        <v>715</v>
      </c>
      <c r="B1524" s="0" t="s">
        <v>379</v>
      </c>
      <c r="D1524" s="21" t="n">
        <f aca="false">D1523*fx/1000</f>
        <v>3.7701396393984</v>
      </c>
      <c r="E1524" s="21" t="n">
        <f aca="false">E1523*fx/1000</f>
        <v>13.0351572110439</v>
      </c>
      <c r="F1524" s="21" t="n">
        <f aca="false">F1523*fx/1000</f>
        <v>19.5048754165061</v>
      </c>
      <c r="G1524" s="21" t="n">
        <f aca="false">G1523*fx/1000</f>
        <v>25.4013615978791</v>
      </c>
    </row>
    <row r="1525" customFormat="false" ht="17.15" hidden="false" customHeight="false" outlineLevel="0" collapsed="false">
      <c r="A1525" s="5" t="s">
        <v>716</v>
      </c>
    </row>
    <row r="1526" customFormat="false" ht="17.15" hidden="false" customHeight="false" outlineLevel="0" collapsed="false">
      <c r="A1526" s="0" t="s">
        <v>717</v>
      </c>
      <c r="B1526" s="0" t="s">
        <v>379</v>
      </c>
      <c r="D1526" s="21" t="n">
        <f aca="false">a26_abf*ai_abf</f>
        <v>5.714709</v>
      </c>
      <c r="K1526" s="3" t="s">
        <v>718</v>
      </c>
    </row>
    <row r="1527" customFormat="false" ht="17.15" hidden="false" customHeight="false" outlineLevel="0" collapsed="false">
      <c r="A1527" s="3" t="s">
        <v>719</v>
      </c>
      <c r="B1527" s="0" t="s">
        <v>379</v>
      </c>
      <c r="D1527" s="21" t="n">
        <f aca="false">D1526-D1524</f>
        <v>1.9445693606016</v>
      </c>
      <c r="E1527" s="21" t="n">
        <f aca="false">$D1527*(swm_27/swm_26)^el_o*1*1*E1517*E1518</f>
        <v>3.12787814480952</v>
      </c>
      <c r="F1527" s="21" t="n">
        <f aca="false">$D1527*(swm_28/swm_26)^el_o*um28_A*1*F1517*F1518</f>
        <v>3.19657053388336</v>
      </c>
      <c r="G1527" s="21" t="n">
        <f aca="false">$D1527*(swm_29/swm_26)^el_o*um29_A*1*G1517*G1518</f>
        <v>3.2306466076658</v>
      </c>
      <c r="K1527" s="7" t="s">
        <v>720</v>
      </c>
    </row>
    <row r="1528" customFormat="false" ht="17.15" hidden="false" customHeight="false" outlineLevel="0" collapsed="false">
      <c r="A1528" s="3" t="s">
        <v>721</v>
      </c>
      <c r="B1528" s="0" t="s">
        <v>379</v>
      </c>
      <c r="D1528" s="21" t="n">
        <f aca="false">a26_abf-D1526</f>
        <v>17.144127</v>
      </c>
      <c r="E1528" s="21" t="n">
        <f aca="false">$D1528*(1+g_nai)^1*E1518</f>
        <v>20.898690813</v>
      </c>
      <c r="F1528" s="21" t="n">
        <f aca="false">$D1528*(1+g_nai)^2*F1518</f>
        <v>22.15261226178</v>
      </c>
      <c r="G1528" s="21" t="n">
        <f aca="false">$D1528*(1+g_nai)^3*G1518</f>
        <v>23.4817689974868</v>
      </c>
      <c r="K1528" s="3" t="s">
        <v>722</v>
      </c>
    </row>
    <row r="1529" customFormat="false" ht="17.15" hidden="false" customHeight="false" outlineLevel="0" collapsed="false">
      <c r="A1529" s="0" t="s">
        <v>723</v>
      </c>
      <c r="B1529" s="0" t="s">
        <v>379</v>
      </c>
      <c r="D1529" s="21" t="n">
        <f aca="false">D1524+D1527+D1528</f>
        <v>22.858836</v>
      </c>
      <c r="E1529" s="21" t="n">
        <f aca="false">E1524+E1527+E1528</f>
        <v>37.0617261688534</v>
      </c>
      <c r="F1529" s="21" t="n">
        <f aca="false">F1524+F1527+F1528</f>
        <v>44.8540582121695</v>
      </c>
      <c r="G1529" s="21" t="n">
        <f aca="false">G1524+G1527+G1528</f>
        <v>52.1137772030317</v>
      </c>
    </row>
    <row r="1530" customFormat="false" ht="17.15" hidden="false" customHeight="false" outlineLevel="0" collapsed="false">
      <c r="A1530" s="0" t="s">
        <v>724</v>
      </c>
      <c r="B1530" s="0" t="s">
        <v>379</v>
      </c>
      <c r="D1530" s="21" t="n">
        <f aca="false">a26_abf</f>
        <v>22.858836</v>
      </c>
      <c r="E1530" s="21" t="n">
        <f aca="false">$D1529*cap_27*(1+g_mix)^1*E1517*E1518</f>
        <v>33.122453364</v>
      </c>
      <c r="F1530" s="21" t="n">
        <f aca="false">$D1529*cap_28*(1+g_mix)^2*F1517*F1518</f>
        <v>41.2995590382375</v>
      </c>
      <c r="G1530" s="21" t="n">
        <f aca="false">$D1529*cap_29*(1+g_mix)^3*G1517*G1518</f>
        <v>50.6680379569114</v>
      </c>
      <c r="K1530" s="7" t="s">
        <v>725</v>
      </c>
    </row>
    <row r="1531" customFormat="false" ht="17.15" hidden="false" customHeight="false" outlineLevel="0" collapsed="false">
      <c r="A1531" s="0" t="s">
        <v>726</v>
      </c>
      <c r="B1531" s="0" t="s">
        <v>379</v>
      </c>
      <c r="D1531" s="21" t="n">
        <f aca="false">a26_abf</f>
        <v>22.858836</v>
      </c>
      <c r="E1531" s="21" t="n">
        <f aca="false">MIN(E1529,E1530)</f>
        <v>33.122453364</v>
      </c>
      <c r="F1531" s="21" t="n">
        <f aca="false">MIN(F1529,F1530)</f>
        <v>41.2995590382375</v>
      </c>
      <c r="G1531" s="21" t="n">
        <f aca="false">MIN(G1529,G1530)</f>
        <v>50.6680379569114</v>
      </c>
    </row>
    <row r="1532" customFormat="false" ht="17.15" hidden="false" customHeight="false" outlineLevel="0" collapsed="false">
      <c r="A1532" s="3" t="s">
        <v>727</v>
      </c>
      <c r="B1532" s="0" t="s">
        <v>43</v>
      </c>
      <c r="D1532" s="20" t="n">
        <f aca="false">D1531/D1529</f>
        <v>1</v>
      </c>
      <c r="E1532" s="20" t="n">
        <f aca="false">E1531/E1529</f>
        <v>0.893710487555111</v>
      </c>
      <c r="F1532" s="20" t="n">
        <f aca="false">F1531/F1529</f>
        <v>0.920754123136007</v>
      </c>
      <c r="G1532" s="20" t="n">
        <f aca="false">G1531/G1529</f>
        <v>0.972258022279065</v>
      </c>
    </row>
    <row r="1533" customFormat="false" ht="17.15" hidden="false" customHeight="false" outlineLevel="0" collapsed="false">
      <c r="A1533" s="0" t="s">
        <v>728</v>
      </c>
      <c r="B1533" s="0" t="s">
        <v>379</v>
      </c>
      <c r="D1533" s="21" t="n">
        <f aca="false">(D1524+D1527)*D1532</f>
        <v>5.714709</v>
      </c>
      <c r="E1533" s="21" t="n">
        <f aca="false">(E1524+E1527)*E1532</f>
        <v>14.4450742082503</v>
      </c>
      <c r="F1533" s="21" t="n">
        <f aca="false">(F1524+F1527)*F1532</f>
        <v>20.9024499599703</v>
      </c>
      <c r="G1533" s="21" t="n">
        <f aca="false">(G1524+G1527)*G1532</f>
        <v>27.837699671801</v>
      </c>
    </row>
    <row r="1534" customFormat="false" ht="17.15" hidden="false" customHeight="false" outlineLevel="0" collapsed="false">
      <c r="A1534" s="3" t="s">
        <v>729</v>
      </c>
      <c r="B1534" s="0" t="s">
        <v>43</v>
      </c>
      <c r="D1534" s="20" t="n">
        <f aca="false">D1524/(D1524+D1527)</f>
        <v>0.659725567723291</v>
      </c>
      <c r="E1534" s="20" t="n">
        <f aca="false">E1524/(E1524+E1527)</f>
        <v>0.806479533333647</v>
      </c>
      <c r="F1534" s="20" t="n">
        <f aca="false">F1524/(F1524+F1527)</f>
        <v>0.859190884101877</v>
      </c>
      <c r="G1534" s="20" t="n">
        <f aca="false">G1524/(G1524+G1527)</f>
        <v>0.887166607927971</v>
      </c>
    </row>
    <row r="1535" customFormat="false" ht="17.15" hidden="false" customHeight="false" outlineLevel="0" collapsed="false">
      <c r="A1535" s="5" t="s">
        <v>730</v>
      </c>
    </row>
    <row r="1536" customFormat="false" ht="17.15" hidden="false" customHeight="false" outlineLevel="0" collapsed="false">
      <c r="A1536" s="0" t="s">
        <v>731</v>
      </c>
      <c r="B1536" s="0" t="s">
        <v>379</v>
      </c>
      <c r="D1536" s="21" t="n">
        <f aca="false">a26_bt</f>
        <v>23.265964</v>
      </c>
      <c r="E1536" s="21" t="n">
        <f aca="false">D1536*(1+g_bt27_A)</f>
        <v>29.78043392</v>
      </c>
      <c r="F1536" s="21" t="n">
        <f aca="false">E1536*(1+g_bt28_A)</f>
        <v>32.758477312</v>
      </c>
      <c r="G1536" s="21" t="n">
        <f aca="false">F1536*(1+g_bt29_A)</f>
        <v>34.3964011776</v>
      </c>
      <c r="K1536" s="7" t="s">
        <v>732</v>
      </c>
    </row>
    <row r="1537" customFormat="false" ht="17.15" hidden="false" customHeight="false" outlineLevel="0" collapsed="false">
      <c r="A1537" s="3" t="s">
        <v>617</v>
      </c>
      <c r="B1537" s="0" t="s">
        <v>379</v>
      </c>
      <c r="C1537" s="21" t="n">
        <f aca="false">a25_lens</f>
        <v>7.039</v>
      </c>
      <c r="D1537" s="21" t="n">
        <f aca="false">a26_lens</f>
        <v>8.301</v>
      </c>
      <c r="E1537" s="21" t="n">
        <f aca="false">D1537*(1+g_lens)</f>
        <v>9.1311</v>
      </c>
      <c r="F1537" s="21" t="n">
        <f aca="false">E1537*(1+g_lens)</f>
        <v>10.04421</v>
      </c>
      <c r="G1537" s="21" t="n">
        <f aca="false">F1537*(1+g_lens)</f>
        <v>11.048631</v>
      </c>
      <c r="K1537" s="3" t="s">
        <v>733</v>
      </c>
    </row>
    <row r="1538" customFormat="false" ht="17.15" hidden="false" customHeight="false" outlineLevel="0" collapsed="false">
      <c r="A1538" s="3" t="s">
        <v>574</v>
      </c>
      <c r="B1538" s="0" t="s">
        <v>379</v>
      </c>
      <c r="C1538" s="23" t="n">
        <f aca="false">a25_rev</f>
        <v>39.351</v>
      </c>
      <c r="D1538" s="23" t="n">
        <f aca="false">D1531+D1536+D1537</f>
        <v>54.4258</v>
      </c>
      <c r="E1538" s="23" t="n">
        <f aca="false">E1531+E1536+E1537</f>
        <v>72.033987284</v>
      </c>
      <c r="F1538" s="23" t="n">
        <f aca="false">F1531+F1536+F1537</f>
        <v>84.1022463502375</v>
      </c>
      <c r="G1538" s="23" t="n">
        <f aca="false">G1531+G1536+G1537</f>
        <v>96.1130701345114</v>
      </c>
      <c r="H1538" s="25" t="n">
        <f aca="false">G1538*(1+H1540)</f>
        <v>107.186075216063</v>
      </c>
      <c r="I1538" s="25" t="n">
        <f aca="false">H1538*(1+I1540)</f>
        <v>116.576010002736</v>
      </c>
      <c r="J1538" s="25" t="n">
        <f aca="false">I1538*(1+J1540)</f>
        <v>123.5705706029</v>
      </c>
      <c r="K1538" s="7" t="s">
        <v>734</v>
      </c>
    </row>
    <row r="1539" customFormat="false" ht="17.15" hidden="false" customHeight="false" outlineLevel="0" collapsed="false">
      <c r="A1539" s="3" t="s">
        <v>735</v>
      </c>
      <c r="B1539" s="0" t="s">
        <v>379</v>
      </c>
      <c r="D1539" s="19" t="n">
        <f aca="false">D1531+D1536+D1537-D1538</f>
        <v>0</v>
      </c>
      <c r="E1539" s="19" t="n">
        <f aca="false">E1531+E1536+E1537-E1538</f>
        <v>0</v>
      </c>
      <c r="F1539" s="19" t="n">
        <f aca="false">F1531+F1536+F1537-F1538</f>
        <v>0</v>
      </c>
      <c r="G1539" s="19" t="n">
        <f aca="false">G1531+G1536+G1537-G1538</f>
        <v>0</v>
      </c>
    </row>
    <row r="1540" customFormat="false" ht="15" hidden="false" customHeight="false" outlineLevel="0" collapsed="false">
      <c r="A1540" s="3" t="s">
        <v>736</v>
      </c>
      <c r="B1540" s="0" t="s">
        <v>43</v>
      </c>
      <c r="D1540" s="20" t="n">
        <f aca="false">D1538/C1538-1</f>
        <v>0.383085563263958</v>
      </c>
      <c r="E1540" s="20" t="n">
        <f aca="false">E1538/D1538-1</f>
        <v>0.323526476119781</v>
      </c>
      <c r="F1540" s="20" t="n">
        <f aca="false">F1538/E1538-1</f>
        <v>0.167535624796909</v>
      </c>
      <c r="G1540" s="20" t="n">
        <f aca="false">G1538/F1538-1</f>
        <v>0.142812163830389</v>
      </c>
      <c r="H1540" s="26" t="n">
        <f aca="false">$G1540+(fade_gA-$G1540)*1/3</f>
        <v>0.115208109220259</v>
      </c>
      <c r="I1540" s="26" t="n">
        <f aca="false">$G1540+(fade_gA-$G1540)*2/3</f>
        <v>0.0876040546101297</v>
      </c>
      <c r="J1540" s="26" t="n">
        <f aca="false">$G1540+(fade_gA-$G1540)*3/3</f>
        <v>0.06</v>
      </c>
    </row>
    <row r="1541" customFormat="false" ht="17.15" hidden="false" customHeight="false" outlineLevel="0" collapsed="false">
      <c r="A1541" s="0" t="s">
        <v>737</v>
      </c>
      <c r="B1541" s="0" t="s">
        <v>43</v>
      </c>
      <c r="D1541" s="20" t="n">
        <f aca="false">D1531/D1538</f>
        <v>0.42</v>
      </c>
      <c r="E1541" s="20" t="n">
        <f aca="false">E1531/E1538</f>
        <v>0.459817019893845</v>
      </c>
      <c r="F1541" s="20" t="n">
        <f aca="false">F1531/F1538</f>
        <v>0.491063685341395</v>
      </c>
      <c r="G1541" s="20" t="n">
        <f aca="false">G1531/G1538</f>
        <v>0.527171152539409</v>
      </c>
    </row>
    <row r="1542" customFormat="false" ht="17.15" hidden="false" customHeight="false" outlineLevel="0" collapsed="false">
      <c r="A1542" s="0" t="s">
        <v>738</v>
      </c>
      <c r="B1542" s="0" t="s">
        <v>43</v>
      </c>
      <c r="D1542" s="20" t="n">
        <f aca="false">D1533/D1538</f>
        <v>0.105</v>
      </c>
      <c r="E1542" s="20" t="n">
        <f aca="false">E1533/E1538</f>
        <v>0.200531370716706</v>
      </c>
      <c r="F1542" s="20" t="n">
        <f aca="false">F1533/F1538</f>
        <v>0.248536167190156</v>
      </c>
      <c r="G1542" s="20" t="n">
        <f aca="false">G1533/G1538</f>
        <v>0.289634902233815</v>
      </c>
      <c r="K1542" s="3" t="s">
        <v>739</v>
      </c>
    </row>
    <row r="1543" customFormat="false" ht="17.15" hidden="false" customHeight="false" outlineLevel="0" collapsed="false">
      <c r="A1543" s="5" t="s">
        <v>740</v>
      </c>
    </row>
    <row r="1544" customFormat="false" ht="15" hidden="false" customHeight="false" outlineLevel="0" collapsed="false">
      <c r="A1544" s="3" t="s">
        <v>741</v>
      </c>
      <c r="B1544" s="0" t="s">
        <v>379</v>
      </c>
      <c r="C1544" s="23" t="n">
        <f aca="false">a25_cx</f>
        <v>6.116</v>
      </c>
      <c r="D1544" s="23" t="n">
        <f aca="false">capex26</f>
        <v>11</v>
      </c>
      <c r="E1544" s="23" t="n">
        <f aca="false">cx27</f>
        <v>17</v>
      </c>
      <c r="F1544" s="23" t="n">
        <f aca="false">cx28</f>
        <v>16</v>
      </c>
      <c r="G1544" s="23" t="n">
        <f aca="false">cx29</f>
        <v>12</v>
      </c>
      <c r="H1544" s="25" t="n">
        <f aca="false">H1538*H1563</f>
        <v>13.4817405534162</v>
      </c>
      <c r="I1544" s="25" t="n">
        <f aca="false">I1538*I1563</f>
        <v>14.77073304233</v>
      </c>
      <c r="J1544" s="25" t="n">
        <f aca="false">J1538*J1563</f>
        <v>15.7713906192965</v>
      </c>
    </row>
    <row r="1545" customFormat="false" ht="17.15" hidden="false" customHeight="false" outlineLevel="0" collapsed="false">
      <c r="A1545" s="3" t="s">
        <v>742</v>
      </c>
      <c r="B1545" s="0" t="s">
        <v>379</v>
      </c>
      <c r="C1545" s="23" t="n">
        <f aca="false">a25_da</f>
        <v>7.158</v>
      </c>
      <c r="D1545" s="23" t="n">
        <f aca="false">da26</f>
        <v>8.32</v>
      </c>
      <c r="E1545" s="23" t="n">
        <f aca="false">D1545*(1-1/life)+D1544/life</f>
        <v>8.655</v>
      </c>
      <c r="F1545" s="23" t="n">
        <f aca="false">E1545*(1-1/life)+E1544/life</f>
        <v>9.698125</v>
      </c>
      <c r="G1545" s="23" t="n">
        <f aca="false">F1545*(1-1/life)+F1544/life</f>
        <v>10.485859375</v>
      </c>
      <c r="H1545" s="25" t="n">
        <f aca="false">H1538*H1546</f>
        <v>11.6939154071433</v>
      </c>
      <c r="I1545" s="25" t="n">
        <f aca="false">I1538*I1546</f>
        <v>12.7183498110769</v>
      </c>
      <c r="J1545" s="25" t="n">
        <f aca="false">J1538*J1546</f>
        <v>13.4814507997415</v>
      </c>
      <c r="K1545" s="3" t="s">
        <v>743</v>
      </c>
    </row>
    <row r="1546" customFormat="false" ht="17.15" hidden="false" customHeight="false" outlineLevel="0" collapsed="false">
      <c r="A1546" s="3" t="s">
        <v>744</v>
      </c>
      <c r="B1546" s="0" t="s">
        <v>43</v>
      </c>
      <c r="C1546" s="20" t="n">
        <f aca="false">C1545/C1538</f>
        <v>0.181901349393916</v>
      </c>
      <c r="D1546" s="20" t="n">
        <f aca="false">D1545/D1538</f>
        <v>0.152868676252807</v>
      </c>
      <c r="E1546" s="20" t="n">
        <f aca="false">E1545/E1538</f>
        <v>0.120151616290196</v>
      </c>
      <c r="F1546" s="20" t="n">
        <f aca="false">F1545/F1538</f>
        <v>0.115313507318376</v>
      </c>
      <c r="G1546" s="20" t="n">
        <f aca="false">G1545/G1538</f>
        <v>0.109099203264706</v>
      </c>
      <c r="H1546" s="26" t="n">
        <f aca="false">$G1546</f>
        <v>0.109099203264706</v>
      </c>
      <c r="I1546" s="26" t="n">
        <f aca="false">$G1546</f>
        <v>0.109099203264706</v>
      </c>
      <c r="J1546" s="26" t="n">
        <f aca="false">$G1546</f>
        <v>0.109099203264706</v>
      </c>
    </row>
    <row r="1547" customFormat="false" ht="17.15" hidden="false" customHeight="false" outlineLevel="0" collapsed="false">
      <c r="A1547" s="0" t="s">
        <v>745</v>
      </c>
      <c r="B1547" s="0" t="s">
        <v>379</v>
      </c>
      <c r="E1547" s="21" t="n">
        <f aca="false">E1532*((E1524+E1527)*(1-1/(E1517*E1518))+E1528*(1-1/E1518))</f>
        <v>4.320320004</v>
      </c>
      <c r="F1547" s="21" t="n">
        <f aca="false">F1532*((F1524+F1527)*(1-1/(F1517*F1518))+F1528*(1-1/F1518))</f>
        <v>4.43026513954263</v>
      </c>
      <c r="G1547" s="21" t="n">
        <f aca="false">G1532*((G1524+G1527)*(1-1/(G1517*G1518))+G1528*(1-1/G1518))</f>
        <v>3.91924169758737</v>
      </c>
      <c r="K1547" s="7" t="s">
        <v>746</v>
      </c>
    </row>
    <row r="1548" customFormat="false" ht="17.15" hidden="false" customHeight="false" outlineLevel="0" collapsed="false">
      <c r="A1548" s="3" t="s">
        <v>747</v>
      </c>
      <c r="B1548" s="0" t="s">
        <v>379</v>
      </c>
      <c r="C1548" s="21" t="n">
        <f aca="false">a25_gp</f>
        <v>8.314</v>
      </c>
      <c r="D1548" s="21" t="n">
        <f aca="false">a26_gp</f>
        <v>15.328536</v>
      </c>
      <c r="E1548" s="21" t="n">
        <f aca="false">$D1548+ft_abf*(E1531-E1547-$D1531)+ft_bt*(E1536-$D1536)+ft_lens*(E1537-$D1537)+E1547-(E1545-$D1545)</f>
        <v>25.590561148</v>
      </c>
      <c r="F1548" s="21" t="n">
        <f aca="false">$D1548+ft_abf*(F1531-F1547-$D1531)+ft_bt*(F1536-$D1536)+ft_lens*(F1537-$D1537)+F1547-(F1545-$D1545)</f>
        <v>30.4419805792901</v>
      </c>
      <c r="G1548" s="21" t="n">
        <f aca="false">$D1548+ft_abf*(G1531-G1547-$D1531)+ft_bt*(G1536-$D1536)+ft_lens*(G1537-$D1537)+G1547-(G1545-$D1545)</f>
        <v>35.2720291321694</v>
      </c>
      <c r="K1548" s="3" t="s">
        <v>748</v>
      </c>
    </row>
    <row r="1549" customFormat="false" ht="15" hidden="false" customHeight="false" outlineLevel="0" collapsed="false">
      <c r="A1549" s="3" t="s">
        <v>581</v>
      </c>
      <c r="B1549" s="0" t="s">
        <v>43</v>
      </c>
      <c r="C1549" s="16" t="n">
        <f aca="false">C1548/C1538</f>
        <v>0.211277985311682</v>
      </c>
      <c r="D1549" s="16" t="n">
        <f aca="false">D1548/D1538</f>
        <v>0.281640986443929</v>
      </c>
      <c r="E1549" s="16" t="n">
        <f aca="false">E1548/E1538</f>
        <v>0.3552567629931</v>
      </c>
      <c r="F1549" s="16" t="n">
        <f aca="false">F1548/F1538</f>
        <v>0.361963941516101</v>
      </c>
      <c r="G1549" s="16" t="n">
        <f aca="false">G1548/G1538</f>
        <v>0.366984730409774</v>
      </c>
    </row>
    <row r="1550" customFormat="false" ht="15" hidden="false" customHeight="false" outlineLevel="0" collapsed="false">
      <c r="A1550" s="3" t="s">
        <v>583</v>
      </c>
      <c r="B1550" s="0" t="s">
        <v>379</v>
      </c>
      <c r="C1550" s="21" t="n">
        <f aca="false">a25_opx</f>
        <v>5.644</v>
      </c>
      <c r="D1550" s="21" t="n">
        <f aca="false">a26_opx</f>
        <v>6.54036</v>
      </c>
      <c r="E1550" s="21" t="n">
        <f aca="false">D1550*(1+phi*E1540)</f>
        <v>7.80994777401287</v>
      </c>
      <c r="F1550" s="21" t="n">
        <f aca="false">E1550*(1+phi*F1540)</f>
        <v>8.59501446198315</v>
      </c>
      <c r="G1550" s="21" t="n">
        <f aca="false">F1550*(1+phi*G1540)</f>
        <v>9.33149803006473</v>
      </c>
    </row>
    <row r="1551" customFormat="false" ht="15" hidden="false" customHeight="false" outlineLevel="0" collapsed="false">
      <c r="A1551" s="3" t="s">
        <v>586</v>
      </c>
      <c r="B1551" s="0" t="s">
        <v>379</v>
      </c>
      <c r="C1551" s="21" t="n">
        <f aca="false">C1548-C1550</f>
        <v>2.67</v>
      </c>
      <c r="D1551" s="21" t="n">
        <f aca="false">D1548-D1550</f>
        <v>8.788176</v>
      </c>
      <c r="E1551" s="21" t="n">
        <f aca="false">E1548-E1550</f>
        <v>17.7806133739871</v>
      </c>
      <c r="F1551" s="21" t="n">
        <f aca="false">F1548-F1550</f>
        <v>21.8469661173069</v>
      </c>
      <c r="G1551" s="21" t="n">
        <f aca="false">G1548-G1550</f>
        <v>25.9405311021047</v>
      </c>
    </row>
    <row r="1552" customFormat="false" ht="15" hidden="false" customHeight="false" outlineLevel="0" collapsed="false">
      <c r="A1552" s="3" t="s">
        <v>684</v>
      </c>
      <c r="B1552" s="0" t="s">
        <v>43</v>
      </c>
      <c r="C1552" s="16" t="n">
        <f aca="false">C1551/C1538</f>
        <v>0.0678508805367081</v>
      </c>
      <c r="D1552" s="16" t="n">
        <f aca="false">D1551/D1538</f>
        <v>0.161470773052486</v>
      </c>
      <c r="E1552" s="16" t="n">
        <f aca="false">E1551/E1538</f>
        <v>0.246836445466854</v>
      </c>
      <c r="F1552" s="16" t="n">
        <f aca="false">F1551/F1538</f>
        <v>0.25976673710149</v>
      </c>
      <c r="G1552" s="16" t="n">
        <f aca="false">G1551/G1538</f>
        <v>0.269895978411683</v>
      </c>
    </row>
    <row r="1553" customFormat="false" ht="15" hidden="false" customHeight="false" outlineLevel="0" collapsed="false">
      <c r="A1553" s="3" t="s">
        <v>589</v>
      </c>
      <c r="B1553" s="0" t="s">
        <v>379</v>
      </c>
      <c r="C1553" s="21" t="n">
        <f aca="false">a25_nonop</f>
        <v>0.417</v>
      </c>
      <c r="D1553" s="21" t="n">
        <f aca="false">a26_nonop</f>
        <v>0.37882</v>
      </c>
      <c r="E1553" s="21" t="n">
        <f aca="false">nonop27</f>
        <v>0.4</v>
      </c>
      <c r="F1553" s="21" t="n">
        <f aca="false">nonop28</f>
        <v>0.4</v>
      </c>
      <c r="G1553" s="21" t="n">
        <f aca="false">nonop29</f>
        <v>0.4</v>
      </c>
    </row>
    <row r="1554" customFormat="false" ht="15" hidden="false" customHeight="false" outlineLevel="0" collapsed="false">
      <c r="A1554" s="3" t="s">
        <v>591</v>
      </c>
      <c r="B1554" s="0" t="s">
        <v>379</v>
      </c>
      <c r="C1554" s="21" t="n">
        <f aca="false">C1551+C1553</f>
        <v>3.087</v>
      </c>
      <c r="D1554" s="21" t="n">
        <f aca="false">D1551+D1553</f>
        <v>9.166996</v>
      </c>
      <c r="E1554" s="21" t="n">
        <f aca="false">E1551+E1553</f>
        <v>18.1806133739871</v>
      </c>
      <c r="F1554" s="21" t="n">
        <f aca="false">F1551+F1553</f>
        <v>22.2469661173069</v>
      </c>
      <c r="G1554" s="21" t="n">
        <f aca="false">G1551+G1553</f>
        <v>26.3405311021047</v>
      </c>
    </row>
    <row r="1555" customFormat="false" ht="15" hidden="false" customHeight="false" outlineLevel="0" collapsed="false">
      <c r="A1555" s="3" t="s">
        <v>592</v>
      </c>
      <c r="B1555" s="0" t="s">
        <v>379</v>
      </c>
      <c r="E1555" s="21" t="n">
        <f aca="false">E1554*tax</f>
        <v>2.18167360487846</v>
      </c>
      <c r="F1555" s="21" t="n">
        <f aca="false">F1554*tax</f>
        <v>2.66963593407683</v>
      </c>
      <c r="G1555" s="21" t="n">
        <f aca="false">G1554*tax</f>
        <v>3.16086373225256</v>
      </c>
    </row>
    <row r="1556" customFormat="false" ht="15" hidden="false" customHeight="false" outlineLevel="0" collapsed="false">
      <c r="A1556" s="3" t="s">
        <v>593</v>
      </c>
      <c r="B1556" s="0" t="s">
        <v>379</v>
      </c>
      <c r="C1556" s="21" t="n">
        <f aca="false">a25_nic</f>
        <v>2.71712</v>
      </c>
      <c r="D1556" s="21" t="n">
        <f aca="false">a26_nic</f>
        <v>8.39979776</v>
      </c>
      <c r="E1556" s="21" t="n">
        <f aca="false">E1554-E1555</f>
        <v>15.9989397691087</v>
      </c>
      <c r="F1556" s="21" t="n">
        <f aca="false">F1554-F1555</f>
        <v>19.5773301832301</v>
      </c>
      <c r="G1556" s="21" t="n">
        <f aca="false">G1554-G1555</f>
        <v>23.1796673698521</v>
      </c>
    </row>
    <row r="1557" customFormat="false" ht="17.15" hidden="false" customHeight="false" outlineLevel="0" collapsed="false">
      <c r="A1557" s="3" t="s">
        <v>749</v>
      </c>
      <c r="B1557" s="0" t="s">
        <v>379</v>
      </c>
      <c r="C1557" s="21" t="n">
        <f aca="false">a25_nci</f>
        <v>1.12112</v>
      </c>
      <c r="D1557" s="21" t="n">
        <f aca="false">a26_nci</f>
        <v>1.43839238487797</v>
      </c>
      <c r="E1557" s="21" t="n">
        <f aca="false">E1537*nm_lens*nci_sh</f>
        <v>1.57074538036261</v>
      </c>
      <c r="F1557" s="21" t="n">
        <f aca="false">F1537*nm_lens*nci_sh</f>
        <v>1.72781991839887</v>
      </c>
      <c r="G1557" s="21" t="n">
        <f aca="false">G1537*nm_lens*nci_sh</f>
        <v>1.90060191023875</v>
      </c>
      <c r="K1557" s="3" t="s">
        <v>750</v>
      </c>
    </row>
    <row r="1558" customFormat="false" ht="15" hidden="false" customHeight="false" outlineLevel="0" collapsed="false">
      <c r="A1558" s="3" t="s">
        <v>599</v>
      </c>
      <c r="B1558" s="0" t="s">
        <v>379</v>
      </c>
      <c r="C1558" s="21" t="n">
        <f aca="false">a25_ni</f>
        <v>1.596</v>
      </c>
      <c r="D1558" s="21" t="n">
        <f aca="false">a26_ni</f>
        <v>6.96140537512203</v>
      </c>
      <c r="E1558" s="21" t="n">
        <f aca="false">E1556-E1557</f>
        <v>14.4281943887461</v>
      </c>
      <c r="F1558" s="21" t="n">
        <f aca="false">F1556-F1557</f>
        <v>17.8495102648312</v>
      </c>
      <c r="G1558" s="21" t="n">
        <f aca="false">G1556-G1557</f>
        <v>21.2790654596133</v>
      </c>
      <c r="H1558" s="30" t="n">
        <f aca="false">H1538*H1562</f>
        <v>23.7155932154809</v>
      </c>
      <c r="I1558" s="30" t="n">
        <f aca="false">I1538*I1562</f>
        <v>25.7768687369279</v>
      </c>
      <c r="J1558" s="30" t="n">
        <f aca="false">J1538*J1562</f>
        <v>27.3061958633271</v>
      </c>
    </row>
    <row r="1559" customFormat="false" ht="15" hidden="false" customHeight="false" outlineLevel="0" collapsed="false">
      <c r="A1559" s="3" t="s">
        <v>751</v>
      </c>
      <c r="B1559" s="3" t="s">
        <v>465</v>
      </c>
      <c r="C1559" s="29" t="n">
        <f aca="false">a25_sh</f>
        <v>0.454700854700855</v>
      </c>
      <c r="D1559" s="29" t="n">
        <f aca="false">a26_sh</f>
        <v>0.508341020486215</v>
      </c>
      <c r="E1559" s="29" t="n">
        <f aca="false">a26_shend*(1+sh_g)</f>
        <v>0.52691</v>
      </c>
      <c r="F1559" s="29" t="n">
        <f aca="false">E1559*(1+sh_g)</f>
        <v>0.52691</v>
      </c>
      <c r="G1559" s="29" t="n">
        <f aca="false">F1559*(1+sh_g)</f>
        <v>0.52691</v>
      </c>
      <c r="H1559" s="31" t="n">
        <f aca="false">G1559*(1+sh_g)</f>
        <v>0.52691</v>
      </c>
      <c r="I1559" s="31" t="n">
        <f aca="false">H1559*(1+sh_g)</f>
        <v>0.52691</v>
      </c>
      <c r="J1559" s="31" t="n">
        <f aca="false">I1559*(1+sh_g)</f>
        <v>0.52691</v>
      </c>
    </row>
    <row r="1560" customFormat="false" ht="17.15" hidden="false" customHeight="false" outlineLevel="0" collapsed="false">
      <c r="A1560" s="0" t="s">
        <v>604</v>
      </c>
      <c r="B1560" s="0" t="s">
        <v>471</v>
      </c>
      <c r="C1560" s="18" t="n">
        <f aca="false">C1558/C1559</f>
        <v>3.51</v>
      </c>
      <c r="D1560" s="18" t="n">
        <f aca="false">D1558/D1559</f>
        <v>13.6943608612652</v>
      </c>
      <c r="E1560" s="18" t="n">
        <f aca="false">E1558/E1559</f>
        <v>27.3826543218881</v>
      </c>
      <c r="F1560" s="18" t="n">
        <f aca="false">F1558/F1559</f>
        <v>33.875823698224</v>
      </c>
      <c r="G1560" s="18" t="n">
        <f aca="false">G1558/G1559</f>
        <v>40.3846301258533</v>
      </c>
      <c r="H1560" s="28" t="n">
        <f aca="false">H1558/H1559</f>
        <v>45.0088121604845</v>
      </c>
      <c r="I1560" s="28" t="n">
        <f aca="false">I1558/I1559</f>
        <v>48.920818995517</v>
      </c>
      <c r="J1560" s="28" t="n">
        <f aca="false">J1558/J1559</f>
        <v>51.8232636756317</v>
      </c>
    </row>
    <row r="1561" customFormat="false" ht="17.15" hidden="false" customHeight="false" outlineLevel="0" collapsed="false">
      <c r="A1561" s="0" t="s">
        <v>752</v>
      </c>
      <c r="B1561" s="0" t="s">
        <v>43</v>
      </c>
      <c r="D1561" s="20" t="n">
        <f aca="false">D1560/C1560-1</f>
        <v>2.90152731090177</v>
      </c>
      <c r="E1561" s="20" t="n">
        <f aca="false">E1560/D1560-1</f>
        <v>0.999556941670828</v>
      </c>
      <c r="F1561" s="20" t="n">
        <f aca="false">F1560/E1560-1</f>
        <v>0.237127098783322</v>
      </c>
      <c r="G1561" s="20" t="n">
        <f aca="false">G1560/F1560-1</f>
        <v>0.192137215189559</v>
      </c>
      <c r="H1561" s="26" t="n">
        <f aca="false">H1560/G1560-1</f>
        <v>0.114503513347049</v>
      </c>
      <c r="I1561" s="26" t="n">
        <f aca="false">I1560/H1560-1</f>
        <v>0.0869164647376997</v>
      </c>
      <c r="J1561" s="26" t="n">
        <f aca="false">J1560/I1560-1</f>
        <v>0.0593294376445466</v>
      </c>
    </row>
    <row r="1562" customFormat="false" ht="17.15" hidden="false" customHeight="false" outlineLevel="0" collapsed="false">
      <c r="A1562" s="3" t="s">
        <v>753</v>
      </c>
      <c r="B1562" s="0" t="s">
        <v>43</v>
      </c>
      <c r="C1562" s="16" t="n">
        <f aca="false">C1558/C1538</f>
        <v>0.0405580544331783</v>
      </c>
      <c r="D1562" s="16" t="n">
        <f aca="false">D1558/D1538</f>
        <v>0.127906349105057</v>
      </c>
      <c r="E1562" s="16" t="n">
        <f aca="false">E1558/E1538</f>
        <v>0.20029703939422</v>
      </c>
      <c r="F1562" s="16" t="n">
        <f aca="false">F1558/F1538</f>
        <v>0.212235832447308</v>
      </c>
      <c r="G1562" s="16" t="n">
        <f aca="false">G1558/G1538</f>
        <v>0.221396168386183</v>
      </c>
      <c r="H1562" s="27" t="n">
        <f aca="false">$G1562+(fade_mA-$G1562)*1/3</f>
        <v>0.221256288819939</v>
      </c>
      <c r="I1562" s="27" t="n">
        <f aca="false">$G1562+(fade_mA-$G1562)*2/3</f>
        <v>0.221116409253695</v>
      </c>
      <c r="J1562" s="27" t="n">
        <f aca="false">$G1562+(fade_mA-$G1562)*3/3</f>
        <v>0.220976529687452</v>
      </c>
    </row>
    <row r="1563" customFormat="false" ht="17.15" hidden="false" customHeight="false" outlineLevel="0" collapsed="false">
      <c r="A1563" s="3" t="s">
        <v>754</v>
      </c>
      <c r="B1563" s="0" t="s">
        <v>43</v>
      </c>
      <c r="C1563" s="20" t="n">
        <f aca="false">C1544/C1538</f>
        <v>0.155421717364235</v>
      </c>
      <c r="D1563" s="20" t="n">
        <f aca="false">D1544/D1538</f>
        <v>0.202110028699624</v>
      </c>
      <c r="E1563" s="20" t="n">
        <f aca="false">E1544/E1538</f>
        <v>0.235999708484498</v>
      </c>
      <c r="F1563" s="20" t="n">
        <f aca="false">F1544/F1538</f>
        <v>0.190244621212247</v>
      </c>
      <c r="G1563" s="20" t="n">
        <f aca="false">G1544/G1538</f>
        <v>0.124852946464054</v>
      </c>
      <c r="H1563" s="26" t="n">
        <f aca="false">$G1563+($G1546*(1+tp_g)^(life/2)-$G1563)*1/3</f>
        <v>0.125778843252168</v>
      </c>
      <c r="I1563" s="26" t="n">
        <f aca="false">$G1563+($G1546*(1+tp_g)^(life/2)-$G1563)*2/3</f>
        <v>0.126704740040282</v>
      </c>
      <c r="J1563" s="26" t="n">
        <f aca="false">$G1563+($G1546*(1+tp_g)^(life/2)-$G1563)*3/3</f>
        <v>0.127630636828396</v>
      </c>
      <c r="K1563" s="7" t="s">
        <v>755</v>
      </c>
    </row>
    <row r="1564" customFormat="false" ht="15" hidden="false" customHeight="false" outlineLevel="0" collapsed="false">
      <c r="A1564" s="3" t="s">
        <v>756</v>
      </c>
      <c r="B1564" s="0" t="s">
        <v>379</v>
      </c>
      <c r="D1564" s="21" t="n">
        <f aca="false">D1558+D1545-D1544</f>
        <v>4.28140537512203</v>
      </c>
      <c r="E1564" s="21" t="n">
        <f aca="false">E1558+E1545-E1544</f>
        <v>6.08319438874607</v>
      </c>
      <c r="F1564" s="21" t="n">
        <f aca="false">F1558+F1545-F1544</f>
        <v>11.5476352648312</v>
      </c>
      <c r="G1564" s="21" t="n">
        <f aca="false">G1558+G1545-G1544</f>
        <v>19.7649248346133</v>
      </c>
      <c r="H1564" s="30" t="n">
        <f aca="false">H1558+H1545-H1544</f>
        <v>21.927768069208</v>
      </c>
      <c r="I1564" s="30" t="n">
        <f aca="false">I1558+I1545-I1544</f>
        <v>23.7244855056748</v>
      </c>
      <c r="J1564" s="30" t="n">
        <f aca="false">J1558+J1545-J1544</f>
        <v>25.0162560437722</v>
      </c>
      <c r="K1564" s="3" t="s">
        <v>757</v>
      </c>
    </row>
    <row r="1565" customFormat="false" ht="15" hidden="false" customHeight="false" outlineLevel="0" collapsed="false">
      <c r="A1565" s="3" t="s">
        <v>758</v>
      </c>
      <c r="B1565" s="0" t="s">
        <v>471</v>
      </c>
      <c r="D1565" s="18" t="n">
        <f aca="false">D1564/D1559</f>
        <v>8.42230943909854</v>
      </c>
      <c r="E1565" s="18" t="n">
        <f aca="false">E1564/E1559</f>
        <v>11.5450349941092</v>
      </c>
      <c r="F1565" s="18" t="n">
        <f aca="false">F1564/F1559</f>
        <v>21.9157641055042</v>
      </c>
      <c r="G1565" s="18" t="n">
        <f aca="false">G1564/G1559</f>
        <v>37.5110072585704</v>
      </c>
      <c r="H1565" s="28" t="n">
        <f aca="false">H1564/H1559</f>
        <v>41.6157751213831</v>
      </c>
      <c r="I1565" s="28" t="n">
        <f aca="false">I1564/I1559</f>
        <v>45.0256884585124</v>
      </c>
      <c r="J1565" s="28" t="n">
        <f aca="false">J1564/J1559</f>
        <v>47.4772846288212</v>
      </c>
    </row>
    <row r="1568" customFormat="false" ht="17.15" hidden="false" customHeight="false" outlineLevel="0" collapsed="false">
      <c r="A1568" s="1" t="s">
        <v>1118</v>
      </c>
    </row>
    <row r="1569" customFormat="false" ht="17.15" hidden="false" customHeight="false" outlineLevel="0" collapsed="false">
      <c r="A1569" s="4" t="s">
        <v>20</v>
      </c>
      <c r="B1569" s="4" t="s">
        <v>21</v>
      </c>
      <c r="C1569" s="13" t="s">
        <v>567</v>
      </c>
      <c r="D1569" s="13" t="s">
        <v>671</v>
      </c>
      <c r="E1569" s="13" t="s">
        <v>672</v>
      </c>
      <c r="F1569" s="13" t="s">
        <v>673</v>
      </c>
      <c r="G1569" s="13" t="s">
        <v>674</v>
      </c>
      <c r="H1569" s="13" t="s">
        <v>675</v>
      </c>
      <c r="I1569" s="13" t="s">
        <v>676</v>
      </c>
      <c r="J1569" s="13" t="s">
        <v>677</v>
      </c>
      <c r="K1569" s="4" t="s">
        <v>631</v>
      </c>
    </row>
    <row r="1570" customFormat="false" ht="17.15" hidden="false" customHeight="false" outlineLevel="0" collapsed="false">
      <c r="A1570" s="5" t="s">
        <v>695</v>
      </c>
    </row>
    <row r="1571" customFormat="false" ht="17.15" hidden="false" customHeight="false" outlineLevel="0" collapsed="false">
      <c r="A1571" s="0" t="s">
        <v>696</v>
      </c>
      <c r="B1571" s="3" t="s">
        <v>31</v>
      </c>
      <c r="D1571" s="21" t="n">
        <f aca="false">(u_bw_26+u_rb_26+u_ru_26+u_hp_26)*1</f>
        <v>7.6</v>
      </c>
      <c r="E1571" s="21" t="n">
        <f aca="false">(u_bw_27+u_rb_27+u_ru_27+u_hp_27)*1*1</f>
        <v>9.7</v>
      </c>
      <c r="F1571" s="21" t="n">
        <f aca="false">(u_bw_28+u_rb_28+u_ru_28+u_hp_28)*um28_A*1</f>
        <v>9.5</v>
      </c>
      <c r="G1571" s="21" t="n">
        <f aca="false">(u_bw_28*(1+g29_bw)+u_rb_28*(1+g29_rb)+u_ru_28*(1+g29_ru)+u_hp_28*(1+g29_hp))*um29_A*1</f>
        <v>10.6</v>
      </c>
      <c r="K1571" s="7" t="s">
        <v>697</v>
      </c>
    </row>
    <row r="1572" customFormat="false" ht="17.15" hidden="false" customHeight="false" outlineLevel="0" collapsed="false">
      <c r="A1572" s="3" t="s">
        <v>698</v>
      </c>
      <c r="B1572" s="3" t="s">
        <v>31</v>
      </c>
      <c r="D1572" s="21" t="n">
        <f aca="false">(u_amd_26+u_tpu_26+u_trn_26+u_oth_26)*1</f>
        <v>7.6</v>
      </c>
      <c r="E1572" s="21" t="n">
        <f aca="false">(u_amd_27+u_tpu_27+u_trn_27+u_oth_27)*1*1</f>
        <v>14</v>
      </c>
      <c r="F1572" s="21" t="n">
        <f aca="false">(u_amd_28+u_tpu_28+u_trn_28+u_oth_28)*um28_A*1</f>
        <v>17</v>
      </c>
      <c r="G1572" s="21" t="n">
        <f aca="false">(u_amd_28*(1+g29_amd)+u_tpu_28*(1+g29_tpu)+u_trn_28*(1+g29_trn)+u_oth_28*(1+g29_oth))*um29_A*1</f>
        <v>19.55</v>
      </c>
      <c r="K1572" s="7" t="s">
        <v>699</v>
      </c>
    </row>
    <row r="1573" customFormat="false" ht="17.15" hidden="false" customHeight="false" outlineLevel="0" collapsed="false">
      <c r="A1573" s="0" t="s">
        <v>700</v>
      </c>
      <c r="B1573" s="3" t="s">
        <v>31</v>
      </c>
      <c r="D1573" s="21" t="n">
        <f aca="false">D1571*cpu_r</f>
        <v>3.04</v>
      </c>
      <c r="E1573" s="21" t="n">
        <f aca="false">E1571*cpu_r</f>
        <v>3.88</v>
      </c>
      <c r="F1573" s="21" t="n">
        <f aca="false">F1571*cpu_r</f>
        <v>3.8</v>
      </c>
      <c r="G1573" s="21" t="n">
        <f aca="false">G1571*cpu_r</f>
        <v>4.24</v>
      </c>
      <c r="K1573" s="7" t="s">
        <v>701</v>
      </c>
    </row>
    <row r="1574" customFormat="false" ht="17.15" hidden="false" customHeight="false" outlineLevel="0" collapsed="false">
      <c r="A1574" s="3" t="s">
        <v>702</v>
      </c>
      <c r="B1574" s="0" t="s">
        <v>153</v>
      </c>
      <c r="D1574" s="19" t="n">
        <f aca="false">1</f>
        <v>1</v>
      </c>
      <c r="E1574" s="19" t="n">
        <f aca="false">D1574*(1+g_asp)</f>
        <v>1.18</v>
      </c>
      <c r="F1574" s="19" t="n">
        <f aca="false">E1574*(1+g_asp)</f>
        <v>1.3924</v>
      </c>
      <c r="G1574" s="19" t="n">
        <f aca="false">F1574*(1+g_asp)</f>
        <v>1.643032</v>
      </c>
      <c r="K1574" s="7" t="s">
        <v>703</v>
      </c>
    </row>
    <row r="1575" customFormat="false" ht="17.15" hidden="false" customHeight="false" outlineLevel="0" collapsed="false">
      <c r="A1575" s="0" t="s">
        <v>704</v>
      </c>
      <c r="B1575" s="0" t="s">
        <v>153</v>
      </c>
      <c r="D1575" s="18" t="n">
        <f aca="false">1</f>
        <v>1</v>
      </c>
      <c r="E1575" s="18" t="n">
        <f aca="false">ibpp_27</f>
        <v>1</v>
      </c>
      <c r="F1575" s="18" t="n">
        <f aca="false">ibpp_28</f>
        <v>0.95</v>
      </c>
      <c r="G1575" s="18" t="n">
        <f aca="false">ibpp_29</f>
        <v>0.9</v>
      </c>
      <c r="K1575" s="7" t="s">
        <v>705</v>
      </c>
    </row>
    <row r="1576" customFormat="false" ht="17.15" hidden="false" customHeight="false" outlineLevel="0" collapsed="false">
      <c r="A1576" s="3" t="s">
        <v>706</v>
      </c>
      <c r="B1576" s="0" t="s">
        <v>153</v>
      </c>
      <c r="D1576" s="18" t="n">
        <f aca="false">1</f>
        <v>1</v>
      </c>
      <c r="E1576" s="18" t="n">
        <f aca="false">1+carry</f>
        <v>1.15</v>
      </c>
      <c r="F1576" s="18" t="n">
        <f aca="false">1+carry</f>
        <v>1.15</v>
      </c>
      <c r="G1576" s="18" t="n">
        <f aca="false">1+carry</f>
        <v>1.15</v>
      </c>
      <c r="K1576" s="7" t="s">
        <v>707</v>
      </c>
    </row>
    <row r="1577" customFormat="false" ht="17.15" hidden="false" customHeight="false" outlineLevel="0" collapsed="false">
      <c r="A1577" s="3" t="s">
        <v>708</v>
      </c>
      <c r="B1577" s="0" t="s">
        <v>709</v>
      </c>
      <c r="D1577" s="23" t="n">
        <f aca="false">v26*D1574*D1575</f>
        <v>215.308596</v>
      </c>
      <c r="E1577" s="23" t="n">
        <f aca="false">v26*E1574*E1575</f>
        <v>254.06414328</v>
      </c>
      <c r="F1577" s="23" t="n">
        <f aca="false">v26*F1574*F1575</f>
        <v>284.80590461688</v>
      </c>
      <c r="G1577" s="23" t="n">
        <f aca="false">v26*G1574*G1575</f>
        <v>318.383021792765</v>
      </c>
      <c r="K1577" s="7" t="s">
        <v>710</v>
      </c>
    </row>
    <row r="1578" customFormat="false" ht="17.15" hidden="false" customHeight="false" outlineLevel="0" collapsed="false">
      <c r="A1578" s="3" t="s">
        <v>711</v>
      </c>
      <c r="B1578" s="0" t="s">
        <v>43</v>
      </c>
      <c r="D1578" s="20" t="n">
        <f aca="false">sh_nv_26</f>
        <v>0.02</v>
      </c>
      <c r="E1578" s="20" t="n">
        <f aca="false">sh_nv_27</f>
        <v>0.03</v>
      </c>
      <c r="F1578" s="20" t="n">
        <f aca="false">sh_nv_28</f>
        <v>0.05</v>
      </c>
      <c r="G1578" s="20" t="n">
        <f aca="false">sh_nv_29</f>
        <v>0.06</v>
      </c>
    </row>
    <row r="1579" customFormat="false" ht="17.15" hidden="false" customHeight="false" outlineLevel="0" collapsed="false">
      <c r="A1579" s="3" t="s">
        <v>712</v>
      </c>
      <c r="B1579" s="0" t="s">
        <v>43</v>
      </c>
      <c r="D1579" s="20" t="n">
        <f aca="false">sh_ot_26</f>
        <v>0.03</v>
      </c>
      <c r="E1579" s="20" t="n">
        <f aca="false">sh_ot_27</f>
        <v>0.05</v>
      </c>
      <c r="F1579" s="20" t="n">
        <f aca="false">sh_ot_28</f>
        <v>0.06</v>
      </c>
      <c r="G1579" s="20" t="n">
        <f aca="false">sh_ot_29</f>
        <v>0.06</v>
      </c>
    </row>
    <row r="1580" customFormat="false" ht="17.15" hidden="false" customHeight="false" outlineLevel="0" collapsed="false">
      <c r="A1580" s="3" t="s">
        <v>713</v>
      </c>
      <c r="B1580" s="0" t="s">
        <v>43</v>
      </c>
      <c r="D1580" s="20" t="n">
        <f aca="false">sh_cpu_26</f>
        <v>0.35</v>
      </c>
      <c r="E1580" s="20" t="n">
        <f aca="false">sh_cpu_27</f>
        <v>0.7</v>
      </c>
      <c r="F1580" s="20" t="n">
        <f aca="false">sh_cpu_28</f>
        <v>0.75</v>
      </c>
      <c r="G1580" s="20" t="n">
        <f aca="false">sh_cpu_29</f>
        <v>0.7</v>
      </c>
    </row>
    <row r="1581" customFormat="false" ht="17.15" hidden="false" customHeight="false" outlineLevel="0" collapsed="false">
      <c r="A1581" s="3" t="s">
        <v>714</v>
      </c>
      <c r="B1581" s="0" t="s">
        <v>661</v>
      </c>
      <c r="D1581" s="22" t="n">
        <f aca="false">(D1571*D1577*D1578+D1572*D1577*v_ot*D1579+D1573*D1577*v_cpu_hi*D1580)*D1576</f>
        <v>175.0889502672</v>
      </c>
      <c r="E1581" s="22" t="n">
        <f aca="false">(E1571*E1577*E1578+E1572*E1577*v_ot*E1579+E1573*E1577*v_cpu_hi*E1580)*E1576</f>
        <v>605.73464912531</v>
      </c>
      <c r="F1581" s="22" t="n">
        <f aca="false">(F1571*F1577*F1578+F1572*F1577*v_ot*F1579+F1573*F1577*v_cpu_hi*F1580)*F1576</f>
        <v>842.890194861272</v>
      </c>
      <c r="G1581" s="22" t="n">
        <f aca="false">(G1571*G1577*G1578+G1572*G1577*v_ot*G1579+G1573*G1577*v_cpu_hi*G1580)*G1576</f>
        <v>1065.46878242949</v>
      </c>
    </row>
    <row r="1582" customFormat="false" ht="17.15" hidden="false" customHeight="false" outlineLevel="0" collapsed="false">
      <c r="A1582" s="3" t="s">
        <v>715</v>
      </c>
      <c r="B1582" s="0" t="s">
        <v>379</v>
      </c>
      <c r="D1582" s="21" t="n">
        <f aca="false">D1581*fx/1000</f>
        <v>5.6028464085504</v>
      </c>
      <c r="E1582" s="21" t="n">
        <f aca="false">E1581*fx/1000</f>
        <v>19.3835087720099</v>
      </c>
      <c r="F1582" s="21" t="n">
        <f aca="false">F1581*fx/1000</f>
        <v>26.9724862355607</v>
      </c>
      <c r="G1582" s="21" t="n">
        <f aca="false">G1581*fx/1000</f>
        <v>34.0950010377436</v>
      </c>
    </row>
    <row r="1583" customFormat="false" ht="17.15" hidden="false" customHeight="false" outlineLevel="0" collapsed="false">
      <c r="A1583" s="5" t="s">
        <v>716</v>
      </c>
    </row>
    <row r="1584" customFormat="false" ht="17.15" hidden="false" customHeight="false" outlineLevel="0" collapsed="false">
      <c r="A1584" s="0" t="s">
        <v>717</v>
      </c>
      <c r="B1584" s="0" t="s">
        <v>379</v>
      </c>
      <c r="D1584" s="21" t="n">
        <f aca="false">a26_abf*ai_abf</f>
        <v>5.714709</v>
      </c>
      <c r="K1584" s="3" t="s">
        <v>718</v>
      </c>
    </row>
    <row r="1585" customFormat="false" ht="17.15" hidden="false" customHeight="false" outlineLevel="0" collapsed="false">
      <c r="A1585" s="3" t="s">
        <v>719</v>
      </c>
      <c r="B1585" s="0" t="s">
        <v>379</v>
      </c>
      <c r="D1585" s="21" t="n">
        <f aca="false">D1584-D1582</f>
        <v>0.111862591449599</v>
      </c>
      <c r="E1585" s="21" t="n">
        <f aca="false">$D1585*(swm_27/swm_26)^el_o*1*1*E1575*E1576</f>
        <v>0.179933183205514</v>
      </c>
      <c r="F1585" s="21" t="n">
        <f aca="false">$D1585*(swm_28/swm_26)^el_o*um28_A*1*F1575*F1576</f>
        <v>0.183884756654294</v>
      </c>
      <c r="G1585" s="21" t="n">
        <f aca="false">$D1585*(swm_29/swm_26)^el_o*um29_A*1*G1575*G1576</f>
        <v>0.185845004510175</v>
      </c>
      <c r="K1585" s="7" t="s">
        <v>720</v>
      </c>
    </row>
    <row r="1586" customFormat="false" ht="17.15" hidden="false" customHeight="false" outlineLevel="0" collapsed="false">
      <c r="A1586" s="3" t="s">
        <v>721</v>
      </c>
      <c r="B1586" s="0" t="s">
        <v>379</v>
      </c>
      <c r="D1586" s="21" t="n">
        <f aca="false">a26_abf-D1584</f>
        <v>17.144127</v>
      </c>
      <c r="E1586" s="21" t="n">
        <f aca="false">$D1586*(1+g_nai)^1*E1576</f>
        <v>20.898690813</v>
      </c>
      <c r="F1586" s="21" t="n">
        <f aca="false">$D1586*(1+g_nai)^2*F1576</f>
        <v>22.15261226178</v>
      </c>
      <c r="G1586" s="21" t="n">
        <f aca="false">$D1586*(1+g_nai)^3*G1576</f>
        <v>23.4817689974868</v>
      </c>
      <c r="K1586" s="3" t="s">
        <v>722</v>
      </c>
    </row>
    <row r="1587" customFormat="false" ht="17.15" hidden="false" customHeight="false" outlineLevel="0" collapsed="false">
      <c r="A1587" s="0" t="s">
        <v>723</v>
      </c>
      <c r="B1587" s="0" t="s">
        <v>379</v>
      </c>
      <c r="D1587" s="21" t="n">
        <f aca="false">D1582+D1585+D1586</f>
        <v>22.858836</v>
      </c>
      <c r="E1587" s="21" t="n">
        <f aca="false">E1582+E1585+E1586</f>
        <v>40.4621327682154</v>
      </c>
      <c r="F1587" s="21" t="n">
        <f aca="false">F1582+F1585+F1586</f>
        <v>49.308983253995</v>
      </c>
      <c r="G1587" s="21" t="n">
        <f aca="false">G1582+G1585+G1586</f>
        <v>57.7626150397406</v>
      </c>
    </row>
    <row r="1588" customFormat="false" ht="17.15" hidden="false" customHeight="false" outlineLevel="0" collapsed="false">
      <c r="A1588" s="0" t="s">
        <v>724</v>
      </c>
      <c r="B1588" s="0" t="s">
        <v>379</v>
      </c>
      <c r="D1588" s="21" t="n">
        <f aca="false">a26_abf</f>
        <v>22.858836</v>
      </c>
      <c r="E1588" s="21" t="n">
        <f aca="false">$D1587*cap_27*(1+g_mix)^1*E1575*E1576</f>
        <v>33.122453364</v>
      </c>
      <c r="F1588" s="21" t="n">
        <f aca="false">$D1587*cap_28*(1+g_mix)^2*F1575*F1576</f>
        <v>41.2995590382375</v>
      </c>
      <c r="G1588" s="21" t="n">
        <f aca="false">$D1587*cap_29*(1+g_mix)^3*G1575*G1576</f>
        <v>50.6680379569114</v>
      </c>
      <c r="K1588" s="7" t="s">
        <v>725</v>
      </c>
    </row>
    <row r="1589" customFormat="false" ht="17.15" hidden="false" customHeight="false" outlineLevel="0" collapsed="false">
      <c r="A1589" s="0" t="s">
        <v>726</v>
      </c>
      <c r="B1589" s="0" t="s">
        <v>379</v>
      </c>
      <c r="D1589" s="21" t="n">
        <f aca="false">a26_abf</f>
        <v>22.858836</v>
      </c>
      <c r="E1589" s="21" t="n">
        <f aca="false">MIN(E1587,E1588)</f>
        <v>33.122453364</v>
      </c>
      <c r="F1589" s="21" t="n">
        <f aca="false">MIN(F1587,F1588)</f>
        <v>41.2995590382375</v>
      </c>
      <c r="G1589" s="21" t="n">
        <f aca="false">MIN(G1587,G1588)</f>
        <v>50.6680379569114</v>
      </c>
    </row>
    <row r="1590" customFormat="false" ht="17.15" hidden="false" customHeight="false" outlineLevel="0" collapsed="false">
      <c r="A1590" s="3" t="s">
        <v>727</v>
      </c>
      <c r="B1590" s="0" t="s">
        <v>43</v>
      </c>
      <c r="D1590" s="20" t="n">
        <f aca="false">D1589/D1587</f>
        <v>1</v>
      </c>
      <c r="E1590" s="20" t="n">
        <f aca="false">E1589/E1587</f>
        <v>0.818603743745781</v>
      </c>
      <c r="F1590" s="20" t="n">
        <f aca="false">F1589/F1587</f>
        <v>0.837566632138809</v>
      </c>
      <c r="G1590" s="20" t="n">
        <f aca="false">G1589/G1587</f>
        <v>0.877177010113754</v>
      </c>
    </row>
    <row r="1591" customFormat="false" ht="17.15" hidden="false" customHeight="false" outlineLevel="0" collapsed="false">
      <c r="A1591" s="0" t="s">
        <v>728</v>
      </c>
      <c r="B1591" s="0" t="s">
        <v>379</v>
      </c>
      <c r="D1591" s="21" t="n">
        <f aca="false">(D1582+D1585)*D1590</f>
        <v>5.714709</v>
      </c>
      <c r="E1591" s="21" t="n">
        <f aca="false">(E1582+E1585)*E1590</f>
        <v>16.0147068250926</v>
      </c>
      <c r="F1591" s="21" t="n">
        <f aca="false">(F1582+F1585)*F1590</f>
        <v>22.7452701930615</v>
      </c>
      <c r="G1591" s="21" t="n">
        <f aca="false">(G1582+G1585)*G1590</f>
        <v>30.0703700355141</v>
      </c>
    </row>
    <row r="1592" customFormat="false" ht="17.15" hidden="false" customHeight="false" outlineLevel="0" collapsed="false">
      <c r="A1592" s="3" t="s">
        <v>729</v>
      </c>
      <c r="B1592" s="0" t="s">
        <v>43</v>
      </c>
      <c r="D1592" s="20" t="n">
        <f aca="false">D1582/(D1582+D1585)</f>
        <v>0.980425496477669</v>
      </c>
      <c r="E1592" s="20" t="n">
        <f aca="false">E1582/(E1582+E1585)</f>
        <v>0.990802580465267</v>
      </c>
      <c r="F1592" s="20" t="n">
        <f aca="false">F1582/(F1582+F1585)</f>
        <v>0.993228669739892</v>
      </c>
      <c r="G1592" s="20" t="n">
        <f aca="false">G1582/(G1582+G1585)</f>
        <v>0.994578750936278</v>
      </c>
    </row>
    <row r="1593" customFormat="false" ht="17.15" hidden="false" customHeight="false" outlineLevel="0" collapsed="false">
      <c r="A1593" s="5" t="s">
        <v>730</v>
      </c>
    </row>
    <row r="1594" customFormat="false" ht="17.15" hidden="false" customHeight="false" outlineLevel="0" collapsed="false">
      <c r="A1594" s="0" t="s">
        <v>731</v>
      </c>
      <c r="B1594" s="0" t="s">
        <v>379</v>
      </c>
      <c r="D1594" s="21" t="n">
        <f aca="false">a26_bt</f>
        <v>23.265964</v>
      </c>
      <c r="E1594" s="21" t="n">
        <f aca="false">D1594*(1+g_bt27_A)</f>
        <v>29.78043392</v>
      </c>
      <c r="F1594" s="21" t="n">
        <f aca="false">E1594*(1+g_bt28_A)</f>
        <v>32.758477312</v>
      </c>
      <c r="G1594" s="21" t="n">
        <f aca="false">F1594*(1+g_bt29_A)</f>
        <v>34.3964011776</v>
      </c>
      <c r="K1594" s="7" t="s">
        <v>732</v>
      </c>
    </row>
    <row r="1595" customFormat="false" ht="17.15" hidden="false" customHeight="false" outlineLevel="0" collapsed="false">
      <c r="A1595" s="3" t="s">
        <v>617</v>
      </c>
      <c r="B1595" s="0" t="s">
        <v>379</v>
      </c>
      <c r="C1595" s="21" t="n">
        <f aca="false">a25_lens</f>
        <v>7.039</v>
      </c>
      <c r="D1595" s="21" t="n">
        <f aca="false">a26_lens</f>
        <v>8.301</v>
      </c>
      <c r="E1595" s="21" t="n">
        <f aca="false">D1595*(1+g_lens)</f>
        <v>9.1311</v>
      </c>
      <c r="F1595" s="21" t="n">
        <f aca="false">E1595*(1+g_lens)</f>
        <v>10.04421</v>
      </c>
      <c r="G1595" s="21" t="n">
        <f aca="false">F1595*(1+g_lens)</f>
        <v>11.048631</v>
      </c>
      <c r="K1595" s="3" t="s">
        <v>733</v>
      </c>
    </row>
    <row r="1596" customFormat="false" ht="17.15" hidden="false" customHeight="false" outlineLevel="0" collapsed="false">
      <c r="A1596" s="3" t="s">
        <v>574</v>
      </c>
      <c r="B1596" s="0" t="s">
        <v>379</v>
      </c>
      <c r="C1596" s="23" t="n">
        <f aca="false">a25_rev</f>
        <v>39.351</v>
      </c>
      <c r="D1596" s="23" t="n">
        <f aca="false">D1589+D1594+D1595</f>
        <v>54.4258</v>
      </c>
      <c r="E1596" s="23" t="n">
        <f aca="false">E1589+E1594+E1595</f>
        <v>72.033987284</v>
      </c>
      <c r="F1596" s="23" t="n">
        <f aca="false">F1589+F1594+F1595</f>
        <v>84.1022463502375</v>
      </c>
      <c r="G1596" s="23" t="n">
        <f aca="false">G1589+G1594+G1595</f>
        <v>96.1130701345114</v>
      </c>
      <c r="H1596" s="25" t="n">
        <f aca="false">G1596*(1+H1598)</f>
        <v>107.186075216063</v>
      </c>
      <c r="I1596" s="25" t="n">
        <f aca="false">H1596*(1+I1598)</f>
        <v>116.576010002736</v>
      </c>
      <c r="J1596" s="25" t="n">
        <f aca="false">I1596*(1+J1598)</f>
        <v>123.5705706029</v>
      </c>
      <c r="K1596" s="7" t="s">
        <v>734</v>
      </c>
    </row>
    <row r="1597" customFormat="false" ht="17.15" hidden="false" customHeight="false" outlineLevel="0" collapsed="false">
      <c r="A1597" s="3" t="s">
        <v>735</v>
      </c>
      <c r="B1597" s="0" t="s">
        <v>379</v>
      </c>
      <c r="D1597" s="19" t="n">
        <f aca="false">D1589+D1594+D1595-D1596</f>
        <v>0</v>
      </c>
      <c r="E1597" s="19" t="n">
        <f aca="false">E1589+E1594+E1595-E1596</f>
        <v>0</v>
      </c>
      <c r="F1597" s="19" t="n">
        <f aca="false">F1589+F1594+F1595-F1596</f>
        <v>0</v>
      </c>
      <c r="G1597" s="19" t="n">
        <f aca="false">G1589+G1594+G1595-G1596</f>
        <v>0</v>
      </c>
    </row>
    <row r="1598" customFormat="false" ht="15" hidden="false" customHeight="false" outlineLevel="0" collapsed="false">
      <c r="A1598" s="3" t="s">
        <v>736</v>
      </c>
      <c r="B1598" s="0" t="s">
        <v>43</v>
      </c>
      <c r="D1598" s="20" t="n">
        <f aca="false">D1596/C1596-1</f>
        <v>0.383085563263958</v>
      </c>
      <c r="E1598" s="20" t="n">
        <f aca="false">E1596/D1596-1</f>
        <v>0.323526476119781</v>
      </c>
      <c r="F1598" s="20" t="n">
        <f aca="false">F1596/E1596-1</f>
        <v>0.167535624796909</v>
      </c>
      <c r="G1598" s="20" t="n">
        <f aca="false">G1596/F1596-1</f>
        <v>0.142812163830389</v>
      </c>
      <c r="H1598" s="26" t="n">
        <f aca="false">$G1598+(fade_gA-$G1598)*1/3</f>
        <v>0.115208109220259</v>
      </c>
      <c r="I1598" s="26" t="n">
        <f aca="false">$G1598+(fade_gA-$G1598)*2/3</f>
        <v>0.0876040546101297</v>
      </c>
      <c r="J1598" s="26" t="n">
        <f aca="false">$G1598+(fade_gA-$G1598)*3/3</f>
        <v>0.06</v>
      </c>
    </row>
    <row r="1599" customFormat="false" ht="17.15" hidden="false" customHeight="false" outlineLevel="0" collapsed="false">
      <c r="A1599" s="0" t="s">
        <v>737</v>
      </c>
      <c r="B1599" s="0" t="s">
        <v>43</v>
      </c>
      <c r="D1599" s="20" t="n">
        <f aca="false">D1589/D1596</f>
        <v>0.42</v>
      </c>
      <c r="E1599" s="20" t="n">
        <f aca="false">E1589/E1596</f>
        <v>0.459817019893845</v>
      </c>
      <c r="F1599" s="20" t="n">
        <f aca="false">F1589/F1596</f>
        <v>0.491063685341395</v>
      </c>
      <c r="G1599" s="20" t="n">
        <f aca="false">G1589/G1596</f>
        <v>0.527171152539409</v>
      </c>
    </row>
    <row r="1600" customFormat="false" ht="17.15" hidden="false" customHeight="false" outlineLevel="0" collapsed="false">
      <c r="A1600" s="0" t="s">
        <v>738</v>
      </c>
      <c r="B1600" s="0" t="s">
        <v>43</v>
      </c>
      <c r="D1600" s="20" t="n">
        <f aca="false">D1591/D1596</f>
        <v>0.105</v>
      </c>
      <c r="E1600" s="20" t="n">
        <f aca="false">E1591/E1596</f>
        <v>0.22232153777568</v>
      </c>
      <c r="F1600" s="20" t="n">
        <f aca="false">F1591/F1596</f>
        <v>0.270447832015575</v>
      </c>
      <c r="G1600" s="20" t="n">
        <f aca="false">G1591/G1596</f>
        <v>0.312864525016527</v>
      </c>
      <c r="K1600" s="3" t="s">
        <v>739</v>
      </c>
    </row>
    <row r="1601" customFormat="false" ht="17.15" hidden="false" customHeight="false" outlineLevel="0" collapsed="false">
      <c r="A1601" s="5" t="s">
        <v>740</v>
      </c>
    </row>
    <row r="1602" customFormat="false" ht="15" hidden="false" customHeight="false" outlineLevel="0" collapsed="false">
      <c r="A1602" s="3" t="s">
        <v>741</v>
      </c>
      <c r="B1602" s="0" t="s">
        <v>379</v>
      </c>
      <c r="C1602" s="23" t="n">
        <f aca="false">a25_cx</f>
        <v>6.116</v>
      </c>
      <c r="D1602" s="23" t="n">
        <f aca="false">capex26</f>
        <v>11</v>
      </c>
      <c r="E1602" s="23" t="n">
        <f aca="false">cx27</f>
        <v>17</v>
      </c>
      <c r="F1602" s="23" t="n">
        <f aca="false">cx28</f>
        <v>16</v>
      </c>
      <c r="G1602" s="23" t="n">
        <f aca="false">cx29</f>
        <v>12</v>
      </c>
      <c r="H1602" s="25" t="n">
        <f aca="false">H1596*H1621</f>
        <v>13.4817405534162</v>
      </c>
      <c r="I1602" s="25" t="n">
        <f aca="false">I1596*I1621</f>
        <v>14.77073304233</v>
      </c>
      <c r="J1602" s="25" t="n">
        <f aca="false">J1596*J1621</f>
        <v>15.7713906192965</v>
      </c>
    </row>
    <row r="1603" customFormat="false" ht="17.15" hidden="false" customHeight="false" outlineLevel="0" collapsed="false">
      <c r="A1603" s="3" t="s">
        <v>742</v>
      </c>
      <c r="B1603" s="0" t="s">
        <v>379</v>
      </c>
      <c r="C1603" s="23" t="n">
        <f aca="false">a25_da</f>
        <v>7.158</v>
      </c>
      <c r="D1603" s="23" t="n">
        <f aca="false">da26</f>
        <v>8.32</v>
      </c>
      <c r="E1603" s="23" t="n">
        <f aca="false">D1603*(1-1/life)+D1602/life</f>
        <v>8.655</v>
      </c>
      <c r="F1603" s="23" t="n">
        <f aca="false">E1603*(1-1/life)+E1602/life</f>
        <v>9.698125</v>
      </c>
      <c r="G1603" s="23" t="n">
        <f aca="false">F1603*(1-1/life)+F1602/life</f>
        <v>10.485859375</v>
      </c>
      <c r="H1603" s="25" t="n">
        <f aca="false">H1596*H1604</f>
        <v>11.6939154071433</v>
      </c>
      <c r="I1603" s="25" t="n">
        <f aca="false">I1596*I1604</f>
        <v>12.7183498110769</v>
      </c>
      <c r="J1603" s="25" t="n">
        <f aca="false">J1596*J1604</f>
        <v>13.4814507997415</v>
      </c>
      <c r="K1603" s="3" t="s">
        <v>743</v>
      </c>
    </row>
    <row r="1604" customFormat="false" ht="17.15" hidden="false" customHeight="false" outlineLevel="0" collapsed="false">
      <c r="A1604" s="3" t="s">
        <v>744</v>
      </c>
      <c r="B1604" s="0" t="s">
        <v>43</v>
      </c>
      <c r="C1604" s="20" t="n">
        <f aca="false">C1603/C1596</f>
        <v>0.181901349393916</v>
      </c>
      <c r="D1604" s="20" t="n">
        <f aca="false">D1603/D1596</f>
        <v>0.152868676252807</v>
      </c>
      <c r="E1604" s="20" t="n">
        <f aca="false">E1603/E1596</f>
        <v>0.120151616290196</v>
      </c>
      <c r="F1604" s="20" t="n">
        <f aca="false">F1603/F1596</f>
        <v>0.115313507318376</v>
      </c>
      <c r="G1604" s="20" t="n">
        <f aca="false">G1603/G1596</f>
        <v>0.109099203264706</v>
      </c>
      <c r="H1604" s="26" t="n">
        <f aca="false">$G1604</f>
        <v>0.109099203264706</v>
      </c>
      <c r="I1604" s="26" t="n">
        <f aca="false">$G1604</f>
        <v>0.109099203264706</v>
      </c>
      <c r="J1604" s="26" t="n">
        <f aca="false">$G1604</f>
        <v>0.109099203264706</v>
      </c>
    </row>
    <row r="1605" customFormat="false" ht="17.15" hidden="false" customHeight="false" outlineLevel="0" collapsed="false">
      <c r="A1605" s="0" t="s">
        <v>745</v>
      </c>
      <c r="B1605" s="0" t="s">
        <v>379</v>
      </c>
      <c r="E1605" s="21" t="n">
        <f aca="false">E1590*((E1582+E1585)*(1-1/(E1575*E1576))+E1586*(1-1/E1576))</f>
        <v>4.320320004</v>
      </c>
      <c r="F1605" s="21" t="n">
        <f aca="false">F1590*((F1582+F1585)*(1-1/(F1575*F1576))+F1586*(1-1/F1576))</f>
        <v>4.34592554077415</v>
      </c>
      <c r="G1605" s="21" t="n">
        <f aca="false">G1590*((G1582+G1585)*(1-1/(G1575*G1576))+G1586*(1-1/G1576))</f>
        <v>3.70352475423345</v>
      </c>
      <c r="K1605" s="7" t="s">
        <v>746</v>
      </c>
    </row>
    <row r="1606" customFormat="false" ht="17.15" hidden="false" customHeight="false" outlineLevel="0" collapsed="false">
      <c r="A1606" s="3" t="s">
        <v>747</v>
      </c>
      <c r="B1606" s="0" t="s">
        <v>379</v>
      </c>
      <c r="C1606" s="21" t="n">
        <f aca="false">a25_gp</f>
        <v>8.314</v>
      </c>
      <c r="D1606" s="21" t="n">
        <f aca="false">a26_gp</f>
        <v>15.328536</v>
      </c>
      <c r="E1606" s="21" t="n">
        <f aca="false">$D1606+ft_abf*(E1589-E1605-$D1589)+ft_bt*(E1594-$D1594)+ft_lens*(E1595-$D1595)+E1605-(E1603-$D1603)</f>
        <v>25.590561148</v>
      </c>
      <c r="F1606" s="21" t="n">
        <f aca="false">$D1606+ft_abf*(F1589-F1605-$D1589)+ft_bt*(F1594-$D1594)+ft_lens*(F1595-$D1595)+F1605-(F1603-$D1603)</f>
        <v>30.3998107799058</v>
      </c>
      <c r="G1606" s="21" t="n">
        <f aca="false">$D1606+ft_abf*(G1589-G1605-$D1589)+ft_bt*(G1594-$D1594)+ft_lens*(G1595-$D1595)+G1605-(G1603-$D1603)</f>
        <v>35.1641706604924</v>
      </c>
      <c r="K1606" s="3" t="s">
        <v>748</v>
      </c>
    </row>
    <row r="1607" customFormat="false" ht="15" hidden="false" customHeight="false" outlineLevel="0" collapsed="false">
      <c r="A1607" s="3" t="s">
        <v>581</v>
      </c>
      <c r="B1607" s="0" t="s">
        <v>43</v>
      </c>
      <c r="C1607" s="16" t="n">
        <f aca="false">C1606/C1596</f>
        <v>0.211277985311682</v>
      </c>
      <c r="D1607" s="16" t="n">
        <f aca="false">D1606/D1596</f>
        <v>0.281640986443929</v>
      </c>
      <c r="E1607" s="16" t="n">
        <f aca="false">E1606/E1596</f>
        <v>0.3552567629931</v>
      </c>
      <c r="F1607" s="16" t="n">
        <f aca="false">F1606/F1596</f>
        <v>0.361462530421698</v>
      </c>
      <c r="G1607" s="16" t="n">
        <f aca="false">G1606/G1596</f>
        <v>0.365862526410609</v>
      </c>
    </row>
    <row r="1608" customFormat="false" ht="15" hidden="false" customHeight="false" outlineLevel="0" collapsed="false">
      <c r="A1608" s="3" t="s">
        <v>583</v>
      </c>
      <c r="B1608" s="0" t="s">
        <v>379</v>
      </c>
      <c r="C1608" s="21" t="n">
        <f aca="false">a25_opx</f>
        <v>5.644</v>
      </c>
      <c r="D1608" s="21" t="n">
        <f aca="false">a26_opx</f>
        <v>6.54036</v>
      </c>
      <c r="E1608" s="21" t="n">
        <f aca="false">D1608*(1+phi*E1598)</f>
        <v>7.80994777401287</v>
      </c>
      <c r="F1608" s="21" t="n">
        <f aca="false">E1608*(1+phi*F1598)</f>
        <v>8.59501446198315</v>
      </c>
      <c r="G1608" s="21" t="n">
        <f aca="false">F1608*(1+phi*G1598)</f>
        <v>9.33149803006473</v>
      </c>
    </row>
    <row r="1609" customFormat="false" ht="15" hidden="false" customHeight="false" outlineLevel="0" collapsed="false">
      <c r="A1609" s="3" t="s">
        <v>586</v>
      </c>
      <c r="B1609" s="0" t="s">
        <v>379</v>
      </c>
      <c r="C1609" s="21" t="n">
        <f aca="false">C1606-C1608</f>
        <v>2.67</v>
      </c>
      <c r="D1609" s="21" t="n">
        <f aca="false">D1606-D1608</f>
        <v>8.788176</v>
      </c>
      <c r="E1609" s="21" t="n">
        <f aca="false">E1606-E1608</f>
        <v>17.7806133739871</v>
      </c>
      <c r="F1609" s="21" t="n">
        <f aca="false">F1606-F1608</f>
        <v>21.8047963179227</v>
      </c>
      <c r="G1609" s="21" t="n">
        <f aca="false">G1606-G1608</f>
        <v>25.8326726304277</v>
      </c>
    </row>
    <row r="1610" customFormat="false" ht="15" hidden="false" customHeight="false" outlineLevel="0" collapsed="false">
      <c r="A1610" s="3" t="s">
        <v>684</v>
      </c>
      <c r="B1610" s="0" t="s">
        <v>43</v>
      </c>
      <c r="C1610" s="16" t="n">
        <f aca="false">C1609/C1596</f>
        <v>0.0678508805367081</v>
      </c>
      <c r="D1610" s="16" t="n">
        <f aca="false">D1609/D1596</f>
        <v>0.161470773052486</v>
      </c>
      <c r="E1610" s="16" t="n">
        <f aca="false">E1609/E1596</f>
        <v>0.246836445466854</v>
      </c>
      <c r="F1610" s="16" t="n">
        <f aca="false">F1609/F1596</f>
        <v>0.259265326007087</v>
      </c>
      <c r="G1610" s="16" t="n">
        <f aca="false">G1609/G1596</f>
        <v>0.268773774412518</v>
      </c>
    </row>
    <row r="1611" customFormat="false" ht="15" hidden="false" customHeight="false" outlineLevel="0" collapsed="false">
      <c r="A1611" s="3" t="s">
        <v>589</v>
      </c>
      <c r="B1611" s="0" t="s">
        <v>379</v>
      </c>
      <c r="C1611" s="21" t="n">
        <f aca="false">a25_nonop</f>
        <v>0.417</v>
      </c>
      <c r="D1611" s="21" t="n">
        <f aca="false">a26_nonop</f>
        <v>0.37882</v>
      </c>
      <c r="E1611" s="21" t="n">
        <f aca="false">nonop27</f>
        <v>0.4</v>
      </c>
      <c r="F1611" s="21" t="n">
        <f aca="false">nonop28</f>
        <v>0.4</v>
      </c>
      <c r="G1611" s="21" t="n">
        <f aca="false">nonop29</f>
        <v>0.4</v>
      </c>
    </row>
    <row r="1612" customFormat="false" ht="15" hidden="false" customHeight="false" outlineLevel="0" collapsed="false">
      <c r="A1612" s="3" t="s">
        <v>591</v>
      </c>
      <c r="B1612" s="0" t="s">
        <v>379</v>
      </c>
      <c r="C1612" s="21" t="n">
        <f aca="false">C1609+C1611</f>
        <v>3.087</v>
      </c>
      <c r="D1612" s="21" t="n">
        <f aca="false">D1609+D1611</f>
        <v>9.166996</v>
      </c>
      <c r="E1612" s="21" t="n">
        <f aca="false">E1609+E1611</f>
        <v>18.1806133739871</v>
      </c>
      <c r="F1612" s="21" t="n">
        <f aca="false">F1609+F1611</f>
        <v>22.2047963179227</v>
      </c>
      <c r="G1612" s="21" t="n">
        <f aca="false">G1609+G1611</f>
        <v>26.2326726304277</v>
      </c>
    </row>
    <row r="1613" customFormat="false" ht="15" hidden="false" customHeight="false" outlineLevel="0" collapsed="false">
      <c r="A1613" s="3" t="s">
        <v>592</v>
      </c>
      <c r="B1613" s="0" t="s">
        <v>379</v>
      </c>
      <c r="E1613" s="21" t="n">
        <f aca="false">E1612*tax</f>
        <v>2.18167360487846</v>
      </c>
      <c r="F1613" s="21" t="n">
        <f aca="false">F1612*tax</f>
        <v>2.66457555815072</v>
      </c>
      <c r="G1613" s="21" t="n">
        <f aca="false">G1612*tax</f>
        <v>3.14792071565132</v>
      </c>
    </row>
    <row r="1614" customFormat="false" ht="15" hidden="false" customHeight="false" outlineLevel="0" collapsed="false">
      <c r="A1614" s="3" t="s">
        <v>593</v>
      </c>
      <c r="B1614" s="0" t="s">
        <v>379</v>
      </c>
      <c r="C1614" s="21" t="n">
        <f aca="false">a25_nic</f>
        <v>2.71712</v>
      </c>
      <c r="D1614" s="21" t="n">
        <f aca="false">a26_nic</f>
        <v>8.39979776</v>
      </c>
      <c r="E1614" s="21" t="n">
        <f aca="false">E1612-E1613</f>
        <v>15.9989397691087</v>
      </c>
      <c r="F1614" s="21" t="n">
        <f aca="false">F1612-F1613</f>
        <v>19.540220759772</v>
      </c>
      <c r="G1614" s="21" t="n">
        <f aca="false">G1612-G1613</f>
        <v>23.0847519147764</v>
      </c>
    </row>
    <row r="1615" customFormat="false" ht="17.15" hidden="false" customHeight="false" outlineLevel="0" collapsed="false">
      <c r="A1615" s="3" t="s">
        <v>749</v>
      </c>
      <c r="B1615" s="0" t="s">
        <v>379</v>
      </c>
      <c r="C1615" s="21" t="n">
        <f aca="false">a25_nci</f>
        <v>1.12112</v>
      </c>
      <c r="D1615" s="21" t="n">
        <f aca="false">a26_nci</f>
        <v>1.43839238487797</v>
      </c>
      <c r="E1615" s="21" t="n">
        <f aca="false">E1595*nm_lens*nci_sh</f>
        <v>1.57074538036261</v>
      </c>
      <c r="F1615" s="21" t="n">
        <f aca="false">F1595*nm_lens*nci_sh</f>
        <v>1.72781991839887</v>
      </c>
      <c r="G1615" s="21" t="n">
        <f aca="false">G1595*nm_lens*nci_sh</f>
        <v>1.90060191023875</v>
      </c>
      <c r="K1615" s="3" t="s">
        <v>750</v>
      </c>
    </row>
    <row r="1616" customFormat="false" ht="15" hidden="false" customHeight="false" outlineLevel="0" collapsed="false">
      <c r="A1616" s="3" t="s">
        <v>599</v>
      </c>
      <c r="B1616" s="0" t="s">
        <v>379</v>
      </c>
      <c r="C1616" s="21" t="n">
        <f aca="false">a25_ni</f>
        <v>1.596</v>
      </c>
      <c r="D1616" s="21" t="n">
        <f aca="false">a26_ni</f>
        <v>6.96140537512203</v>
      </c>
      <c r="E1616" s="21" t="n">
        <f aca="false">E1614-E1615</f>
        <v>14.4281943887461</v>
      </c>
      <c r="F1616" s="21" t="n">
        <f aca="false">F1614-F1615</f>
        <v>17.8124008413731</v>
      </c>
      <c r="G1616" s="21" t="n">
        <f aca="false">G1614-G1615</f>
        <v>21.1841500045376</v>
      </c>
      <c r="H1616" s="30" t="n">
        <f aca="false">H1596*H1620</f>
        <v>23.6450262253537</v>
      </c>
      <c r="I1616" s="30" t="n">
        <f aca="false">I1596*I1620</f>
        <v>25.7384942646359</v>
      </c>
      <c r="J1616" s="30" t="n">
        <f aca="false">J1596*J1620</f>
        <v>27.3061958633271</v>
      </c>
    </row>
    <row r="1617" customFormat="false" ht="15" hidden="false" customHeight="false" outlineLevel="0" collapsed="false">
      <c r="A1617" s="3" t="s">
        <v>751</v>
      </c>
      <c r="B1617" s="3" t="s">
        <v>465</v>
      </c>
      <c r="C1617" s="29" t="n">
        <f aca="false">a25_sh</f>
        <v>0.454700854700855</v>
      </c>
      <c r="D1617" s="29" t="n">
        <f aca="false">a26_sh</f>
        <v>0.508341020486215</v>
      </c>
      <c r="E1617" s="29" t="n">
        <f aca="false">a26_shend*(1+sh_g)</f>
        <v>0.52691</v>
      </c>
      <c r="F1617" s="29" t="n">
        <f aca="false">E1617*(1+sh_g)</f>
        <v>0.52691</v>
      </c>
      <c r="G1617" s="29" t="n">
        <f aca="false">F1617*(1+sh_g)</f>
        <v>0.52691</v>
      </c>
      <c r="H1617" s="31" t="n">
        <f aca="false">G1617*(1+sh_g)</f>
        <v>0.52691</v>
      </c>
      <c r="I1617" s="31" t="n">
        <f aca="false">H1617*(1+sh_g)</f>
        <v>0.52691</v>
      </c>
      <c r="J1617" s="31" t="n">
        <f aca="false">I1617*(1+sh_g)</f>
        <v>0.52691</v>
      </c>
    </row>
    <row r="1618" customFormat="false" ht="17.15" hidden="false" customHeight="false" outlineLevel="0" collapsed="false">
      <c r="A1618" s="0" t="s">
        <v>604</v>
      </c>
      <c r="B1618" s="0" t="s">
        <v>471</v>
      </c>
      <c r="C1618" s="18" t="n">
        <f aca="false">C1616/C1617</f>
        <v>3.51</v>
      </c>
      <c r="D1618" s="18" t="n">
        <f aca="false">D1616/D1617</f>
        <v>13.6943608612652</v>
      </c>
      <c r="E1618" s="18" t="n">
        <f aca="false">E1616/E1617</f>
        <v>27.3826543218881</v>
      </c>
      <c r="F1618" s="18" t="n">
        <f aca="false">F1616/F1617</f>
        <v>33.8053953073069</v>
      </c>
      <c r="G1618" s="18" t="n">
        <f aca="false">G1616/G1617</f>
        <v>40.2044941347433</v>
      </c>
      <c r="H1618" s="28" t="n">
        <f aca="false">H1616/H1617</f>
        <v>44.8748860817857</v>
      </c>
      <c r="I1618" s="28" t="n">
        <f aca="false">I1616/I1617</f>
        <v>48.8479897224116</v>
      </c>
      <c r="J1618" s="28" t="n">
        <f aca="false">J1616/J1617</f>
        <v>51.8232636756317</v>
      </c>
    </row>
    <row r="1619" customFormat="false" ht="17.15" hidden="false" customHeight="false" outlineLevel="0" collapsed="false">
      <c r="A1619" s="0" t="s">
        <v>752</v>
      </c>
      <c r="B1619" s="0" t="s">
        <v>43</v>
      </c>
      <c r="D1619" s="20" t="n">
        <f aca="false">D1618/C1618-1</f>
        <v>2.90152731090177</v>
      </c>
      <c r="E1619" s="20" t="n">
        <f aca="false">E1618/D1618-1</f>
        <v>0.999556941670828</v>
      </c>
      <c r="F1619" s="20" t="n">
        <f aca="false">F1618/E1618-1</f>
        <v>0.234555091333305</v>
      </c>
      <c r="G1619" s="20" t="n">
        <f aca="false">G1618/F1618-1</f>
        <v>0.189292234841971</v>
      </c>
      <c r="H1619" s="26" t="n">
        <f aca="false">H1618/G1618-1</f>
        <v>0.116165917456636</v>
      </c>
      <c r="I1619" s="26" t="n">
        <f aca="false">I1618/H1618-1</f>
        <v>0.0885373532399567</v>
      </c>
      <c r="J1619" s="26" t="n">
        <f aca="false">J1618/I1618-1</f>
        <v>0.0609088310517523</v>
      </c>
    </row>
    <row r="1620" customFormat="false" ht="17.15" hidden="false" customHeight="false" outlineLevel="0" collapsed="false">
      <c r="A1620" s="3" t="s">
        <v>753</v>
      </c>
      <c r="B1620" s="0" t="s">
        <v>43</v>
      </c>
      <c r="C1620" s="16" t="n">
        <f aca="false">C1616/C1596</f>
        <v>0.0405580544331783</v>
      </c>
      <c r="D1620" s="16" t="n">
        <f aca="false">D1616/D1596</f>
        <v>0.127906349105057</v>
      </c>
      <c r="E1620" s="16" t="n">
        <f aca="false">E1616/E1596</f>
        <v>0.20029703939422</v>
      </c>
      <c r="F1620" s="16" t="n">
        <f aca="false">F1616/F1596</f>
        <v>0.211794590684233</v>
      </c>
      <c r="G1620" s="16" t="n">
        <f aca="false">G1616/G1596</f>
        <v>0.220408628866918</v>
      </c>
      <c r="H1620" s="27" t="n">
        <f aca="false">$G1620+(fade_mA-$G1620)*1/3</f>
        <v>0.220597929140429</v>
      </c>
      <c r="I1620" s="27" t="n">
        <f aca="false">$G1620+(fade_mA-$G1620)*2/3</f>
        <v>0.22078722941394</v>
      </c>
      <c r="J1620" s="27" t="n">
        <f aca="false">$G1620+(fade_mA-$G1620)*3/3</f>
        <v>0.220976529687452</v>
      </c>
    </row>
    <row r="1621" customFormat="false" ht="17.15" hidden="false" customHeight="false" outlineLevel="0" collapsed="false">
      <c r="A1621" s="3" t="s">
        <v>754</v>
      </c>
      <c r="B1621" s="0" t="s">
        <v>43</v>
      </c>
      <c r="C1621" s="20" t="n">
        <f aca="false">C1602/C1596</f>
        <v>0.155421717364235</v>
      </c>
      <c r="D1621" s="20" t="n">
        <f aca="false">D1602/D1596</f>
        <v>0.202110028699624</v>
      </c>
      <c r="E1621" s="20" t="n">
        <f aca="false">E1602/E1596</f>
        <v>0.235999708484498</v>
      </c>
      <c r="F1621" s="20" t="n">
        <f aca="false">F1602/F1596</f>
        <v>0.190244621212247</v>
      </c>
      <c r="G1621" s="20" t="n">
        <f aca="false">G1602/G1596</f>
        <v>0.124852946464054</v>
      </c>
      <c r="H1621" s="26" t="n">
        <f aca="false">$G1621+($G1604*(1+tp_g)^(life/2)-$G1621)*1/3</f>
        <v>0.125778843252168</v>
      </c>
      <c r="I1621" s="26" t="n">
        <f aca="false">$G1621+($G1604*(1+tp_g)^(life/2)-$G1621)*2/3</f>
        <v>0.126704740040282</v>
      </c>
      <c r="J1621" s="26" t="n">
        <f aca="false">$G1621+($G1604*(1+tp_g)^(life/2)-$G1621)*3/3</f>
        <v>0.127630636828396</v>
      </c>
      <c r="K1621" s="7" t="s">
        <v>755</v>
      </c>
    </row>
    <row r="1622" customFormat="false" ht="15" hidden="false" customHeight="false" outlineLevel="0" collapsed="false">
      <c r="A1622" s="3" t="s">
        <v>756</v>
      </c>
      <c r="B1622" s="0" t="s">
        <v>379</v>
      </c>
      <c r="D1622" s="21" t="n">
        <f aca="false">D1616+D1603-D1602</f>
        <v>4.28140537512203</v>
      </c>
      <c r="E1622" s="21" t="n">
        <f aca="false">E1616+E1603-E1602</f>
        <v>6.08319438874607</v>
      </c>
      <c r="F1622" s="21" t="n">
        <f aca="false">F1616+F1603-F1602</f>
        <v>11.5105258413731</v>
      </c>
      <c r="G1622" s="21" t="n">
        <f aca="false">G1616+G1603-G1602</f>
        <v>19.6700093795376</v>
      </c>
      <c r="H1622" s="30" t="n">
        <f aca="false">H1616+H1603-H1602</f>
        <v>21.8572010790808</v>
      </c>
      <c r="I1622" s="30" t="n">
        <f aca="false">I1616+I1603-I1602</f>
        <v>23.6861110333828</v>
      </c>
      <c r="J1622" s="30" t="n">
        <f aca="false">J1616+J1603-J1602</f>
        <v>25.0162560437722</v>
      </c>
      <c r="K1622" s="3" t="s">
        <v>757</v>
      </c>
    </row>
    <row r="1623" customFormat="false" ht="15" hidden="false" customHeight="false" outlineLevel="0" collapsed="false">
      <c r="A1623" s="3" t="s">
        <v>758</v>
      </c>
      <c r="B1623" s="0" t="s">
        <v>471</v>
      </c>
      <c r="D1623" s="18" t="n">
        <f aca="false">D1622/D1617</f>
        <v>8.42230943909854</v>
      </c>
      <c r="E1623" s="18" t="n">
        <f aca="false">E1622/E1617</f>
        <v>11.5450349941092</v>
      </c>
      <c r="F1623" s="18" t="n">
        <f aca="false">F1622/F1617</f>
        <v>21.8453357145871</v>
      </c>
      <c r="G1623" s="18" t="n">
        <f aca="false">G1622/G1617</f>
        <v>37.3308712674605</v>
      </c>
      <c r="H1623" s="28" t="n">
        <f aca="false">H1622/H1617</f>
        <v>41.4818490426843</v>
      </c>
      <c r="I1623" s="28" t="n">
        <f aca="false">I1622/I1617</f>
        <v>44.952859185407</v>
      </c>
      <c r="J1623" s="28" t="n">
        <f aca="false">J1622/J1617</f>
        <v>47.4772846288212</v>
      </c>
    </row>
    <row r="1626" customFormat="false" ht="17.15" hidden="false" customHeight="false" outlineLevel="0" collapsed="false">
      <c r="A1626" s="1" t="s">
        <v>1119</v>
      </c>
    </row>
    <row r="1627" customFormat="false" ht="17.15" hidden="false" customHeight="false" outlineLevel="0" collapsed="false">
      <c r="A1627" s="4" t="s">
        <v>20</v>
      </c>
      <c r="B1627" s="4" t="s">
        <v>21</v>
      </c>
      <c r="C1627" s="13" t="s">
        <v>567</v>
      </c>
      <c r="D1627" s="13" t="s">
        <v>671</v>
      </c>
      <c r="E1627" s="13" t="s">
        <v>672</v>
      </c>
      <c r="F1627" s="13" t="s">
        <v>673</v>
      </c>
      <c r="G1627" s="13" t="s">
        <v>674</v>
      </c>
      <c r="H1627" s="13" t="s">
        <v>675</v>
      </c>
      <c r="I1627" s="13" t="s">
        <v>676</v>
      </c>
      <c r="J1627" s="13" t="s">
        <v>677</v>
      </c>
      <c r="K1627" s="4" t="s">
        <v>631</v>
      </c>
    </row>
    <row r="1628" customFormat="false" ht="17.15" hidden="false" customHeight="false" outlineLevel="0" collapsed="false">
      <c r="A1628" s="5" t="s">
        <v>695</v>
      </c>
    </row>
    <row r="1629" customFormat="false" ht="17.15" hidden="false" customHeight="false" outlineLevel="0" collapsed="false">
      <c r="A1629" s="0" t="s">
        <v>696</v>
      </c>
      <c r="B1629" s="3" t="s">
        <v>31</v>
      </c>
      <c r="D1629" s="21" t="n">
        <f aca="false">(u_bw_26+u_rb_26+u_ru_26+u_hp_26)*1</f>
        <v>7.6</v>
      </c>
      <c r="E1629" s="21" t="n">
        <f aca="false">(u_bw_27+u_rb_27+u_ru_27+u_hp_27)*1*1</f>
        <v>9.7</v>
      </c>
      <c r="F1629" s="21" t="n">
        <f aca="false">(u_bw_28+u_rb_28+u_ru_28+u_hp_28)*um28_A*1</f>
        <v>9.5</v>
      </c>
      <c r="G1629" s="21" t="n">
        <f aca="false">(u_bw_28*(1+g29_bw)+u_rb_28*(1+g29_rb)+u_ru_28*(1+g29_ru)+u_hp_28*(1+g29_hp))*um29_A*1</f>
        <v>10.6</v>
      </c>
      <c r="K1629" s="7" t="s">
        <v>697</v>
      </c>
    </row>
    <row r="1630" customFormat="false" ht="17.15" hidden="false" customHeight="false" outlineLevel="0" collapsed="false">
      <c r="A1630" s="3" t="s">
        <v>698</v>
      </c>
      <c r="B1630" s="3" t="s">
        <v>31</v>
      </c>
      <c r="D1630" s="21" t="n">
        <f aca="false">(u_amd_26+u_tpu_26+u_trn_26+u_oth_26)*1</f>
        <v>7.6</v>
      </c>
      <c r="E1630" s="21" t="n">
        <f aca="false">(u_amd_27+u_tpu_27+u_trn_27+u_oth_27)*1*1</f>
        <v>14</v>
      </c>
      <c r="F1630" s="21" t="n">
        <f aca="false">(u_amd_28+u_tpu_28+u_trn_28+u_oth_28)*um28_A*1</f>
        <v>17</v>
      </c>
      <c r="G1630" s="21" t="n">
        <f aca="false">(u_amd_28*(1+g29_amd)+u_tpu_28*(1+g29_tpu)+u_trn_28*(1+g29_trn)+u_oth_28*(1+g29_oth))*um29_A*1</f>
        <v>19.55</v>
      </c>
      <c r="K1630" s="7" t="s">
        <v>699</v>
      </c>
    </row>
    <row r="1631" customFormat="false" ht="17.15" hidden="false" customHeight="false" outlineLevel="0" collapsed="false">
      <c r="A1631" s="0" t="s">
        <v>700</v>
      </c>
      <c r="B1631" s="3" t="s">
        <v>31</v>
      </c>
      <c r="D1631" s="21" t="n">
        <f aca="false">D1629*cpu_r</f>
        <v>3.04</v>
      </c>
      <c r="E1631" s="21" t="n">
        <f aca="false">E1629*cpu_r</f>
        <v>3.88</v>
      </c>
      <c r="F1631" s="21" t="n">
        <f aca="false">F1629*cpu_r</f>
        <v>3.8</v>
      </c>
      <c r="G1631" s="21" t="n">
        <f aca="false">G1629*cpu_r</f>
        <v>4.24</v>
      </c>
      <c r="K1631" s="7" t="s">
        <v>701</v>
      </c>
    </row>
    <row r="1632" customFormat="false" ht="17.15" hidden="false" customHeight="false" outlineLevel="0" collapsed="false">
      <c r="A1632" s="3" t="s">
        <v>702</v>
      </c>
      <c r="B1632" s="0" t="s">
        <v>153</v>
      </c>
      <c r="D1632" s="19" t="n">
        <f aca="false">1</f>
        <v>1</v>
      </c>
      <c r="E1632" s="19" t="n">
        <f aca="false">D1632*(1+g_asp)</f>
        <v>1.18</v>
      </c>
      <c r="F1632" s="19" t="n">
        <f aca="false">E1632*(1+g_asp)</f>
        <v>1.3924</v>
      </c>
      <c r="G1632" s="19" t="n">
        <f aca="false">F1632*(1+g_asp)</f>
        <v>1.643032</v>
      </c>
      <c r="K1632" s="7" t="s">
        <v>703</v>
      </c>
    </row>
    <row r="1633" customFormat="false" ht="17.15" hidden="false" customHeight="false" outlineLevel="0" collapsed="false">
      <c r="A1633" s="0" t="s">
        <v>704</v>
      </c>
      <c r="B1633" s="0" t="s">
        <v>153</v>
      </c>
      <c r="D1633" s="18" t="n">
        <f aca="false">1</f>
        <v>1</v>
      </c>
      <c r="E1633" s="18" t="n">
        <f aca="false">ibpp_27</f>
        <v>1</v>
      </c>
      <c r="F1633" s="18" t="n">
        <f aca="false">ibpp_28</f>
        <v>0.95</v>
      </c>
      <c r="G1633" s="18" t="n">
        <f aca="false">ibpp_29</f>
        <v>0.9</v>
      </c>
      <c r="K1633" s="7" t="s">
        <v>705</v>
      </c>
    </row>
    <row r="1634" customFormat="false" ht="17.15" hidden="false" customHeight="false" outlineLevel="0" collapsed="false">
      <c r="A1634" s="3" t="s">
        <v>706</v>
      </c>
      <c r="B1634" s="0" t="s">
        <v>153</v>
      </c>
      <c r="D1634" s="18" t="n">
        <f aca="false">1</f>
        <v>1</v>
      </c>
      <c r="E1634" s="18" t="n">
        <f aca="false">1+carry</f>
        <v>1.15</v>
      </c>
      <c r="F1634" s="18" t="n">
        <f aca="false">1+carry</f>
        <v>1.15</v>
      </c>
      <c r="G1634" s="18" t="n">
        <f aca="false">1+carry</f>
        <v>1.15</v>
      </c>
      <c r="K1634" s="7" t="s">
        <v>707</v>
      </c>
    </row>
    <row r="1635" customFormat="false" ht="17.15" hidden="false" customHeight="false" outlineLevel="0" collapsed="false">
      <c r="A1635" s="3" t="s">
        <v>708</v>
      </c>
      <c r="B1635" s="0" t="s">
        <v>709</v>
      </c>
      <c r="D1635" s="23" t="n">
        <f aca="false">v26*D1632*D1633</f>
        <v>215.308596</v>
      </c>
      <c r="E1635" s="23" t="n">
        <f aca="false">v26*E1632*E1633</f>
        <v>254.06414328</v>
      </c>
      <c r="F1635" s="23" t="n">
        <f aca="false">v26*F1632*F1633</f>
        <v>284.80590461688</v>
      </c>
      <c r="G1635" s="23" t="n">
        <f aca="false">v26*G1632*G1633</f>
        <v>318.383021792765</v>
      </c>
      <c r="K1635" s="7" t="s">
        <v>710</v>
      </c>
    </row>
    <row r="1636" customFormat="false" ht="17.15" hidden="false" customHeight="false" outlineLevel="0" collapsed="false">
      <c r="A1636" s="3" t="s">
        <v>711</v>
      </c>
      <c r="B1636" s="0" t="s">
        <v>43</v>
      </c>
      <c r="D1636" s="20" t="n">
        <f aca="false">sh_nv_26</f>
        <v>0.02</v>
      </c>
      <c r="E1636" s="20" t="n">
        <f aca="false">sh_nv_27</f>
        <v>0.03</v>
      </c>
      <c r="F1636" s="20" t="n">
        <f aca="false">sh_nv_28</f>
        <v>0.05</v>
      </c>
      <c r="G1636" s="20" t="n">
        <f aca="false">sh_nv_29</f>
        <v>0.06</v>
      </c>
    </row>
    <row r="1637" customFormat="false" ht="17.15" hidden="false" customHeight="false" outlineLevel="0" collapsed="false">
      <c r="A1637" s="3" t="s">
        <v>712</v>
      </c>
      <c r="B1637" s="0" t="s">
        <v>43</v>
      </c>
      <c r="D1637" s="20" t="n">
        <f aca="false">sh_ot_26</f>
        <v>0.03</v>
      </c>
      <c r="E1637" s="20" t="n">
        <f aca="false">sh_ot_27</f>
        <v>0.05</v>
      </c>
      <c r="F1637" s="20" t="n">
        <f aca="false">sh_ot_28</f>
        <v>0.06</v>
      </c>
      <c r="G1637" s="20" t="n">
        <f aca="false">sh_ot_29</f>
        <v>0.06</v>
      </c>
    </row>
    <row r="1638" customFormat="false" ht="17.15" hidden="false" customHeight="false" outlineLevel="0" collapsed="false">
      <c r="A1638" s="3" t="s">
        <v>713</v>
      </c>
      <c r="B1638" s="0" t="s">
        <v>43</v>
      </c>
      <c r="D1638" s="20" t="n">
        <f aca="false">sh_cpu_26</f>
        <v>0.35</v>
      </c>
      <c r="E1638" s="20" t="n">
        <f aca="false">sh_cpu_27</f>
        <v>0.7</v>
      </c>
      <c r="F1638" s="20" t="n">
        <f aca="false">sh_cpu_28</f>
        <v>0.75</v>
      </c>
      <c r="G1638" s="20" t="n">
        <f aca="false">sh_cpu_29</f>
        <v>0.7</v>
      </c>
    </row>
    <row r="1639" customFormat="false" ht="17.15" hidden="false" customHeight="false" outlineLevel="0" collapsed="false">
      <c r="A1639" s="3" t="s">
        <v>714</v>
      </c>
      <c r="B1639" s="0" t="s">
        <v>661</v>
      </c>
      <c r="D1639" s="22" t="n">
        <f aca="false">(D1629*D1635*D1636+D1630*D1635*v_ot*D1637+D1631*D1635*v_cpu*D1638)*D1634</f>
        <v>140.7256983456</v>
      </c>
      <c r="E1639" s="22" t="n">
        <f aca="false">(E1629*E1635*E1636+E1630*E1635*v_ot*E1637+E1631*E1635*v_cpu*E1638)*E1634</f>
        <v>486.703057357198</v>
      </c>
      <c r="F1639" s="22" t="n">
        <f aca="false">(F1629*F1635*F1636+F1630*F1635*v_ot*F1637+F1631*F1635*v_cpu*F1638)*F1634</f>
        <v>702.872492003998</v>
      </c>
      <c r="G1639" s="22" t="n">
        <f aca="false">(G1629*G1635*G1636+G1630*G1635*v_ot*G1637+G1631*G1635*v_cpu*G1638)*G1634</f>
        <v>902.463042932027</v>
      </c>
    </row>
    <row r="1640" customFormat="false" ht="17.15" hidden="false" customHeight="false" outlineLevel="0" collapsed="false">
      <c r="A1640" s="3" t="s">
        <v>715</v>
      </c>
      <c r="B1640" s="0" t="s">
        <v>379</v>
      </c>
      <c r="D1640" s="21" t="n">
        <f aca="false">D1639*fx/1000</f>
        <v>4.5032223470592</v>
      </c>
      <c r="E1640" s="21" t="n">
        <f aca="false">E1639*fx/1000</f>
        <v>15.5744978354303</v>
      </c>
      <c r="F1640" s="21" t="n">
        <f aca="false">F1639*fx/1000</f>
        <v>22.4919197441279</v>
      </c>
      <c r="G1640" s="21" t="n">
        <f aca="false">G1639*fx/1000</f>
        <v>28.8788173738249</v>
      </c>
    </row>
    <row r="1641" customFormat="false" ht="17.15" hidden="false" customHeight="false" outlineLevel="0" collapsed="false">
      <c r="A1641" s="5" t="s">
        <v>716</v>
      </c>
    </row>
    <row r="1642" customFormat="false" ht="17.15" hidden="false" customHeight="false" outlineLevel="0" collapsed="false">
      <c r="A1642" s="0" t="s">
        <v>717</v>
      </c>
      <c r="B1642" s="0" t="s">
        <v>379</v>
      </c>
      <c r="D1642" s="21" t="n">
        <f aca="false">a26_abf*ai_abf</f>
        <v>5.714709</v>
      </c>
      <c r="K1642" s="3" t="s">
        <v>718</v>
      </c>
    </row>
    <row r="1643" customFormat="false" ht="17.15" hidden="false" customHeight="false" outlineLevel="0" collapsed="false">
      <c r="A1643" s="3" t="s">
        <v>719</v>
      </c>
      <c r="B1643" s="0" t="s">
        <v>379</v>
      </c>
      <c r="D1643" s="21" t="n">
        <f aca="false">D1642-D1640</f>
        <v>1.2114866529408</v>
      </c>
      <c r="E1643" s="21" t="n">
        <f aca="false">$D1643*(swm_27/swm_26)^el_o*1*1*E1633*E1634</f>
        <v>1.94870016016792</v>
      </c>
      <c r="F1643" s="21" t="n">
        <f aca="false">$D1643*(swm_28/swm_26)^el_o*um28_A*1*F1633*F1634</f>
        <v>1.99149622299173</v>
      </c>
      <c r="G1643" s="21" t="n">
        <f aca="false">$D1643*(swm_29/swm_26)^el_o*um29_A*1*G1633*G1634</f>
        <v>2.01272596640355</v>
      </c>
      <c r="K1643" s="7" t="s">
        <v>720</v>
      </c>
    </row>
    <row r="1644" customFormat="false" ht="17.15" hidden="false" customHeight="false" outlineLevel="0" collapsed="false">
      <c r="A1644" s="3" t="s">
        <v>721</v>
      </c>
      <c r="B1644" s="0" t="s">
        <v>379</v>
      </c>
      <c r="D1644" s="21" t="n">
        <f aca="false">a26_abf-D1642</f>
        <v>17.144127</v>
      </c>
      <c r="E1644" s="21" t="n">
        <f aca="false">$D1644*(1+g_nai)^1*E1634</f>
        <v>20.898690813</v>
      </c>
      <c r="F1644" s="21" t="n">
        <f aca="false">$D1644*(1+g_nai)^2*F1634</f>
        <v>22.15261226178</v>
      </c>
      <c r="G1644" s="21" t="n">
        <f aca="false">$D1644*(1+g_nai)^3*G1634</f>
        <v>23.4817689974868</v>
      </c>
      <c r="K1644" s="3" t="s">
        <v>722</v>
      </c>
    </row>
    <row r="1645" customFormat="false" ht="17.15" hidden="false" customHeight="false" outlineLevel="0" collapsed="false">
      <c r="A1645" s="0" t="s">
        <v>723</v>
      </c>
      <c r="B1645" s="0" t="s">
        <v>379</v>
      </c>
      <c r="D1645" s="21" t="n">
        <f aca="false">D1640+D1643+D1644</f>
        <v>22.858836</v>
      </c>
      <c r="E1645" s="21" t="n">
        <f aca="false">E1640+E1643+E1644</f>
        <v>38.4218888085982</v>
      </c>
      <c r="F1645" s="21" t="n">
        <f aca="false">F1640+F1643+F1644</f>
        <v>46.6360282288997</v>
      </c>
      <c r="G1645" s="21" t="n">
        <f aca="false">G1640+G1643+G1644</f>
        <v>54.3733123377152</v>
      </c>
    </row>
    <row r="1646" customFormat="false" ht="17.15" hidden="false" customHeight="false" outlineLevel="0" collapsed="false">
      <c r="A1646" s="0" t="s">
        <v>724</v>
      </c>
      <c r="B1646" s="0" t="s">
        <v>379</v>
      </c>
      <c r="D1646" s="21" t="n">
        <f aca="false">a26_abf</f>
        <v>22.858836</v>
      </c>
      <c r="E1646" s="21" t="n">
        <f aca="false">$D1645*cap_27*(1+g_mix)^1*E1633*E1634</f>
        <v>33.122453364</v>
      </c>
      <c r="F1646" s="21" t="n">
        <f aca="false">$D1645*cap_28*(1+g_mix)^2*F1633*F1634</f>
        <v>41.2995590382375</v>
      </c>
      <c r="G1646" s="21" t="n">
        <f aca="false">$D1645*cap_29*(1+g_mix)^3*G1633*G1634</f>
        <v>50.6680379569114</v>
      </c>
      <c r="K1646" s="7" t="s">
        <v>725</v>
      </c>
    </row>
    <row r="1647" customFormat="false" ht="17.15" hidden="false" customHeight="false" outlineLevel="0" collapsed="false">
      <c r="A1647" s="0" t="s">
        <v>726</v>
      </c>
      <c r="B1647" s="0" t="s">
        <v>379</v>
      </c>
      <c r="D1647" s="21" t="n">
        <f aca="false">a26_abf</f>
        <v>22.858836</v>
      </c>
      <c r="E1647" s="21" t="n">
        <f aca="false">MIN(E1645,E1646)</f>
        <v>33.122453364</v>
      </c>
      <c r="F1647" s="21" t="n">
        <f aca="false">MIN(F1645,F1646)</f>
        <v>41.2995590382375</v>
      </c>
      <c r="G1647" s="21" t="n">
        <f aca="false">MIN(G1645,G1646)</f>
        <v>50.6680379569114</v>
      </c>
    </row>
    <row r="1648" customFormat="false" ht="17.15" hidden="false" customHeight="false" outlineLevel="0" collapsed="false">
      <c r="A1648" s="3" t="s">
        <v>727</v>
      </c>
      <c r="B1648" s="0" t="s">
        <v>43</v>
      </c>
      <c r="D1648" s="20" t="n">
        <f aca="false">D1647/D1645</f>
        <v>1</v>
      </c>
      <c r="E1648" s="20" t="n">
        <f aca="false">E1647/E1645</f>
        <v>0.862072490215205</v>
      </c>
      <c r="F1648" s="20" t="n">
        <f aca="false">F1647/F1645</f>
        <v>0.885571962422065</v>
      </c>
      <c r="G1648" s="20" t="n">
        <f aca="false">G1647/G1645</f>
        <v>0.931854907830698</v>
      </c>
    </row>
    <row r="1649" customFormat="false" ht="17.15" hidden="false" customHeight="false" outlineLevel="0" collapsed="false">
      <c r="A1649" s="0" t="s">
        <v>728</v>
      </c>
      <c r="B1649" s="0" t="s">
        <v>379</v>
      </c>
      <c r="D1649" s="21" t="n">
        <f aca="false">(D1640+D1643)*D1648</f>
        <v>5.714709</v>
      </c>
      <c r="E1649" s="21" t="n">
        <f aca="false">(E1640+E1643)*E1648</f>
        <v>15.1062669325995</v>
      </c>
      <c r="F1649" s="21" t="n">
        <f aca="false">(F1640+F1643)*F1648</f>
        <v>21.6818267247979</v>
      </c>
      <c r="G1649" s="21" t="n">
        <f aca="false">(G1640+G1643)*G1648</f>
        <v>28.7864362720566</v>
      </c>
    </row>
    <row r="1650" customFormat="false" ht="17.15" hidden="false" customHeight="false" outlineLevel="0" collapsed="false">
      <c r="A1650" s="3" t="s">
        <v>729</v>
      </c>
      <c r="B1650" s="0" t="s">
        <v>43</v>
      </c>
      <c r="D1650" s="20" t="n">
        <f aca="false">D1640/(D1640+D1643)</f>
        <v>0.788005539225042</v>
      </c>
      <c r="E1650" s="20" t="n">
        <f aca="false">E1640/(E1640+E1643)</f>
        <v>0.888793120944167</v>
      </c>
      <c r="F1650" s="20" t="n">
        <f aca="false">F1640/(F1640+F1643)</f>
        <v>0.918659380469366</v>
      </c>
      <c r="G1650" s="20" t="n">
        <f aca="false">G1640/(G1640+G1643)</f>
        <v>0.934845405934042</v>
      </c>
    </row>
    <row r="1651" customFormat="false" ht="17.15" hidden="false" customHeight="false" outlineLevel="0" collapsed="false">
      <c r="A1651" s="5" t="s">
        <v>730</v>
      </c>
    </row>
    <row r="1652" customFormat="false" ht="17.15" hidden="false" customHeight="false" outlineLevel="0" collapsed="false">
      <c r="A1652" s="0" t="s">
        <v>731</v>
      </c>
      <c r="B1652" s="0" t="s">
        <v>379</v>
      </c>
      <c r="D1652" s="21" t="n">
        <f aca="false">a26_bt</f>
        <v>23.265964</v>
      </c>
      <c r="E1652" s="21" t="n">
        <f aca="false">D1652*(1+g_bt27_A)</f>
        <v>29.78043392</v>
      </c>
      <c r="F1652" s="21" t="n">
        <f aca="false">E1652*(1+g_bt28_A)</f>
        <v>32.758477312</v>
      </c>
      <c r="G1652" s="21" t="n">
        <f aca="false">F1652*(1+g_bt29_A)</f>
        <v>34.3964011776</v>
      </c>
      <c r="K1652" s="7" t="s">
        <v>732</v>
      </c>
    </row>
    <row r="1653" customFormat="false" ht="17.15" hidden="false" customHeight="false" outlineLevel="0" collapsed="false">
      <c r="A1653" s="3" t="s">
        <v>617</v>
      </c>
      <c r="B1653" s="0" t="s">
        <v>379</v>
      </c>
      <c r="C1653" s="21" t="n">
        <f aca="false">a25_lens</f>
        <v>7.039</v>
      </c>
      <c r="D1653" s="21" t="n">
        <f aca="false">a26_lens</f>
        <v>8.301</v>
      </c>
      <c r="E1653" s="21" t="n">
        <f aca="false">D1653*(1+g_lens)</f>
        <v>9.1311</v>
      </c>
      <c r="F1653" s="21" t="n">
        <f aca="false">E1653*(1+g_lens)</f>
        <v>10.04421</v>
      </c>
      <c r="G1653" s="21" t="n">
        <f aca="false">F1653*(1+g_lens)</f>
        <v>11.048631</v>
      </c>
      <c r="K1653" s="3" t="s">
        <v>733</v>
      </c>
    </row>
    <row r="1654" customFormat="false" ht="17.15" hidden="false" customHeight="false" outlineLevel="0" collapsed="false">
      <c r="A1654" s="3" t="s">
        <v>574</v>
      </c>
      <c r="B1654" s="0" t="s">
        <v>379</v>
      </c>
      <c r="C1654" s="23" t="n">
        <f aca="false">a25_rev</f>
        <v>39.351</v>
      </c>
      <c r="D1654" s="23" t="n">
        <f aca="false">D1647+D1652+D1653</f>
        <v>54.4258</v>
      </c>
      <c r="E1654" s="23" t="n">
        <f aca="false">E1647+E1652+E1653</f>
        <v>72.033987284</v>
      </c>
      <c r="F1654" s="23" t="n">
        <f aca="false">F1647+F1652+F1653</f>
        <v>84.1022463502375</v>
      </c>
      <c r="G1654" s="23" t="n">
        <f aca="false">G1647+G1652+G1653</f>
        <v>96.1130701345114</v>
      </c>
      <c r="H1654" s="25" t="n">
        <f aca="false">G1654*(1+H1656)</f>
        <v>107.186075216063</v>
      </c>
      <c r="I1654" s="25" t="n">
        <f aca="false">H1654*(1+I1656)</f>
        <v>116.576010002736</v>
      </c>
      <c r="J1654" s="25" t="n">
        <f aca="false">I1654*(1+J1656)</f>
        <v>123.5705706029</v>
      </c>
      <c r="K1654" s="7" t="s">
        <v>734</v>
      </c>
    </row>
    <row r="1655" customFormat="false" ht="17.15" hidden="false" customHeight="false" outlineLevel="0" collapsed="false">
      <c r="A1655" s="3" t="s">
        <v>735</v>
      </c>
      <c r="B1655" s="0" t="s">
        <v>379</v>
      </c>
      <c r="D1655" s="19" t="n">
        <f aca="false">D1647+D1652+D1653-D1654</f>
        <v>0</v>
      </c>
      <c r="E1655" s="19" t="n">
        <f aca="false">E1647+E1652+E1653-E1654</f>
        <v>0</v>
      </c>
      <c r="F1655" s="19" t="n">
        <f aca="false">F1647+F1652+F1653-F1654</f>
        <v>0</v>
      </c>
      <c r="G1655" s="19" t="n">
        <f aca="false">G1647+G1652+G1653-G1654</f>
        <v>0</v>
      </c>
    </row>
    <row r="1656" customFormat="false" ht="15" hidden="false" customHeight="false" outlineLevel="0" collapsed="false">
      <c r="A1656" s="3" t="s">
        <v>736</v>
      </c>
      <c r="B1656" s="0" t="s">
        <v>43</v>
      </c>
      <c r="D1656" s="20" t="n">
        <f aca="false">D1654/C1654-1</f>
        <v>0.383085563263958</v>
      </c>
      <c r="E1656" s="20" t="n">
        <f aca="false">E1654/D1654-1</f>
        <v>0.323526476119781</v>
      </c>
      <c r="F1656" s="20" t="n">
        <f aca="false">F1654/E1654-1</f>
        <v>0.167535624796909</v>
      </c>
      <c r="G1656" s="20" t="n">
        <f aca="false">G1654/F1654-1</f>
        <v>0.142812163830389</v>
      </c>
      <c r="H1656" s="26" t="n">
        <f aca="false">$G1656+(fade_gA-$G1656)*1/3</f>
        <v>0.115208109220259</v>
      </c>
      <c r="I1656" s="26" t="n">
        <f aca="false">$G1656+(fade_gA-$G1656)*2/3</f>
        <v>0.0876040546101297</v>
      </c>
      <c r="J1656" s="26" t="n">
        <f aca="false">$G1656+(fade_gA-$G1656)*3/3</f>
        <v>0.06</v>
      </c>
    </row>
    <row r="1657" customFormat="false" ht="17.15" hidden="false" customHeight="false" outlineLevel="0" collapsed="false">
      <c r="A1657" s="0" t="s">
        <v>737</v>
      </c>
      <c r="B1657" s="0" t="s">
        <v>43</v>
      </c>
      <c r="D1657" s="20" t="n">
        <f aca="false">D1647/D1654</f>
        <v>0.42</v>
      </c>
      <c r="E1657" s="20" t="n">
        <f aca="false">E1647/E1654</f>
        <v>0.459817019893845</v>
      </c>
      <c r="F1657" s="20" t="n">
        <f aca="false">F1647/F1654</f>
        <v>0.491063685341395</v>
      </c>
      <c r="G1657" s="20" t="n">
        <f aca="false">G1647/G1654</f>
        <v>0.527171152539409</v>
      </c>
    </row>
    <row r="1658" customFormat="false" ht="17.15" hidden="false" customHeight="false" outlineLevel="0" collapsed="false">
      <c r="A1658" s="0" t="s">
        <v>738</v>
      </c>
      <c r="B1658" s="0" t="s">
        <v>43</v>
      </c>
      <c r="D1658" s="20" t="n">
        <f aca="false">D1649/D1654</f>
        <v>0.105</v>
      </c>
      <c r="E1658" s="20" t="n">
        <f aca="false">E1649/E1654</f>
        <v>0.209710270140146</v>
      </c>
      <c r="F1658" s="20" t="n">
        <f aca="false">F1649/F1654</f>
        <v>0.257803182028047</v>
      </c>
      <c r="G1658" s="20" t="n">
        <f aca="false">G1649/G1654</f>
        <v>0.299505948897165</v>
      </c>
      <c r="K1658" s="3" t="s">
        <v>739</v>
      </c>
    </row>
    <row r="1659" customFormat="false" ht="17.15" hidden="false" customHeight="false" outlineLevel="0" collapsed="false">
      <c r="A1659" s="5" t="s">
        <v>740</v>
      </c>
    </row>
    <row r="1660" customFormat="false" ht="15" hidden="false" customHeight="false" outlineLevel="0" collapsed="false">
      <c r="A1660" s="3" t="s">
        <v>741</v>
      </c>
      <c r="B1660" s="0" t="s">
        <v>379</v>
      </c>
      <c r="C1660" s="23" t="n">
        <f aca="false">a25_cx</f>
        <v>6.116</v>
      </c>
      <c r="D1660" s="23" t="n">
        <f aca="false">capex26</f>
        <v>11</v>
      </c>
      <c r="E1660" s="23" t="n">
        <f aca="false">cx27</f>
        <v>17</v>
      </c>
      <c r="F1660" s="23" t="n">
        <f aca="false">cx28</f>
        <v>16</v>
      </c>
      <c r="G1660" s="23" t="n">
        <f aca="false">cx29</f>
        <v>12</v>
      </c>
      <c r="H1660" s="25" t="n">
        <f aca="false">H1654*H1679</f>
        <v>13.4817405534162</v>
      </c>
      <c r="I1660" s="25" t="n">
        <f aca="false">I1654*I1679</f>
        <v>14.77073304233</v>
      </c>
      <c r="J1660" s="25" t="n">
        <f aca="false">J1654*J1679</f>
        <v>15.7713906192965</v>
      </c>
    </row>
    <row r="1661" customFormat="false" ht="17.15" hidden="false" customHeight="false" outlineLevel="0" collapsed="false">
      <c r="A1661" s="3" t="s">
        <v>742</v>
      </c>
      <c r="B1661" s="0" t="s">
        <v>379</v>
      </c>
      <c r="C1661" s="23" t="n">
        <f aca="false">a25_da</f>
        <v>7.158</v>
      </c>
      <c r="D1661" s="23" t="n">
        <f aca="false">da26</f>
        <v>8.32</v>
      </c>
      <c r="E1661" s="23" t="n">
        <f aca="false">D1661*(1-1/life)+D1660/life</f>
        <v>8.655</v>
      </c>
      <c r="F1661" s="23" t="n">
        <f aca="false">E1661*(1-1/life)+E1660/life</f>
        <v>9.698125</v>
      </c>
      <c r="G1661" s="23" t="n">
        <f aca="false">F1661*(1-1/life)+F1660/life</f>
        <v>10.485859375</v>
      </c>
      <c r="H1661" s="25" t="n">
        <f aca="false">H1654*H1662</f>
        <v>11.6939154071433</v>
      </c>
      <c r="I1661" s="25" t="n">
        <f aca="false">I1654*I1662</f>
        <v>12.7183498110769</v>
      </c>
      <c r="J1661" s="25" t="n">
        <f aca="false">J1654*J1662</f>
        <v>13.4814507997415</v>
      </c>
      <c r="K1661" s="3" t="s">
        <v>743</v>
      </c>
    </row>
    <row r="1662" customFormat="false" ht="17.15" hidden="false" customHeight="false" outlineLevel="0" collapsed="false">
      <c r="A1662" s="3" t="s">
        <v>744</v>
      </c>
      <c r="B1662" s="0" t="s">
        <v>43</v>
      </c>
      <c r="C1662" s="20" t="n">
        <f aca="false">C1661/C1654</f>
        <v>0.181901349393916</v>
      </c>
      <c r="D1662" s="20" t="n">
        <f aca="false">D1661/D1654</f>
        <v>0.152868676252807</v>
      </c>
      <c r="E1662" s="20" t="n">
        <f aca="false">E1661/E1654</f>
        <v>0.120151616290196</v>
      </c>
      <c r="F1662" s="20" t="n">
        <f aca="false">F1661/F1654</f>
        <v>0.115313507318376</v>
      </c>
      <c r="G1662" s="20" t="n">
        <f aca="false">G1661/G1654</f>
        <v>0.109099203264706</v>
      </c>
      <c r="H1662" s="26" t="n">
        <f aca="false">$G1662</f>
        <v>0.109099203264706</v>
      </c>
      <c r="I1662" s="26" t="n">
        <f aca="false">$G1662</f>
        <v>0.109099203264706</v>
      </c>
      <c r="J1662" s="26" t="n">
        <f aca="false">$G1662</f>
        <v>0.109099203264706</v>
      </c>
    </row>
    <row r="1663" customFormat="false" ht="17.15" hidden="false" customHeight="false" outlineLevel="0" collapsed="false">
      <c r="A1663" s="0" t="s">
        <v>745</v>
      </c>
      <c r="B1663" s="0" t="s">
        <v>379</v>
      </c>
      <c r="E1663" s="21" t="n">
        <f aca="false">E1648*((E1640+E1643)*(1-1/(E1633*E1634))+E1644*(1-1/E1634))</f>
        <v>4.320320004</v>
      </c>
      <c r="F1663" s="21" t="n">
        <f aca="false">F1648*((F1640+F1643)*(1-1/(F1633*F1634))+F1644*(1-1/F1634))</f>
        <v>4.39459572238805</v>
      </c>
      <c r="G1663" s="21" t="n">
        <f aca="false">G1648*((G1640+G1643)*(1-1/(G1633*G1634))+G1644*(1-1/G1634))</f>
        <v>3.827576325582</v>
      </c>
      <c r="K1663" s="7" t="s">
        <v>746</v>
      </c>
    </row>
    <row r="1664" customFormat="false" ht="17.15" hidden="false" customHeight="false" outlineLevel="0" collapsed="false">
      <c r="A1664" s="3" t="s">
        <v>747</v>
      </c>
      <c r="B1664" s="0" t="s">
        <v>379</v>
      </c>
      <c r="C1664" s="21" t="n">
        <f aca="false">a25_gp</f>
        <v>8.314</v>
      </c>
      <c r="D1664" s="21" t="n">
        <f aca="false">a26_gp</f>
        <v>15.328536</v>
      </c>
      <c r="E1664" s="21" t="n">
        <f aca="false">$D1664+ft_abf*(E1647-E1663-$D1647)+ft_bt*(E1652-$D1652)+ft_lens*(E1653-$D1653)+E1663-(E1661-$D1661)</f>
        <v>25.590561148</v>
      </c>
      <c r="F1664" s="21" t="n">
        <f aca="false">$D1664+ft_abf*(F1647-F1663-$D1647)+ft_bt*(F1652-$D1652)+ft_lens*(F1653-$D1653)+F1663-(F1661-$D1661)</f>
        <v>30.4241458707128</v>
      </c>
      <c r="G1664" s="21" t="n">
        <f aca="false">$D1664+ft_abf*(G1647-G1663-$D1647)+ft_bt*(G1652-$D1652)+ft_lens*(G1653-$D1653)+G1663-(G1661-$D1661)</f>
        <v>35.2261964461667</v>
      </c>
      <c r="K1664" s="3" t="s">
        <v>748</v>
      </c>
    </row>
    <row r="1665" customFormat="false" ht="15" hidden="false" customHeight="false" outlineLevel="0" collapsed="false">
      <c r="A1665" s="3" t="s">
        <v>581</v>
      </c>
      <c r="B1665" s="0" t="s">
        <v>43</v>
      </c>
      <c r="C1665" s="16" t="n">
        <f aca="false">C1664/C1654</f>
        <v>0.211277985311682</v>
      </c>
      <c r="D1665" s="16" t="n">
        <f aca="false">D1664/D1654</f>
        <v>0.281640986443929</v>
      </c>
      <c r="E1665" s="16" t="n">
        <f aca="false">E1664/E1654</f>
        <v>0.3552567629931</v>
      </c>
      <c r="F1665" s="16" t="n">
        <f aca="false">F1664/F1654</f>
        <v>0.361751881679993</v>
      </c>
      <c r="G1665" s="16" t="n">
        <f aca="false">G1664/G1654</f>
        <v>0.366507868252124</v>
      </c>
    </row>
    <row r="1666" customFormat="false" ht="15" hidden="false" customHeight="false" outlineLevel="0" collapsed="false">
      <c r="A1666" s="3" t="s">
        <v>583</v>
      </c>
      <c r="B1666" s="0" t="s">
        <v>379</v>
      </c>
      <c r="C1666" s="21" t="n">
        <f aca="false">a25_opx</f>
        <v>5.644</v>
      </c>
      <c r="D1666" s="21" t="n">
        <f aca="false">a26_opx</f>
        <v>6.54036</v>
      </c>
      <c r="E1666" s="21" t="n">
        <f aca="false">D1666*(1+phi_hi*E1656)</f>
        <v>8.65633962335477</v>
      </c>
      <c r="F1666" s="21" t="n">
        <f aca="false">E1666*(1+phi_hi*F1656)</f>
        <v>10.1065848906078</v>
      </c>
      <c r="G1666" s="21" t="n">
        <f aca="false">F1666*(1+phi_hi*G1656)</f>
        <v>11.549928147771</v>
      </c>
    </row>
    <row r="1667" customFormat="false" ht="15" hidden="false" customHeight="false" outlineLevel="0" collapsed="false">
      <c r="A1667" s="3" t="s">
        <v>586</v>
      </c>
      <c r="B1667" s="0" t="s">
        <v>379</v>
      </c>
      <c r="C1667" s="21" t="n">
        <f aca="false">C1664-C1666</f>
        <v>2.67</v>
      </c>
      <c r="D1667" s="21" t="n">
        <f aca="false">D1664-D1666</f>
        <v>8.788176</v>
      </c>
      <c r="E1667" s="21" t="n">
        <f aca="false">E1664-E1666</f>
        <v>16.9342215246452</v>
      </c>
      <c r="F1667" s="21" t="n">
        <f aca="false">F1664-F1666</f>
        <v>20.317560980105</v>
      </c>
      <c r="G1667" s="21" t="n">
        <f aca="false">G1664-G1666</f>
        <v>23.6762682983957</v>
      </c>
    </row>
    <row r="1668" customFormat="false" ht="15" hidden="false" customHeight="false" outlineLevel="0" collapsed="false">
      <c r="A1668" s="3" t="s">
        <v>684</v>
      </c>
      <c r="B1668" s="0" t="s">
        <v>43</v>
      </c>
      <c r="C1668" s="16" t="n">
        <f aca="false">C1667/C1654</f>
        <v>0.0678508805367081</v>
      </c>
      <c r="D1668" s="16" t="n">
        <f aca="false">D1667/D1654</f>
        <v>0.161470773052486</v>
      </c>
      <c r="E1668" s="16" t="n">
        <f aca="false">E1667/E1654</f>
        <v>0.235086549601657</v>
      </c>
      <c r="F1668" s="16" t="n">
        <f aca="false">F1667/F1654</f>
        <v>0.24158166828855</v>
      </c>
      <c r="G1668" s="16" t="n">
        <f aca="false">G1667/G1654</f>
        <v>0.246337654860681</v>
      </c>
    </row>
    <row r="1669" customFormat="false" ht="15" hidden="false" customHeight="false" outlineLevel="0" collapsed="false">
      <c r="A1669" s="3" t="s">
        <v>589</v>
      </c>
      <c r="B1669" s="0" t="s">
        <v>379</v>
      </c>
      <c r="C1669" s="21" t="n">
        <f aca="false">a25_nonop</f>
        <v>0.417</v>
      </c>
      <c r="D1669" s="21" t="n">
        <f aca="false">a26_nonop</f>
        <v>0.37882</v>
      </c>
      <c r="E1669" s="21" t="n">
        <f aca="false">nonop27</f>
        <v>0.4</v>
      </c>
      <c r="F1669" s="21" t="n">
        <f aca="false">nonop28</f>
        <v>0.4</v>
      </c>
      <c r="G1669" s="21" t="n">
        <f aca="false">nonop29</f>
        <v>0.4</v>
      </c>
    </row>
    <row r="1670" customFormat="false" ht="15" hidden="false" customHeight="false" outlineLevel="0" collapsed="false">
      <c r="A1670" s="3" t="s">
        <v>591</v>
      </c>
      <c r="B1670" s="0" t="s">
        <v>379</v>
      </c>
      <c r="C1670" s="21" t="n">
        <f aca="false">C1667+C1669</f>
        <v>3.087</v>
      </c>
      <c r="D1670" s="21" t="n">
        <f aca="false">D1667+D1669</f>
        <v>9.166996</v>
      </c>
      <c r="E1670" s="21" t="n">
        <f aca="false">E1667+E1669</f>
        <v>17.3342215246452</v>
      </c>
      <c r="F1670" s="21" t="n">
        <f aca="false">F1667+F1669</f>
        <v>20.717560980105</v>
      </c>
      <c r="G1670" s="21" t="n">
        <f aca="false">G1667+G1669</f>
        <v>24.0762682983957</v>
      </c>
    </row>
    <row r="1671" customFormat="false" ht="15" hidden="false" customHeight="false" outlineLevel="0" collapsed="false">
      <c r="A1671" s="3" t="s">
        <v>592</v>
      </c>
      <c r="B1671" s="0" t="s">
        <v>379</v>
      </c>
      <c r="E1671" s="21" t="n">
        <f aca="false">E1670*tax</f>
        <v>2.08010658295743</v>
      </c>
      <c r="F1671" s="21" t="n">
        <f aca="false">F1670*tax</f>
        <v>2.4861073176126</v>
      </c>
      <c r="G1671" s="21" t="n">
        <f aca="false">G1670*tax</f>
        <v>2.88915219580749</v>
      </c>
    </row>
    <row r="1672" customFormat="false" ht="15" hidden="false" customHeight="false" outlineLevel="0" collapsed="false">
      <c r="A1672" s="3" t="s">
        <v>593</v>
      </c>
      <c r="B1672" s="0" t="s">
        <v>379</v>
      </c>
      <c r="C1672" s="21" t="n">
        <f aca="false">a25_nic</f>
        <v>2.71712</v>
      </c>
      <c r="D1672" s="21" t="n">
        <f aca="false">a26_nic</f>
        <v>8.39979776</v>
      </c>
      <c r="E1672" s="21" t="n">
        <f aca="false">E1670-E1671</f>
        <v>15.2541149416878</v>
      </c>
      <c r="F1672" s="21" t="n">
        <f aca="false">F1670-F1671</f>
        <v>18.2314536624924</v>
      </c>
      <c r="G1672" s="21" t="n">
        <f aca="false">G1670-G1671</f>
        <v>21.1871161025882</v>
      </c>
    </row>
    <row r="1673" customFormat="false" ht="17.15" hidden="false" customHeight="false" outlineLevel="0" collapsed="false">
      <c r="A1673" s="3" t="s">
        <v>749</v>
      </c>
      <c r="B1673" s="0" t="s">
        <v>379</v>
      </c>
      <c r="C1673" s="21" t="n">
        <f aca="false">a25_nci</f>
        <v>1.12112</v>
      </c>
      <c r="D1673" s="21" t="n">
        <f aca="false">a26_nci</f>
        <v>1.43839238487797</v>
      </c>
      <c r="E1673" s="21" t="n">
        <f aca="false">E1653*nm_lens*nci_sh</f>
        <v>1.57074538036261</v>
      </c>
      <c r="F1673" s="21" t="n">
        <f aca="false">F1653*nm_lens*nci_sh</f>
        <v>1.72781991839887</v>
      </c>
      <c r="G1673" s="21" t="n">
        <f aca="false">G1653*nm_lens*nci_sh</f>
        <v>1.90060191023875</v>
      </c>
      <c r="K1673" s="3" t="s">
        <v>750</v>
      </c>
    </row>
    <row r="1674" customFormat="false" ht="15" hidden="false" customHeight="false" outlineLevel="0" collapsed="false">
      <c r="A1674" s="3" t="s">
        <v>599</v>
      </c>
      <c r="B1674" s="0" t="s">
        <v>379</v>
      </c>
      <c r="C1674" s="21" t="n">
        <f aca="false">a25_ni</f>
        <v>1.596</v>
      </c>
      <c r="D1674" s="21" t="n">
        <f aca="false">a26_ni</f>
        <v>6.96140537512203</v>
      </c>
      <c r="E1674" s="21" t="n">
        <f aca="false">E1672-E1673</f>
        <v>13.6833695613252</v>
      </c>
      <c r="F1674" s="21" t="n">
        <f aca="false">F1672-F1673</f>
        <v>16.5036337440936</v>
      </c>
      <c r="G1674" s="21" t="n">
        <f aca="false">G1672-G1673</f>
        <v>19.2865141923495</v>
      </c>
      <c r="H1674" s="30" t="n">
        <f aca="false">H1654*H1678</f>
        <v>22.2341869946211</v>
      </c>
      <c r="I1674" s="30" t="n">
        <f aca="false">I1654*I1678</f>
        <v>24.971277030762</v>
      </c>
      <c r="J1674" s="30" t="n">
        <f aca="false">J1654*J1678</f>
        <v>27.3061958633271</v>
      </c>
    </row>
    <row r="1675" customFormat="false" ht="15" hidden="false" customHeight="false" outlineLevel="0" collapsed="false">
      <c r="A1675" s="3" t="s">
        <v>751</v>
      </c>
      <c r="B1675" s="3" t="s">
        <v>465</v>
      </c>
      <c r="C1675" s="29" t="n">
        <f aca="false">a25_sh</f>
        <v>0.454700854700855</v>
      </c>
      <c r="D1675" s="29" t="n">
        <f aca="false">a26_sh</f>
        <v>0.508341020486215</v>
      </c>
      <c r="E1675" s="29" t="n">
        <f aca="false">a26_shend*(1+sh_g)</f>
        <v>0.52691</v>
      </c>
      <c r="F1675" s="29" t="n">
        <f aca="false">E1675*(1+sh_g)</f>
        <v>0.52691</v>
      </c>
      <c r="G1675" s="29" t="n">
        <f aca="false">F1675*(1+sh_g)</f>
        <v>0.52691</v>
      </c>
      <c r="H1675" s="31" t="n">
        <f aca="false">G1675*(1+sh_g)</f>
        <v>0.52691</v>
      </c>
      <c r="I1675" s="31" t="n">
        <f aca="false">H1675*(1+sh_g)</f>
        <v>0.52691</v>
      </c>
      <c r="J1675" s="31" t="n">
        <f aca="false">I1675*(1+sh_g)</f>
        <v>0.52691</v>
      </c>
    </row>
    <row r="1676" customFormat="false" ht="17.15" hidden="false" customHeight="false" outlineLevel="0" collapsed="false">
      <c r="A1676" s="0" t="s">
        <v>604</v>
      </c>
      <c r="B1676" s="0" t="s">
        <v>471</v>
      </c>
      <c r="C1676" s="18" t="n">
        <f aca="false">C1674/C1675</f>
        <v>3.51</v>
      </c>
      <c r="D1676" s="18" t="n">
        <f aca="false">D1674/D1675</f>
        <v>13.6943608612652</v>
      </c>
      <c r="E1676" s="18" t="n">
        <f aca="false">E1674/E1675</f>
        <v>25.9690830717299</v>
      </c>
      <c r="F1676" s="18" t="n">
        <f aca="false">F1674/F1675</f>
        <v>31.321542092755</v>
      </c>
      <c r="G1676" s="18" t="n">
        <f aca="false">G1674/G1675</f>
        <v>36.603052119621</v>
      </c>
      <c r="H1676" s="28" t="n">
        <f aca="false">H1674/H1675</f>
        <v>42.197314521685</v>
      </c>
      <c r="I1676" s="28" t="n">
        <f aca="false">I1674/I1675</f>
        <v>47.3919208797745</v>
      </c>
      <c r="J1676" s="28" t="n">
        <f aca="false">J1674/J1675</f>
        <v>51.8232636756317</v>
      </c>
    </row>
    <row r="1677" customFormat="false" ht="17.15" hidden="false" customHeight="false" outlineLevel="0" collapsed="false">
      <c r="A1677" s="0" t="s">
        <v>752</v>
      </c>
      <c r="B1677" s="0" t="s">
        <v>43</v>
      </c>
      <c r="D1677" s="20" t="n">
        <f aca="false">D1676/C1676-1</f>
        <v>2.90152731090177</v>
      </c>
      <c r="E1677" s="20" t="n">
        <f aca="false">E1676/D1676-1</f>
        <v>0.896334070265668</v>
      </c>
      <c r="F1677" s="20" t="n">
        <f aca="false">F1676/E1676-1</f>
        <v>0.206108895190523</v>
      </c>
      <c r="G1677" s="20" t="n">
        <f aca="false">G1676/F1676-1</f>
        <v>0.168622285940627</v>
      </c>
      <c r="H1677" s="26" t="n">
        <f aca="false">H1676/G1676-1</f>
        <v>0.15283595432921</v>
      </c>
      <c r="I1677" s="26" t="n">
        <f aca="false">I1676/H1676-1</f>
        <v>0.123102771277541</v>
      </c>
      <c r="J1677" s="26" t="n">
        <f aca="false">J1676/I1676-1</f>
        <v>0.0935041820123483</v>
      </c>
    </row>
    <row r="1678" customFormat="false" ht="17.15" hidden="false" customHeight="false" outlineLevel="0" collapsed="false">
      <c r="A1678" s="3" t="s">
        <v>753</v>
      </c>
      <c r="B1678" s="0" t="s">
        <v>43</v>
      </c>
      <c r="C1678" s="16" t="n">
        <f aca="false">C1674/C1654</f>
        <v>0.0405580544331783</v>
      </c>
      <c r="D1678" s="16" t="n">
        <f aca="false">D1674/D1654</f>
        <v>0.127906349105057</v>
      </c>
      <c r="E1678" s="16" t="n">
        <f aca="false">E1674/E1654</f>
        <v>0.189957131032847</v>
      </c>
      <c r="F1678" s="16" t="n">
        <f aca="false">F1674/F1654</f>
        <v>0.196232971891921</v>
      </c>
      <c r="G1678" s="16" t="n">
        <f aca="false">G1674/G1654</f>
        <v>0.200664843661302</v>
      </c>
      <c r="H1678" s="27" t="n">
        <f aca="false">$G1678+(fade_mA-$G1678)*1/3</f>
        <v>0.207435405670018</v>
      </c>
      <c r="I1678" s="27" t="n">
        <f aca="false">$G1678+(fade_mA-$G1678)*2/3</f>
        <v>0.214205967678735</v>
      </c>
      <c r="J1678" s="27" t="n">
        <f aca="false">$G1678+(fade_mA-$G1678)*3/3</f>
        <v>0.220976529687452</v>
      </c>
    </row>
    <row r="1679" customFormat="false" ht="17.15" hidden="false" customHeight="false" outlineLevel="0" collapsed="false">
      <c r="A1679" s="3" t="s">
        <v>754</v>
      </c>
      <c r="B1679" s="0" t="s">
        <v>43</v>
      </c>
      <c r="C1679" s="20" t="n">
        <f aca="false">C1660/C1654</f>
        <v>0.155421717364235</v>
      </c>
      <c r="D1679" s="20" t="n">
        <f aca="false">D1660/D1654</f>
        <v>0.202110028699624</v>
      </c>
      <c r="E1679" s="20" t="n">
        <f aca="false">E1660/E1654</f>
        <v>0.235999708484498</v>
      </c>
      <c r="F1679" s="20" t="n">
        <f aca="false">F1660/F1654</f>
        <v>0.190244621212247</v>
      </c>
      <c r="G1679" s="20" t="n">
        <f aca="false">G1660/G1654</f>
        <v>0.124852946464054</v>
      </c>
      <c r="H1679" s="26" t="n">
        <f aca="false">$G1679+($G1662*(1+tp_g)^(life/2)-$G1679)*1/3</f>
        <v>0.125778843252168</v>
      </c>
      <c r="I1679" s="26" t="n">
        <f aca="false">$G1679+($G1662*(1+tp_g)^(life/2)-$G1679)*2/3</f>
        <v>0.126704740040282</v>
      </c>
      <c r="J1679" s="26" t="n">
        <f aca="false">$G1679+($G1662*(1+tp_g)^(life/2)-$G1679)*3/3</f>
        <v>0.127630636828396</v>
      </c>
      <c r="K1679" s="7" t="s">
        <v>755</v>
      </c>
    </row>
    <row r="1680" customFormat="false" ht="15" hidden="false" customHeight="false" outlineLevel="0" collapsed="false">
      <c r="A1680" s="3" t="s">
        <v>756</v>
      </c>
      <c r="B1680" s="0" t="s">
        <v>379</v>
      </c>
      <c r="D1680" s="21" t="n">
        <f aca="false">D1674+D1661-D1660</f>
        <v>4.28140537512203</v>
      </c>
      <c r="E1680" s="21" t="n">
        <f aca="false">E1674+E1661-E1660</f>
        <v>5.33836956132519</v>
      </c>
      <c r="F1680" s="21" t="n">
        <f aca="false">F1674+F1661-F1660</f>
        <v>10.2017587440936</v>
      </c>
      <c r="G1680" s="21" t="n">
        <f aca="false">G1674+G1661-G1660</f>
        <v>17.7723735673495</v>
      </c>
      <c r="H1680" s="30" t="n">
        <f aca="false">H1674+H1661-H1660</f>
        <v>20.4463618483481</v>
      </c>
      <c r="I1680" s="30" t="n">
        <f aca="false">I1674+I1661-I1660</f>
        <v>22.9188937995089</v>
      </c>
      <c r="J1680" s="30" t="n">
        <f aca="false">J1674+J1661-J1660</f>
        <v>25.0162560437722</v>
      </c>
      <c r="K1680" s="3" t="s">
        <v>757</v>
      </c>
    </row>
    <row r="1681" customFormat="false" ht="15" hidden="false" customHeight="false" outlineLevel="0" collapsed="false">
      <c r="A1681" s="3" t="s">
        <v>758</v>
      </c>
      <c r="B1681" s="0" t="s">
        <v>471</v>
      </c>
      <c r="D1681" s="18" t="n">
        <f aca="false">D1680/D1675</f>
        <v>8.42230943909854</v>
      </c>
      <c r="E1681" s="18" t="n">
        <f aca="false">E1680/E1675</f>
        <v>10.1314637439509</v>
      </c>
      <c r="F1681" s="18" t="n">
        <f aca="false">F1680/F1675</f>
        <v>19.3614825000352</v>
      </c>
      <c r="G1681" s="18" t="n">
        <f aca="false">G1680/G1675</f>
        <v>33.7294292523381</v>
      </c>
      <c r="H1681" s="28" t="n">
        <f aca="false">H1680/H1675</f>
        <v>38.8042774825836</v>
      </c>
      <c r="I1681" s="28" t="n">
        <f aca="false">I1680/I1675</f>
        <v>43.4967903427699</v>
      </c>
      <c r="J1681" s="28" t="n">
        <f aca="false">J1680/J1675</f>
        <v>47.4772846288212</v>
      </c>
    </row>
    <row r="1684" customFormat="false" ht="17.15" hidden="false" customHeight="false" outlineLevel="0" collapsed="false">
      <c r="A1684" s="1" t="s">
        <v>1120</v>
      </c>
    </row>
    <row r="1685" customFormat="false" ht="17.15" hidden="false" customHeight="false" outlineLevel="0" collapsed="false">
      <c r="A1685" s="4" t="s">
        <v>20</v>
      </c>
      <c r="B1685" s="4" t="s">
        <v>21</v>
      </c>
      <c r="C1685" s="13" t="s">
        <v>567</v>
      </c>
      <c r="D1685" s="13" t="s">
        <v>671</v>
      </c>
      <c r="E1685" s="13" t="s">
        <v>672</v>
      </c>
      <c r="F1685" s="13" t="s">
        <v>673</v>
      </c>
      <c r="G1685" s="13" t="s">
        <v>674</v>
      </c>
      <c r="H1685" s="13" t="s">
        <v>675</v>
      </c>
      <c r="I1685" s="13" t="s">
        <v>676</v>
      </c>
      <c r="J1685" s="13" t="s">
        <v>677</v>
      </c>
      <c r="K1685" s="4" t="s">
        <v>631</v>
      </c>
    </row>
    <row r="1686" customFormat="false" ht="17.15" hidden="false" customHeight="false" outlineLevel="0" collapsed="false">
      <c r="A1686" s="5" t="s">
        <v>695</v>
      </c>
    </row>
    <row r="1687" customFormat="false" ht="17.15" hidden="false" customHeight="false" outlineLevel="0" collapsed="false">
      <c r="A1687" s="0" t="s">
        <v>696</v>
      </c>
      <c r="B1687" s="3" t="s">
        <v>31</v>
      </c>
      <c r="D1687" s="21" t="n">
        <f aca="false">(u_bw_26+u_rb_26+u_ru_26+u_hp_26)*1</f>
        <v>7.6</v>
      </c>
      <c r="E1687" s="21" t="n">
        <f aca="false">(u_bw_27+u_rb_27+u_ru_27+u_hp_27)*1*1</f>
        <v>9.7</v>
      </c>
      <c r="F1687" s="21" t="n">
        <f aca="false">(u_bw_28+u_rb_28+u_ru_28+u_hp_28)*um28_A*1</f>
        <v>9.5</v>
      </c>
      <c r="G1687" s="21" t="n">
        <f aca="false">(u_bw_28*(1+g29_bw)+u_rb_28*(1+g29_rb)+u_ru_28*(1+g29_ru)+u_hp_28*(1+g29_hp))*um29_A*1</f>
        <v>10.6</v>
      </c>
      <c r="K1687" s="7" t="s">
        <v>697</v>
      </c>
    </row>
    <row r="1688" customFormat="false" ht="17.15" hidden="false" customHeight="false" outlineLevel="0" collapsed="false">
      <c r="A1688" s="3" t="s">
        <v>698</v>
      </c>
      <c r="B1688" s="3" t="s">
        <v>31</v>
      </c>
      <c r="D1688" s="21" t="n">
        <f aca="false">(u_amd_26+u_tpu_26+u_trn_26+u_oth_26)*1</f>
        <v>7.6</v>
      </c>
      <c r="E1688" s="21" t="n">
        <f aca="false">(u_amd_27+u_tpu_27+u_trn_27+u_oth_27)*1*1</f>
        <v>14</v>
      </c>
      <c r="F1688" s="21" t="n">
        <f aca="false">(u_amd_28+u_tpu_28+u_trn_28+u_oth_28)*um28_A*1</f>
        <v>17</v>
      </c>
      <c r="G1688" s="21" t="n">
        <f aca="false">(u_amd_28*(1+g29_amd)+u_tpu_28*(1+g29_tpu)+u_trn_28*(1+g29_trn)+u_oth_28*(1+g29_oth))*um29_A*1</f>
        <v>19.55</v>
      </c>
      <c r="K1688" s="7" t="s">
        <v>699</v>
      </c>
    </row>
    <row r="1689" customFormat="false" ht="17.15" hidden="false" customHeight="false" outlineLevel="0" collapsed="false">
      <c r="A1689" s="0" t="s">
        <v>700</v>
      </c>
      <c r="B1689" s="3" t="s">
        <v>31</v>
      </c>
      <c r="D1689" s="21" t="n">
        <f aca="false">D1687*cpu_r</f>
        <v>3.04</v>
      </c>
      <c r="E1689" s="21" t="n">
        <f aca="false">E1687*cpu_r</f>
        <v>3.88</v>
      </c>
      <c r="F1689" s="21" t="n">
        <f aca="false">F1687*cpu_r</f>
        <v>3.8</v>
      </c>
      <c r="G1689" s="21" t="n">
        <f aca="false">G1687*cpu_r</f>
        <v>4.24</v>
      </c>
      <c r="K1689" s="7" t="s">
        <v>701</v>
      </c>
    </row>
    <row r="1690" customFormat="false" ht="17.15" hidden="false" customHeight="false" outlineLevel="0" collapsed="false">
      <c r="A1690" s="3" t="s">
        <v>702</v>
      </c>
      <c r="B1690" s="0" t="s">
        <v>153</v>
      </c>
      <c r="D1690" s="19" t="n">
        <f aca="false">1</f>
        <v>1</v>
      </c>
      <c r="E1690" s="19" t="n">
        <f aca="false">D1690*(1+g_asp)</f>
        <v>1.18</v>
      </c>
      <c r="F1690" s="19" t="n">
        <f aca="false">E1690*(1+g_asp)</f>
        <v>1.3924</v>
      </c>
      <c r="G1690" s="19" t="n">
        <f aca="false">F1690*(1+g_asp)</f>
        <v>1.643032</v>
      </c>
      <c r="K1690" s="7" t="s">
        <v>703</v>
      </c>
    </row>
    <row r="1691" customFormat="false" ht="17.15" hidden="false" customHeight="false" outlineLevel="0" collapsed="false">
      <c r="A1691" s="0" t="s">
        <v>704</v>
      </c>
      <c r="B1691" s="0" t="s">
        <v>153</v>
      </c>
      <c r="D1691" s="18" t="n">
        <f aca="false">1</f>
        <v>1</v>
      </c>
      <c r="E1691" s="18" t="n">
        <f aca="false">ibpp_27</f>
        <v>1</v>
      </c>
      <c r="F1691" s="18" t="n">
        <f aca="false">ibpp_28</f>
        <v>0.95</v>
      </c>
      <c r="G1691" s="18" t="n">
        <f aca="false">ibpp_29</f>
        <v>0.9</v>
      </c>
      <c r="K1691" s="7" t="s">
        <v>705</v>
      </c>
    </row>
    <row r="1692" customFormat="false" ht="17.15" hidden="false" customHeight="false" outlineLevel="0" collapsed="false">
      <c r="A1692" s="3" t="s">
        <v>706</v>
      </c>
      <c r="B1692" s="0" t="s">
        <v>153</v>
      </c>
      <c r="D1692" s="18" t="n">
        <f aca="false">1</f>
        <v>1</v>
      </c>
      <c r="E1692" s="18" t="n">
        <f aca="false">1+carry</f>
        <v>1.15</v>
      </c>
      <c r="F1692" s="18" t="n">
        <f aca="false">1+carry</f>
        <v>1.15</v>
      </c>
      <c r="G1692" s="18" t="n">
        <f aca="false">1+carry</f>
        <v>1.15</v>
      </c>
      <c r="K1692" s="7" t="s">
        <v>707</v>
      </c>
    </row>
    <row r="1693" customFormat="false" ht="17.15" hidden="false" customHeight="false" outlineLevel="0" collapsed="false">
      <c r="A1693" s="3" t="s">
        <v>708</v>
      </c>
      <c r="B1693" s="0" t="s">
        <v>709</v>
      </c>
      <c r="D1693" s="23" t="n">
        <f aca="false">v26*D1690*D1691</f>
        <v>215.308596</v>
      </c>
      <c r="E1693" s="23" t="n">
        <f aca="false">v26*E1690*E1691</f>
        <v>254.06414328</v>
      </c>
      <c r="F1693" s="23" t="n">
        <f aca="false">v26*F1690*F1691</f>
        <v>284.80590461688</v>
      </c>
      <c r="G1693" s="23" t="n">
        <f aca="false">v26*G1690*G1691</f>
        <v>318.383021792765</v>
      </c>
      <c r="K1693" s="7" t="s">
        <v>710</v>
      </c>
    </row>
    <row r="1694" customFormat="false" ht="17.15" hidden="false" customHeight="false" outlineLevel="0" collapsed="false">
      <c r="A1694" s="3" t="s">
        <v>711</v>
      </c>
      <c r="B1694" s="0" t="s">
        <v>43</v>
      </c>
      <c r="D1694" s="20" t="n">
        <f aca="false">sh_nv_26</f>
        <v>0.02</v>
      </c>
      <c r="E1694" s="20" t="n">
        <f aca="false">sh_nv_27</f>
        <v>0.03</v>
      </c>
      <c r="F1694" s="20" t="n">
        <f aca="false">sh_nv_28</f>
        <v>0.05</v>
      </c>
      <c r="G1694" s="20" t="n">
        <f aca="false">sh_nv_29</f>
        <v>0.06</v>
      </c>
    </row>
    <row r="1695" customFormat="false" ht="17.15" hidden="false" customHeight="false" outlineLevel="0" collapsed="false">
      <c r="A1695" s="3" t="s">
        <v>712</v>
      </c>
      <c r="B1695" s="0" t="s">
        <v>43</v>
      </c>
      <c r="D1695" s="20" t="n">
        <f aca="false">sh_ot_26</f>
        <v>0.03</v>
      </c>
      <c r="E1695" s="20" t="n">
        <f aca="false">sh_ot_27</f>
        <v>0.05</v>
      </c>
      <c r="F1695" s="20" t="n">
        <f aca="false">sh_ot_28</f>
        <v>0.06</v>
      </c>
      <c r="G1695" s="20" t="n">
        <f aca="false">sh_ot_29</f>
        <v>0.06</v>
      </c>
    </row>
    <row r="1696" customFormat="false" ht="17.15" hidden="false" customHeight="false" outlineLevel="0" collapsed="false">
      <c r="A1696" s="3" t="s">
        <v>713</v>
      </c>
      <c r="B1696" s="0" t="s">
        <v>43</v>
      </c>
      <c r="D1696" s="20" t="n">
        <f aca="false">sh_cpu_26</f>
        <v>0.35</v>
      </c>
      <c r="E1696" s="20" t="n">
        <f aca="false">sh_cpu_27</f>
        <v>0.7</v>
      </c>
      <c r="F1696" s="20" t="n">
        <f aca="false">sh_cpu_28</f>
        <v>0.75</v>
      </c>
      <c r="G1696" s="20" t="n">
        <f aca="false">sh_cpu_29</f>
        <v>0.7</v>
      </c>
    </row>
    <row r="1697" customFormat="false" ht="17.15" hidden="false" customHeight="false" outlineLevel="0" collapsed="false">
      <c r="A1697" s="3" t="s">
        <v>714</v>
      </c>
      <c r="B1697" s="0" t="s">
        <v>661</v>
      </c>
      <c r="D1697" s="22" t="n">
        <f aca="false">(D1687*D1693*D1694+D1688*D1693*v_ot*D1695+D1689*D1693*v_cpu*D1696)*D1692</f>
        <v>140.7256983456</v>
      </c>
      <c r="E1697" s="22" t="n">
        <f aca="false">(E1687*E1693*E1694+E1688*E1693*v_ot*E1695+E1689*E1693*v_cpu*E1696)*E1692</f>
        <v>486.703057357198</v>
      </c>
      <c r="F1697" s="22" t="n">
        <f aca="false">(F1687*F1693*F1694+F1688*F1693*v_ot*F1695+F1689*F1693*v_cpu*F1696)*F1692</f>
        <v>702.872492003998</v>
      </c>
      <c r="G1697" s="22" t="n">
        <f aca="false">(G1687*G1693*G1694+G1688*G1693*v_ot*G1695+G1689*G1693*v_cpu*G1696)*G1692</f>
        <v>902.463042932027</v>
      </c>
    </row>
    <row r="1698" customFormat="false" ht="17.15" hidden="false" customHeight="false" outlineLevel="0" collapsed="false">
      <c r="A1698" s="3" t="s">
        <v>715</v>
      </c>
      <c r="B1698" s="0" t="s">
        <v>379</v>
      </c>
      <c r="D1698" s="21" t="n">
        <f aca="false">D1697*fx/1000</f>
        <v>4.5032223470592</v>
      </c>
      <c r="E1698" s="21" t="n">
        <f aca="false">E1697*fx/1000</f>
        <v>15.5744978354303</v>
      </c>
      <c r="F1698" s="21" t="n">
        <f aca="false">F1697*fx/1000</f>
        <v>22.4919197441279</v>
      </c>
      <c r="G1698" s="21" t="n">
        <f aca="false">G1697*fx/1000</f>
        <v>28.8788173738249</v>
      </c>
    </row>
    <row r="1699" customFormat="false" ht="17.15" hidden="false" customHeight="false" outlineLevel="0" collapsed="false">
      <c r="A1699" s="5" t="s">
        <v>716</v>
      </c>
    </row>
    <row r="1700" customFormat="false" ht="17.15" hidden="false" customHeight="false" outlineLevel="0" collapsed="false">
      <c r="A1700" s="0" t="s">
        <v>717</v>
      </c>
      <c r="B1700" s="0" t="s">
        <v>379</v>
      </c>
      <c r="D1700" s="21" t="n">
        <f aca="false">a26_abf*ai_abf</f>
        <v>5.714709</v>
      </c>
      <c r="K1700" s="3" t="s">
        <v>718</v>
      </c>
    </row>
    <row r="1701" customFormat="false" ht="17.15" hidden="false" customHeight="false" outlineLevel="0" collapsed="false">
      <c r="A1701" s="3" t="s">
        <v>719</v>
      </c>
      <c r="B1701" s="0" t="s">
        <v>379</v>
      </c>
      <c r="D1701" s="21" t="n">
        <f aca="false">D1700-D1698</f>
        <v>1.2114866529408</v>
      </c>
      <c r="E1701" s="21" t="n">
        <f aca="false">$D1701*(swm_27/swm_26)^el_o*1*1*E1691*E1692</f>
        <v>1.94870016016792</v>
      </c>
      <c r="F1701" s="21" t="n">
        <f aca="false">$D1701*(swm_28/swm_26)^el_o*um28_A*1*F1691*F1692</f>
        <v>1.99149622299173</v>
      </c>
      <c r="G1701" s="21" t="n">
        <f aca="false">$D1701*(swm_29/swm_26)^el_o*um29_A*1*G1691*G1692</f>
        <v>2.01272596640355</v>
      </c>
      <c r="K1701" s="7" t="s">
        <v>720</v>
      </c>
    </row>
    <row r="1702" customFormat="false" ht="17.15" hidden="false" customHeight="false" outlineLevel="0" collapsed="false">
      <c r="A1702" s="3" t="s">
        <v>721</v>
      </c>
      <c r="B1702" s="0" t="s">
        <v>379</v>
      </c>
      <c r="D1702" s="21" t="n">
        <f aca="false">a26_abf-D1700</f>
        <v>17.144127</v>
      </c>
      <c r="E1702" s="21" t="n">
        <f aca="false">$D1702*(1+g_nai)^1*E1692</f>
        <v>20.898690813</v>
      </c>
      <c r="F1702" s="21" t="n">
        <f aca="false">$D1702*(1+g_nai)^2*F1692</f>
        <v>22.15261226178</v>
      </c>
      <c r="G1702" s="21" t="n">
        <f aca="false">$D1702*(1+g_nai)^3*G1692</f>
        <v>23.4817689974868</v>
      </c>
      <c r="K1702" s="3" t="s">
        <v>722</v>
      </c>
    </row>
    <row r="1703" customFormat="false" ht="17.15" hidden="false" customHeight="false" outlineLevel="0" collapsed="false">
      <c r="A1703" s="0" t="s">
        <v>723</v>
      </c>
      <c r="B1703" s="0" t="s">
        <v>379</v>
      </c>
      <c r="D1703" s="21" t="n">
        <f aca="false">D1698+D1701+D1702</f>
        <v>22.858836</v>
      </c>
      <c r="E1703" s="21" t="n">
        <f aca="false">E1698+E1701+E1702</f>
        <v>38.4218888085982</v>
      </c>
      <c r="F1703" s="21" t="n">
        <f aca="false">F1698+F1701+F1702</f>
        <v>46.6360282288997</v>
      </c>
      <c r="G1703" s="21" t="n">
        <f aca="false">G1698+G1701+G1702</f>
        <v>54.3733123377152</v>
      </c>
    </row>
    <row r="1704" customFormat="false" ht="17.15" hidden="false" customHeight="false" outlineLevel="0" collapsed="false">
      <c r="A1704" s="0" t="s">
        <v>724</v>
      </c>
      <c r="B1704" s="0" t="s">
        <v>379</v>
      </c>
      <c r="D1704" s="21" t="n">
        <f aca="false">a26_abf</f>
        <v>22.858836</v>
      </c>
      <c r="E1704" s="21" t="n">
        <f aca="false">$D1703*cap_27*(1+g_mix)^1*E1691*E1692</f>
        <v>33.122453364</v>
      </c>
      <c r="F1704" s="21" t="n">
        <f aca="false">$D1703*cap_28*(1+g_mix)^2*F1691*F1692</f>
        <v>41.2995590382375</v>
      </c>
      <c r="G1704" s="21" t="n">
        <f aca="false">$D1703*cap_29*(1+g_mix)^3*G1691*G1692</f>
        <v>50.6680379569114</v>
      </c>
      <c r="K1704" s="7" t="s">
        <v>725</v>
      </c>
    </row>
    <row r="1705" customFormat="false" ht="17.15" hidden="false" customHeight="false" outlineLevel="0" collapsed="false">
      <c r="A1705" s="0" t="s">
        <v>726</v>
      </c>
      <c r="B1705" s="0" t="s">
        <v>379</v>
      </c>
      <c r="D1705" s="21" t="n">
        <f aca="false">a26_abf</f>
        <v>22.858836</v>
      </c>
      <c r="E1705" s="21" t="n">
        <f aca="false">MIN(E1703,E1704)</f>
        <v>33.122453364</v>
      </c>
      <c r="F1705" s="21" t="n">
        <f aca="false">MIN(F1703,F1704)</f>
        <v>41.2995590382375</v>
      </c>
      <c r="G1705" s="21" t="n">
        <f aca="false">MIN(G1703,G1704)</f>
        <v>50.6680379569114</v>
      </c>
    </row>
    <row r="1706" customFormat="false" ht="17.15" hidden="false" customHeight="false" outlineLevel="0" collapsed="false">
      <c r="A1706" s="3" t="s">
        <v>727</v>
      </c>
      <c r="B1706" s="0" t="s">
        <v>43</v>
      </c>
      <c r="D1706" s="20" t="n">
        <f aca="false">D1705/D1703</f>
        <v>1</v>
      </c>
      <c r="E1706" s="20" t="n">
        <f aca="false">E1705/E1703</f>
        <v>0.862072490215205</v>
      </c>
      <c r="F1706" s="20" t="n">
        <f aca="false">F1705/F1703</f>
        <v>0.885571962422065</v>
      </c>
      <c r="G1706" s="20" t="n">
        <f aca="false">G1705/G1703</f>
        <v>0.931854907830698</v>
      </c>
    </row>
    <row r="1707" customFormat="false" ht="17.15" hidden="false" customHeight="false" outlineLevel="0" collapsed="false">
      <c r="A1707" s="0" t="s">
        <v>728</v>
      </c>
      <c r="B1707" s="0" t="s">
        <v>379</v>
      </c>
      <c r="D1707" s="21" t="n">
        <f aca="false">(D1698+D1701)*D1706</f>
        <v>5.714709</v>
      </c>
      <c r="E1707" s="21" t="n">
        <f aca="false">(E1698+E1701)*E1706</f>
        <v>15.1062669325995</v>
      </c>
      <c r="F1707" s="21" t="n">
        <f aca="false">(F1698+F1701)*F1706</f>
        <v>21.6818267247979</v>
      </c>
      <c r="G1707" s="21" t="n">
        <f aca="false">(G1698+G1701)*G1706</f>
        <v>28.7864362720566</v>
      </c>
    </row>
    <row r="1708" customFormat="false" ht="17.15" hidden="false" customHeight="false" outlineLevel="0" collapsed="false">
      <c r="A1708" s="3" t="s">
        <v>729</v>
      </c>
      <c r="B1708" s="0" t="s">
        <v>43</v>
      </c>
      <c r="D1708" s="20" t="n">
        <f aca="false">D1698/(D1698+D1701)</f>
        <v>0.788005539225042</v>
      </c>
      <c r="E1708" s="20" t="n">
        <f aca="false">E1698/(E1698+E1701)</f>
        <v>0.888793120944167</v>
      </c>
      <c r="F1708" s="20" t="n">
        <f aca="false">F1698/(F1698+F1701)</f>
        <v>0.918659380469366</v>
      </c>
      <c r="G1708" s="20" t="n">
        <f aca="false">G1698/(G1698+G1701)</f>
        <v>0.934845405934042</v>
      </c>
    </row>
    <row r="1709" customFormat="false" ht="17.15" hidden="false" customHeight="false" outlineLevel="0" collapsed="false">
      <c r="A1709" s="5" t="s">
        <v>730</v>
      </c>
    </row>
    <row r="1710" customFormat="false" ht="17.15" hidden="false" customHeight="false" outlineLevel="0" collapsed="false">
      <c r="A1710" s="0" t="s">
        <v>731</v>
      </c>
      <c r="B1710" s="0" t="s">
        <v>379</v>
      </c>
      <c r="D1710" s="21" t="n">
        <f aca="false">a26_bt</f>
        <v>23.265964</v>
      </c>
      <c r="E1710" s="21" t="n">
        <f aca="false">D1710*(1+g_bt27_A)</f>
        <v>29.78043392</v>
      </c>
      <c r="F1710" s="21" t="n">
        <f aca="false">E1710*(1+g_bt28_A)</f>
        <v>32.758477312</v>
      </c>
      <c r="G1710" s="21" t="n">
        <f aca="false">F1710*(1+g_bt29_A)</f>
        <v>34.3964011776</v>
      </c>
      <c r="K1710" s="7" t="s">
        <v>732</v>
      </c>
    </row>
    <row r="1711" customFormat="false" ht="17.15" hidden="false" customHeight="false" outlineLevel="0" collapsed="false">
      <c r="A1711" s="3" t="s">
        <v>617</v>
      </c>
      <c r="B1711" s="0" t="s">
        <v>379</v>
      </c>
      <c r="C1711" s="21" t="n">
        <f aca="false">a25_lens</f>
        <v>7.039</v>
      </c>
      <c r="D1711" s="21" t="n">
        <f aca="false">a26_lens</f>
        <v>8.301</v>
      </c>
      <c r="E1711" s="21" t="n">
        <f aca="false">D1711*(1+g_lens)</f>
        <v>9.1311</v>
      </c>
      <c r="F1711" s="21" t="n">
        <f aca="false">E1711*(1+g_lens)</f>
        <v>10.04421</v>
      </c>
      <c r="G1711" s="21" t="n">
        <f aca="false">F1711*(1+g_lens)</f>
        <v>11.048631</v>
      </c>
      <c r="K1711" s="3" t="s">
        <v>733</v>
      </c>
    </row>
    <row r="1712" customFormat="false" ht="17.15" hidden="false" customHeight="false" outlineLevel="0" collapsed="false">
      <c r="A1712" s="3" t="s">
        <v>574</v>
      </c>
      <c r="B1712" s="0" t="s">
        <v>379</v>
      </c>
      <c r="C1712" s="23" t="n">
        <f aca="false">a25_rev</f>
        <v>39.351</v>
      </c>
      <c r="D1712" s="23" t="n">
        <f aca="false">D1705+D1710+D1711</f>
        <v>54.4258</v>
      </c>
      <c r="E1712" s="23" t="n">
        <f aca="false">E1705+E1710+E1711</f>
        <v>72.033987284</v>
      </c>
      <c r="F1712" s="23" t="n">
        <f aca="false">F1705+F1710+F1711</f>
        <v>84.1022463502375</v>
      </c>
      <c r="G1712" s="23" t="n">
        <f aca="false">G1705+G1710+G1711</f>
        <v>96.1130701345114</v>
      </c>
      <c r="H1712" s="25" t="n">
        <f aca="false">G1712*(1+H1714)</f>
        <v>107.186075216063</v>
      </c>
      <c r="I1712" s="25" t="n">
        <f aca="false">H1712*(1+I1714)</f>
        <v>116.576010002736</v>
      </c>
      <c r="J1712" s="25" t="n">
        <f aca="false">I1712*(1+J1714)</f>
        <v>123.5705706029</v>
      </c>
      <c r="K1712" s="7" t="s">
        <v>734</v>
      </c>
    </row>
    <row r="1713" customFormat="false" ht="17.15" hidden="false" customHeight="false" outlineLevel="0" collapsed="false">
      <c r="A1713" s="3" t="s">
        <v>735</v>
      </c>
      <c r="B1713" s="0" t="s">
        <v>379</v>
      </c>
      <c r="D1713" s="19" t="n">
        <f aca="false">D1705+D1710+D1711-D1712</f>
        <v>0</v>
      </c>
      <c r="E1713" s="19" t="n">
        <f aca="false">E1705+E1710+E1711-E1712</f>
        <v>0</v>
      </c>
      <c r="F1713" s="19" t="n">
        <f aca="false">F1705+F1710+F1711-F1712</f>
        <v>0</v>
      </c>
      <c r="G1713" s="19" t="n">
        <f aca="false">G1705+G1710+G1711-G1712</f>
        <v>0</v>
      </c>
    </row>
    <row r="1714" customFormat="false" ht="15" hidden="false" customHeight="false" outlineLevel="0" collapsed="false">
      <c r="A1714" s="3" t="s">
        <v>736</v>
      </c>
      <c r="B1714" s="0" t="s">
        <v>43</v>
      </c>
      <c r="D1714" s="20" t="n">
        <f aca="false">D1712/C1712-1</f>
        <v>0.383085563263958</v>
      </c>
      <c r="E1714" s="20" t="n">
        <f aca="false">E1712/D1712-1</f>
        <v>0.323526476119781</v>
      </c>
      <c r="F1714" s="20" t="n">
        <f aca="false">F1712/E1712-1</f>
        <v>0.167535624796909</v>
      </c>
      <c r="G1714" s="20" t="n">
        <f aca="false">G1712/F1712-1</f>
        <v>0.142812163830389</v>
      </c>
      <c r="H1714" s="26" t="n">
        <f aca="false">$G1714+(fade_gA-$G1714)*1/3</f>
        <v>0.115208109220259</v>
      </c>
      <c r="I1714" s="26" t="n">
        <f aca="false">$G1714+(fade_gA-$G1714)*2/3</f>
        <v>0.0876040546101297</v>
      </c>
      <c r="J1714" s="26" t="n">
        <f aca="false">$G1714+(fade_gA-$G1714)*3/3</f>
        <v>0.06</v>
      </c>
    </row>
    <row r="1715" customFormat="false" ht="17.15" hidden="false" customHeight="false" outlineLevel="0" collapsed="false">
      <c r="A1715" s="0" t="s">
        <v>737</v>
      </c>
      <c r="B1715" s="0" t="s">
        <v>43</v>
      </c>
      <c r="D1715" s="20" t="n">
        <f aca="false">D1705/D1712</f>
        <v>0.42</v>
      </c>
      <c r="E1715" s="20" t="n">
        <f aca="false">E1705/E1712</f>
        <v>0.459817019893845</v>
      </c>
      <c r="F1715" s="20" t="n">
        <f aca="false">F1705/F1712</f>
        <v>0.491063685341395</v>
      </c>
      <c r="G1715" s="20" t="n">
        <f aca="false">G1705/G1712</f>
        <v>0.527171152539409</v>
      </c>
    </row>
    <row r="1716" customFormat="false" ht="17.15" hidden="false" customHeight="false" outlineLevel="0" collapsed="false">
      <c r="A1716" s="0" t="s">
        <v>738</v>
      </c>
      <c r="B1716" s="0" t="s">
        <v>43</v>
      </c>
      <c r="D1716" s="20" t="n">
        <f aca="false">D1707/D1712</f>
        <v>0.105</v>
      </c>
      <c r="E1716" s="20" t="n">
        <f aca="false">E1707/E1712</f>
        <v>0.209710270140146</v>
      </c>
      <c r="F1716" s="20" t="n">
        <f aca="false">F1707/F1712</f>
        <v>0.257803182028047</v>
      </c>
      <c r="G1716" s="20" t="n">
        <f aca="false">G1707/G1712</f>
        <v>0.299505948897165</v>
      </c>
      <c r="K1716" s="3" t="s">
        <v>739</v>
      </c>
    </row>
    <row r="1717" customFormat="false" ht="17.15" hidden="false" customHeight="false" outlineLevel="0" collapsed="false">
      <c r="A1717" s="5" t="s">
        <v>740</v>
      </c>
    </row>
    <row r="1718" customFormat="false" ht="15" hidden="false" customHeight="false" outlineLevel="0" collapsed="false">
      <c r="A1718" s="3" t="s">
        <v>741</v>
      </c>
      <c r="B1718" s="0" t="s">
        <v>379</v>
      </c>
      <c r="C1718" s="23" t="n">
        <f aca="false">a25_cx</f>
        <v>6.116</v>
      </c>
      <c r="D1718" s="23" t="n">
        <f aca="false">capex26</f>
        <v>11</v>
      </c>
      <c r="E1718" s="23" t="n">
        <f aca="false">cx27</f>
        <v>17</v>
      </c>
      <c r="F1718" s="23" t="n">
        <f aca="false">cx28</f>
        <v>16</v>
      </c>
      <c r="G1718" s="23" t="n">
        <f aca="false">cx29</f>
        <v>12</v>
      </c>
      <c r="H1718" s="25" t="n">
        <f aca="false">H1712*H1737</f>
        <v>13.4817405534162</v>
      </c>
      <c r="I1718" s="25" t="n">
        <f aca="false">I1712*I1737</f>
        <v>14.77073304233</v>
      </c>
      <c r="J1718" s="25" t="n">
        <f aca="false">J1712*J1737</f>
        <v>15.7713906192965</v>
      </c>
    </row>
    <row r="1719" customFormat="false" ht="17.15" hidden="false" customHeight="false" outlineLevel="0" collapsed="false">
      <c r="A1719" s="3" t="s">
        <v>742</v>
      </c>
      <c r="B1719" s="0" t="s">
        <v>379</v>
      </c>
      <c r="C1719" s="23" t="n">
        <f aca="false">a25_da</f>
        <v>7.158</v>
      </c>
      <c r="D1719" s="23" t="n">
        <f aca="false">da26</f>
        <v>8.32</v>
      </c>
      <c r="E1719" s="23" t="n">
        <f aca="false">D1719*(1-1/life)+D1718/life</f>
        <v>8.655</v>
      </c>
      <c r="F1719" s="23" t="n">
        <f aca="false">E1719*(1-1/life)+E1718/life</f>
        <v>9.698125</v>
      </c>
      <c r="G1719" s="23" t="n">
        <f aca="false">F1719*(1-1/life)+F1718/life</f>
        <v>10.485859375</v>
      </c>
      <c r="H1719" s="25" t="n">
        <f aca="false">H1712*H1720</f>
        <v>11.6939154071433</v>
      </c>
      <c r="I1719" s="25" t="n">
        <f aca="false">I1712*I1720</f>
        <v>12.7183498110769</v>
      </c>
      <c r="J1719" s="25" t="n">
        <f aca="false">J1712*J1720</f>
        <v>13.4814507997415</v>
      </c>
      <c r="K1719" s="3" t="s">
        <v>743</v>
      </c>
    </row>
    <row r="1720" customFormat="false" ht="17.15" hidden="false" customHeight="false" outlineLevel="0" collapsed="false">
      <c r="A1720" s="3" t="s">
        <v>744</v>
      </c>
      <c r="B1720" s="0" t="s">
        <v>43</v>
      </c>
      <c r="C1720" s="20" t="n">
        <f aca="false">C1719/C1712</f>
        <v>0.181901349393916</v>
      </c>
      <c r="D1720" s="20" t="n">
        <f aca="false">D1719/D1712</f>
        <v>0.152868676252807</v>
      </c>
      <c r="E1720" s="20" t="n">
        <f aca="false">E1719/E1712</f>
        <v>0.120151616290196</v>
      </c>
      <c r="F1720" s="20" t="n">
        <f aca="false">F1719/F1712</f>
        <v>0.115313507318376</v>
      </c>
      <c r="G1720" s="20" t="n">
        <f aca="false">G1719/G1712</f>
        <v>0.109099203264706</v>
      </c>
      <c r="H1720" s="26" t="n">
        <f aca="false">$G1720</f>
        <v>0.109099203264706</v>
      </c>
      <c r="I1720" s="26" t="n">
        <f aca="false">$G1720</f>
        <v>0.109099203264706</v>
      </c>
      <c r="J1720" s="26" t="n">
        <f aca="false">$G1720</f>
        <v>0.109099203264706</v>
      </c>
    </row>
    <row r="1721" customFormat="false" ht="17.15" hidden="false" customHeight="false" outlineLevel="0" collapsed="false">
      <c r="A1721" s="0" t="s">
        <v>745</v>
      </c>
      <c r="B1721" s="0" t="s">
        <v>379</v>
      </c>
      <c r="E1721" s="21" t="n">
        <f aca="false">E1706*((E1698+E1701)*(1-1/(E1691*E1692))+E1702*(1-1/E1692))</f>
        <v>4.320320004</v>
      </c>
      <c r="F1721" s="21" t="n">
        <f aca="false">F1706*((F1698+F1701)*(1-1/(F1691*F1692))+F1702*(1-1/F1692))</f>
        <v>4.39459572238805</v>
      </c>
      <c r="G1721" s="21" t="n">
        <f aca="false">G1706*((G1698+G1701)*(1-1/(G1691*G1692))+G1702*(1-1/G1692))</f>
        <v>3.827576325582</v>
      </c>
      <c r="K1721" s="7" t="s">
        <v>746</v>
      </c>
    </row>
    <row r="1722" customFormat="false" ht="17.15" hidden="false" customHeight="false" outlineLevel="0" collapsed="false">
      <c r="A1722" s="3" t="s">
        <v>747</v>
      </c>
      <c r="B1722" s="0" t="s">
        <v>379</v>
      </c>
      <c r="C1722" s="21" t="n">
        <f aca="false">a25_gp</f>
        <v>8.314</v>
      </c>
      <c r="D1722" s="21" t="n">
        <f aca="false">a26_gp</f>
        <v>15.328536</v>
      </c>
      <c r="E1722" s="21" t="n">
        <f aca="false">$D1722+ft_abf*(E1705-E1721-$D1705)+ft_bt*(E1710-$D1710)+ft_lens*(E1711-$D1711)+E1721-(E1719-$D1719)</f>
        <v>25.590561148</v>
      </c>
      <c r="F1722" s="21" t="n">
        <f aca="false">$D1722+ft_abf*(F1705-F1721-$D1705)+ft_bt*(F1710-$D1710)+ft_lens*(F1711-$D1711)+F1721-(F1719-$D1719)</f>
        <v>30.4241458707128</v>
      </c>
      <c r="G1722" s="21" t="n">
        <f aca="false">$D1722+ft_abf*(G1705-G1721-$D1705)+ft_bt*(G1710-$D1710)+ft_lens*(G1711-$D1711)+G1721-(G1719-$D1719)</f>
        <v>35.2261964461667</v>
      </c>
      <c r="K1722" s="3" t="s">
        <v>748</v>
      </c>
    </row>
    <row r="1723" customFormat="false" ht="15" hidden="false" customHeight="false" outlineLevel="0" collapsed="false">
      <c r="A1723" s="3" t="s">
        <v>581</v>
      </c>
      <c r="B1723" s="0" t="s">
        <v>43</v>
      </c>
      <c r="C1723" s="16" t="n">
        <f aca="false">C1722/C1712</f>
        <v>0.211277985311682</v>
      </c>
      <c r="D1723" s="16" t="n">
        <f aca="false">D1722/D1712</f>
        <v>0.281640986443929</v>
      </c>
      <c r="E1723" s="16" t="n">
        <f aca="false">E1722/E1712</f>
        <v>0.3552567629931</v>
      </c>
      <c r="F1723" s="16" t="n">
        <f aca="false">F1722/F1712</f>
        <v>0.361751881679993</v>
      </c>
      <c r="G1723" s="16" t="n">
        <f aca="false">G1722/G1712</f>
        <v>0.366507868252124</v>
      </c>
    </row>
    <row r="1724" customFormat="false" ht="15" hidden="false" customHeight="false" outlineLevel="0" collapsed="false">
      <c r="A1724" s="3" t="s">
        <v>583</v>
      </c>
      <c r="B1724" s="0" t="s">
        <v>379</v>
      </c>
      <c r="C1724" s="21" t="n">
        <f aca="false">a25_opx</f>
        <v>5.644</v>
      </c>
      <c r="D1724" s="21" t="n">
        <f aca="false">a26_opx</f>
        <v>6.54036</v>
      </c>
      <c r="E1724" s="21" t="n">
        <f aca="false">D1724*(1+phi*E1714)</f>
        <v>7.80994777401287</v>
      </c>
      <c r="F1724" s="21" t="n">
        <f aca="false">E1724*(1+phi*F1714)</f>
        <v>8.59501446198315</v>
      </c>
      <c r="G1724" s="21" t="n">
        <f aca="false">F1724*(1+phi*G1714)</f>
        <v>9.33149803006473</v>
      </c>
    </row>
    <row r="1725" customFormat="false" ht="15" hidden="false" customHeight="false" outlineLevel="0" collapsed="false">
      <c r="A1725" s="3" t="s">
        <v>586</v>
      </c>
      <c r="B1725" s="0" t="s">
        <v>379</v>
      </c>
      <c r="C1725" s="21" t="n">
        <f aca="false">C1722-C1724</f>
        <v>2.67</v>
      </c>
      <c r="D1725" s="21" t="n">
        <f aca="false">D1722-D1724</f>
        <v>8.788176</v>
      </c>
      <c r="E1725" s="21" t="n">
        <f aca="false">E1722-E1724</f>
        <v>17.7806133739871</v>
      </c>
      <c r="F1725" s="21" t="n">
        <f aca="false">F1722-F1724</f>
        <v>21.8291314087296</v>
      </c>
      <c r="G1725" s="21" t="n">
        <f aca="false">G1722-G1724</f>
        <v>25.894698416102</v>
      </c>
    </row>
    <row r="1726" customFormat="false" ht="15" hidden="false" customHeight="false" outlineLevel="0" collapsed="false">
      <c r="A1726" s="3" t="s">
        <v>684</v>
      </c>
      <c r="B1726" s="0" t="s">
        <v>43</v>
      </c>
      <c r="C1726" s="16" t="n">
        <f aca="false">C1725/C1712</f>
        <v>0.0678508805367081</v>
      </c>
      <c r="D1726" s="16" t="n">
        <f aca="false">D1725/D1712</f>
        <v>0.161470773052486</v>
      </c>
      <c r="E1726" s="16" t="n">
        <f aca="false">E1725/E1712</f>
        <v>0.246836445466854</v>
      </c>
      <c r="F1726" s="16" t="n">
        <f aca="false">F1725/F1712</f>
        <v>0.259554677265383</v>
      </c>
      <c r="G1726" s="16" t="n">
        <f aca="false">G1725/G1712</f>
        <v>0.269419116254033</v>
      </c>
    </row>
    <row r="1727" customFormat="false" ht="15" hidden="false" customHeight="false" outlineLevel="0" collapsed="false">
      <c r="A1727" s="3" t="s">
        <v>589</v>
      </c>
      <c r="B1727" s="0" t="s">
        <v>379</v>
      </c>
      <c r="C1727" s="21" t="n">
        <f aca="false">a25_nonop</f>
        <v>0.417</v>
      </c>
      <c r="D1727" s="21" t="n">
        <f aca="false">a26_nonop</f>
        <v>0.37882</v>
      </c>
      <c r="E1727" s="21" t="n">
        <f aca="false">nonop27</f>
        <v>0.4</v>
      </c>
      <c r="F1727" s="21" t="n">
        <f aca="false">nonop28</f>
        <v>0.4</v>
      </c>
      <c r="G1727" s="21" t="n">
        <f aca="false">nonop29</f>
        <v>0.4</v>
      </c>
    </row>
    <row r="1728" customFormat="false" ht="15" hidden="false" customHeight="false" outlineLevel="0" collapsed="false">
      <c r="A1728" s="3" t="s">
        <v>591</v>
      </c>
      <c r="B1728" s="0" t="s">
        <v>379</v>
      </c>
      <c r="C1728" s="21" t="n">
        <f aca="false">C1725+C1727</f>
        <v>3.087</v>
      </c>
      <c r="D1728" s="21" t="n">
        <f aca="false">D1725+D1727</f>
        <v>9.166996</v>
      </c>
      <c r="E1728" s="21" t="n">
        <f aca="false">E1725+E1727</f>
        <v>18.1806133739871</v>
      </c>
      <c r="F1728" s="21" t="n">
        <f aca="false">F1725+F1727</f>
        <v>22.2291314087296</v>
      </c>
      <c r="G1728" s="21" t="n">
        <f aca="false">G1725+G1727</f>
        <v>26.294698416102</v>
      </c>
    </row>
    <row r="1729" customFormat="false" ht="15" hidden="false" customHeight="false" outlineLevel="0" collapsed="false">
      <c r="A1729" s="3" t="s">
        <v>592</v>
      </c>
      <c r="B1729" s="0" t="s">
        <v>379</v>
      </c>
      <c r="E1729" s="21" t="n">
        <f aca="false">E1728*tax_hi</f>
        <v>3.63612267479743</v>
      </c>
      <c r="F1729" s="21" t="n">
        <f aca="false">F1728*tax_hi</f>
        <v>4.44582628174593</v>
      </c>
      <c r="G1729" s="21" t="n">
        <f aca="false">G1728*tax_hi</f>
        <v>5.25893968322039</v>
      </c>
    </row>
    <row r="1730" customFormat="false" ht="15" hidden="false" customHeight="false" outlineLevel="0" collapsed="false">
      <c r="A1730" s="3" t="s">
        <v>593</v>
      </c>
      <c r="B1730" s="0" t="s">
        <v>379</v>
      </c>
      <c r="C1730" s="21" t="n">
        <f aca="false">a25_nic</f>
        <v>2.71712</v>
      </c>
      <c r="D1730" s="21" t="n">
        <f aca="false">a26_nic</f>
        <v>8.39979776</v>
      </c>
      <c r="E1730" s="21" t="n">
        <f aca="false">E1728-E1729</f>
        <v>14.5444906991897</v>
      </c>
      <c r="F1730" s="21" t="n">
        <f aca="false">F1728-F1729</f>
        <v>17.7833051269837</v>
      </c>
      <c r="G1730" s="21" t="n">
        <f aca="false">G1728-G1729</f>
        <v>21.0357587328816</v>
      </c>
    </row>
    <row r="1731" customFormat="false" ht="17.15" hidden="false" customHeight="false" outlineLevel="0" collapsed="false">
      <c r="A1731" s="3" t="s">
        <v>749</v>
      </c>
      <c r="B1731" s="0" t="s">
        <v>379</v>
      </c>
      <c r="C1731" s="21" t="n">
        <f aca="false">a25_nci</f>
        <v>1.12112</v>
      </c>
      <c r="D1731" s="21" t="n">
        <f aca="false">a26_nci</f>
        <v>1.43839238487797</v>
      </c>
      <c r="E1731" s="21" t="n">
        <f aca="false">E1711*nm_lens*nci_sh</f>
        <v>1.57074538036261</v>
      </c>
      <c r="F1731" s="21" t="n">
        <f aca="false">F1711*nm_lens*nci_sh</f>
        <v>1.72781991839887</v>
      </c>
      <c r="G1731" s="21" t="n">
        <f aca="false">G1711*nm_lens*nci_sh</f>
        <v>1.90060191023875</v>
      </c>
      <c r="K1731" s="3" t="s">
        <v>750</v>
      </c>
    </row>
    <row r="1732" customFormat="false" ht="15" hidden="false" customHeight="false" outlineLevel="0" collapsed="false">
      <c r="A1732" s="3" t="s">
        <v>599</v>
      </c>
      <c r="B1732" s="0" t="s">
        <v>379</v>
      </c>
      <c r="C1732" s="21" t="n">
        <f aca="false">a25_ni</f>
        <v>1.596</v>
      </c>
      <c r="D1732" s="21" t="n">
        <f aca="false">a26_ni</f>
        <v>6.96140537512203</v>
      </c>
      <c r="E1732" s="21" t="n">
        <f aca="false">E1730-E1731</f>
        <v>12.9737453188271</v>
      </c>
      <c r="F1732" s="21" t="n">
        <f aca="false">F1730-F1731</f>
        <v>16.0554852085848</v>
      </c>
      <c r="G1732" s="21" t="n">
        <f aca="false">G1730-G1731</f>
        <v>19.1351568226428</v>
      </c>
      <c r="H1732" s="30" t="n">
        <f aca="false">H1712*H1736</f>
        <v>22.1216570172296</v>
      </c>
      <c r="I1732" s="30" t="n">
        <f aca="false">I1712*I1736</f>
        <v>24.9100830009239</v>
      </c>
      <c r="J1732" s="30" t="n">
        <f aca="false">J1712*J1736</f>
        <v>27.3061958633271</v>
      </c>
    </row>
    <row r="1733" customFormat="false" ht="15" hidden="false" customHeight="false" outlineLevel="0" collapsed="false">
      <c r="A1733" s="3" t="s">
        <v>751</v>
      </c>
      <c r="B1733" s="3" t="s">
        <v>465</v>
      </c>
      <c r="C1733" s="29" t="n">
        <f aca="false">a25_sh</f>
        <v>0.454700854700855</v>
      </c>
      <c r="D1733" s="29" t="n">
        <f aca="false">a26_sh</f>
        <v>0.508341020486215</v>
      </c>
      <c r="E1733" s="29" t="n">
        <f aca="false">a26_shend*(1+sh_g)</f>
        <v>0.52691</v>
      </c>
      <c r="F1733" s="29" t="n">
        <f aca="false">E1733*(1+sh_g)</f>
        <v>0.52691</v>
      </c>
      <c r="G1733" s="29" t="n">
        <f aca="false">F1733*(1+sh_g)</f>
        <v>0.52691</v>
      </c>
      <c r="H1733" s="31" t="n">
        <f aca="false">G1733*(1+sh_g)</f>
        <v>0.52691</v>
      </c>
      <c r="I1733" s="31" t="n">
        <f aca="false">H1733*(1+sh_g)</f>
        <v>0.52691</v>
      </c>
      <c r="J1733" s="31" t="n">
        <f aca="false">I1733*(1+sh_g)</f>
        <v>0.52691</v>
      </c>
    </row>
    <row r="1734" customFormat="false" ht="17.15" hidden="false" customHeight="false" outlineLevel="0" collapsed="false">
      <c r="A1734" s="0" t="s">
        <v>604</v>
      </c>
      <c r="B1734" s="0" t="s">
        <v>471</v>
      </c>
      <c r="C1734" s="18" t="n">
        <f aca="false">C1732/C1733</f>
        <v>3.51</v>
      </c>
      <c r="D1734" s="18" t="n">
        <f aca="false">D1732/D1733</f>
        <v>13.6943608612652</v>
      </c>
      <c r="E1734" s="18" t="n">
        <f aca="false">E1732/E1733</f>
        <v>24.6223175093035</v>
      </c>
      <c r="F1734" s="18" t="n">
        <f aca="false">F1732/F1733</f>
        <v>30.4710201146018</v>
      </c>
      <c r="G1734" s="18" t="n">
        <f aca="false">G1732/G1733</f>
        <v>36.3157974277254</v>
      </c>
      <c r="H1734" s="28" t="n">
        <f aca="false">H1732/H1733</f>
        <v>41.9837486804761</v>
      </c>
      <c r="I1734" s="28" t="n">
        <f aca="false">I1732/I1733</f>
        <v>47.2757833423619</v>
      </c>
      <c r="J1734" s="28" t="n">
        <f aca="false">J1732/J1733</f>
        <v>51.8232636756317</v>
      </c>
    </row>
    <row r="1735" customFormat="false" ht="17.15" hidden="false" customHeight="false" outlineLevel="0" collapsed="false">
      <c r="A1735" s="0" t="s">
        <v>752</v>
      </c>
      <c r="B1735" s="0" t="s">
        <v>43</v>
      </c>
      <c r="D1735" s="20" t="n">
        <f aca="false">D1734/C1734-1</f>
        <v>2.90152731090177</v>
      </c>
      <c r="E1735" s="20" t="n">
        <f aca="false">E1734/D1734-1</f>
        <v>0.797989534432984</v>
      </c>
      <c r="F1735" s="20" t="n">
        <f aca="false">F1734/E1734-1</f>
        <v>0.23753664142656</v>
      </c>
      <c r="G1735" s="20" t="n">
        <f aca="false">G1734/F1734-1</f>
        <v>0.191814297359962</v>
      </c>
      <c r="H1735" s="26" t="n">
        <f aca="false">H1734/G1734-1</f>
        <v>0.156073985819279</v>
      </c>
      <c r="I1735" s="26" t="n">
        <f aca="false">I1734/H1734-1</f>
        <v>0.126049598432996</v>
      </c>
      <c r="J1735" s="26" t="n">
        <f aca="false">J1734/I1734-1</f>
        <v>0.0961904808713128</v>
      </c>
    </row>
    <row r="1736" customFormat="false" ht="17.15" hidden="false" customHeight="false" outlineLevel="0" collapsed="false">
      <c r="A1736" s="3" t="s">
        <v>753</v>
      </c>
      <c r="B1736" s="0" t="s">
        <v>43</v>
      </c>
      <c r="C1736" s="16" t="n">
        <f aca="false">C1732/C1712</f>
        <v>0.0405580544331783</v>
      </c>
      <c r="D1736" s="16" t="n">
        <f aca="false">D1732/D1712</f>
        <v>0.127906349105057</v>
      </c>
      <c r="E1736" s="16" t="n">
        <f aca="false">E1732/E1712</f>
        <v>0.180105889011489</v>
      </c>
      <c r="F1736" s="16" t="n">
        <f aca="false">F1732/F1712</f>
        <v>0.190904356367878</v>
      </c>
      <c r="G1736" s="16" t="n">
        <f aca="false">G1732/G1712</f>
        <v>0.199090059196558</v>
      </c>
      <c r="H1736" s="27" t="n">
        <f aca="false">$G1736+(fade_mA-$G1736)*1/3</f>
        <v>0.206385549360189</v>
      </c>
      <c r="I1736" s="27" t="n">
        <f aca="false">$G1736+(fade_mA-$G1736)*2/3</f>
        <v>0.21368103952382</v>
      </c>
      <c r="J1736" s="27" t="n">
        <f aca="false">$G1736+(fade_mA-$G1736)*3/3</f>
        <v>0.220976529687452</v>
      </c>
    </row>
    <row r="1737" customFormat="false" ht="17.15" hidden="false" customHeight="false" outlineLevel="0" collapsed="false">
      <c r="A1737" s="3" t="s">
        <v>754</v>
      </c>
      <c r="B1737" s="0" t="s">
        <v>43</v>
      </c>
      <c r="C1737" s="20" t="n">
        <f aca="false">C1718/C1712</f>
        <v>0.155421717364235</v>
      </c>
      <c r="D1737" s="20" t="n">
        <f aca="false">D1718/D1712</f>
        <v>0.202110028699624</v>
      </c>
      <c r="E1737" s="20" t="n">
        <f aca="false">E1718/E1712</f>
        <v>0.235999708484498</v>
      </c>
      <c r="F1737" s="20" t="n">
        <f aca="false">F1718/F1712</f>
        <v>0.190244621212247</v>
      </c>
      <c r="G1737" s="20" t="n">
        <f aca="false">G1718/G1712</f>
        <v>0.124852946464054</v>
      </c>
      <c r="H1737" s="26" t="n">
        <f aca="false">$G1737+($G1720*(1+tp_g)^(life/2)-$G1737)*1/3</f>
        <v>0.125778843252168</v>
      </c>
      <c r="I1737" s="26" t="n">
        <f aca="false">$G1737+($G1720*(1+tp_g)^(life/2)-$G1737)*2/3</f>
        <v>0.126704740040282</v>
      </c>
      <c r="J1737" s="26" t="n">
        <f aca="false">$G1737+($G1720*(1+tp_g)^(life/2)-$G1737)*3/3</f>
        <v>0.127630636828396</v>
      </c>
      <c r="K1737" s="7" t="s">
        <v>755</v>
      </c>
    </row>
    <row r="1738" customFormat="false" ht="15" hidden="false" customHeight="false" outlineLevel="0" collapsed="false">
      <c r="A1738" s="3" t="s">
        <v>756</v>
      </c>
      <c r="B1738" s="0" t="s">
        <v>379</v>
      </c>
      <c r="D1738" s="21" t="n">
        <f aca="false">D1732+D1719-D1718</f>
        <v>4.28140537512203</v>
      </c>
      <c r="E1738" s="21" t="n">
        <f aca="false">E1732+E1719-E1718</f>
        <v>4.6287453188271</v>
      </c>
      <c r="F1738" s="21" t="n">
        <f aca="false">F1732+F1719-F1718</f>
        <v>9.75361020858484</v>
      </c>
      <c r="G1738" s="21" t="n">
        <f aca="false">G1732+G1719-G1718</f>
        <v>17.6210161976428</v>
      </c>
      <c r="H1738" s="30" t="n">
        <f aca="false">H1732+H1719-H1718</f>
        <v>20.3338318709567</v>
      </c>
      <c r="I1738" s="30" t="n">
        <f aca="false">I1732+I1719-I1718</f>
        <v>22.8576997696708</v>
      </c>
      <c r="J1738" s="30" t="n">
        <f aca="false">J1732+J1719-J1718</f>
        <v>25.0162560437722</v>
      </c>
      <c r="K1738" s="3" t="s">
        <v>757</v>
      </c>
    </row>
    <row r="1739" customFormat="false" ht="15" hidden="false" customHeight="false" outlineLevel="0" collapsed="false">
      <c r="A1739" s="3" t="s">
        <v>758</v>
      </c>
      <c r="B1739" s="0" t="s">
        <v>471</v>
      </c>
      <c r="D1739" s="18" t="n">
        <f aca="false">D1738/D1733</f>
        <v>8.42230943909854</v>
      </c>
      <c r="E1739" s="18" t="n">
        <f aca="false">E1738/E1733</f>
        <v>8.78469818152455</v>
      </c>
      <c r="F1739" s="18" t="n">
        <f aca="false">F1738/F1733</f>
        <v>18.510960521882</v>
      </c>
      <c r="G1739" s="18" t="n">
        <f aca="false">G1738/G1733</f>
        <v>33.4421745604426</v>
      </c>
      <c r="H1739" s="28" t="n">
        <f aca="false">H1738/H1733</f>
        <v>38.5907116413746</v>
      </c>
      <c r="I1739" s="28" t="n">
        <f aca="false">I1738/I1733</f>
        <v>43.3806528053573</v>
      </c>
      <c r="J1739" s="28" t="n">
        <f aca="false">J1738/J1733</f>
        <v>47.4772846288212</v>
      </c>
    </row>
    <row r="1742" customFormat="false" ht="17.15" hidden="false" customHeight="false" outlineLevel="0" collapsed="false">
      <c r="A1742" s="1" t="s">
        <v>1121</v>
      </c>
    </row>
    <row r="1743" customFormat="false" ht="17.15" hidden="false" customHeight="false" outlineLevel="0" collapsed="false">
      <c r="A1743" s="4" t="s">
        <v>20</v>
      </c>
      <c r="B1743" s="4" t="s">
        <v>21</v>
      </c>
      <c r="C1743" s="13" t="s">
        <v>567</v>
      </c>
      <c r="D1743" s="13" t="s">
        <v>671</v>
      </c>
      <c r="E1743" s="13" t="s">
        <v>672</v>
      </c>
      <c r="F1743" s="13" t="s">
        <v>673</v>
      </c>
      <c r="G1743" s="13" t="s">
        <v>674</v>
      </c>
      <c r="H1743" s="13" t="s">
        <v>675</v>
      </c>
      <c r="I1743" s="13" t="s">
        <v>676</v>
      </c>
      <c r="J1743" s="13" t="s">
        <v>677</v>
      </c>
      <c r="K1743" s="4" t="s">
        <v>631</v>
      </c>
    </row>
    <row r="1744" customFormat="false" ht="17.15" hidden="false" customHeight="false" outlineLevel="0" collapsed="false">
      <c r="A1744" s="5" t="s">
        <v>695</v>
      </c>
    </row>
    <row r="1745" customFormat="false" ht="17.15" hidden="false" customHeight="false" outlineLevel="0" collapsed="false">
      <c r="A1745" s="0" t="s">
        <v>696</v>
      </c>
      <c r="B1745" s="3" t="s">
        <v>31</v>
      </c>
      <c r="D1745" s="21" t="n">
        <f aca="false">(u_bw_26+u_rb_26+u_ru_26+u_hp_26)*1</f>
        <v>7.6</v>
      </c>
      <c r="E1745" s="21" t="n">
        <f aca="false">(u_bw_27+u_rb_27+u_ru_27+u_hp_27)*1*1</f>
        <v>9.7</v>
      </c>
      <c r="F1745" s="21" t="n">
        <f aca="false">(u_bw_28+u_rb_28+u_ru_28+u_hp_28)*um28_A*1</f>
        <v>9.5</v>
      </c>
      <c r="G1745" s="21" t="n">
        <f aca="false">(u_bw_28*(1+g29_bw)+u_rb_28*(1+g29_rb)+u_ru_28*(1+g29_ru)+u_hp_28*(1+g29_hp))*um29_A*1</f>
        <v>10.6</v>
      </c>
      <c r="K1745" s="7" t="s">
        <v>697</v>
      </c>
    </row>
    <row r="1746" customFormat="false" ht="17.15" hidden="false" customHeight="false" outlineLevel="0" collapsed="false">
      <c r="A1746" s="3" t="s">
        <v>698</v>
      </c>
      <c r="B1746" s="3" t="s">
        <v>31</v>
      </c>
      <c r="D1746" s="21" t="n">
        <f aca="false">(u_amd_26+u_tpu_26+u_trn_26+u_oth_26)*1</f>
        <v>7.6</v>
      </c>
      <c r="E1746" s="21" t="n">
        <f aca="false">(u_amd_27+u_tpu_27+u_trn_27+u_oth_27)*1*1</f>
        <v>14</v>
      </c>
      <c r="F1746" s="21" t="n">
        <f aca="false">(u_amd_28+u_tpu_28+u_trn_28+u_oth_28)*um28_A*1</f>
        <v>17</v>
      </c>
      <c r="G1746" s="21" t="n">
        <f aca="false">(u_amd_28*(1+g29_amd)+u_tpu_28*(1+g29_tpu)+u_trn_28*(1+g29_trn)+u_oth_28*(1+g29_oth))*um29_A*1</f>
        <v>19.55</v>
      </c>
      <c r="K1746" s="7" t="s">
        <v>699</v>
      </c>
    </row>
    <row r="1747" customFormat="false" ht="17.15" hidden="false" customHeight="false" outlineLevel="0" collapsed="false">
      <c r="A1747" s="0" t="s">
        <v>700</v>
      </c>
      <c r="B1747" s="3" t="s">
        <v>31</v>
      </c>
      <c r="D1747" s="21" t="n">
        <f aca="false">D1745*cpu_r</f>
        <v>3.04</v>
      </c>
      <c r="E1747" s="21" t="n">
        <f aca="false">E1745*cpu_r</f>
        <v>3.88</v>
      </c>
      <c r="F1747" s="21" t="n">
        <f aca="false">F1745*cpu_r</f>
        <v>3.8</v>
      </c>
      <c r="G1747" s="21" t="n">
        <f aca="false">G1745*cpu_r</f>
        <v>4.24</v>
      </c>
      <c r="K1747" s="7" t="s">
        <v>701</v>
      </c>
    </row>
    <row r="1748" customFormat="false" ht="17.15" hidden="false" customHeight="false" outlineLevel="0" collapsed="false">
      <c r="A1748" s="3" t="s">
        <v>702</v>
      </c>
      <c r="B1748" s="0" t="s">
        <v>153</v>
      </c>
      <c r="D1748" s="19" t="n">
        <f aca="false">1</f>
        <v>1</v>
      </c>
      <c r="E1748" s="19" t="n">
        <f aca="false">D1748*(1+g_asp)</f>
        <v>1.18</v>
      </c>
      <c r="F1748" s="19" t="n">
        <f aca="false">E1748*(1+g_asp)</f>
        <v>1.3924</v>
      </c>
      <c r="G1748" s="19" t="n">
        <f aca="false">F1748*(1+g_asp)</f>
        <v>1.643032</v>
      </c>
      <c r="K1748" s="7" t="s">
        <v>703</v>
      </c>
    </row>
    <row r="1749" customFormat="false" ht="17.15" hidden="false" customHeight="false" outlineLevel="0" collapsed="false">
      <c r="A1749" s="0" t="s">
        <v>704</v>
      </c>
      <c r="B1749" s="0" t="s">
        <v>153</v>
      </c>
      <c r="D1749" s="18" t="n">
        <f aca="false">1</f>
        <v>1</v>
      </c>
      <c r="E1749" s="18" t="n">
        <f aca="false">ibpp_27</f>
        <v>1</v>
      </c>
      <c r="F1749" s="18" t="n">
        <f aca="false">ibpp_28</f>
        <v>0.95</v>
      </c>
      <c r="G1749" s="18" t="n">
        <f aca="false">ibpp_29</f>
        <v>0.9</v>
      </c>
      <c r="K1749" s="7" t="s">
        <v>705</v>
      </c>
    </row>
    <row r="1750" customFormat="false" ht="17.15" hidden="false" customHeight="false" outlineLevel="0" collapsed="false">
      <c r="A1750" s="3" t="s">
        <v>706</v>
      </c>
      <c r="B1750" s="0" t="s">
        <v>153</v>
      </c>
      <c r="D1750" s="18" t="n">
        <f aca="false">1</f>
        <v>1</v>
      </c>
      <c r="E1750" s="18" t="n">
        <f aca="false">1+carry</f>
        <v>1.15</v>
      </c>
      <c r="F1750" s="18" t="n">
        <f aca="false">1+carry</f>
        <v>1.15</v>
      </c>
      <c r="G1750" s="18" t="n">
        <f aca="false">1+carry</f>
        <v>1.15</v>
      </c>
      <c r="K1750" s="7" t="s">
        <v>707</v>
      </c>
    </row>
    <row r="1751" customFormat="false" ht="17.15" hidden="false" customHeight="false" outlineLevel="0" collapsed="false">
      <c r="A1751" s="3" t="s">
        <v>708</v>
      </c>
      <c r="B1751" s="0" t="s">
        <v>709</v>
      </c>
      <c r="D1751" s="23" t="n">
        <f aca="false">v26*D1748*D1749</f>
        <v>215.308596</v>
      </c>
      <c r="E1751" s="23" t="n">
        <f aca="false">v26*E1748*E1749</f>
        <v>254.06414328</v>
      </c>
      <c r="F1751" s="23" t="n">
        <f aca="false">v26*F1748*F1749</f>
        <v>284.80590461688</v>
      </c>
      <c r="G1751" s="23" t="n">
        <f aca="false">v26*G1748*G1749</f>
        <v>318.383021792765</v>
      </c>
      <c r="K1751" s="7" t="s">
        <v>710</v>
      </c>
    </row>
    <row r="1752" customFormat="false" ht="17.15" hidden="false" customHeight="false" outlineLevel="0" collapsed="false">
      <c r="A1752" s="3" t="s">
        <v>711</v>
      </c>
      <c r="B1752" s="0" t="s">
        <v>43</v>
      </c>
      <c r="D1752" s="20" t="n">
        <f aca="false">sh_nv_26</f>
        <v>0.02</v>
      </c>
      <c r="E1752" s="20" t="n">
        <f aca="false">sh_nv_27</f>
        <v>0.03</v>
      </c>
      <c r="F1752" s="20" t="n">
        <f aca="false">sh_nv_28</f>
        <v>0.05</v>
      </c>
      <c r="G1752" s="20" t="n">
        <f aca="false">sh_nv_29</f>
        <v>0.06</v>
      </c>
    </row>
    <row r="1753" customFormat="false" ht="17.15" hidden="false" customHeight="false" outlineLevel="0" collapsed="false">
      <c r="A1753" s="3" t="s">
        <v>712</v>
      </c>
      <c r="B1753" s="0" t="s">
        <v>43</v>
      </c>
      <c r="D1753" s="20" t="n">
        <f aca="false">sh_ot_26</f>
        <v>0.03</v>
      </c>
      <c r="E1753" s="20" t="n">
        <f aca="false">sh_ot_27</f>
        <v>0.05</v>
      </c>
      <c r="F1753" s="20" t="n">
        <f aca="false">sh_ot_28</f>
        <v>0.06</v>
      </c>
      <c r="G1753" s="20" t="n">
        <f aca="false">sh_ot_29</f>
        <v>0.06</v>
      </c>
    </row>
    <row r="1754" customFormat="false" ht="17.15" hidden="false" customHeight="false" outlineLevel="0" collapsed="false">
      <c r="A1754" s="3" t="s">
        <v>713</v>
      </c>
      <c r="B1754" s="0" t="s">
        <v>43</v>
      </c>
      <c r="D1754" s="20" t="n">
        <f aca="false">sh_cpu_26</f>
        <v>0.35</v>
      </c>
      <c r="E1754" s="20" t="n">
        <f aca="false">sh_cpu_27</f>
        <v>0.7</v>
      </c>
      <c r="F1754" s="20" t="n">
        <f aca="false">sh_cpu_28</f>
        <v>0.75</v>
      </c>
      <c r="G1754" s="20" t="n">
        <f aca="false">sh_cpu_29</f>
        <v>0.7</v>
      </c>
    </row>
    <row r="1755" customFormat="false" ht="17.15" hidden="false" customHeight="false" outlineLevel="0" collapsed="false">
      <c r="A1755" s="3" t="s">
        <v>714</v>
      </c>
      <c r="B1755" s="0" t="s">
        <v>661</v>
      </c>
      <c r="D1755" s="22" t="n">
        <f aca="false">(D1745*D1751*D1752+D1746*D1751*v_ot*D1753+D1747*D1751*v_cpu*D1754)*D1750</f>
        <v>140.7256983456</v>
      </c>
      <c r="E1755" s="22" t="n">
        <f aca="false">(E1745*E1751*E1752+E1746*E1751*v_ot*E1753+E1747*E1751*v_cpu*E1754)*E1750</f>
        <v>486.703057357198</v>
      </c>
      <c r="F1755" s="22" t="n">
        <f aca="false">(F1745*F1751*F1752+F1746*F1751*v_ot*F1753+F1747*F1751*v_cpu*F1754)*F1750</f>
        <v>702.872492003998</v>
      </c>
      <c r="G1755" s="22" t="n">
        <f aca="false">(G1745*G1751*G1752+G1746*G1751*v_ot*G1753+G1747*G1751*v_cpu*G1754)*G1750</f>
        <v>902.463042932027</v>
      </c>
    </row>
    <row r="1756" customFormat="false" ht="17.15" hidden="false" customHeight="false" outlineLevel="0" collapsed="false">
      <c r="A1756" s="3" t="s">
        <v>715</v>
      </c>
      <c r="B1756" s="0" t="s">
        <v>379</v>
      </c>
      <c r="D1756" s="21" t="n">
        <f aca="false">D1755*fx/1000</f>
        <v>4.5032223470592</v>
      </c>
      <c r="E1756" s="21" t="n">
        <f aca="false">E1755*fx/1000</f>
        <v>15.5744978354303</v>
      </c>
      <c r="F1756" s="21" t="n">
        <f aca="false">F1755*fx/1000</f>
        <v>22.4919197441279</v>
      </c>
      <c r="G1756" s="21" t="n">
        <f aca="false">G1755*fx/1000</f>
        <v>28.8788173738249</v>
      </c>
    </row>
    <row r="1757" customFormat="false" ht="17.15" hidden="false" customHeight="false" outlineLevel="0" collapsed="false">
      <c r="A1757" s="5" t="s">
        <v>716</v>
      </c>
    </row>
    <row r="1758" customFormat="false" ht="17.15" hidden="false" customHeight="false" outlineLevel="0" collapsed="false">
      <c r="A1758" s="0" t="s">
        <v>717</v>
      </c>
      <c r="B1758" s="0" t="s">
        <v>379</v>
      </c>
      <c r="D1758" s="21" t="n">
        <f aca="false">a26_abf*ai_abf</f>
        <v>5.714709</v>
      </c>
      <c r="K1758" s="3" t="s">
        <v>718</v>
      </c>
    </row>
    <row r="1759" customFormat="false" ht="17.15" hidden="false" customHeight="false" outlineLevel="0" collapsed="false">
      <c r="A1759" s="3" t="s">
        <v>719</v>
      </c>
      <c r="B1759" s="0" t="s">
        <v>379</v>
      </c>
      <c r="D1759" s="21" t="n">
        <f aca="false">D1758-D1756</f>
        <v>1.2114866529408</v>
      </c>
      <c r="E1759" s="21" t="n">
        <f aca="false">$D1759*(swm_27/swm_26)^el_o*1*1*E1749*E1750</f>
        <v>1.94870016016792</v>
      </c>
      <c r="F1759" s="21" t="n">
        <f aca="false">$D1759*(swm_28/swm_26)^el_o*um28_A*1*F1749*F1750</f>
        <v>1.99149622299173</v>
      </c>
      <c r="G1759" s="21" t="n">
        <f aca="false">$D1759*(swm_29/swm_26)^el_o*um29_A*1*G1749*G1750</f>
        <v>2.01272596640355</v>
      </c>
      <c r="K1759" s="7" t="s">
        <v>720</v>
      </c>
    </row>
    <row r="1760" customFormat="false" ht="17.15" hidden="false" customHeight="false" outlineLevel="0" collapsed="false">
      <c r="A1760" s="3" t="s">
        <v>721</v>
      </c>
      <c r="B1760" s="0" t="s">
        <v>379</v>
      </c>
      <c r="D1760" s="21" t="n">
        <f aca="false">a26_abf-D1758</f>
        <v>17.144127</v>
      </c>
      <c r="E1760" s="21" t="n">
        <f aca="false">$D1760*(1+g_nai)^1*E1750</f>
        <v>20.898690813</v>
      </c>
      <c r="F1760" s="21" t="n">
        <f aca="false">$D1760*(1+g_nai)^2*F1750</f>
        <v>22.15261226178</v>
      </c>
      <c r="G1760" s="21" t="n">
        <f aca="false">$D1760*(1+g_nai)^3*G1750</f>
        <v>23.4817689974868</v>
      </c>
      <c r="K1760" s="3" t="s">
        <v>722</v>
      </c>
    </row>
    <row r="1761" customFormat="false" ht="17.15" hidden="false" customHeight="false" outlineLevel="0" collapsed="false">
      <c r="A1761" s="0" t="s">
        <v>723</v>
      </c>
      <c r="B1761" s="0" t="s">
        <v>379</v>
      </c>
      <c r="D1761" s="21" t="n">
        <f aca="false">D1756+D1759+D1760</f>
        <v>22.858836</v>
      </c>
      <c r="E1761" s="21" t="n">
        <f aca="false">E1756+E1759+E1760</f>
        <v>38.4218888085982</v>
      </c>
      <c r="F1761" s="21" t="n">
        <f aca="false">F1756+F1759+F1760</f>
        <v>46.6360282288997</v>
      </c>
      <c r="G1761" s="21" t="n">
        <f aca="false">G1756+G1759+G1760</f>
        <v>54.3733123377152</v>
      </c>
    </row>
    <row r="1762" customFormat="false" ht="17.15" hidden="false" customHeight="false" outlineLevel="0" collapsed="false">
      <c r="A1762" s="0" t="s">
        <v>724</v>
      </c>
      <c r="B1762" s="0" t="s">
        <v>379</v>
      </c>
      <c r="D1762" s="21" t="n">
        <f aca="false">a26_abf</f>
        <v>22.858836</v>
      </c>
      <c r="E1762" s="21" t="n">
        <f aca="false">$D1761*cap_27*(1+g_mix)^1*E1749*E1750</f>
        <v>33.122453364</v>
      </c>
      <c r="F1762" s="21" t="n">
        <f aca="false">$D1761*cap_28*(1+g_mix)^2*F1749*F1750</f>
        <v>41.2995590382375</v>
      </c>
      <c r="G1762" s="21" t="n">
        <f aca="false">$D1761*cap_29*(1+g_mix)^3*G1749*G1750</f>
        <v>50.6680379569114</v>
      </c>
      <c r="K1762" s="7" t="s">
        <v>725</v>
      </c>
    </row>
    <row r="1763" customFormat="false" ht="17.15" hidden="false" customHeight="false" outlineLevel="0" collapsed="false">
      <c r="A1763" s="0" t="s">
        <v>726</v>
      </c>
      <c r="B1763" s="0" t="s">
        <v>379</v>
      </c>
      <c r="D1763" s="21" t="n">
        <f aca="false">a26_abf</f>
        <v>22.858836</v>
      </c>
      <c r="E1763" s="21" t="n">
        <f aca="false">MIN(E1761,E1762)</f>
        <v>33.122453364</v>
      </c>
      <c r="F1763" s="21" t="n">
        <f aca="false">MIN(F1761,F1762)</f>
        <v>41.2995590382375</v>
      </c>
      <c r="G1763" s="21" t="n">
        <f aca="false">MIN(G1761,G1762)</f>
        <v>50.6680379569114</v>
      </c>
    </row>
    <row r="1764" customFormat="false" ht="17.15" hidden="false" customHeight="false" outlineLevel="0" collapsed="false">
      <c r="A1764" s="3" t="s">
        <v>727</v>
      </c>
      <c r="B1764" s="0" t="s">
        <v>43</v>
      </c>
      <c r="D1764" s="20" t="n">
        <f aca="false">D1763/D1761</f>
        <v>1</v>
      </c>
      <c r="E1764" s="20" t="n">
        <f aca="false">E1763/E1761</f>
        <v>0.862072490215205</v>
      </c>
      <c r="F1764" s="20" t="n">
        <f aca="false">F1763/F1761</f>
        <v>0.885571962422065</v>
      </c>
      <c r="G1764" s="20" t="n">
        <f aca="false">G1763/G1761</f>
        <v>0.931854907830698</v>
      </c>
    </row>
    <row r="1765" customFormat="false" ht="17.15" hidden="false" customHeight="false" outlineLevel="0" collapsed="false">
      <c r="A1765" s="0" t="s">
        <v>728</v>
      </c>
      <c r="B1765" s="0" t="s">
        <v>379</v>
      </c>
      <c r="D1765" s="21" t="n">
        <f aca="false">(D1756+D1759)*D1764</f>
        <v>5.714709</v>
      </c>
      <c r="E1765" s="21" t="n">
        <f aca="false">(E1756+E1759)*E1764</f>
        <v>15.1062669325995</v>
      </c>
      <c r="F1765" s="21" t="n">
        <f aca="false">(F1756+F1759)*F1764</f>
        <v>21.6818267247979</v>
      </c>
      <c r="G1765" s="21" t="n">
        <f aca="false">(G1756+G1759)*G1764</f>
        <v>28.7864362720566</v>
      </c>
    </row>
    <row r="1766" customFormat="false" ht="17.15" hidden="false" customHeight="false" outlineLevel="0" collapsed="false">
      <c r="A1766" s="3" t="s">
        <v>729</v>
      </c>
      <c r="B1766" s="0" t="s">
        <v>43</v>
      </c>
      <c r="D1766" s="20" t="n">
        <f aca="false">D1756/(D1756+D1759)</f>
        <v>0.788005539225042</v>
      </c>
      <c r="E1766" s="20" t="n">
        <f aca="false">E1756/(E1756+E1759)</f>
        <v>0.888793120944167</v>
      </c>
      <c r="F1766" s="20" t="n">
        <f aca="false">F1756/(F1756+F1759)</f>
        <v>0.918659380469366</v>
      </c>
      <c r="G1766" s="20" t="n">
        <f aca="false">G1756/(G1756+G1759)</f>
        <v>0.934845405934042</v>
      </c>
    </row>
    <row r="1767" customFormat="false" ht="17.15" hidden="false" customHeight="false" outlineLevel="0" collapsed="false">
      <c r="A1767" s="5" t="s">
        <v>730</v>
      </c>
    </row>
    <row r="1768" customFormat="false" ht="17.15" hidden="false" customHeight="false" outlineLevel="0" collapsed="false">
      <c r="A1768" s="0" t="s">
        <v>731</v>
      </c>
      <c r="B1768" s="0" t="s">
        <v>379</v>
      </c>
      <c r="D1768" s="21" t="n">
        <f aca="false">a26_bt</f>
        <v>23.265964</v>
      </c>
      <c r="E1768" s="21" t="n">
        <f aca="false">D1768*(1+g_bt27_A)</f>
        <v>29.78043392</v>
      </c>
      <c r="F1768" s="21" t="n">
        <f aca="false">E1768*(1+g_bt28_A)</f>
        <v>32.758477312</v>
      </c>
      <c r="G1768" s="21" t="n">
        <f aca="false">F1768*(1+g_bt29_A)</f>
        <v>34.3964011776</v>
      </c>
      <c r="K1768" s="7" t="s">
        <v>732</v>
      </c>
    </row>
    <row r="1769" customFormat="false" ht="17.15" hidden="false" customHeight="false" outlineLevel="0" collapsed="false">
      <c r="A1769" s="3" t="s">
        <v>617</v>
      </c>
      <c r="B1769" s="0" t="s">
        <v>379</v>
      </c>
      <c r="C1769" s="21" t="n">
        <f aca="false">a25_lens</f>
        <v>7.039</v>
      </c>
      <c r="D1769" s="21" t="n">
        <f aca="false">a26_lens</f>
        <v>8.301</v>
      </c>
      <c r="E1769" s="21" t="n">
        <f aca="false">D1769*(1+g_lens)</f>
        <v>9.1311</v>
      </c>
      <c r="F1769" s="21" t="n">
        <f aca="false">E1769*(1+g_lens)</f>
        <v>10.04421</v>
      </c>
      <c r="G1769" s="21" t="n">
        <f aca="false">F1769*(1+g_lens)</f>
        <v>11.048631</v>
      </c>
      <c r="K1769" s="3" t="s">
        <v>733</v>
      </c>
    </row>
    <row r="1770" customFormat="false" ht="17.15" hidden="false" customHeight="false" outlineLevel="0" collapsed="false">
      <c r="A1770" s="3" t="s">
        <v>574</v>
      </c>
      <c r="B1770" s="0" t="s">
        <v>379</v>
      </c>
      <c r="C1770" s="23" t="n">
        <f aca="false">a25_rev</f>
        <v>39.351</v>
      </c>
      <c r="D1770" s="23" t="n">
        <f aca="false">D1763+D1768+D1769</f>
        <v>54.4258</v>
      </c>
      <c r="E1770" s="23" t="n">
        <f aca="false">E1763+E1768+E1769</f>
        <v>72.033987284</v>
      </c>
      <c r="F1770" s="23" t="n">
        <f aca="false">F1763+F1768+F1769</f>
        <v>84.1022463502375</v>
      </c>
      <c r="G1770" s="23" t="n">
        <f aca="false">G1763+G1768+G1769</f>
        <v>96.1130701345114</v>
      </c>
      <c r="H1770" s="25" t="n">
        <f aca="false">G1770*(1+H1772)</f>
        <v>107.186075216063</v>
      </c>
      <c r="I1770" s="25" t="n">
        <f aca="false">H1770*(1+I1772)</f>
        <v>116.576010002736</v>
      </c>
      <c r="J1770" s="25" t="n">
        <f aca="false">I1770*(1+J1772)</f>
        <v>123.5705706029</v>
      </c>
      <c r="K1770" s="7" t="s">
        <v>734</v>
      </c>
    </row>
    <row r="1771" customFormat="false" ht="17.15" hidden="false" customHeight="false" outlineLevel="0" collapsed="false">
      <c r="A1771" s="3" t="s">
        <v>735</v>
      </c>
      <c r="B1771" s="0" t="s">
        <v>379</v>
      </c>
      <c r="D1771" s="19" t="n">
        <f aca="false">D1763+D1768+D1769-D1770</f>
        <v>0</v>
      </c>
      <c r="E1771" s="19" t="n">
        <f aca="false">E1763+E1768+E1769-E1770</f>
        <v>0</v>
      </c>
      <c r="F1771" s="19" t="n">
        <f aca="false">F1763+F1768+F1769-F1770</f>
        <v>0</v>
      </c>
      <c r="G1771" s="19" t="n">
        <f aca="false">G1763+G1768+G1769-G1770</f>
        <v>0</v>
      </c>
    </row>
    <row r="1772" customFormat="false" ht="15" hidden="false" customHeight="false" outlineLevel="0" collapsed="false">
      <c r="A1772" s="3" t="s">
        <v>736</v>
      </c>
      <c r="B1772" s="0" t="s">
        <v>43</v>
      </c>
      <c r="D1772" s="20" t="n">
        <f aca="false">D1770/C1770-1</f>
        <v>0.383085563263958</v>
      </c>
      <c r="E1772" s="20" t="n">
        <f aca="false">E1770/D1770-1</f>
        <v>0.323526476119781</v>
      </c>
      <c r="F1772" s="20" t="n">
        <f aca="false">F1770/E1770-1</f>
        <v>0.167535624796909</v>
      </c>
      <c r="G1772" s="20" t="n">
        <f aca="false">G1770/F1770-1</f>
        <v>0.142812163830389</v>
      </c>
      <c r="H1772" s="26" t="n">
        <f aca="false">$G1772+(fade_gA-$G1772)*1/3</f>
        <v>0.115208109220259</v>
      </c>
      <c r="I1772" s="26" t="n">
        <f aca="false">$G1772+(fade_gA-$G1772)*2/3</f>
        <v>0.0876040546101297</v>
      </c>
      <c r="J1772" s="26" t="n">
        <f aca="false">$G1772+(fade_gA-$G1772)*3/3</f>
        <v>0.06</v>
      </c>
    </row>
    <row r="1773" customFormat="false" ht="17.15" hidden="false" customHeight="false" outlineLevel="0" collapsed="false">
      <c r="A1773" s="0" t="s">
        <v>737</v>
      </c>
      <c r="B1773" s="0" t="s">
        <v>43</v>
      </c>
      <c r="D1773" s="20" t="n">
        <f aca="false">D1763/D1770</f>
        <v>0.42</v>
      </c>
      <c r="E1773" s="20" t="n">
        <f aca="false">E1763/E1770</f>
        <v>0.459817019893845</v>
      </c>
      <c r="F1773" s="20" t="n">
        <f aca="false">F1763/F1770</f>
        <v>0.491063685341395</v>
      </c>
      <c r="G1773" s="20" t="n">
        <f aca="false">G1763/G1770</f>
        <v>0.527171152539409</v>
      </c>
    </row>
    <row r="1774" customFormat="false" ht="17.15" hidden="false" customHeight="false" outlineLevel="0" collapsed="false">
      <c r="A1774" s="0" t="s">
        <v>738</v>
      </c>
      <c r="B1774" s="0" t="s">
        <v>43</v>
      </c>
      <c r="D1774" s="20" t="n">
        <f aca="false">D1765/D1770</f>
        <v>0.105</v>
      </c>
      <c r="E1774" s="20" t="n">
        <f aca="false">E1765/E1770</f>
        <v>0.209710270140146</v>
      </c>
      <c r="F1774" s="20" t="n">
        <f aca="false">F1765/F1770</f>
        <v>0.257803182028047</v>
      </c>
      <c r="G1774" s="20" t="n">
        <f aca="false">G1765/G1770</f>
        <v>0.299505948897165</v>
      </c>
      <c r="K1774" s="3" t="s">
        <v>739</v>
      </c>
    </row>
    <row r="1775" customFormat="false" ht="17.15" hidden="false" customHeight="false" outlineLevel="0" collapsed="false">
      <c r="A1775" s="5" t="s">
        <v>740</v>
      </c>
    </row>
    <row r="1776" customFormat="false" ht="15" hidden="false" customHeight="false" outlineLevel="0" collapsed="false">
      <c r="A1776" s="3" t="s">
        <v>741</v>
      </c>
      <c r="B1776" s="0" t="s">
        <v>379</v>
      </c>
      <c r="C1776" s="23" t="n">
        <f aca="false">a25_cx</f>
        <v>6.116</v>
      </c>
      <c r="D1776" s="23" t="n">
        <f aca="false">capex26</f>
        <v>11</v>
      </c>
      <c r="E1776" s="23" t="n">
        <f aca="false">cx27</f>
        <v>17</v>
      </c>
      <c r="F1776" s="23" t="n">
        <f aca="false">cx28</f>
        <v>16</v>
      </c>
      <c r="G1776" s="23" t="n">
        <f aca="false">cx29</f>
        <v>12</v>
      </c>
      <c r="H1776" s="25" t="n">
        <f aca="false">H1770*H1795</f>
        <v>13.4817405534162</v>
      </c>
      <c r="I1776" s="25" t="n">
        <f aca="false">I1770*I1795</f>
        <v>14.77073304233</v>
      </c>
      <c r="J1776" s="25" t="n">
        <f aca="false">J1770*J1795</f>
        <v>15.7713906192965</v>
      </c>
    </row>
    <row r="1777" customFormat="false" ht="17.15" hidden="false" customHeight="false" outlineLevel="0" collapsed="false">
      <c r="A1777" s="3" t="s">
        <v>742</v>
      </c>
      <c r="B1777" s="0" t="s">
        <v>379</v>
      </c>
      <c r="C1777" s="23" t="n">
        <f aca="false">a25_da</f>
        <v>7.158</v>
      </c>
      <c r="D1777" s="23" t="n">
        <f aca="false">da26</f>
        <v>8.32</v>
      </c>
      <c r="E1777" s="23" t="n">
        <f aca="false">D1777*(1-1/life)+D1776/life</f>
        <v>8.655</v>
      </c>
      <c r="F1777" s="23" t="n">
        <f aca="false">E1777*(1-1/life)+E1776/life</f>
        <v>9.698125</v>
      </c>
      <c r="G1777" s="23" t="n">
        <f aca="false">F1777*(1-1/life)+F1776/life</f>
        <v>10.485859375</v>
      </c>
      <c r="H1777" s="25" t="n">
        <f aca="false">H1770*H1778</f>
        <v>11.6939154071433</v>
      </c>
      <c r="I1777" s="25" t="n">
        <f aca="false">I1770*I1778</f>
        <v>12.7183498110769</v>
      </c>
      <c r="J1777" s="25" t="n">
        <f aca="false">J1770*J1778</f>
        <v>13.4814507997415</v>
      </c>
      <c r="K1777" s="3" t="s">
        <v>743</v>
      </c>
    </row>
    <row r="1778" customFormat="false" ht="17.15" hidden="false" customHeight="false" outlineLevel="0" collapsed="false">
      <c r="A1778" s="3" t="s">
        <v>744</v>
      </c>
      <c r="B1778" s="0" t="s">
        <v>43</v>
      </c>
      <c r="C1778" s="20" t="n">
        <f aca="false">C1777/C1770</f>
        <v>0.181901349393916</v>
      </c>
      <c r="D1778" s="20" t="n">
        <f aca="false">D1777/D1770</f>
        <v>0.152868676252807</v>
      </c>
      <c r="E1778" s="20" t="n">
        <f aca="false">E1777/E1770</f>
        <v>0.120151616290196</v>
      </c>
      <c r="F1778" s="20" t="n">
        <f aca="false">F1777/F1770</f>
        <v>0.115313507318376</v>
      </c>
      <c r="G1778" s="20" t="n">
        <f aca="false">G1777/G1770</f>
        <v>0.109099203264706</v>
      </c>
      <c r="H1778" s="26" t="n">
        <f aca="false">$G1778</f>
        <v>0.109099203264706</v>
      </c>
      <c r="I1778" s="26" t="n">
        <f aca="false">$G1778</f>
        <v>0.109099203264706</v>
      </c>
      <c r="J1778" s="26" t="n">
        <f aca="false">$G1778</f>
        <v>0.109099203264706</v>
      </c>
    </row>
    <row r="1779" customFormat="false" ht="17.15" hidden="false" customHeight="false" outlineLevel="0" collapsed="false">
      <c r="A1779" s="0" t="s">
        <v>745</v>
      </c>
      <c r="B1779" s="0" t="s">
        <v>379</v>
      </c>
      <c r="E1779" s="21" t="n">
        <f aca="false">E1764*((E1756+E1759)*(1-1/(E1749*E1750))+E1760*(1-1/E1750))</f>
        <v>4.320320004</v>
      </c>
      <c r="F1779" s="21" t="n">
        <f aca="false">F1764*((F1756+F1759)*(1-1/(F1749*F1750))+F1760*(1-1/F1750))</f>
        <v>4.39459572238805</v>
      </c>
      <c r="G1779" s="21" t="n">
        <f aca="false">G1764*((G1756+G1759)*(1-1/(G1749*G1750))+G1760*(1-1/G1750))</f>
        <v>3.827576325582</v>
      </c>
      <c r="K1779" s="7" t="s">
        <v>746</v>
      </c>
    </row>
    <row r="1780" customFormat="false" ht="17.15" hidden="false" customHeight="false" outlineLevel="0" collapsed="false">
      <c r="A1780" s="3" t="s">
        <v>747</v>
      </c>
      <c r="B1780" s="0" t="s">
        <v>379</v>
      </c>
      <c r="C1780" s="21" t="n">
        <f aca="false">a25_gp</f>
        <v>8.314</v>
      </c>
      <c r="D1780" s="21" t="n">
        <f aca="false">a26_gp</f>
        <v>15.328536</v>
      </c>
      <c r="E1780" s="21" t="n">
        <f aca="false">$D1780+ft_abf*(E1763-E1779-$D1763)+ft_bt*(E1768-$D1768)+ft_lens*(E1769-$D1769)+E1779-(E1777-$D1777)</f>
        <v>25.590561148</v>
      </c>
      <c r="F1780" s="21" t="n">
        <f aca="false">$D1780+ft_abf*(F1763-F1779-$D1763)+ft_bt*(F1768-$D1768)+ft_lens*(F1769-$D1769)+F1779-(F1777-$D1777)</f>
        <v>30.4241458707128</v>
      </c>
      <c r="G1780" s="21" t="n">
        <f aca="false">$D1780+ft_abf*(G1763-G1779-$D1763)+ft_bt*(G1768-$D1768)+ft_lens*(G1769-$D1769)+G1779-(G1777-$D1777)</f>
        <v>35.2261964461667</v>
      </c>
      <c r="K1780" s="3" t="s">
        <v>748</v>
      </c>
    </row>
    <row r="1781" customFormat="false" ht="15" hidden="false" customHeight="false" outlineLevel="0" collapsed="false">
      <c r="A1781" s="3" t="s">
        <v>581</v>
      </c>
      <c r="B1781" s="0" t="s">
        <v>43</v>
      </c>
      <c r="C1781" s="16" t="n">
        <f aca="false">C1780/C1770</f>
        <v>0.211277985311682</v>
      </c>
      <c r="D1781" s="16" t="n">
        <f aca="false">D1780/D1770</f>
        <v>0.281640986443929</v>
      </c>
      <c r="E1781" s="16" t="n">
        <f aca="false">E1780/E1770</f>
        <v>0.3552567629931</v>
      </c>
      <c r="F1781" s="16" t="n">
        <f aca="false">F1780/F1770</f>
        <v>0.361751881679993</v>
      </c>
      <c r="G1781" s="16" t="n">
        <f aca="false">G1780/G1770</f>
        <v>0.366507868252124</v>
      </c>
    </row>
    <row r="1782" customFormat="false" ht="15" hidden="false" customHeight="false" outlineLevel="0" collapsed="false">
      <c r="A1782" s="3" t="s">
        <v>583</v>
      </c>
      <c r="B1782" s="0" t="s">
        <v>379</v>
      </c>
      <c r="C1782" s="21" t="n">
        <f aca="false">a25_opx</f>
        <v>5.644</v>
      </c>
      <c r="D1782" s="21" t="n">
        <f aca="false">a26_opx</f>
        <v>6.54036</v>
      </c>
      <c r="E1782" s="21" t="n">
        <f aca="false">D1782*(1+phi*E1772)</f>
        <v>7.80994777401287</v>
      </c>
      <c r="F1782" s="21" t="n">
        <f aca="false">E1782*(1+phi*F1772)</f>
        <v>8.59501446198315</v>
      </c>
      <c r="G1782" s="21" t="n">
        <f aca="false">F1782*(1+phi*G1772)</f>
        <v>9.33149803006473</v>
      </c>
    </row>
    <row r="1783" customFormat="false" ht="15" hidden="false" customHeight="false" outlineLevel="0" collapsed="false">
      <c r="A1783" s="3" t="s">
        <v>586</v>
      </c>
      <c r="B1783" s="0" t="s">
        <v>379</v>
      </c>
      <c r="C1783" s="21" t="n">
        <f aca="false">C1780-C1782</f>
        <v>2.67</v>
      </c>
      <c r="D1783" s="21" t="n">
        <f aca="false">D1780-D1782</f>
        <v>8.788176</v>
      </c>
      <c r="E1783" s="21" t="n">
        <f aca="false">E1780-E1782</f>
        <v>17.7806133739871</v>
      </c>
      <c r="F1783" s="21" t="n">
        <f aca="false">F1780-F1782</f>
        <v>21.8291314087296</v>
      </c>
      <c r="G1783" s="21" t="n">
        <f aca="false">G1780-G1782</f>
        <v>25.894698416102</v>
      </c>
    </row>
    <row r="1784" customFormat="false" ht="15" hidden="false" customHeight="false" outlineLevel="0" collapsed="false">
      <c r="A1784" s="3" t="s">
        <v>684</v>
      </c>
      <c r="B1784" s="0" t="s">
        <v>43</v>
      </c>
      <c r="C1784" s="16" t="n">
        <f aca="false">C1783/C1770</f>
        <v>0.0678508805367081</v>
      </c>
      <c r="D1784" s="16" t="n">
        <f aca="false">D1783/D1770</f>
        <v>0.161470773052486</v>
      </c>
      <c r="E1784" s="16" t="n">
        <f aca="false">E1783/E1770</f>
        <v>0.246836445466854</v>
      </c>
      <c r="F1784" s="16" t="n">
        <f aca="false">F1783/F1770</f>
        <v>0.259554677265383</v>
      </c>
      <c r="G1784" s="16" t="n">
        <f aca="false">G1783/G1770</f>
        <v>0.269419116254033</v>
      </c>
    </row>
    <row r="1785" customFormat="false" ht="15" hidden="false" customHeight="false" outlineLevel="0" collapsed="false">
      <c r="A1785" s="3" t="s">
        <v>589</v>
      </c>
      <c r="B1785" s="0" t="s">
        <v>379</v>
      </c>
      <c r="C1785" s="21" t="n">
        <f aca="false">a25_nonop</f>
        <v>0.417</v>
      </c>
      <c r="D1785" s="21" t="n">
        <f aca="false">a26_nonop</f>
        <v>0.37882</v>
      </c>
      <c r="E1785" s="21" t="n">
        <f aca="false">nonop27_lo</f>
        <v>0</v>
      </c>
      <c r="F1785" s="21" t="n">
        <f aca="false">nonop28_lo</f>
        <v>0</v>
      </c>
      <c r="G1785" s="21" t="n">
        <f aca="false">nonop29_lo</f>
        <v>0</v>
      </c>
    </row>
    <row r="1786" customFormat="false" ht="15" hidden="false" customHeight="false" outlineLevel="0" collapsed="false">
      <c r="A1786" s="3" t="s">
        <v>591</v>
      </c>
      <c r="B1786" s="0" t="s">
        <v>379</v>
      </c>
      <c r="C1786" s="21" t="n">
        <f aca="false">C1783+C1785</f>
        <v>3.087</v>
      </c>
      <c r="D1786" s="21" t="n">
        <f aca="false">D1783+D1785</f>
        <v>9.166996</v>
      </c>
      <c r="E1786" s="21" t="n">
        <f aca="false">E1783+E1785</f>
        <v>17.7806133739871</v>
      </c>
      <c r="F1786" s="21" t="n">
        <f aca="false">F1783+F1785</f>
        <v>21.8291314087296</v>
      </c>
      <c r="G1786" s="21" t="n">
        <f aca="false">G1783+G1785</f>
        <v>25.894698416102</v>
      </c>
    </row>
    <row r="1787" customFormat="false" ht="15" hidden="false" customHeight="false" outlineLevel="0" collapsed="false">
      <c r="A1787" s="3" t="s">
        <v>592</v>
      </c>
      <c r="B1787" s="0" t="s">
        <v>379</v>
      </c>
      <c r="E1787" s="21" t="n">
        <f aca="false">E1786*tax</f>
        <v>2.13367360487846</v>
      </c>
      <c r="F1787" s="21" t="n">
        <f aca="false">F1786*tax</f>
        <v>2.61949576904756</v>
      </c>
      <c r="G1787" s="21" t="n">
        <f aca="false">G1786*tax</f>
        <v>3.10736380993223</v>
      </c>
    </row>
    <row r="1788" customFormat="false" ht="15" hidden="false" customHeight="false" outlineLevel="0" collapsed="false">
      <c r="A1788" s="3" t="s">
        <v>593</v>
      </c>
      <c r="B1788" s="0" t="s">
        <v>379</v>
      </c>
      <c r="C1788" s="21" t="n">
        <f aca="false">a25_nic</f>
        <v>2.71712</v>
      </c>
      <c r="D1788" s="21" t="n">
        <f aca="false">a26_nic</f>
        <v>8.39979776</v>
      </c>
      <c r="E1788" s="21" t="n">
        <f aca="false">E1786-E1787</f>
        <v>15.6469397691087</v>
      </c>
      <c r="F1788" s="21" t="n">
        <f aca="false">F1786-F1787</f>
        <v>19.2096356396821</v>
      </c>
      <c r="G1788" s="21" t="n">
        <f aca="false">G1786-G1787</f>
        <v>22.7873346061697</v>
      </c>
    </row>
    <row r="1789" customFormat="false" ht="17.15" hidden="false" customHeight="false" outlineLevel="0" collapsed="false">
      <c r="A1789" s="3" t="s">
        <v>749</v>
      </c>
      <c r="B1789" s="0" t="s">
        <v>379</v>
      </c>
      <c r="C1789" s="21" t="n">
        <f aca="false">a25_nci</f>
        <v>1.12112</v>
      </c>
      <c r="D1789" s="21" t="n">
        <f aca="false">a26_nci</f>
        <v>1.43839238487797</v>
      </c>
      <c r="E1789" s="21" t="n">
        <f aca="false">E1769*nm_lens*nci_sh</f>
        <v>1.57074538036261</v>
      </c>
      <c r="F1789" s="21" t="n">
        <f aca="false">F1769*nm_lens*nci_sh</f>
        <v>1.72781991839887</v>
      </c>
      <c r="G1789" s="21" t="n">
        <f aca="false">G1769*nm_lens*nci_sh</f>
        <v>1.90060191023875</v>
      </c>
      <c r="K1789" s="3" t="s">
        <v>750</v>
      </c>
    </row>
    <row r="1790" customFormat="false" ht="15" hidden="false" customHeight="false" outlineLevel="0" collapsed="false">
      <c r="A1790" s="3" t="s">
        <v>599</v>
      </c>
      <c r="B1790" s="0" t="s">
        <v>379</v>
      </c>
      <c r="C1790" s="21" t="n">
        <f aca="false">a25_ni</f>
        <v>1.596</v>
      </c>
      <c r="D1790" s="21" t="n">
        <f aca="false">a26_ni</f>
        <v>6.96140537512203</v>
      </c>
      <c r="E1790" s="21" t="n">
        <f aca="false">E1788-E1789</f>
        <v>14.0761943887461</v>
      </c>
      <c r="F1790" s="21" t="n">
        <f aca="false">F1788-F1789</f>
        <v>17.4818157212832</v>
      </c>
      <c r="G1790" s="21" t="n">
        <f aca="false">G1788-G1789</f>
        <v>20.886732695931</v>
      </c>
      <c r="H1790" s="30" t="n">
        <f aca="false">H1770*H1794</f>
        <v>23.4239047624333</v>
      </c>
      <c r="I1790" s="30" t="n">
        <f aca="false">I1770*I1794</f>
        <v>25.6182479648191</v>
      </c>
      <c r="J1790" s="30" t="n">
        <f aca="false">J1770*J1794</f>
        <v>27.3061958633271</v>
      </c>
    </row>
    <row r="1791" customFormat="false" ht="15" hidden="false" customHeight="false" outlineLevel="0" collapsed="false">
      <c r="A1791" s="3" t="s">
        <v>751</v>
      </c>
      <c r="B1791" s="3" t="s">
        <v>465</v>
      </c>
      <c r="C1791" s="29" t="n">
        <f aca="false">a25_sh</f>
        <v>0.454700854700855</v>
      </c>
      <c r="D1791" s="29" t="n">
        <f aca="false">a26_sh</f>
        <v>0.508341020486215</v>
      </c>
      <c r="E1791" s="29" t="n">
        <f aca="false">a26_shend*(1+sh_g)</f>
        <v>0.52691</v>
      </c>
      <c r="F1791" s="29" t="n">
        <f aca="false">E1791*(1+sh_g)</f>
        <v>0.52691</v>
      </c>
      <c r="G1791" s="29" t="n">
        <f aca="false">F1791*(1+sh_g)</f>
        <v>0.52691</v>
      </c>
      <c r="H1791" s="31" t="n">
        <f aca="false">G1791*(1+sh_g)</f>
        <v>0.52691</v>
      </c>
      <c r="I1791" s="31" t="n">
        <f aca="false">H1791*(1+sh_g)</f>
        <v>0.52691</v>
      </c>
      <c r="J1791" s="31" t="n">
        <f aca="false">I1791*(1+sh_g)</f>
        <v>0.52691</v>
      </c>
    </row>
    <row r="1792" customFormat="false" ht="17.15" hidden="false" customHeight="false" outlineLevel="0" collapsed="false">
      <c r="A1792" s="0" t="s">
        <v>604</v>
      </c>
      <c r="B1792" s="0" t="s">
        <v>471</v>
      </c>
      <c r="C1792" s="18" t="n">
        <f aca="false">C1790/C1791</f>
        <v>3.51</v>
      </c>
      <c r="D1792" s="18" t="n">
        <f aca="false">D1790/D1791</f>
        <v>13.6943608612652</v>
      </c>
      <c r="E1792" s="18" t="n">
        <f aca="false">E1790/E1791</f>
        <v>26.7146085455696</v>
      </c>
      <c r="F1792" s="18" t="n">
        <f aca="false">F1790/F1791</f>
        <v>33.1779919175632</v>
      </c>
      <c r="G1792" s="18" t="n">
        <f aca="false">G1790/G1791</f>
        <v>39.6400385187811</v>
      </c>
      <c r="H1792" s="28" t="n">
        <f aca="false">H1790/H1791</f>
        <v>44.4552290949751</v>
      </c>
      <c r="I1792" s="28" t="n">
        <f aca="false">I1790/I1791</f>
        <v>48.6197794022112</v>
      </c>
      <c r="J1792" s="28" t="n">
        <f aca="false">J1790/J1791</f>
        <v>51.8232636756317</v>
      </c>
    </row>
    <row r="1793" customFormat="false" ht="17.15" hidden="false" customHeight="false" outlineLevel="0" collapsed="false">
      <c r="A1793" s="0" t="s">
        <v>752</v>
      </c>
      <c r="B1793" s="0" t="s">
        <v>43</v>
      </c>
      <c r="D1793" s="20" t="n">
        <f aca="false">D1792/C1792-1</f>
        <v>2.90152731090177</v>
      </c>
      <c r="E1793" s="20" t="n">
        <f aca="false">E1792/D1792-1</f>
        <v>0.95077439657169</v>
      </c>
      <c r="F1793" s="20" t="n">
        <f aca="false">F1792/E1792-1</f>
        <v>0.241941908337096</v>
      </c>
      <c r="G1793" s="20" t="n">
        <f aca="false">G1792/F1792-1</f>
        <v>0.194769069124922</v>
      </c>
      <c r="H1793" s="26" t="n">
        <f aca="false">H1792/G1792-1</f>
        <v>0.121472903562204</v>
      </c>
      <c r="I1793" s="26" t="n">
        <f aca="false">I1792/H1792-1</f>
        <v>0.0936796501113273</v>
      </c>
      <c r="J1793" s="26" t="n">
        <f aca="false">J1792/I1792-1</f>
        <v>0.0658884987305139</v>
      </c>
    </row>
    <row r="1794" customFormat="false" ht="17.15" hidden="false" customHeight="false" outlineLevel="0" collapsed="false">
      <c r="A1794" s="3" t="s">
        <v>753</v>
      </c>
      <c r="B1794" s="0" t="s">
        <v>43</v>
      </c>
      <c r="C1794" s="16" t="n">
        <f aca="false">C1790/C1770</f>
        <v>0.0405580544331783</v>
      </c>
      <c r="D1794" s="16" t="n">
        <f aca="false">D1790/D1770</f>
        <v>0.127906349105057</v>
      </c>
      <c r="E1794" s="16" t="n">
        <f aca="false">E1790/E1770</f>
        <v>0.195410457195011</v>
      </c>
      <c r="F1794" s="16" t="n">
        <f aca="false">F1790/F1770</f>
        <v>0.207863838124864</v>
      </c>
      <c r="G1794" s="16" t="n">
        <f aca="false">G1790/G1770</f>
        <v>0.217314176591173</v>
      </c>
      <c r="H1794" s="27" t="n">
        <f aca="false">$G1794+(fade_mA-$G1794)*1/3</f>
        <v>0.218534960956599</v>
      </c>
      <c r="I1794" s="27" t="n">
        <f aca="false">$G1794+(fade_mA-$G1794)*2/3</f>
        <v>0.219755745322025</v>
      </c>
      <c r="J1794" s="27" t="n">
        <f aca="false">$G1794+(fade_mA-$G1794)*3/3</f>
        <v>0.220976529687452</v>
      </c>
    </row>
    <row r="1795" customFormat="false" ht="17.15" hidden="false" customHeight="false" outlineLevel="0" collapsed="false">
      <c r="A1795" s="3" t="s">
        <v>754</v>
      </c>
      <c r="B1795" s="0" t="s">
        <v>43</v>
      </c>
      <c r="C1795" s="20" t="n">
        <f aca="false">C1776/C1770</f>
        <v>0.155421717364235</v>
      </c>
      <c r="D1795" s="20" t="n">
        <f aca="false">D1776/D1770</f>
        <v>0.202110028699624</v>
      </c>
      <c r="E1795" s="20" t="n">
        <f aca="false">E1776/E1770</f>
        <v>0.235999708484498</v>
      </c>
      <c r="F1795" s="20" t="n">
        <f aca="false">F1776/F1770</f>
        <v>0.190244621212247</v>
      </c>
      <c r="G1795" s="20" t="n">
        <f aca="false">G1776/G1770</f>
        <v>0.124852946464054</v>
      </c>
      <c r="H1795" s="26" t="n">
        <f aca="false">$G1795+($G1778*(1+tp_g)^(life/2)-$G1795)*1/3</f>
        <v>0.125778843252168</v>
      </c>
      <c r="I1795" s="26" t="n">
        <f aca="false">$G1795+($G1778*(1+tp_g)^(life/2)-$G1795)*2/3</f>
        <v>0.126704740040282</v>
      </c>
      <c r="J1795" s="26" t="n">
        <f aca="false">$G1795+($G1778*(1+tp_g)^(life/2)-$G1795)*3/3</f>
        <v>0.127630636828396</v>
      </c>
      <c r="K1795" s="7" t="s">
        <v>755</v>
      </c>
    </row>
    <row r="1796" customFormat="false" ht="15" hidden="false" customHeight="false" outlineLevel="0" collapsed="false">
      <c r="A1796" s="3" t="s">
        <v>756</v>
      </c>
      <c r="B1796" s="0" t="s">
        <v>379</v>
      </c>
      <c r="D1796" s="21" t="n">
        <f aca="false">D1790+D1777-D1776</f>
        <v>4.28140537512203</v>
      </c>
      <c r="E1796" s="21" t="n">
        <f aca="false">E1790+E1777-E1776</f>
        <v>5.73119438874607</v>
      </c>
      <c r="F1796" s="21" t="n">
        <f aca="false">F1790+F1777-F1776</f>
        <v>11.1799407212832</v>
      </c>
      <c r="G1796" s="21" t="n">
        <f aca="false">G1790+G1777-G1776</f>
        <v>19.372592070931</v>
      </c>
      <c r="H1796" s="30" t="n">
        <f aca="false">H1790+H1777-H1776</f>
        <v>21.6360796161604</v>
      </c>
      <c r="I1796" s="30" t="n">
        <f aca="false">I1790+I1777-I1776</f>
        <v>23.565864733566</v>
      </c>
      <c r="J1796" s="30" t="n">
        <f aca="false">J1790+J1777-J1776</f>
        <v>25.0162560437722</v>
      </c>
      <c r="K1796" s="3" t="s">
        <v>757</v>
      </c>
    </row>
    <row r="1797" customFormat="false" ht="15" hidden="false" customHeight="false" outlineLevel="0" collapsed="false">
      <c r="A1797" s="3" t="s">
        <v>758</v>
      </c>
      <c r="B1797" s="0" t="s">
        <v>471</v>
      </c>
      <c r="D1797" s="18" t="n">
        <f aca="false">D1796/D1791</f>
        <v>8.42230943909854</v>
      </c>
      <c r="E1797" s="18" t="n">
        <f aca="false">E1796/E1791</f>
        <v>10.8769892177906</v>
      </c>
      <c r="F1797" s="18" t="n">
        <f aca="false">F1796/F1791</f>
        <v>21.2179323248434</v>
      </c>
      <c r="G1797" s="18" t="n">
        <f aca="false">G1796/G1791</f>
        <v>36.7664156514983</v>
      </c>
      <c r="H1797" s="28" t="n">
        <f aca="false">H1796/H1791</f>
        <v>41.0621920558736</v>
      </c>
      <c r="I1797" s="28" t="n">
        <f aca="false">I1796/I1791</f>
        <v>44.7246488652066</v>
      </c>
      <c r="J1797" s="28" t="n">
        <f aca="false">J1796/J1791</f>
        <v>47.4772846288212</v>
      </c>
    </row>
    <row r="1800" customFormat="false" ht="17.15" hidden="false" customHeight="false" outlineLevel="0" collapsed="false">
      <c r="A1800" s="1" t="s">
        <v>1122</v>
      </c>
    </row>
    <row r="1801" customFormat="false" ht="17.15" hidden="false" customHeight="false" outlineLevel="0" collapsed="false">
      <c r="A1801" s="4" t="s">
        <v>20</v>
      </c>
      <c r="B1801" s="4" t="s">
        <v>21</v>
      </c>
      <c r="C1801" s="13" t="s">
        <v>567</v>
      </c>
      <c r="D1801" s="13" t="s">
        <v>671</v>
      </c>
      <c r="E1801" s="13" t="s">
        <v>672</v>
      </c>
      <c r="F1801" s="13" t="s">
        <v>673</v>
      </c>
      <c r="G1801" s="13" t="s">
        <v>674</v>
      </c>
      <c r="H1801" s="13" t="s">
        <v>675</v>
      </c>
      <c r="I1801" s="13" t="s">
        <v>676</v>
      </c>
      <c r="J1801" s="13" t="s">
        <v>677</v>
      </c>
      <c r="K1801" s="4" t="s">
        <v>631</v>
      </c>
    </row>
    <row r="1802" customFormat="false" ht="17.15" hidden="false" customHeight="false" outlineLevel="0" collapsed="false">
      <c r="A1802" s="5" t="s">
        <v>695</v>
      </c>
    </row>
    <row r="1803" customFormat="false" ht="17.15" hidden="false" customHeight="false" outlineLevel="0" collapsed="false">
      <c r="A1803" s="0" t="s">
        <v>696</v>
      </c>
      <c r="B1803" s="3" t="s">
        <v>31</v>
      </c>
      <c r="D1803" s="21" t="n">
        <f aca="false">(u_bw_26+u_rb_26+u_ru_26+u_hp_26)*1</f>
        <v>7.6</v>
      </c>
      <c r="E1803" s="21" t="n">
        <f aca="false">(u_bw_27+u_rb_27+u_ru_27+u_hp_27)*1*1</f>
        <v>9.7</v>
      </c>
      <c r="F1803" s="21" t="n">
        <f aca="false">(u_bw_28+u_rb_28+u_ru_28+u_hp_28)*um28_A*1</f>
        <v>9.5</v>
      </c>
      <c r="G1803" s="21" t="n">
        <f aca="false">(u_bw_28*(1+g29_bw)+u_rb_28*(1+g29_rb)+u_ru_28*(1+g29_ru)+u_hp_28*(1+g29_hp))*um29_A*1</f>
        <v>10.6</v>
      </c>
      <c r="K1803" s="7" t="s">
        <v>697</v>
      </c>
    </row>
    <row r="1804" customFormat="false" ht="17.15" hidden="false" customHeight="false" outlineLevel="0" collapsed="false">
      <c r="A1804" s="3" t="s">
        <v>698</v>
      </c>
      <c r="B1804" s="3" t="s">
        <v>31</v>
      </c>
      <c r="D1804" s="21" t="n">
        <f aca="false">(u_amd_26+u_tpu_26+u_trn_26+u_oth_26)*1</f>
        <v>7.6</v>
      </c>
      <c r="E1804" s="21" t="n">
        <f aca="false">(u_amd_27+u_tpu_27+u_trn_27+u_oth_27)*1*1</f>
        <v>14</v>
      </c>
      <c r="F1804" s="21" t="n">
        <f aca="false">(u_amd_28+u_tpu_28+u_trn_28+u_oth_28)*um28_A*1</f>
        <v>17</v>
      </c>
      <c r="G1804" s="21" t="n">
        <f aca="false">(u_amd_28*(1+g29_amd)+u_tpu_28*(1+g29_tpu)+u_trn_28*(1+g29_trn)+u_oth_28*(1+g29_oth))*um29_A*1</f>
        <v>19.55</v>
      </c>
      <c r="K1804" s="7" t="s">
        <v>699</v>
      </c>
    </row>
    <row r="1805" customFormat="false" ht="17.15" hidden="false" customHeight="false" outlineLevel="0" collapsed="false">
      <c r="A1805" s="0" t="s">
        <v>700</v>
      </c>
      <c r="B1805" s="3" t="s">
        <v>31</v>
      </c>
      <c r="D1805" s="21" t="n">
        <f aca="false">D1803*cpu_r</f>
        <v>3.04</v>
      </c>
      <c r="E1805" s="21" t="n">
        <f aca="false">E1803*cpu_r</f>
        <v>3.88</v>
      </c>
      <c r="F1805" s="21" t="n">
        <f aca="false">F1803*cpu_r</f>
        <v>3.8</v>
      </c>
      <c r="G1805" s="21" t="n">
        <f aca="false">G1803*cpu_r</f>
        <v>4.24</v>
      </c>
      <c r="K1805" s="7" t="s">
        <v>701</v>
      </c>
    </row>
    <row r="1806" customFormat="false" ht="17.15" hidden="false" customHeight="false" outlineLevel="0" collapsed="false">
      <c r="A1806" s="3" t="s">
        <v>702</v>
      </c>
      <c r="B1806" s="0" t="s">
        <v>153</v>
      </c>
      <c r="D1806" s="19" t="n">
        <f aca="false">1</f>
        <v>1</v>
      </c>
      <c r="E1806" s="19" t="n">
        <f aca="false">D1806*(1+g_asp)</f>
        <v>1.18</v>
      </c>
      <c r="F1806" s="19" t="n">
        <f aca="false">E1806*(1+g_asp)</f>
        <v>1.3924</v>
      </c>
      <c r="G1806" s="19" t="n">
        <f aca="false">F1806*(1+g_asp)</f>
        <v>1.643032</v>
      </c>
      <c r="K1806" s="7" t="s">
        <v>703</v>
      </c>
    </row>
    <row r="1807" customFormat="false" ht="17.15" hidden="false" customHeight="false" outlineLevel="0" collapsed="false">
      <c r="A1807" s="0" t="s">
        <v>704</v>
      </c>
      <c r="B1807" s="0" t="s">
        <v>153</v>
      </c>
      <c r="D1807" s="18" t="n">
        <f aca="false">1</f>
        <v>1</v>
      </c>
      <c r="E1807" s="18" t="n">
        <f aca="false">ibpp_27</f>
        <v>1</v>
      </c>
      <c r="F1807" s="18" t="n">
        <f aca="false">ibpp_28</f>
        <v>0.95</v>
      </c>
      <c r="G1807" s="18" t="n">
        <f aca="false">ibpp_29</f>
        <v>0.9</v>
      </c>
      <c r="K1807" s="7" t="s">
        <v>705</v>
      </c>
    </row>
    <row r="1808" customFormat="false" ht="17.15" hidden="false" customHeight="false" outlineLevel="0" collapsed="false">
      <c r="A1808" s="3" t="s">
        <v>706</v>
      </c>
      <c r="B1808" s="0" t="s">
        <v>153</v>
      </c>
      <c r="D1808" s="18" t="n">
        <f aca="false">1</f>
        <v>1</v>
      </c>
      <c r="E1808" s="18" t="n">
        <f aca="false">1+carry</f>
        <v>1.15</v>
      </c>
      <c r="F1808" s="18" t="n">
        <f aca="false">1+carry</f>
        <v>1.15</v>
      </c>
      <c r="G1808" s="18" t="n">
        <f aca="false">1+carry</f>
        <v>1.15</v>
      </c>
      <c r="K1808" s="7" t="s">
        <v>707</v>
      </c>
    </row>
    <row r="1809" customFormat="false" ht="17.15" hidden="false" customHeight="false" outlineLevel="0" collapsed="false">
      <c r="A1809" s="3" t="s">
        <v>708</v>
      </c>
      <c r="B1809" s="0" t="s">
        <v>709</v>
      </c>
      <c r="D1809" s="23" t="n">
        <f aca="false">v26*D1806*D1807</f>
        <v>215.308596</v>
      </c>
      <c r="E1809" s="23" t="n">
        <f aca="false">v26*E1806*E1807</f>
        <v>254.06414328</v>
      </c>
      <c r="F1809" s="23" t="n">
        <f aca="false">v26*F1806*F1807</f>
        <v>284.80590461688</v>
      </c>
      <c r="G1809" s="23" t="n">
        <f aca="false">v26*G1806*G1807</f>
        <v>318.383021792765</v>
      </c>
      <c r="K1809" s="7" t="s">
        <v>710</v>
      </c>
    </row>
    <row r="1810" customFormat="false" ht="17.15" hidden="false" customHeight="false" outlineLevel="0" collapsed="false">
      <c r="A1810" s="3" t="s">
        <v>711</v>
      </c>
      <c r="B1810" s="0" t="s">
        <v>43</v>
      </c>
      <c r="D1810" s="20" t="n">
        <f aca="false">sh_nv_26</f>
        <v>0.02</v>
      </c>
      <c r="E1810" s="20" t="n">
        <f aca="false">sh_nv_27</f>
        <v>0.03</v>
      </c>
      <c r="F1810" s="20" t="n">
        <f aca="false">sh_nv_28</f>
        <v>0.05</v>
      </c>
      <c r="G1810" s="20" t="n">
        <f aca="false">sh_nv_29</f>
        <v>0.06</v>
      </c>
    </row>
    <row r="1811" customFormat="false" ht="17.15" hidden="false" customHeight="false" outlineLevel="0" collapsed="false">
      <c r="A1811" s="3" t="s">
        <v>712</v>
      </c>
      <c r="B1811" s="0" t="s">
        <v>43</v>
      </c>
      <c r="D1811" s="20" t="n">
        <f aca="false">sh_ot_26</f>
        <v>0.03</v>
      </c>
      <c r="E1811" s="20" t="n">
        <f aca="false">sh_ot_27</f>
        <v>0.05</v>
      </c>
      <c r="F1811" s="20" t="n">
        <f aca="false">sh_ot_28</f>
        <v>0.06</v>
      </c>
      <c r="G1811" s="20" t="n">
        <f aca="false">sh_ot_29</f>
        <v>0.06</v>
      </c>
    </row>
    <row r="1812" customFormat="false" ht="17.15" hidden="false" customHeight="false" outlineLevel="0" collapsed="false">
      <c r="A1812" s="3" t="s">
        <v>713</v>
      </c>
      <c r="B1812" s="0" t="s">
        <v>43</v>
      </c>
      <c r="D1812" s="20" t="n">
        <f aca="false">sh_cpu_26</f>
        <v>0.35</v>
      </c>
      <c r="E1812" s="20" t="n">
        <f aca="false">sh_cpu_27</f>
        <v>0.7</v>
      </c>
      <c r="F1812" s="20" t="n">
        <f aca="false">sh_cpu_28</f>
        <v>0.75</v>
      </c>
      <c r="G1812" s="20" t="n">
        <f aca="false">sh_cpu_29</f>
        <v>0.7</v>
      </c>
    </row>
    <row r="1813" customFormat="false" ht="17.15" hidden="false" customHeight="false" outlineLevel="0" collapsed="false">
      <c r="A1813" s="3" t="s">
        <v>714</v>
      </c>
      <c r="B1813" s="0" t="s">
        <v>661</v>
      </c>
      <c r="D1813" s="22" t="n">
        <f aca="false">(D1803*D1809*D1810+D1804*D1809*v_ot*D1811+D1805*D1809*v_cpu*D1812)*D1808</f>
        <v>140.7256983456</v>
      </c>
      <c r="E1813" s="22" t="n">
        <f aca="false">(E1803*E1809*E1810+E1804*E1809*v_ot*E1811+E1805*E1809*v_cpu*E1812)*E1808</f>
        <v>486.703057357198</v>
      </c>
      <c r="F1813" s="22" t="n">
        <f aca="false">(F1803*F1809*F1810+F1804*F1809*v_ot*F1811+F1805*F1809*v_cpu*F1812)*F1808</f>
        <v>702.872492003998</v>
      </c>
      <c r="G1813" s="22" t="n">
        <f aca="false">(G1803*G1809*G1810+G1804*G1809*v_ot*G1811+G1805*G1809*v_cpu*G1812)*G1808</f>
        <v>902.463042932027</v>
      </c>
    </row>
    <row r="1814" customFormat="false" ht="17.15" hidden="false" customHeight="false" outlineLevel="0" collapsed="false">
      <c r="A1814" s="3" t="s">
        <v>715</v>
      </c>
      <c r="B1814" s="0" t="s">
        <v>379</v>
      </c>
      <c r="D1814" s="21" t="n">
        <f aca="false">D1813*fx/1000</f>
        <v>4.5032223470592</v>
      </c>
      <c r="E1814" s="21" t="n">
        <f aca="false">E1813*fx/1000</f>
        <v>15.5744978354303</v>
      </c>
      <c r="F1814" s="21" t="n">
        <f aca="false">F1813*fx/1000</f>
        <v>22.4919197441279</v>
      </c>
      <c r="G1814" s="21" t="n">
        <f aca="false">G1813*fx/1000</f>
        <v>28.8788173738249</v>
      </c>
    </row>
    <row r="1815" customFormat="false" ht="17.15" hidden="false" customHeight="false" outlineLevel="0" collapsed="false">
      <c r="A1815" s="5" t="s">
        <v>716</v>
      </c>
    </row>
    <row r="1816" customFormat="false" ht="17.15" hidden="false" customHeight="false" outlineLevel="0" collapsed="false">
      <c r="A1816" s="0" t="s">
        <v>717</v>
      </c>
      <c r="B1816" s="0" t="s">
        <v>379</v>
      </c>
      <c r="D1816" s="21" t="n">
        <f aca="false">a26_abf*ai_abf</f>
        <v>5.714709</v>
      </c>
      <c r="K1816" s="3" t="s">
        <v>718</v>
      </c>
    </row>
    <row r="1817" customFormat="false" ht="17.15" hidden="false" customHeight="false" outlineLevel="0" collapsed="false">
      <c r="A1817" s="3" t="s">
        <v>719</v>
      </c>
      <c r="B1817" s="0" t="s">
        <v>379</v>
      </c>
      <c r="D1817" s="21" t="n">
        <f aca="false">D1816-D1814</f>
        <v>1.2114866529408</v>
      </c>
      <c r="E1817" s="21" t="n">
        <f aca="false">$D1817*(swm_27/swm_26)^el_o*1*1*E1807*E1808</f>
        <v>1.94870016016792</v>
      </c>
      <c r="F1817" s="21" t="n">
        <f aca="false">$D1817*(swm_28/swm_26)^el_o*um28_A*1*F1807*F1808</f>
        <v>1.99149622299173</v>
      </c>
      <c r="G1817" s="21" t="n">
        <f aca="false">$D1817*(swm_29/swm_26)^el_o*um29_A*1*G1807*G1808</f>
        <v>2.01272596640355</v>
      </c>
      <c r="K1817" s="7" t="s">
        <v>720</v>
      </c>
    </row>
    <row r="1818" customFormat="false" ht="17.15" hidden="false" customHeight="false" outlineLevel="0" collapsed="false">
      <c r="A1818" s="3" t="s">
        <v>721</v>
      </c>
      <c r="B1818" s="0" t="s">
        <v>379</v>
      </c>
      <c r="D1818" s="21" t="n">
        <f aca="false">a26_abf-D1816</f>
        <v>17.144127</v>
      </c>
      <c r="E1818" s="21" t="n">
        <f aca="false">$D1818*(1+g_nai)^1*E1808</f>
        <v>20.898690813</v>
      </c>
      <c r="F1818" s="21" t="n">
        <f aca="false">$D1818*(1+g_nai)^2*F1808</f>
        <v>22.15261226178</v>
      </c>
      <c r="G1818" s="21" t="n">
        <f aca="false">$D1818*(1+g_nai)^3*G1808</f>
        <v>23.4817689974868</v>
      </c>
      <c r="K1818" s="3" t="s">
        <v>722</v>
      </c>
    </row>
    <row r="1819" customFormat="false" ht="17.15" hidden="false" customHeight="false" outlineLevel="0" collapsed="false">
      <c r="A1819" s="0" t="s">
        <v>723</v>
      </c>
      <c r="B1819" s="0" t="s">
        <v>379</v>
      </c>
      <c r="D1819" s="21" t="n">
        <f aca="false">D1814+D1817+D1818</f>
        <v>22.858836</v>
      </c>
      <c r="E1819" s="21" t="n">
        <f aca="false">E1814+E1817+E1818</f>
        <v>38.4218888085982</v>
      </c>
      <c r="F1819" s="21" t="n">
        <f aca="false">F1814+F1817+F1818</f>
        <v>46.6360282288997</v>
      </c>
      <c r="G1819" s="21" t="n">
        <f aca="false">G1814+G1817+G1818</f>
        <v>54.3733123377152</v>
      </c>
    </row>
    <row r="1820" customFormat="false" ht="17.15" hidden="false" customHeight="false" outlineLevel="0" collapsed="false">
      <c r="A1820" s="0" t="s">
        <v>724</v>
      </c>
      <c r="B1820" s="0" t="s">
        <v>379</v>
      </c>
      <c r="D1820" s="21" t="n">
        <f aca="false">a26_abf</f>
        <v>22.858836</v>
      </c>
      <c r="E1820" s="21" t="n">
        <f aca="false">$D1819*cap_27*(1+g_mix)^1*E1807*E1808</f>
        <v>33.122453364</v>
      </c>
      <c r="F1820" s="21" t="n">
        <f aca="false">$D1819*cap_28*(1+g_mix)^2*F1807*F1808</f>
        <v>41.2995590382375</v>
      </c>
      <c r="G1820" s="21" t="n">
        <f aca="false">$D1819*cap_29*(1+g_mix)^3*G1807*G1808</f>
        <v>50.6680379569114</v>
      </c>
      <c r="K1820" s="7" t="s">
        <v>725</v>
      </c>
    </row>
    <row r="1821" customFormat="false" ht="17.15" hidden="false" customHeight="false" outlineLevel="0" collapsed="false">
      <c r="A1821" s="0" t="s">
        <v>726</v>
      </c>
      <c r="B1821" s="0" t="s">
        <v>379</v>
      </c>
      <c r="D1821" s="21" t="n">
        <f aca="false">a26_abf</f>
        <v>22.858836</v>
      </c>
      <c r="E1821" s="21" t="n">
        <f aca="false">MIN(E1819,E1820)</f>
        <v>33.122453364</v>
      </c>
      <c r="F1821" s="21" t="n">
        <f aca="false">MIN(F1819,F1820)</f>
        <v>41.2995590382375</v>
      </c>
      <c r="G1821" s="21" t="n">
        <f aca="false">MIN(G1819,G1820)</f>
        <v>50.6680379569114</v>
      </c>
    </row>
    <row r="1822" customFormat="false" ht="17.15" hidden="false" customHeight="false" outlineLevel="0" collapsed="false">
      <c r="A1822" s="3" t="s">
        <v>727</v>
      </c>
      <c r="B1822" s="0" t="s">
        <v>43</v>
      </c>
      <c r="D1822" s="20" t="n">
        <f aca="false">D1821/D1819</f>
        <v>1</v>
      </c>
      <c r="E1822" s="20" t="n">
        <f aca="false">E1821/E1819</f>
        <v>0.862072490215205</v>
      </c>
      <c r="F1822" s="20" t="n">
        <f aca="false">F1821/F1819</f>
        <v>0.885571962422065</v>
      </c>
      <c r="G1822" s="20" t="n">
        <f aca="false">G1821/G1819</f>
        <v>0.931854907830698</v>
      </c>
    </row>
    <row r="1823" customFormat="false" ht="17.15" hidden="false" customHeight="false" outlineLevel="0" collapsed="false">
      <c r="A1823" s="0" t="s">
        <v>728</v>
      </c>
      <c r="B1823" s="0" t="s">
        <v>379</v>
      </c>
      <c r="D1823" s="21" t="n">
        <f aca="false">(D1814+D1817)*D1822</f>
        <v>5.714709</v>
      </c>
      <c r="E1823" s="21" t="n">
        <f aca="false">(E1814+E1817)*E1822</f>
        <v>15.1062669325995</v>
      </c>
      <c r="F1823" s="21" t="n">
        <f aca="false">(F1814+F1817)*F1822</f>
        <v>21.6818267247979</v>
      </c>
      <c r="G1823" s="21" t="n">
        <f aca="false">(G1814+G1817)*G1822</f>
        <v>28.7864362720566</v>
      </c>
    </row>
    <row r="1824" customFormat="false" ht="17.15" hidden="false" customHeight="false" outlineLevel="0" collapsed="false">
      <c r="A1824" s="3" t="s">
        <v>729</v>
      </c>
      <c r="B1824" s="0" t="s">
        <v>43</v>
      </c>
      <c r="D1824" s="20" t="n">
        <f aca="false">D1814/(D1814+D1817)</f>
        <v>0.788005539225042</v>
      </c>
      <c r="E1824" s="20" t="n">
        <f aca="false">E1814/(E1814+E1817)</f>
        <v>0.888793120944167</v>
      </c>
      <c r="F1824" s="20" t="n">
        <f aca="false">F1814/(F1814+F1817)</f>
        <v>0.918659380469366</v>
      </c>
      <c r="G1824" s="20" t="n">
        <f aca="false">G1814/(G1814+G1817)</f>
        <v>0.934845405934042</v>
      </c>
    </row>
    <row r="1825" customFormat="false" ht="17.15" hidden="false" customHeight="false" outlineLevel="0" collapsed="false">
      <c r="A1825" s="5" t="s">
        <v>730</v>
      </c>
    </row>
    <row r="1826" customFormat="false" ht="17.15" hidden="false" customHeight="false" outlineLevel="0" collapsed="false">
      <c r="A1826" s="0" t="s">
        <v>731</v>
      </c>
      <c r="B1826" s="0" t="s">
        <v>379</v>
      </c>
      <c r="D1826" s="21" t="n">
        <f aca="false">a26_bt</f>
        <v>23.265964</v>
      </c>
      <c r="E1826" s="21" t="n">
        <f aca="false">D1826*(1+g_bt27_A)</f>
        <v>29.78043392</v>
      </c>
      <c r="F1826" s="21" t="n">
        <f aca="false">E1826*(1+g_bt28_A)</f>
        <v>32.758477312</v>
      </c>
      <c r="G1826" s="21" t="n">
        <f aca="false">F1826*(1+g_bt29_A)</f>
        <v>34.3964011776</v>
      </c>
      <c r="K1826" s="7" t="s">
        <v>732</v>
      </c>
    </row>
    <row r="1827" customFormat="false" ht="17.15" hidden="false" customHeight="false" outlineLevel="0" collapsed="false">
      <c r="A1827" s="3" t="s">
        <v>617</v>
      </c>
      <c r="B1827" s="0" t="s">
        <v>379</v>
      </c>
      <c r="C1827" s="21" t="n">
        <f aca="false">a25_lens</f>
        <v>7.039</v>
      </c>
      <c r="D1827" s="21" t="n">
        <f aca="false">a26_lens</f>
        <v>8.301</v>
      </c>
      <c r="E1827" s="21" t="n">
        <f aca="false">D1827*(1+g_lens_lo)</f>
        <v>8.55003</v>
      </c>
      <c r="F1827" s="21" t="n">
        <f aca="false">E1827*(1+g_lens_lo)</f>
        <v>8.8065309</v>
      </c>
      <c r="G1827" s="21" t="n">
        <f aca="false">F1827*(1+g_lens_lo)</f>
        <v>9.070726827</v>
      </c>
      <c r="K1827" s="3" t="s">
        <v>733</v>
      </c>
    </row>
    <row r="1828" customFormat="false" ht="17.15" hidden="false" customHeight="false" outlineLevel="0" collapsed="false">
      <c r="A1828" s="3" t="s">
        <v>574</v>
      </c>
      <c r="B1828" s="0" t="s">
        <v>379</v>
      </c>
      <c r="C1828" s="23" t="n">
        <f aca="false">a25_rev</f>
        <v>39.351</v>
      </c>
      <c r="D1828" s="23" t="n">
        <f aca="false">D1821+D1826+D1827</f>
        <v>54.4258</v>
      </c>
      <c r="E1828" s="23" t="n">
        <f aca="false">E1821+E1826+E1827</f>
        <v>71.452917284</v>
      </c>
      <c r="F1828" s="23" t="n">
        <f aca="false">F1821+F1826+F1827</f>
        <v>82.8645672502375</v>
      </c>
      <c r="G1828" s="23" t="n">
        <f aca="false">G1821+G1826+G1827</f>
        <v>94.1351659615114</v>
      </c>
      <c r="H1828" s="25" t="n">
        <f aca="false">G1828*(1+H1830)</f>
        <v>104.553561638992</v>
      </c>
      <c r="I1828" s="25" t="n">
        <f aca="false">H1828*(1+I1830)</f>
        <v>113.475893533201</v>
      </c>
      <c r="J1828" s="25" t="n">
        <f aca="false">I1828*(1+J1830)</f>
        <v>120.284447145193</v>
      </c>
      <c r="K1828" s="7" t="s">
        <v>734</v>
      </c>
    </row>
    <row r="1829" customFormat="false" ht="17.15" hidden="false" customHeight="false" outlineLevel="0" collapsed="false">
      <c r="A1829" s="3" t="s">
        <v>735</v>
      </c>
      <c r="B1829" s="0" t="s">
        <v>379</v>
      </c>
      <c r="D1829" s="19" t="n">
        <f aca="false">D1821+D1826+D1827-D1828</f>
        <v>0</v>
      </c>
      <c r="E1829" s="19" t="n">
        <f aca="false">E1821+E1826+E1827-E1828</f>
        <v>0</v>
      </c>
      <c r="F1829" s="19" t="n">
        <f aca="false">F1821+F1826+F1827-F1828</f>
        <v>0</v>
      </c>
      <c r="G1829" s="19" t="n">
        <f aca="false">G1821+G1826+G1827-G1828</f>
        <v>0</v>
      </c>
    </row>
    <row r="1830" customFormat="false" ht="15" hidden="false" customHeight="false" outlineLevel="0" collapsed="false">
      <c r="A1830" s="3" t="s">
        <v>736</v>
      </c>
      <c r="B1830" s="0" t="s">
        <v>43</v>
      </c>
      <c r="D1830" s="20" t="n">
        <f aca="false">D1828/C1828-1</f>
        <v>0.383085563263958</v>
      </c>
      <c r="E1830" s="20" t="n">
        <f aca="false">E1828/D1828-1</f>
        <v>0.312850105721919</v>
      </c>
      <c r="F1830" s="20" t="n">
        <f aca="false">F1828/E1828-1</f>
        <v>0.159708664110665</v>
      </c>
      <c r="G1830" s="20" t="n">
        <f aca="false">G1828/F1828-1</f>
        <v>0.136012279859479</v>
      </c>
      <c r="H1830" s="26" t="n">
        <f aca="false">$G1830+(fade_gA-$G1830)*1/3</f>
        <v>0.110674853239652</v>
      </c>
      <c r="I1830" s="26" t="n">
        <f aca="false">$G1830+(fade_gA-$G1830)*2/3</f>
        <v>0.0853374266198262</v>
      </c>
      <c r="J1830" s="26" t="n">
        <f aca="false">$G1830+(fade_gA-$G1830)*3/3</f>
        <v>0.06</v>
      </c>
    </row>
    <row r="1831" customFormat="false" ht="17.15" hidden="false" customHeight="false" outlineLevel="0" collapsed="false">
      <c r="A1831" s="0" t="s">
        <v>737</v>
      </c>
      <c r="B1831" s="0" t="s">
        <v>43</v>
      </c>
      <c r="D1831" s="20" t="n">
        <f aca="false">D1821/D1828</f>
        <v>0.42</v>
      </c>
      <c r="E1831" s="20" t="n">
        <f aca="false">E1821/E1828</f>
        <v>0.463556347634485</v>
      </c>
      <c r="F1831" s="20" t="n">
        <f aca="false">F1821/F1828</f>
        <v>0.498398295058002</v>
      </c>
      <c r="G1831" s="20" t="n">
        <f aca="false">G1821/G1828</f>
        <v>0.53824771475548</v>
      </c>
    </row>
    <row r="1832" customFormat="false" ht="17.15" hidden="false" customHeight="false" outlineLevel="0" collapsed="false">
      <c r="A1832" s="0" t="s">
        <v>738</v>
      </c>
      <c r="B1832" s="0" t="s">
        <v>43</v>
      </c>
      <c r="D1832" s="20" t="n">
        <f aca="false">D1823/D1828</f>
        <v>0.105</v>
      </c>
      <c r="E1832" s="20" t="n">
        <f aca="false">E1823/E1828</f>
        <v>0.211415677719041</v>
      </c>
      <c r="F1832" s="20" t="n">
        <f aca="false">F1823/F1828</f>
        <v>0.261653773672917</v>
      </c>
      <c r="G1832" s="20" t="n">
        <f aca="false">G1823/G1828</f>
        <v>0.305798964478656</v>
      </c>
      <c r="K1832" s="3" t="s">
        <v>739</v>
      </c>
    </row>
    <row r="1833" customFormat="false" ht="17.15" hidden="false" customHeight="false" outlineLevel="0" collapsed="false">
      <c r="A1833" s="5" t="s">
        <v>740</v>
      </c>
    </row>
    <row r="1834" customFormat="false" ht="15" hidden="false" customHeight="false" outlineLevel="0" collapsed="false">
      <c r="A1834" s="3" t="s">
        <v>741</v>
      </c>
      <c r="B1834" s="0" t="s">
        <v>379</v>
      </c>
      <c r="C1834" s="23" t="n">
        <f aca="false">a25_cx</f>
        <v>6.116</v>
      </c>
      <c r="D1834" s="23" t="n">
        <f aca="false">capex26</f>
        <v>11</v>
      </c>
      <c r="E1834" s="23" t="n">
        <f aca="false">cx27</f>
        <v>17</v>
      </c>
      <c r="F1834" s="23" t="n">
        <f aca="false">cx28</f>
        <v>16</v>
      </c>
      <c r="G1834" s="23" t="n">
        <f aca="false">cx29</f>
        <v>12</v>
      </c>
      <c r="H1834" s="25" t="n">
        <f aca="false">H1828*H1853</f>
        <v>13.42693806365</v>
      </c>
      <c r="I1834" s="25" t="n">
        <f aca="false">I1828*I1853</f>
        <v>14.6800329664536</v>
      </c>
      <c r="J1834" s="25" t="n">
        <f aca="false">J1828*J1853</f>
        <v>15.6745459791729</v>
      </c>
    </row>
    <row r="1835" customFormat="false" ht="17.15" hidden="false" customHeight="false" outlineLevel="0" collapsed="false">
      <c r="A1835" s="3" t="s">
        <v>742</v>
      </c>
      <c r="B1835" s="0" t="s">
        <v>379</v>
      </c>
      <c r="C1835" s="23" t="n">
        <f aca="false">a25_da</f>
        <v>7.158</v>
      </c>
      <c r="D1835" s="23" t="n">
        <f aca="false">da26</f>
        <v>8.32</v>
      </c>
      <c r="E1835" s="23" t="n">
        <f aca="false">D1835*(1-1/life)+D1834/life</f>
        <v>8.655</v>
      </c>
      <c r="F1835" s="23" t="n">
        <f aca="false">E1835*(1-1/life)+E1834/life</f>
        <v>9.698125</v>
      </c>
      <c r="G1835" s="23" t="n">
        <f aca="false">F1835*(1-1/life)+F1834/life</f>
        <v>10.485859375</v>
      </c>
      <c r="H1835" s="25" t="n">
        <f aca="false">H1828*H1836</f>
        <v>11.6463803224198</v>
      </c>
      <c r="I1835" s="25" t="n">
        <f aca="false">I1828*I1836</f>
        <v>12.6402524485708</v>
      </c>
      <c r="J1835" s="25" t="n">
        <f aca="false">J1828*J1836</f>
        <v>13.3986675954851</v>
      </c>
      <c r="K1835" s="3" t="s">
        <v>743</v>
      </c>
    </row>
    <row r="1836" customFormat="false" ht="17.15" hidden="false" customHeight="false" outlineLevel="0" collapsed="false">
      <c r="A1836" s="3" t="s">
        <v>744</v>
      </c>
      <c r="B1836" s="0" t="s">
        <v>43</v>
      </c>
      <c r="C1836" s="20" t="n">
        <f aca="false">C1835/C1828</f>
        <v>0.181901349393916</v>
      </c>
      <c r="D1836" s="20" t="n">
        <f aca="false">D1835/D1828</f>
        <v>0.152868676252807</v>
      </c>
      <c r="E1836" s="20" t="n">
        <f aca="false">E1835/E1828</f>
        <v>0.121128714249685</v>
      </c>
      <c r="F1836" s="20" t="n">
        <f aca="false">F1835/F1828</f>
        <v>0.117035849239558</v>
      </c>
      <c r="G1836" s="20" t="n">
        <f aca="false">G1835/G1828</f>
        <v>0.111391521626332</v>
      </c>
      <c r="H1836" s="26" t="n">
        <f aca="false">$G1836</f>
        <v>0.111391521626332</v>
      </c>
      <c r="I1836" s="26" t="n">
        <f aca="false">$G1836</f>
        <v>0.111391521626332</v>
      </c>
      <c r="J1836" s="26" t="n">
        <f aca="false">$G1836</f>
        <v>0.111391521626332</v>
      </c>
    </row>
    <row r="1837" customFormat="false" ht="17.15" hidden="false" customHeight="false" outlineLevel="0" collapsed="false">
      <c r="A1837" s="0" t="s">
        <v>745</v>
      </c>
      <c r="B1837" s="0" t="s">
        <v>379</v>
      </c>
      <c r="E1837" s="21" t="n">
        <f aca="false">E1822*((E1814+E1817)*(1-1/(E1807*E1808))+E1818*(1-1/E1808))</f>
        <v>4.320320004</v>
      </c>
      <c r="F1837" s="21" t="n">
        <f aca="false">F1822*((F1814+F1817)*(1-1/(F1807*F1808))+F1818*(1-1/F1808))</f>
        <v>4.39459572238805</v>
      </c>
      <c r="G1837" s="21" t="n">
        <f aca="false">G1822*((G1814+G1817)*(1-1/(G1807*G1808))+G1818*(1-1/G1808))</f>
        <v>3.827576325582</v>
      </c>
      <c r="K1837" s="7" t="s">
        <v>746</v>
      </c>
    </row>
    <row r="1838" customFormat="false" ht="17.15" hidden="false" customHeight="false" outlineLevel="0" collapsed="false">
      <c r="A1838" s="3" t="s">
        <v>747</v>
      </c>
      <c r="B1838" s="0" t="s">
        <v>379</v>
      </c>
      <c r="C1838" s="21" t="n">
        <f aca="false">a25_gp</f>
        <v>8.314</v>
      </c>
      <c r="D1838" s="21" t="n">
        <f aca="false">a26_gp</f>
        <v>15.328536</v>
      </c>
      <c r="E1838" s="21" t="n">
        <f aca="false">$D1838+ft_abf*(E1821-E1837-$D1821)+ft_bt*(E1826-$D1826)+ft_lens*(E1827-$D1827)+E1837-(E1835-$D1835)</f>
        <v>25.329079648</v>
      </c>
      <c r="F1838" s="21" t="n">
        <f aca="false">$D1838+ft_abf*(F1821-F1837-$D1821)+ft_bt*(F1826-$D1826)+ft_lens*(F1827-$D1827)+F1837-(F1835-$D1835)</f>
        <v>29.8671902757128</v>
      </c>
      <c r="G1838" s="21" t="n">
        <f aca="false">$D1838+ft_abf*(G1821-G1837-$D1821)+ft_bt*(G1826-$D1826)+ft_lens*(G1827-$D1827)+G1837-(G1835-$D1835)</f>
        <v>34.3361395683167</v>
      </c>
      <c r="K1838" s="3" t="s">
        <v>748</v>
      </c>
    </row>
    <row r="1839" customFormat="false" ht="15" hidden="false" customHeight="false" outlineLevel="0" collapsed="false">
      <c r="A1839" s="3" t="s">
        <v>581</v>
      </c>
      <c r="B1839" s="0" t="s">
        <v>43</v>
      </c>
      <c r="C1839" s="16" t="n">
        <f aca="false">C1838/C1828</f>
        <v>0.211277985311682</v>
      </c>
      <c r="D1839" s="16" t="n">
        <f aca="false">D1838/D1828</f>
        <v>0.281640986443929</v>
      </c>
      <c r="E1839" s="16" t="n">
        <f aca="false">E1838/E1828</f>
        <v>0.354486291264021</v>
      </c>
      <c r="F1839" s="16" t="n">
        <f aca="false">F1838/F1828</f>
        <v>0.360433792956629</v>
      </c>
      <c r="G1839" s="16" t="n">
        <f aca="false">G1838/G1828</f>
        <v>0.364753588285546</v>
      </c>
    </row>
    <row r="1840" customFormat="false" ht="15" hidden="false" customHeight="false" outlineLevel="0" collapsed="false">
      <c r="A1840" s="3" t="s">
        <v>583</v>
      </c>
      <c r="B1840" s="0" t="s">
        <v>379</v>
      </c>
      <c r="C1840" s="21" t="n">
        <f aca="false">a25_opx</f>
        <v>5.644</v>
      </c>
      <c r="D1840" s="21" t="n">
        <f aca="false">a26_opx</f>
        <v>6.54036</v>
      </c>
      <c r="E1840" s="21" t="n">
        <f aca="false">D1840*(1+phi*E1830)</f>
        <v>7.76805139047565</v>
      </c>
      <c r="F1840" s="21" t="n">
        <f aca="false">E1840*(1+phi*F1830)</f>
        <v>8.51242645666516</v>
      </c>
      <c r="G1840" s="21" t="n">
        <f aca="false">F1840*(1+phi*G1830)</f>
        <v>9.20710317436947</v>
      </c>
    </row>
    <row r="1841" customFormat="false" ht="15" hidden="false" customHeight="false" outlineLevel="0" collapsed="false">
      <c r="A1841" s="3" t="s">
        <v>586</v>
      </c>
      <c r="B1841" s="0" t="s">
        <v>379</v>
      </c>
      <c r="C1841" s="21" t="n">
        <f aca="false">C1838-C1840</f>
        <v>2.67</v>
      </c>
      <c r="D1841" s="21" t="n">
        <f aca="false">D1838-D1840</f>
        <v>8.788176</v>
      </c>
      <c r="E1841" s="21" t="n">
        <f aca="false">E1838-E1840</f>
        <v>17.5610282575244</v>
      </c>
      <c r="F1841" s="21" t="n">
        <f aca="false">F1838-F1840</f>
        <v>21.3547638190476</v>
      </c>
      <c r="G1841" s="21" t="n">
        <f aca="false">G1838-G1840</f>
        <v>25.1290363939472</v>
      </c>
    </row>
    <row r="1842" customFormat="false" ht="15" hidden="false" customHeight="false" outlineLevel="0" collapsed="false">
      <c r="A1842" s="3" t="s">
        <v>684</v>
      </c>
      <c r="B1842" s="0" t="s">
        <v>43</v>
      </c>
      <c r="C1842" s="16" t="n">
        <f aca="false">C1841/C1828</f>
        <v>0.0678508805367081</v>
      </c>
      <c r="D1842" s="16" t="n">
        <f aca="false">D1841/D1828</f>
        <v>0.161470773052486</v>
      </c>
      <c r="E1842" s="16" t="n">
        <f aca="false">E1841/E1828</f>
        <v>0.245770626659308</v>
      </c>
      <c r="F1842" s="16" t="n">
        <f aca="false">F1841/F1828</f>
        <v>0.257706816407545</v>
      </c>
      <c r="G1842" s="16" t="n">
        <f aca="false">G1841/G1828</f>
        <v>0.266946322740023</v>
      </c>
    </row>
    <row r="1843" customFormat="false" ht="15" hidden="false" customHeight="false" outlineLevel="0" collapsed="false">
      <c r="A1843" s="3" t="s">
        <v>589</v>
      </c>
      <c r="B1843" s="0" t="s">
        <v>379</v>
      </c>
      <c r="C1843" s="21" t="n">
        <f aca="false">a25_nonop</f>
        <v>0.417</v>
      </c>
      <c r="D1843" s="21" t="n">
        <f aca="false">a26_nonop</f>
        <v>0.37882</v>
      </c>
      <c r="E1843" s="21" t="n">
        <f aca="false">nonop27</f>
        <v>0.4</v>
      </c>
      <c r="F1843" s="21" t="n">
        <f aca="false">nonop28</f>
        <v>0.4</v>
      </c>
      <c r="G1843" s="21" t="n">
        <f aca="false">nonop29</f>
        <v>0.4</v>
      </c>
    </row>
    <row r="1844" customFormat="false" ht="15" hidden="false" customHeight="false" outlineLevel="0" collapsed="false">
      <c r="A1844" s="3" t="s">
        <v>591</v>
      </c>
      <c r="B1844" s="0" t="s">
        <v>379</v>
      </c>
      <c r="C1844" s="21" t="n">
        <f aca="false">C1841+C1843</f>
        <v>3.087</v>
      </c>
      <c r="D1844" s="21" t="n">
        <f aca="false">D1841+D1843</f>
        <v>9.166996</v>
      </c>
      <c r="E1844" s="21" t="n">
        <f aca="false">E1841+E1843</f>
        <v>17.9610282575244</v>
      </c>
      <c r="F1844" s="21" t="n">
        <f aca="false">F1841+F1843</f>
        <v>21.7547638190476</v>
      </c>
      <c r="G1844" s="21" t="n">
        <f aca="false">G1841+G1843</f>
        <v>25.5290363939472</v>
      </c>
    </row>
    <row r="1845" customFormat="false" ht="15" hidden="false" customHeight="false" outlineLevel="0" collapsed="false">
      <c r="A1845" s="3" t="s">
        <v>592</v>
      </c>
      <c r="B1845" s="0" t="s">
        <v>379</v>
      </c>
      <c r="E1845" s="21" t="n">
        <f aca="false">E1844*tax</f>
        <v>2.15532339090292</v>
      </c>
      <c r="F1845" s="21" t="n">
        <f aca="false">F1844*tax</f>
        <v>2.61057165828571</v>
      </c>
      <c r="G1845" s="21" t="n">
        <f aca="false">G1844*tax</f>
        <v>3.06348436727367</v>
      </c>
    </row>
    <row r="1846" customFormat="false" ht="15" hidden="false" customHeight="false" outlineLevel="0" collapsed="false">
      <c r="A1846" s="3" t="s">
        <v>593</v>
      </c>
      <c r="B1846" s="0" t="s">
        <v>379</v>
      </c>
      <c r="C1846" s="21" t="n">
        <f aca="false">a25_nic</f>
        <v>2.71712</v>
      </c>
      <c r="D1846" s="21" t="n">
        <f aca="false">a26_nic</f>
        <v>8.39979776</v>
      </c>
      <c r="E1846" s="21" t="n">
        <f aca="false">E1844-E1845</f>
        <v>15.8057048666214</v>
      </c>
      <c r="F1846" s="21" t="n">
        <f aca="false">F1844-F1845</f>
        <v>19.1441921607619</v>
      </c>
      <c r="G1846" s="21" t="n">
        <f aca="false">G1844-G1845</f>
        <v>22.4655520266736</v>
      </c>
    </row>
    <row r="1847" customFormat="false" ht="17.15" hidden="false" customHeight="false" outlineLevel="0" collapsed="false">
      <c r="A1847" s="3" t="s">
        <v>749</v>
      </c>
      <c r="B1847" s="0" t="s">
        <v>379</v>
      </c>
      <c r="C1847" s="21" t="n">
        <f aca="false">a25_nci</f>
        <v>1.12112</v>
      </c>
      <c r="D1847" s="21" t="n">
        <f aca="false">a26_nci</f>
        <v>1.43839238487797</v>
      </c>
      <c r="E1847" s="21" t="n">
        <f aca="false">E1827*nm_lens*nci_sh</f>
        <v>1.47078885615771</v>
      </c>
      <c r="F1847" s="21" t="n">
        <f aca="false">F1827*nm_lens*nci_sh</f>
        <v>1.51491252184244</v>
      </c>
      <c r="G1847" s="21" t="n">
        <f aca="false">G1827*nm_lens*nci_sh</f>
        <v>1.56035989749772</v>
      </c>
      <c r="K1847" s="3" t="s">
        <v>750</v>
      </c>
    </row>
    <row r="1848" customFormat="false" ht="15" hidden="false" customHeight="false" outlineLevel="0" collapsed="false">
      <c r="A1848" s="3" t="s">
        <v>599</v>
      </c>
      <c r="B1848" s="0" t="s">
        <v>379</v>
      </c>
      <c r="C1848" s="21" t="n">
        <f aca="false">a25_ni</f>
        <v>1.596</v>
      </c>
      <c r="D1848" s="21" t="n">
        <f aca="false">a26_ni</f>
        <v>6.96140537512203</v>
      </c>
      <c r="E1848" s="21" t="n">
        <f aca="false">E1846-E1847</f>
        <v>14.3349160104637</v>
      </c>
      <c r="F1848" s="21" t="n">
        <f aca="false">F1846-F1847</f>
        <v>17.6292796389195</v>
      </c>
      <c r="G1848" s="21" t="n">
        <f aca="false">G1846-G1847</f>
        <v>20.9051921291758</v>
      </c>
      <c r="H1848" s="30" t="n">
        <f aca="false">H1828*H1852</f>
        <v>23.1805418724952</v>
      </c>
      <c r="I1848" s="30" t="n">
        <f aca="false">I1828*I1852</f>
        <v>25.1171094098483</v>
      </c>
      <c r="J1848" s="30" t="n">
        <f aca="false">J1828*J1852</f>
        <v>26.5800397055184</v>
      </c>
    </row>
    <row r="1849" customFormat="false" ht="15" hidden="false" customHeight="false" outlineLevel="0" collapsed="false">
      <c r="A1849" s="3" t="s">
        <v>751</v>
      </c>
      <c r="B1849" s="3" t="s">
        <v>465</v>
      </c>
      <c r="C1849" s="29" t="n">
        <f aca="false">a25_sh</f>
        <v>0.454700854700855</v>
      </c>
      <c r="D1849" s="29" t="n">
        <f aca="false">a26_sh</f>
        <v>0.508341020486215</v>
      </c>
      <c r="E1849" s="29" t="n">
        <f aca="false">a26_shend*(1+sh_g)</f>
        <v>0.52691</v>
      </c>
      <c r="F1849" s="29" t="n">
        <f aca="false">E1849*(1+sh_g)</f>
        <v>0.52691</v>
      </c>
      <c r="G1849" s="29" t="n">
        <f aca="false">F1849*(1+sh_g)</f>
        <v>0.52691</v>
      </c>
      <c r="H1849" s="31" t="n">
        <f aca="false">G1849*(1+sh_g)</f>
        <v>0.52691</v>
      </c>
      <c r="I1849" s="31" t="n">
        <f aca="false">H1849*(1+sh_g)</f>
        <v>0.52691</v>
      </c>
      <c r="J1849" s="31" t="n">
        <f aca="false">I1849*(1+sh_g)</f>
        <v>0.52691</v>
      </c>
    </row>
    <row r="1850" customFormat="false" ht="17.15" hidden="false" customHeight="false" outlineLevel="0" collapsed="false">
      <c r="A1850" s="0" t="s">
        <v>604</v>
      </c>
      <c r="B1850" s="0" t="s">
        <v>471</v>
      </c>
      <c r="C1850" s="18" t="n">
        <f aca="false">C1848/C1849</f>
        <v>3.51</v>
      </c>
      <c r="D1850" s="18" t="n">
        <f aca="false">D1848/D1849</f>
        <v>13.6943608612652</v>
      </c>
      <c r="E1850" s="18" t="n">
        <f aca="false">E1848/E1849</f>
        <v>27.2056252689524</v>
      </c>
      <c r="F1850" s="18" t="n">
        <f aca="false">F1848/F1849</f>
        <v>33.4578573929503</v>
      </c>
      <c r="G1850" s="18" t="n">
        <f aca="false">G1848/G1849</f>
        <v>39.6750718892711</v>
      </c>
      <c r="H1850" s="28" t="n">
        <f aca="false">H1848/H1849</f>
        <v>43.993361053112</v>
      </c>
      <c r="I1850" s="28" t="n">
        <f aca="false">I1848/I1849</f>
        <v>47.6686899277833</v>
      </c>
      <c r="J1850" s="28" t="n">
        <f aca="false">J1848/J1849</f>
        <v>50.4451228967346</v>
      </c>
    </row>
    <row r="1851" customFormat="false" ht="17.15" hidden="false" customHeight="false" outlineLevel="0" collapsed="false">
      <c r="A1851" s="0" t="s">
        <v>752</v>
      </c>
      <c r="B1851" s="0" t="s">
        <v>43</v>
      </c>
      <c r="D1851" s="20" t="n">
        <f aca="false">D1850/C1850-1</f>
        <v>2.90152731090177</v>
      </c>
      <c r="E1851" s="20" t="n">
        <f aca="false">E1850/D1850-1</f>
        <v>0.986629791968177</v>
      </c>
      <c r="F1851" s="20" t="n">
        <f aca="false">F1850/E1850-1</f>
        <v>0.229813947012388</v>
      </c>
      <c r="G1851" s="20" t="n">
        <f aca="false">G1850/F1850-1</f>
        <v>0.185822254644159</v>
      </c>
      <c r="H1851" s="26" t="n">
        <f aca="false">H1850/G1850-1</f>
        <v>0.108841369610943</v>
      </c>
      <c r="I1851" s="26" t="n">
        <f aca="false">I1850/H1850-1</f>
        <v>0.0835428070665973</v>
      </c>
      <c r="J1851" s="26" t="n">
        <f aca="false">J1850/I1850-1</f>
        <v>0.0582443732596292</v>
      </c>
    </row>
    <row r="1852" customFormat="false" ht="17.15" hidden="false" customHeight="false" outlineLevel="0" collapsed="false">
      <c r="A1852" s="3" t="s">
        <v>753</v>
      </c>
      <c r="B1852" s="0" t="s">
        <v>43</v>
      </c>
      <c r="C1852" s="16" t="n">
        <f aca="false">C1848/C1828</f>
        <v>0.0405580544331783</v>
      </c>
      <c r="D1852" s="16" t="n">
        <f aca="false">D1848/D1828</f>
        <v>0.127906349105057</v>
      </c>
      <c r="E1852" s="16" t="n">
        <f aca="false">E1848/E1828</f>
        <v>0.200620444277838</v>
      </c>
      <c r="F1852" s="16" t="n">
        <f aca="false">F1848/F1828</f>
        <v>0.212748104816404</v>
      </c>
      <c r="G1852" s="16" t="n">
        <f aca="false">G1848/G1828</f>
        <v>0.222076329452941</v>
      </c>
      <c r="H1852" s="27" t="n">
        <f aca="false">$G1852+(fade_mA-$G1852)*1/3</f>
        <v>0.221709729531111</v>
      </c>
      <c r="I1852" s="27" t="n">
        <f aca="false">$G1852+(fade_mA-$G1852)*2/3</f>
        <v>0.221343129609281</v>
      </c>
      <c r="J1852" s="27" t="n">
        <f aca="false">$G1852+(fade_mA-$G1852)*3/3</f>
        <v>0.220976529687452</v>
      </c>
    </row>
    <row r="1853" customFormat="false" ht="17.15" hidden="false" customHeight="false" outlineLevel="0" collapsed="false">
      <c r="A1853" s="3" t="s">
        <v>754</v>
      </c>
      <c r="B1853" s="0" t="s">
        <v>43</v>
      </c>
      <c r="C1853" s="20" t="n">
        <f aca="false">C1834/C1828</f>
        <v>0.155421717364235</v>
      </c>
      <c r="D1853" s="20" t="n">
        <f aca="false">D1834/D1828</f>
        <v>0.202110028699624</v>
      </c>
      <c r="E1853" s="20" t="n">
        <f aca="false">E1834/E1828</f>
        <v>0.237918907249525</v>
      </c>
      <c r="F1853" s="20" t="n">
        <f aca="false">F1834/F1828</f>
        <v>0.193086146841057</v>
      </c>
      <c r="G1853" s="20" t="n">
        <f aca="false">G1834/G1828</f>
        <v>0.127476271778247</v>
      </c>
      <c r="H1853" s="26" t="n">
        <f aca="false">$G1853+($G1836*(1+tp_g)^(life/2)-$G1853)*1/3</f>
        <v>0.128421622880828</v>
      </c>
      <c r="I1853" s="26" t="n">
        <f aca="false">$G1853+($G1836*(1+tp_g)^(life/2)-$G1853)*2/3</f>
        <v>0.129366973983408</v>
      </c>
      <c r="J1853" s="26" t="n">
        <f aca="false">$G1853+($G1836*(1+tp_g)^(life/2)-$G1853)*3/3</f>
        <v>0.130312325085989</v>
      </c>
      <c r="K1853" s="7" t="s">
        <v>755</v>
      </c>
    </row>
    <row r="1854" customFormat="false" ht="15" hidden="false" customHeight="false" outlineLevel="0" collapsed="false">
      <c r="A1854" s="3" t="s">
        <v>756</v>
      </c>
      <c r="B1854" s="0" t="s">
        <v>379</v>
      </c>
      <c r="D1854" s="21" t="n">
        <f aca="false">D1848+D1835-D1834</f>
        <v>4.28140537512203</v>
      </c>
      <c r="E1854" s="21" t="n">
        <f aca="false">E1848+E1835-E1834</f>
        <v>5.98991601046372</v>
      </c>
      <c r="F1854" s="21" t="n">
        <f aca="false">F1848+F1835-F1834</f>
        <v>11.3274046389195</v>
      </c>
      <c r="G1854" s="21" t="n">
        <f aca="false">G1848+G1835-G1834</f>
        <v>19.3910515041758</v>
      </c>
      <c r="H1854" s="30" t="n">
        <f aca="false">H1848+H1835-H1834</f>
        <v>21.399984131265</v>
      </c>
      <c r="I1854" s="30" t="n">
        <f aca="false">I1848+I1835-I1834</f>
        <v>23.0773288919655</v>
      </c>
      <c r="J1854" s="30" t="n">
        <f aca="false">J1848+J1835-J1834</f>
        <v>24.3041613218307</v>
      </c>
      <c r="K1854" s="3" t="s">
        <v>757</v>
      </c>
    </row>
    <row r="1855" customFormat="false" ht="15" hidden="false" customHeight="false" outlineLevel="0" collapsed="false">
      <c r="A1855" s="3" t="s">
        <v>758</v>
      </c>
      <c r="B1855" s="0" t="s">
        <v>471</v>
      </c>
      <c r="D1855" s="18" t="n">
        <f aca="false">D1854/D1849</f>
        <v>8.42230943909854</v>
      </c>
      <c r="E1855" s="18" t="n">
        <f aca="false">E1854/E1849</f>
        <v>11.3680059411735</v>
      </c>
      <c r="F1855" s="18" t="n">
        <f aca="false">F1854/F1849</f>
        <v>21.4977978002305</v>
      </c>
      <c r="G1855" s="18" t="n">
        <f aca="false">G1854/G1849</f>
        <v>36.8014490219883</v>
      </c>
      <c r="H1855" s="28" t="n">
        <f aca="false">H1854/H1849</f>
        <v>40.6141165118616</v>
      </c>
      <c r="I1855" s="28" t="n">
        <f aca="false">I1854/I1849</f>
        <v>43.7974775425889</v>
      </c>
      <c r="J1855" s="28" t="n">
        <f aca="false">J1854/J1849</f>
        <v>46.1258304489015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1123</v>
      </c>
    </row>
    <row r="2" customFormat="false" ht="17.15" hidden="false" customHeight="false" outlineLevel="0" collapsed="false">
      <c r="A2" s="3" t="s">
        <v>1124</v>
      </c>
      <c r="B2" s="0" t="s">
        <v>1125</v>
      </c>
    </row>
    <row r="3" customFormat="false" ht="17.15" hidden="false" customHeight="false" outlineLevel="0" collapsed="false">
      <c r="A3" s="3" t="s">
        <v>1126</v>
      </c>
      <c r="B3" s="0" t="s">
        <v>1127</v>
      </c>
    </row>
    <row r="4" customFormat="false" ht="17.15" hidden="false" customHeight="false" outlineLevel="0" collapsed="false">
      <c r="A4" s="3" t="s">
        <v>1128</v>
      </c>
      <c r="B4" s="0" t="s">
        <v>1129</v>
      </c>
    </row>
    <row r="5" customFormat="false" ht="17.15" hidden="false" customHeight="false" outlineLevel="0" collapsed="false">
      <c r="A5" s="3" t="s">
        <v>1130</v>
      </c>
      <c r="B5" s="0" t="s">
        <v>1131</v>
      </c>
    </row>
    <row r="6" customFormat="false" ht="17.15" hidden="false" customHeight="false" outlineLevel="0" collapsed="false">
      <c r="A6" s="3" t="s">
        <v>1132</v>
      </c>
      <c r="B6" s="0" t="s">
        <v>1133</v>
      </c>
    </row>
    <row r="7" customFormat="false" ht="17.15" hidden="false" customHeight="false" outlineLevel="0" collapsed="false">
      <c r="A7" s="3" t="s">
        <v>1134</v>
      </c>
      <c r="B7" s="0" t="s">
        <v>1135</v>
      </c>
    </row>
    <row r="8" customFormat="false" ht="17.15" hidden="false" customHeight="false" outlineLevel="0" collapsed="false">
      <c r="A8" s="3" t="s">
        <v>1136</v>
      </c>
      <c r="B8" s="0" t="s">
        <v>1137</v>
      </c>
    </row>
    <row r="9" customFormat="false" ht="17.15" hidden="false" customHeight="false" outlineLevel="0" collapsed="false">
      <c r="A9" s="3" t="s">
        <v>1138</v>
      </c>
      <c r="B9" s="0" t="s">
        <v>1139</v>
      </c>
    </row>
    <row r="10" customFormat="false" ht="17.15" hidden="false" customHeight="false" outlineLevel="0" collapsed="false">
      <c r="A10" s="3" t="s">
        <v>1140</v>
      </c>
      <c r="B10" s="0" t="s">
        <v>1141</v>
      </c>
    </row>
    <row r="11" customFormat="false" ht="17.15" hidden="false" customHeight="false" outlineLevel="0" collapsed="false">
      <c r="A11" s="3" t="s">
        <v>1142</v>
      </c>
      <c r="B11" s="0" t="s">
        <v>1143</v>
      </c>
    </row>
    <row r="12" customFormat="false" ht="17.15" hidden="false" customHeight="false" outlineLevel="0" collapsed="false">
      <c r="A12" s="3" t="s">
        <v>1144</v>
      </c>
      <c r="B12" s="0" t="s">
        <v>1145</v>
      </c>
    </row>
    <row r="13" customFormat="false" ht="17.15" hidden="false" customHeight="false" outlineLevel="0" collapsed="false">
      <c r="A13" s="3" t="s">
        <v>1146</v>
      </c>
      <c r="B13" s="0" t="s">
        <v>1147</v>
      </c>
    </row>
    <row r="14" customFormat="false" ht="17.15" hidden="false" customHeight="false" outlineLevel="0" collapsed="false">
      <c r="A14" s="3" t="s">
        <v>1148</v>
      </c>
      <c r="B14" s="0" t="s">
        <v>1149</v>
      </c>
    </row>
    <row r="15" customFormat="false" ht="17.15" hidden="false" customHeight="false" outlineLevel="0" collapsed="false">
      <c r="A15" s="3" t="s">
        <v>1150</v>
      </c>
      <c r="B15" s="0" t="s">
        <v>1151</v>
      </c>
    </row>
    <row r="16" customFormat="false" ht="17.15" hidden="false" customHeight="false" outlineLevel="0" collapsed="false">
      <c r="A16" s="3" t="s">
        <v>1152</v>
      </c>
      <c r="B16" s="0" t="s">
        <v>1153</v>
      </c>
    </row>
    <row r="17" customFormat="false" ht="17.15" hidden="false" customHeight="false" outlineLevel="0" collapsed="false">
      <c r="A17" s="3" t="s">
        <v>1154</v>
      </c>
      <c r="B17" s="0" t="s">
        <v>1155</v>
      </c>
    </row>
    <row r="18" customFormat="false" ht="17.15" hidden="false" customHeight="false" outlineLevel="0" collapsed="false">
      <c r="A18" s="3" t="s">
        <v>1156</v>
      </c>
      <c r="B18" s="0" t="s">
        <v>1157</v>
      </c>
    </row>
    <row r="19" customFormat="false" ht="17.15" hidden="false" customHeight="false" outlineLevel="0" collapsed="false">
      <c r="A19" s="3" t="s">
        <v>1158</v>
      </c>
      <c r="B19" s="0" t="s">
        <v>1159</v>
      </c>
    </row>
    <row r="20" customFormat="false" ht="17.15" hidden="false" customHeight="false" outlineLevel="0" collapsed="false">
      <c r="A20" s="3" t="s">
        <v>1160</v>
      </c>
      <c r="B20" s="0" t="s">
        <v>1161</v>
      </c>
    </row>
    <row r="21" customFormat="false" ht="17.15" hidden="false" customHeight="false" outlineLevel="0" collapsed="false">
      <c r="A21" s="3" t="s">
        <v>1162</v>
      </c>
      <c r="B21" s="0" t="s">
        <v>1163</v>
      </c>
    </row>
    <row r="22" customFormat="false" ht="17.15" hidden="false" customHeight="false" outlineLevel="0" collapsed="false">
      <c r="A22" s="3" t="s">
        <v>1164</v>
      </c>
      <c r="B22" s="0" t="s">
        <v>1165</v>
      </c>
    </row>
    <row r="23" customFormat="false" ht="17.15" hidden="false" customHeight="false" outlineLevel="0" collapsed="false">
      <c r="A23" s="3" t="s">
        <v>1166</v>
      </c>
      <c r="B23" s="0" t="s">
        <v>1167</v>
      </c>
    </row>
    <row r="24" customFormat="false" ht="17.15" hidden="false" customHeight="false" outlineLevel="0" collapsed="false">
      <c r="A24" s="3" t="s">
        <v>1168</v>
      </c>
      <c r="B24" s="0" t="s">
        <v>271</v>
      </c>
    </row>
    <row r="25" customFormat="false" ht="17.15" hidden="false" customHeight="false" outlineLevel="0" collapsed="false">
      <c r="A25" s="3" t="s">
        <v>1169</v>
      </c>
      <c r="B25" s="0" t="s">
        <v>1170</v>
      </c>
    </row>
    <row r="26" customFormat="false" ht="17.15" hidden="false" customHeight="false" outlineLevel="0" collapsed="false">
      <c r="A26" s="3" t="s">
        <v>1171</v>
      </c>
      <c r="B26" s="3" t="s">
        <v>1172</v>
      </c>
    </row>
    <row r="27" customFormat="false" ht="15" hidden="false" customHeight="false" outlineLevel="0" collapsed="false">
      <c r="A27" s="0" t="s">
        <v>1173</v>
      </c>
      <c r="B27" s="3" t="s">
        <v>1174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2026-10-28T08:15:57Z</dcterms:created>
  <dc:creator>openpyxl</dc:creator>
  <dc:description/>
  <dc:language>en-US</dc:language>
  <cp:lastModifiedBy/>
  <dcterms:modified xsi:type="dcterms:W3CDTF">2026-10-28T08:15:59Z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