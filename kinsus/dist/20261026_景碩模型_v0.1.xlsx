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cx" vbProcedure="false">Q!$B$18</definedName>
    <definedName function="false" hidden="false" name="a25_da" vbProcedure="false">Q!$B$17</definedName>
    <definedName function="false" hidden="false" name="a25_eps" vbProcedure="false">Q!$B$16</definedName>
    <definedName function="false" hidden="false" name="a25_gp" vbProcedure="false">Q!$B$5</definedName>
    <definedName function="false" hidden="false" name="a25_lens" vbProcedure="false">Q!$B$19</definedName>
    <definedName function="false" hidden="false" name="a25_nci" vbProcedure="false">Q!$B$13</definedName>
    <definedName function="false" hidden="false" name="a25_ni" vbProcedure="false">Q!$B$14</definedName>
    <definedName function="false" hidden="false" name="a25_nic" vbProcedure="false">Q!$B$12</definedName>
    <definedName function="false" hidden="false" name="a25_nonop" vbProcedure="false">Q!$B$9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rev" vbProcedure="false">Q!$B$4</definedName>
    <definedName function="false" hidden="false" name="a25_sh" vbProcedure="false">Q!$B$15</definedName>
    <definedName function="false" hidden="false" name="a26_abf" vbProcedure="false">Q!$G$22</definedName>
    <definedName function="false" hidden="false" name="a26_bt" vbProcedure="false">Q!$G$23</definedName>
    <definedName function="false" hidden="false" name="a26_cx" vbProcedure="false">Q!$G$18</definedName>
    <definedName function="false" hidden="false" name="a26_da" vbProcedure="false">Q!$G$17</definedName>
    <definedName function="false" hidden="false" name="a26_eps" vbProcedure="false">Q!$G$16</definedName>
    <definedName function="false" hidden="false" name="a26_gp" vbProcedure="false">Q!$G$5</definedName>
    <definedName function="false" hidden="false" name="a26_lens" vbProcedure="false">Q!$G$19</definedName>
    <definedName function="false" hidden="false" name="a26_nci" vbProcedure="false">Q!$G$13</definedName>
    <definedName function="false" hidden="false" name="a26_ni" vbProcedure="false">Q!$G$14</definedName>
    <definedName function="false" hidden="false" name="a26_nic" vbProcedure="false">Q!$G$12</definedName>
    <definedName function="false" hidden="false" name="a26_nonop" vbProcedure="false">Q!$G$9</definedName>
    <definedName function="false" hidden="false" name="a26_oi" vbProcedure="false">Q!$G$8</definedName>
    <definedName function="false" hidden="false" name="a26_opx" vbProcedure="false">Q!$G$7</definedName>
    <definedName function="false" hidden="false" name="a26_rev" vbProcedure="false">Q!$G$4</definedName>
    <definedName function="false" hidden="false" name="a26_sh" vbProcedure="false">Q!$G$15</definedName>
    <definedName function="false" hidden="false" name="a26_shend" vbProcedure="false">Q!$F$15</definedName>
    <definedName function="false" hidden="false" name="ai_abf" vbProcedure="false">In!$E$95</definedName>
    <definedName function="false" hidden="false" name="ai_abf_hi" vbProcedure="false">In!$F$95</definedName>
    <definedName function="false" hidden="false" name="ai_abf_lo" vbProcedure="false">In!$D$95</definedName>
    <definedName function="false" hidden="false" name="bk_eps27" vbProcedure="false">In!$E$152</definedName>
    <definedName function="false" hidden="false" name="bk_eps27_hi" vbProcedure="false">In!$F$152</definedName>
    <definedName function="false" hidden="false" name="bk_eps27_lo" vbProcedure="false">In!$D$152</definedName>
    <definedName function="false" hidden="false" name="bk_eps28" vbProcedure="false">In!$E$153</definedName>
    <definedName function="false" hidden="false" name="bk_eps28_hi" vbProcedure="false">In!$F$153</definedName>
    <definedName function="false" hidden="false" name="bk_eps28_lo" vbProcedure="false">In!$D$153</definedName>
    <definedName function="false" hidden="false" name="capex26" vbProcedure="false">In!$E$121</definedName>
    <definedName function="false" hidden="false" name="capex26_hi" vbProcedure="false">In!$F$121</definedName>
    <definedName function="false" hidden="false" name="capex26_lo" vbProcedure="false">In!$D$121</definedName>
    <definedName function="false" hidden="false" name="cap_27" vbProcedure="false">In!$E$99</definedName>
    <definedName function="false" hidden="false" name="cap_27_hi" vbProcedure="false">In!$F$99</definedName>
    <definedName function="false" hidden="false" name="cap_27_lo" vbProcedure="false">In!$D$99</definedName>
    <definedName function="false" hidden="false" name="cap_28" vbProcedure="false">In!$E$100</definedName>
    <definedName function="false" hidden="false" name="cap_28_hi" vbProcedure="false">In!$F$100</definedName>
    <definedName function="false" hidden="false" name="cap_28_lo" vbProcedure="false">In!$D$100</definedName>
    <definedName function="false" hidden="false" name="cap_29" vbProcedure="false">In!$E$101</definedName>
    <definedName function="false" hidden="false" name="cap_29_hi" vbProcedure="false">In!$F$101</definedName>
    <definedName function="false" hidden="false" name="cap_29_lo" vbProcedure="false">In!$D$101</definedName>
    <definedName function="false" hidden="false" name="carry" vbProcedure="false">In!$E$103</definedName>
    <definedName function="false" hidden="false" name="carry_hi" vbProcedure="false">In!$F$103</definedName>
    <definedName function="false" hidden="false" name="carry_lo" vbProcedure="false">In!$D$103</definedName>
    <definedName function="false" hidden="false" name="cons_eps26" vbProcedure="false">In!$E$145</definedName>
    <definedName function="false" hidden="false" name="cons_eps27" vbProcedure="false">In!$E$146</definedName>
    <definedName function="false" hidden="false" name="cons_feps" vbProcedure="false">In!$E$158</definedName>
    <definedName function="false" hidden="false" name="cons_tp" vbProcedure="false">In!$E$159</definedName>
    <definedName function="false" hidden="false" name="cpu_r" vbProcedure="false">In!$E$87</definedName>
    <definedName function="false" hidden="false" name="cpu_r_hi" vbProcedure="false">In!$F$87</definedName>
    <definedName function="false" hidden="false" name="cpu_r_lo" vbProcedure="false">In!$D$87</definedName>
    <definedName function="false" hidden="false" name="cx27" vbProcedure="false">In!$E$118</definedName>
    <definedName function="false" hidden="false" name="cx27_hi" vbProcedure="false">In!$F$118</definedName>
    <definedName function="false" hidden="false" name="cx27_lo" vbProcedure="false">In!$D$118</definedName>
    <definedName function="false" hidden="false" name="cx28" vbProcedure="false">In!$E$119</definedName>
    <definedName function="false" hidden="false" name="cx28_hi" vbProcedure="false">In!$F$119</definedName>
    <definedName function="false" hidden="false" name="cx28_lo" vbProcedure="false">In!$D$119</definedName>
    <definedName function="false" hidden="false" name="cx29" vbProcedure="false">In!$E$120</definedName>
    <definedName function="false" hidden="false" name="cx29_hi" vbProcedure="false">In!$F$120</definedName>
    <definedName function="false" hidden="false" name="cx29_lo" vbProcedure="false">In!$D$120</definedName>
    <definedName function="false" hidden="false" name="da26" vbProcedure="false">In!$E$122</definedName>
    <definedName function="false" hidden="false" name="el_o" vbProcedure="false">In!$E$97</definedName>
    <definedName function="false" hidden="false" name="el_o_hi" vbProcedure="false">In!$F$97</definedName>
    <definedName function="false" hidden="false" name="el_o_lo" vbProcedure="false">In!$D$97</definedName>
    <definedName function="false" hidden="false" name="fade_gA" vbProcedure="false">In!$E$170</definedName>
    <definedName function="false" hidden="false" name="fade_gB" vbProcedure="false">In!$E$171</definedName>
    <definedName function="false" hidden="false" name="fade_gC" vbProcedure="false">In!$E$172</definedName>
    <definedName function="false" hidden="false" name="fade_mA" vbProcedure="false">In!$E$173</definedName>
    <definedName function="false" hidden="false" name="fade_mB" vbProcedure="false">In!$E$174</definedName>
    <definedName function="false" hidden="false" name="fade_mC" vbProcedure="false">In!$E$175</definedName>
    <definedName function="false" hidden="false" name="fpe" vbProcedure="false">In!$E$156</definedName>
    <definedName function="false" hidden="false" name="fs_eps26" vbProcedure="false">In!$E$147</definedName>
    <definedName function="false" hidden="false" name="fs_eps26_hi" vbProcedure="false">In!$F$147</definedName>
    <definedName function="false" hidden="false" name="fs_eps26_lo" vbProcedure="false">In!$D$147</definedName>
    <definedName function="false" hidden="false" name="fs_eps27" vbProcedure="false">In!$E$148</definedName>
    <definedName function="false" hidden="false" name="fs_eps27_hi" vbProcedure="false">In!$F$148</definedName>
    <definedName function="false" hidden="false" name="fs_eps27_lo" vbProcedure="false">In!$D$148</definedName>
    <definedName function="false" hidden="false" name="fs_eps28" vbProcedure="false">In!$E$149</definedName>
    <definedName function="false" hidden="false" name="fs_eps28_hi" vbProcedure="false">In!$F$149</definedName>
    <definedName function="false" hidden="false" name="fs_eps28_lo" vbProcedure="false">In!$D$149</definedName>
    <definedName function="false" hidden="false" name="fs_rev27" vbProcedure="false">In!$E$150</definedName>
    <definedName function="false" hidden="false" name="fs_rev27_hi" vbProcedure="false">In!$F$150</definedName>
    <definedName function="false" hidden="false" name="fs_rev27_lo" vbProcedure="false">In!$D$150</definedName>
    <definedName function="false" hidden="false" name="fs_rev28" vbProcedure="false">In!$E$151</definedName>
    <definedName function="false" hidden="false" name="fs_rev28_hi" vbProcedure="false">In!$F$151</definedName>
    <definedName function="false" hidden="false" name="fs_rev28_lo" vbProcedure="false">In!$D$151</definedName>
    <definedName function="false" hidden="false" name="ft_abf" vbProcedure="false">In!$E$115</definedName>
    <definedName function="false" hidden="false" name="ft_abf_hi" vbProcedure="false">In!$F$115</definedName>
    <definedName function="false" hidden="false" name="ft_abf_lo" vbProcedure="false">In!$D$115</definedName>
    <definedName function="false" hidden="false" name="ft_bt" vbProcedure="false">In!$E$116</definedName>
    <definedName function="false" hidden="false" name="ft_bt_hi" vbProcedure="false">In!$F$116</definedName>
    <definedName function="false" hidden="false" name="ft_bt_lo" vbProcedure="false">In!$D$116</definedName>
    <definedName function="false" hidden="false" name="ft_lens" vbProcedure="false">In!$E$117</definedName>
    <definedName function="false" hidden="false" name="ft_lens_hi" vbProcedure="false">In!$F$117</definedName>
    <definedName function="false" hidden="false" name="ft_lens_lo" vbProcedure="false">In!$D$117</definedName>
    <definedName function="false" hidden="false" name="fx" vbProcedure="false">In!$E$160</definedName>
    <definedName function="false" hidden="false" name="g29_amd" vbProcedure="false">In!$E$24</definedName>
    <definedName function="false" hidden="false" name="g29_bw" vbProcedure="false">In!$E$8</definedName>
    <definedName function="false" hidden="false" name="g29_hp" vbProcedure="false">In!$E$20</definedName>
    <definedName function="false" hidden="false" name="g29_oth" vbProcedure="false">In!$E$36</definedName>
    <definedName function="false" hidden="false" name="g29_rb" vbProcedure="false">In!$E$12</definedName>
    <definedName function="false" hidden="false" name="g29_ru" vbProcedure="false">In!$E$16</definedName>
    <definedName function="false" hidden="false" name="g29_tpu" vbProcedure="false">In!$E$28</definedName>
    <definedName function="false" hidden="false" name="g29_trn" vbProcedure="false">In!$E$32</definedName>
    <definedName function="false" hidden="false" name="g_asp" vbProcedure="false">In!$E$53</definedName>
    <definedName function="false" hidden="false" name="g_asp_hi" vbProcedure="false">In!$F$53</definedName>
    <definedName function="false" hidden="false" name="g_asp_lo" vbProcedure="false">In!$D$53</definedName>
    <definedName function="false" hidden="false" name="g_bt27_A" vbProcedure="false">In!$E$104</definedName>
    <definedName function="false" hidden="false" name="g_bt27_B" vbProcedure="false">In!$E$107</definedName>
    <definedName function="false" hidden="false" name="g_bt27_C" vbProcedure="false">In!$E$110</definedName>
    <definedName function="false" hidden="false" name="g_bt28_A" vbProcedure="false">In!$E$105</definedName>
    <definedName function="false" hidden="false" name="g_bt28_B" vbProcedure="false">In!$E$108</definedName>
    <definedName function="false" hidden="false" name="g_bt28_C" vbProcedure="false">In!$E$111</definedName>
    <definedName function="false" hidden="false" name="g_bt29_A" vbProcedure="false">In!$E$106</definedName>
    <definedName function="false" hidden="false" name="g_bt29_B" vbProcedure="false">In!$E$109</definedName>
    <definedName function="false" hidden="false" name="g_bt29_C" vbProcedure="false">In!$E$112</definedName>
    <definedName function="false" hidden="false" name="g_lens" vbProcedure="false">In!$E$113</definedName>
    <definedName function="false" hidden="false" name="g_lens_hi" vbProcedure="false">In!$F$113</definedName>
    <definedName function="false" hidden="false" name="g_lens_lo" vbProcedure="false">In!$D$113</definedName>
    <definedName function="false" hidden="false" name="g_mix" vbProcedure="false">In!$E$102</definedName>
    <definedName function="false" hidden="false" name="g_mix_hi" vbProcedure="false">In!$F$102</definedName>
    <definedName function="false" hidden="false" name="g_mix_lo" vbProcedure="false">In!$D$102</definedName>
    <definedName function="false" hidden="false" name="g_nai" vbProcedure="false">In!$E$98</definedName>
    <definedName function="false" hidden="false" name="g_nai_hi" vbProcedure="false">In!$F$98</definedName>
    <definedName function="false" hidden="false" name="g_nai_lo" vbProcedure="false">In!$D$98</definedName>
    <definedName function="false" hidden="false" name="ibpp_27" vbProcedure="false">In!$E$54</definedName>
    <definedName function="false" hidden="false" name="ibpp_27_hi" vbProcedure="false">In!$F$54</definedName>
    <definedName function="false" hidden="false" name="ibpp_27_lo" vbProcedure="false">In!$D$54</definedName>
    <definedName function="false" hidden="false" name="ibpp_28" vbProcedure="false">In!$E$56</definedName>
    <definedName function="false" hidden="false" name="ibpp_28_hi" vbProcedure="false">In!$F$56</definedName>
    <definedName function="false" hidden="false" name="ibpp_28_lo" vbProcedure="false">In!$D$56</definedName>
    <definedName function="false" hidden="false" name="ibpp_29" vbProcedure="false">In!$E$58</definedName>
    <definedName function="false" hidden="false" name="ibpp_29_hi" vbProcedure="false">In!$F$58</definedName>
    <definedName function="false" hidden="false" name="ibpp_29_lo" vbProcedure="false">In!$D$58</definedName>
    <definedName function="false" hidden="false" name="ibrel_27" vbProcedure="false">In!$E$55</definedName>
    <definedName function="false" hidden="false" name="ibrel_28" vbProcedure="false">In!$E$57</definedName>
    <definedName function="false" hidden="false" name="ibrel_29" vbProcedure="false">In!$E$59</definedName>
    <definedName function="false" hidden="false" name="ib_sh26" vbProcedure="false">In!$E$60</definedName>
    <definedName function="false" hidden="false" name="ib_sh26_hi" vbProcedure="false">In!$F$60</definedName>
    <definedName function="false" hidden="false" name="ib_sh26_lo" vbProcedure="false">In!$D$60</definedName>
    <definedName function="false" hidden="false" name="ib_w_ot" vbProcedure="false">In!$E$61</definedName>
    <definedName function="false" hidden="false" name="ib_w_ot_hi" vbProcedure="false">In!$F$61</definedName>
    <definedName function="false" hidden="false" name="ib_w_ot_lo" vbProcedure="false">In!$D$61</definedName>
    <definedName function="false" hidden="false" name="itc_26" vbProcedure="false">In!$E$37</definedName>
    <definedName function="false" hidden="false" name="itc_27" vbProcedure="false">In!$E$38</definedName>
    <definedName function="false" hidden="false" name="itc_28" vbProcedure="false">In!$E$39</definedName>
    <definedName function="false" hidden="false" name="itc_29" vbProcedure="false">In!$E$40</definedName>
    <definedName function="false" hidden="false" name="life" vbProcedure="false">In!$E$123</definedName>
    <definedName function="false" hidden="false" name="life_hi" vbProcedure="false">In!$F$123</definedName>
    <definedName function="false" hidden="false" name="life_lo" vbProcedure="false">In!$D$123</definedName>
    <definedName function="false" hidden="false" name="mx_abf" vbProcedure="false">In!$E$94</definedName>
    <definedName function="false" hidden="false" name="mx_abf_hi" vbProcedure="false">In!$F$94</definedName>
    <definedName function="false" hidden="false" name="mx_abf_lo" vbProcedure="false">In!$D$94</definedName>
    <definedName function="false" hidden="false" name="nci_sh" vbProcedure="false">In!$E$131</definedName>
    <definedName function="false" hidden="false" name="nim5" vbProcedure="false">In!$E$161</definedName>
    <definedName function="false" hidden="false" name="nm_lens" vbProcedure="false">In!$E$130</definedName>
    <definedName function="false" hidden="false" name="nm_lens_hi" vbProcedure="false">In!$F$130</definedName>
    <definedName function="false" hidden="false" name="nm_lens_lo" vbProcedure="false">In!$D$130</definedName>
    <definedName function="false" hidden="false" name="nonop27" vbProcedure="false">In!$E$125</definedName>
    <definedName function="false" hidden="false" name="nonop27_hi" vbProcedure="false">In!$F$125</definedName>
    <definedName function="false" hidden="false" name="nonop27_lo" vbProcedure="false">In!$D$125</definedName>
    <definedName function="false" hidden="false" name="nonop28" vbProcedure="false">In!$E$126</definedName>
    <definedName function="false" hidden="false" name="nonop28_hi" vbProcedure="false">In!$F$126</definedName>
    <definedName function="false" hidden="false" name="nonop28_lo" vbProcedure="false">In!$D$126</definedName>
    <definedName function="false" hidden="false" name="nonop29" vbProcedure="false">In!$E$127</definedName>
    <definedName function="false" hidden="false" name="nonop29_hi" vbProcedure="false">In!$F$127</definedName>
    <definedName function="false" hidden="false" name="nonop29_lo" vbProcedure="false">In!$D$127</definedName>
    <definedName function="false" hidden="false" name="np_nv_26" vbProcedure="false">In!$E$65</definedName>
    <definedName function="false" hidden="false" name="np_nv_27" vbProcedure="false">In!$E$69</definedName>
    <definedName function="false" hidden="false" name="np_nv_28" vbProcedure="false">In!$E$73</definedName>
    <definedName function="false" hidden="false" name="np_nv_29" vbProcedure="false">In!$E$77</definedName>
    <definedName function="false" hidden="false" name="np_ot_26" vbProcedure="false">In!$E$66</definedName>
    <definedName function="false" hidden="false" name="np_ot_27" vbProcedure="false">In!$E$70</definedName>
    <definedName function="false" hidden="false" name="np_ot_28" vbProcedure="false">In!$E$74</definedName>
    <definedName function="false" hidden="false" name="np_ot_29" vbProcedure="false">In!$E$78</definedName>
    <definedName function="false" hidden="false" name="pe_mid" vbProcedure="false">Val!$C$131</definedName>
    <definedName function="false" hidden="false" name="pe_peak" vbProcedure="false">Val!$C$130</definedName>
    <definedName function="false" hidden="false" name="pe_trough" vbProcedure="false">Val!$C$132</definedName>
    <definedName function="false" hidden="false" name="pe_ttm" vbProcedure="false">In!$E$157</definedName>
    <definedName function="false" hidden="false" name="phi" vbProcedure="false">In!$E$124</definedName>
    <definedName function="false" hidden="false" name="phi_hi" vbProcedure="false">In!$F$124</definedName>
    <definedName function="false" hidden="false" name="phi_lo" vbProcedure="false">In!$D$124</definedName>
    <definedName function="false" hidden="false" name="px" vbProcedure="false">In!$E$155</definedName>
    <definedName function="false" hidden="false" name="q3_gm" vbProcedure="false">In!$E$134</definedName>
    <definedName function="false" hidden="false" name="q3_gm_hi" vbProcedure="false">In!$F$134</definedName>
    <definedName function="false" hidden="false" name="q3_gm_lo" vbProcedure="false">In!$D$134</definedName>
    <definedName function="false" hidden="false" name="q3_lens" vbProcedure="false">In!$E$141</definedName>
    <definedName function="false" hidden="false" name="q3_lens_hi" vbProcedure="false">In!$F$141</definedName>
    <definedName function="false" hidden="false" name="q3_lens_lo" vbProcedure="false">In!$D$141</definedName>
    <definedName function="false" hidden="false" name="q3_opx" vbProcedure="false">In!$E$135</definedName>
    <definedName function="false" hidden="false" name="q3_opx_hi" vbProcedure="false">In!$F$135</definedName>
    <definedName function="false" hidden="false" name="q3_opx_lo" vbProcedure="false">In!$D$135</definedName>
    <definedName function="false" hidden="false" name="q3_rev" vbProcedure="false">In!$E$133</definedName>
    <definedName function="false" hidden="false" name="q4_g" vbProcedure="false">In!$E$136</definedName>
    <definedName function="false" hidden="false" name="q4_gm" vbProcedure="false">In!$E$137</definedName>
    <definedName function="false" hidden="false" name="q4_gm_hi" vbProcedure="false">In!$F$137</definedName>
    <definedName function="false" hidden="false" name="q4_gm_lo" vbProcedure="false">In!$D$137</definedName>
    <definedName function="false" hidden="false" name="q4_g_hi" vbProcedure="false">In!$F$136</definedName>
    <definedName function="false" hidden="false" name="q4_g_lo" vbProcedure="false">In!$D$136</definedName>
    <definedName function="false" hidden="false" name="q4_lens" vbProcedure="false">In!$E$142</definedName>
    <definedName function="false" hidden="false" name="q4_lens_hi" vbProcedure="false">In!$F$142</definedName>
    <definedName function="false" hidden="false" name="q4_lens_lo" vbProcedure="false">In!$D$142</definedName>
    <definedName function="false" hidden="false" name="q4_opx" vbProcedure="false">In!$E$138</definedName>
    <definedName function="false" hidden="false" name="q4_opx_hi" vbProcedure="false">In!$F$138</definedName>
    <definedName function="false" hidden="false" name="q4_opx_lo" vbProcedure="false">In!$D$138</definedName>
    <definedName function="false" hidden="false" name="q_nonop" vbProcedure="false">In!$E$139</definedName>
    <definedName function="false" hidden="false" name="q_nonop_hi" vbProcedure="false">In!$F$139</definedName>
    <definedName function="false" hidden="false" name="q_nonop_lo" vbProcedure="false">In!$D$139</definedName>
    <definedName function="false" hidden="false" name="q_sh" vbProcedure="false">In!$E$143</definedName>
    <definedName function="false" hidden="false" name="q_tax" vbProcedure="false">In!$E$140</definedName>
    <definedName function="false" hidden="false" name="q_tax_hi" vbProcedure="false">In!$F$140</definedName>
    <definedName function="false" hidden="false" name="q_tax_lo" vbProcedure="false">In!$D$140</definedName>
    <definedName function="false" hidden="false" name="sh_cpu_26" vbProcedure="false">In!$E$89</definedName>
    <definedName function="false" hidden="false" name="sh_cpu_26_hi" vbProcedure="false">In!$F$89</definedName>
    <definedName function="false" hidden="false" name="sh_cpu_26_lo" vbProcedure="false">In!$D$89</definedName>
    <definedName function="false" hidden="false" name="sh_cpu_27" vbProcedure="false">In!$E$90</definedName>
    <definedName function="false" hidden="false" name="sh_cpu_27_hi" vbProcedure="false">In!$F$90</definedName>
    <definedName function="false" hidden="false" name="sh_cpu_27_lo" vbProcedure="false">In!$D$90</definedName>
    <definedName function="false" hidden="false" name="sh_cpu_28" vbProcedure="false">In!$E$91</definedName>
    <definedName function="false" hidden="false" name="sh_cpu_28_hi" vbProcedure="false">In!$F$91</definedName>
    <definedName function="false" hidden="false" name="sh_cpu_28_lo" vbProcedure="false">In!$D$91</definedName>
    <definedName function="false" hidden="false" name="sh_cpu_29" vbProcedure="false">In!$E$92</definedName>
    <definedName function="false" hidden="false" name="sh_cpu_29_hi" vbProcedure="false">In!$F$92</definedName>
    <definedName function="false" hidden="false" name="sh_cpu_29_lo" vbProcedure="false">In!$D$92</definedName>
    <definedName function="false" hidden="false" name="sh_g" vbProcedure="false">In!$E$129</definedName>
    <definedName function="false" hidden="false" name="sh_g_hi" vbProcedure="false">In!$F$129</definedName>
    <definedName function="false" hidden="false" name="sh_g_lo" vbProcedure="false">In!$D$129</definedName>
    <definedName function="false" hidden="false" name="sh_nv_26" vbProcedure="false">In!$E$79</definedName>
    <definedName function="false" hidden="false" name="sh_nv_26_hi" vbProcedure="false">In!$F$79</definedName>
    <definedName function="false" hidden="false" name="sh_nv_26_lo" vbProcedure="false">In!$D$79</definedName>
    <definedName function="false" hidden="false" name="sh_nv_27" vbProcedure="false">In!$E$80</definedName>
    <definedName function="false" hidden="false" name="sh_nv_27_hi" vbProcedure="false">In!$F$80</definedName>
    <definedName function="false" hidden="false" name="sh_nv_27_lo" vbProcedure="false">In!$D$80</definedName>
    <definedName function="false" hidden="false" name="sh_nv_28" vbProcedure="false">In!$E$81</definedName>
    <definedName function="false" hidden="false" name="sh_nv_28_hi" vbProcedure="false">In!$F$81</definedName>
    <definedName function="false" hidden="false" name="sh_nv_28_lo" vbProcedure="false">In!$D$81</definedName>
    <definedName function="false" hidden="false" name="sh_nv_29" vbProcedure="false">In!$E$82</definedName>
    <definedName function="false" hidden="false" name="sh_nv_29_hi" vbProcedure="false">In!$F$82</definedName>
    <definedName function="false" hidden="false" name="sh_nv_29_lo" vbProcedure="false">In!$D$82</definedName>
    <definedName function="false" hidden="false" name="sh_ot_26" vbProcedure="false">In!$E$83</definedName>
    <definedName function="false" hidden="false" name="sh_ot_26_hi" vbProcedure="false">In!$F$83</definedName>
    <definedName function="false" hidden="false" name="sh_ot_26_lo" vbProcedure="false">In!$D$83</definedName>
    <definedName function="false" hidden="false" name="sh_ot_27" vbProcedure="false">In!$E$84</definedName>
    <definedName function="false" hidden="false" name="sh_ot_27_hi" vbProcedure="false">In!$F$84</definedName>
    <definedName function="false" hidden="false" name="sh_ot_27_lo" vbProcedure="false">In!$D$84</definedName>
    <definedName function="false" hidden="false" name="sh_ot_28" vbProcedure="false">In!$E$85</definedName>
    <definedName function="false" hidden="false" name="sh_ot_28_hi" vbProcedure="false">In!$F$85</definedName>
    <definedName function="false" hidden="false" name="sh_ot_28_lo" vbProcedure="false">In!$D$85</definedName>
    <definedName function="false" hidden="false" name="sh_ot_29" vbProcedure="false">In!$E$86</definedName>
    <definedName function="false" hidden="false" name="sh_ot_29_hi" vbProcedure="false">In!$F$86</definedName>
    <definedName function="false" hidden="false" name="sh_ot_29_lo" vbProcedure="false">In!$D$86</definedName>
    <definedName function="false" hidden="false" name="swm_26" vbProcedure="false">In!$E$41</definedName>
    <definedName function="false" hidden="false" name="swm_27" vbProcedure="false">In!$E$42</definedName>
    <definedName function="false" hidden="false" name="swm_28" vbProcedure="false">In!$E$43</definedName>
    <definedName function="false" hidden="false" name="swm_29" vbProcedure="false">In!$E$44</definedName>
    <definedName function="false" hidden="false" name="tax" vbProcedure="false">In!$E$128</definedName>
    <definedName function="false" hidden="false" name="tax_hi" vbProcedure="false">In!$F$128</definedName>
    <definedName function="false" hidden="false" name="tax_lo" vbProcedure="false">In!$D$128</definedName>
    <definedName function="false" hidden="false" name="tp_g" vbProcedure="false">In!$E$167</definedName>
    <definedName function="false" hidden="false" name="tp_r" vbProcedure="false">In!$E$166</definedName>
    <definedName function="false" hidden="false" name="tp_roe" vbProcedure="false">In!$E$168</definedName>
    <definedName function="false" hidden="false" name="tp_wA" vbProcedure="false">In!$E$163</definedName>
    <definedName function="false" hidden="false" name="tp_wB" vbProcedure="false">In!$E$164</definedName>
    <definedName function="false" hidden="false" name="tp_wC" vbProcedure="false">In!$E$165</definedName>
    <definedName function="false" hidden="false" name="tp_w_dcf" vbProcedure="false">In!$E$169</definedName>
    <definedName function="false" hidden="false" name="um28_A" vbProcedure="false">In!$E$45</definedName>
    <definedName function="false" hidden="false" name="um28_B" vbProcedure="false">In!$E$47</definedName>
    <definedName function="false" hidden="false" name="um28_C" vbProcedure="false">In!$E$49</definedName>
    <definedName function="false" hidden="false" name="um29_A" vbProcedure="false">In!$E$46</definedName>
    <definedName function="false" hidden="false" name="um29_B" vbProcedure="false">In!$E$48</definedName>
    <definedName function="false" hidden="false" name="um29_C" vbProcedure="false">In!$E$50</definedName>
    <definedName function="false" hidden="false" name="un_nv_26" vbProcedure="false">In!$E$63</definedName>
    <definedName function="false" hidden="false" name="un_nv_27" vbProcedure="false">In!$E$67</definedName>
    <definedName function="false" hidden="false" name="un_nv_28" vbProcedure="false">In!$E$71</definedName>
    <definedName function="false" hidden="false" name="un_nv_29" vbProcedure="false">In!$E$75</definedName>
    <definedName function="false" hidden="false" name="un_ot_26" vbProcedure="false">In!$E$64</definedName>
    <definedName function="false" hidden="false" name="un_ot_27" vbProcedure="false">In!$E$68</definedName>
    <definedName function="false" hidden="false" name="un_ot_28" vbProcedure="false">In!$E$72</definedName>
    <definedName function="false" hidden="false" name="un_ot_29" vbProcedure="false">In!$E$76</definedName>
    <definedName function="false" hidden="false" name="u_amd_26" vbProcedure="false">In!$E$21</definedName>
    <definedName function="false" hidden="false" name="u_amd_27" vbProcedure="false">In!$E$22</definedName>
    <definedName function="false" hidden="false" name="u_amd_28" vbProcedure="false">In!$E$23</definedName>
    <definedName function="false" hidden="false" name="u_bw_26" vbProcedure="false">In!$E$5</definedName>
    <definedName function="false" hidden="false" name="u_bw_27" vbProcedure="false">In!$E$6</definedName>
    <definedName function="false" hidden="false" name="u_bw_28" vbProcedure="false">In!$E$7</definedName>
    <definedName function="false" hidden="false" name="u_hp_26" vbProcedure="false">In!$E$17</definedName>
    <definedName function="false" hidden="false" name="u_hp_27" vbProcedure="false">In!$E$18</definedName>
    <definedName function="false" hidden="false" name="u_hp_28" vbProcedure="false">In!$E$19</definedName>
    <definedName function="false" hidden="false" name="u_oth_26" vbProcedure="false">In!$E$33</definedName>
    <definedName function="false" hidden="false" name="u_oth_27" vbProcedure="false">In!$E$34</definedName>
    <definedName function="false" hidden="false" name="u_oth_28" vbProcedure="false">In!$E$35</definedName>
    <definedName function="false" hidden="false" name="u_rb_26" vbProcedure="false">In!$E$9</definedName>
    <definedName function="false" hidden="false" name="u_rb_27" vbProcedure="false">In!$E$10</definedName>
    <definedName function="false" hidden="false" name="u_rb_28" vbProcedure="false">In!$E$11</definedName>
    <definedName function="false" hidden="false" name="u_ru_26" vbProcedure="false">In!$E$13</definedName>
    <definedName function="false" hidden="false" name="u_ru_27" vbProcedure="false">In!$E$14</definedName>
    <definedName function="false" hidden="false" name="u_ru_28" vbProcedure="false">In!$E$15</definedName>
    <definedName function="false" hidden="false" name="u_tpu_26" vbProcedure="false">In!$E$25</definedName>
    <definedName function="false" hidden="false" name="u_tpu_27" vbProcedure="false">In!$E$26</definedName>
    <definedName function="false" hidden="false" name="u_tpu_28" vbProcedure="false">In!$E$27</definedName>
    <definedName function="false" hidden="false" name="u_trn_26" vbProcedure="false">In!$E$29</definedName>
    <definedName function="false" hidden="false" name="u_trn_27" vbProcedure="false">In!$E$30</definedName>
    <definedName function="false" hidden="false" name="u_trn_28" vbProcedure="false">In!$E$31</definedName>
    <definedName function="false" hidden="false" name="v26" vbProcedure="false">In!$E$52</definedName>
    <definedName function="false" hidden="false" name="v_cpu" vbProcedure="false">In!$E$88</definedName>
    <definedName function="false" hidden="false" name="v_cpu_hi" vbProcedure="false">In!$F$88</definedName>
    <definedName function="false" hidden="false" name="v_cpu_lo" vbProcedure="false">In!$D$88</definedName>
    <definedName function="false" hidden="false" name="v_ot" vbProcedure="false">In!$E$62</definedName>
    <definedName function="false" hidden="false" name="v_ot_hi" vbProcedure="false">In!$F$62</definedName>
    <definedName function="false" hidden="false" name="v_ot_lo" vbProcedure="false">In!$D$62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<sst xmlns="http://schemas.openxmlformats.org/spreadsheetml/2006/main" count="6310" uniqueCount="1173">
  <si>
    <r>
      <rPr>
        <b val="true"/>
        <sz val="11"/>
        <rFont val="Noto Sans CJK SC"/>
        <family val="2"/>
      </rPr>
      <t xml:space="preserve">景碩（</t>
    </r>
    <r>
      <rPr>
        <b val="true"/>
        <sz val="11"/>
        <rFont val="Cambria"/>
        <family val="0"/>
        <charset val="1"/>
      </rPr>
      <t xml:space="preserve">Kinsus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3189.TW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：載板與 </t>
    </r>
    <r>
      <rPr>
        <b val="true"/>
        <sz val="11"/>
        <rFont val="Cambria"/>
        <family val="0"/>
        <charset val="1"/>
      </rPr>
      <t xml:space="preserve">PCB </t>
    </r>
    <r>
      <rPr>
        <b val="true"/>
        <sz val="11"/>
        <rFont val="Noto Sans CJK SC"/>
        <family val="2"/>
      </rPr>
      <t xml:space="preserve">次產業——</t>
    </r>
    <r>
      <rPr>
        <b val="true"/>
        <sz val="11"/>
        <rFont val="Cambria"/>
        <family val="0"/>
        <charset val="1"/>
      </rPr>
      <t xml:space="preserve">ABF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BT </t>
    </r>
    <r>
      <rPr>
        <b val="true"/>
        <sz val="11"/>
        <rFont val="Noto Sans CJK SC"/>
        <family val="2"/>
      </rPr>
      <t xml:space="preserve">載板第二梯隊；樣板＝</t>
    </r>
    <r>
      <rPr>
        <b val="true"/>
        <sz val="11"/>
        <rFont val="Cambria"/>
        <family val="0"/>
        <charset val="1"/>
      </rPr>
      <t xml:space="preserve">nanya_pcb/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unimicron/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2026-10-26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</si>
  <si>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加速器載板的每顆金額、</t>
    </r>
    <r>
      <rPr>
        <sz val="11"/>
        <rFont val="Cambria"/>
        <family val="0"/>
        <charset val="1"/>
      </rPr>
      <t xml:space="preserve">Ibiden </t>
    </r>
    <r>
      <rPr>
        <sz val="11"/>
        <rFont val="Noto Sans CJK SC"/>
        <family val="2"/>
      </rPr>
      <t xml:space="preserve">份額與非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權重讀 </t>
    </r>
    <r>
      <rPr>
        <sz val="11"/>
        <rFont val="Cambria"/>
        <family val="0"/>
        <charset val="1"/>
      </rPr>
      <t xml:space="preserve">ibiden/dist</t>
    </r>
    <r>
      <rPr>
        <sz val="11"/>
        <rFont val="Noto Sans CJK SC"/>
        <family val="2"/>
      </rPr>
      <t xml:space="preserve">，欣興份額讀 </t>
    </r>
    <r>
      <rPr>
        <sz val="11"/>
        <rFont val="Cambria"/>
        <family val="0"/>
        <charset val="1"/>
      </rPr>
      <t xml:space="preserve">unimicron/dist</t>
    </r>
    <r>
      <rPr>
        <sz val="11"/>
        <rFont val="Noto Sans CJK SC"/>
        <family val="2"/>
      </rPr>
      <t xml:space="preserve">，南電份額讀 </t>
    </r>
    <r>
      <rPr>
        <sz val="11"/>
        <rFont val="Cambria"/>
        <family val="0"/>
        <charset val="1"/>
      </rPr>
      <t xml:space="preserve">nanya_pcb/dist</t>
    </r>
    <r>
      <rPr>
        <sz val="11"/>
        <rFont val="Noto Sans CJK SC"/>
        <family val="2"/>
      </rPr>
      <t xml:space="preserve">（本專案權威）；四家份額合計在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頁檢查。</t>
    </r>
  </si>
  <si>
    <r>
      <rPr>
        <sz val="11"/>
        <rFont val="Noto Sans CJK SC"/>
        <family val="2"/>
      </rPr>
      <t xml:space="preserve">模型命題：景碩的 </t>
    </r>
    <r>
      <rPr>
        <sz val="11"/>
        <rFont val="Cambria"/>
        <family val="0"/>
        <charset val="1"/>
      </rPr>
      <t xml:space="preserve">ABF </t>
    </r>
    <r>
      <rPr>
        <sz val="11"/>
        <rFont val="Noto Sans CJK SC"/>
        <family val="2"/>
      </rPr>
      <t xml:space="preserve">載板營收＝</t>
    </r>
    <r>
      <rPr>
        <sz val="11"/>
        <rFont val="Cambria"/>
        <family val="0"/>
        <charset val="1"/>
      </rPr>
      <t xml:space="preserve">MIN</t>
    </r>
    <r>
      <rPr>
        <sz val="11"/>
        <rFont val="Noto Sans CJK SC"/>
        <family val="2"/>
      </rPr>
      <t xml:space="preserve">（需求</t>
    </r>
    <r>
      <rPr>
        <sz val="11"/>
        <rFont val="Cambria"/>
        <family val="0"/>
        <charset val="1"/>
      </rPr>
      <t xml:space="preserve">, </t>
    </r>
    <r>
      <rPr>
        <sz val="11"/>
        <rFont val="Noto Sans CJK SC"/>
        <family val="2"/>
      </rPr>
      <t xml:space="preserve">產能）；需求＝</t>
    </r>
    <r>
      <rPr>
        <sz val="11"/>
        <rFont val="Cambria"/>
        <family val="0"/>
        <charset val="1"/>
      </rPr>
      <t xml:space="preserve">NVIDIA CPU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Grace→Vera</t>
    </r>
    <r>
      <rPr>
        <sz val="11"/>
        <rFont val="Noto Sans CJK SC"/>
        <family val="2"/>
      </rPr>
      <t xml:space="preserve">）載板（加速器顆數 </t>
    </r>
    <r>
      <rPr>
        <sz val="11"/>
        <rFont val="Cambria"/>
        <family val="0"/>
        <charset val="1"/>
      </rPr>
      <t xml:space="preserve">× CPU </t>
    </r>
    <r>
      <rPr>
        <sz val="11"/>
        <rFont val="Noto Sans CJK SC"/>
        <family val="2"/>
      </rPr>
      <t xml:space="preserve">比例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每顆金額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景碩份額，公司目標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80–100%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加速器載板（與 </t>
    </r>
    <r>
      <rPr>
        <sz val="11"/>
        <rFont val="Cambria"/>
        <family val="0"/>
        <charset val="1"/>
      </rPr>
      <t xml:space="preserve">Ibiden</t>
    </r>
    <r>
      <rPr>
        <sz val="11"/>
        <rFont val="Noto Sans CJK SC"/>
        <family val="2"/>
      </rPr>
      <t xml:space="preserve">、欣興、南電同口徑，份額個位數）＋其他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＋非 </t>
    </r>
    <r>
      <rPr>
        <sz val="11"/>
        <rFont val="Cambria"/>
        <family val="0"/>
        <charset val="1"/>
      </rPr>
      <t xml:space="preserve">AI ABF</t>
    </r>
    <r>
      <rPr>
        <sz val="11"/>
        <rFont val="Noto Sans CJK SC"/>
        <family val="2"/>
      </rPr>
      <t xml:space="preserve">（伺服器與 </t>
    </r>
    <r>
      <rPr>
        <sz val="11"/>
        <rFont val="Cambria"/>
        <family val="0"/>
        <charset val="1"/>
      </rPr>
      <t xml:space="preserve">PC CPU</t>
    </r>
    <r>
      <rPr>
        <sz val="11"/>
        <rFont val="Noto Sans CJK SC"/>
        <family val="2"/>
      </rPr>
      <t xml:space="preserve">）；產能依公司規劃 </t>
    </r>
    <r>
      <rPr>
        <sz val="11"/>
        <rFont val="Cambria"/>
        <family val="0"/>
        <charset val="1"/>
      </rPr>
      <t xml:space="preserve">4,000→8,000 </t>
    </r>
    <r>
      <rPr>
        <sz val="11"/>
        <rFont val="Noto Sans CJK SC"/>
        <family val="2"/>
      </rPr>
      <t xml:space="preserve">萬顆／月（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年）。</t>
    </r>
    <r>
      <rPr>
        <sz val="11"/>
        <rFont val="Cambria"/>
        <family val="0"/>
        <charset val="1"/>
      </rPr>
      <t xml:space="preserve">BT </t>
    </r>
    <r>
      <rPr>
        <sz val="11"/>
        <rFont val="Noto Sans CJK SC"/>
        <family val="2"/>
      </rPr>
      <t xml:space="preserve">與其他載板（約四成營收）以漲價為主；晶碩（隱形眼鏡）約 </t>
    </r>
    <r>
      <rPr>
        <sz val="11"/>
        <rFont val="Cambria"/>
        <family val="0"/>
        <charset val="1"/>
      </rPr>
      <t xml:space="preserve">15% </t>
    </r>
    <r>
      <rPr>
        <sz val="11"/>
        <rFont val="Noto Sans CJK SC"/>
        <family val="2"/>
      </rPr>
      <t xml:space="preserve">營收、約 </t>
    </r>
    <r>
      <rPr>
        <sz val="11"/>
        <rFont val="Cambria"/>
        <family val="0"/>
        <charset val="1"/>
      </rPr>
      <t xml:space="preserve">69% </t>
    </r>
    <r>
      <rPr>
        <sz val="11"/>
        <rFont val="Noto Sans CJK SC"/>
        <family val="2"/>
      </rPr>
      <t xml:space="preserve">淨利屬非控制權益。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</si>
  <si>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Vera CPU </t>
    </r>
    <r>
      <rPr>
        <sz val="11"/>
        <rFont val="Noto Sans CJK SC"/>
        <family val="2"/>
      </rPr>
      <t xml:space="preserve">載板份額、</t>
    </r>
    <r>
      <rPr>
        <sz val="11"/>
        <rFont val="Cambria"/>
        <family val="0"/>
        <charset val="1"/>
      </rPr>
      <t xml:space="preserve">ABF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BT </t>
    </r>
    <r>
      <rPr>
        <sz val="11"/>
        <rFont val="Noto Sans CJK SC"/>
        <family val="2"/>
      </rPr>
      <t xml:space="preserve">漲價與 </t>
    </r>
    <r>
      <rPr>
        <sz val="11"/>
        <rFont val="Cambria"/>
        <family val="0"/>
        <charset val="1"/>
      </rPr>
      <t xml:space="preserve">K6 </t>
    </r>
    <r>
      <rPr>
        <sz val="11"/>
        <rFont val="Noto Sans CJK SC"/>
        <family val="2"/>
      </rPr>
      <t xml:space="preserve">新產能，能不能讓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從 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3.51 </t>
    </r>
    <r>
      <rPr>
        <sz val="11"/>
        <rFont val="Noto Sans CJK SC"/>
        <family val="2"/>
      </rPr>
      <t xml:space="preserve">元升到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二十多元；約 </t>
    </r>
    <r>
      <rPr>
        <sz val="11"/>
        <rFont val="Cambria"/>
        <family val="0"/>
        <charset val="1"/>
      </rPr>
      <t xml:space="preserve">986 </t>
    </r>
    <r>
      <rPr>
        <sz val="11"/>
        <rFont val="Noto Sans CJK SC"/>
        <family val="2"/>
      </rPr>
      <t xml:space="preserve">元的股價（近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P/E 166 </t>
    </r>
    <r>
      <rPr>
        <sz val="11"/>
        <rFont val="Noto Sans CJK SC"/>
        <family val="2"/>
      </rPr>
      <t xml:space="preserve">倍、前瞻 </t>
    </r>
    <r>
      <rPr>
        <sz val="11"/>
        <rFont val="Cambria"/>
        <family val="0"/>
        <charset val="1"/>
      </rPr>
      <t xml:space="preserve">P/E 45 </t>
    </r>
    <r>
      <rPr>
        <sz val="11"/>
        <rFont val="Noto Sans CJK SC"/>
        <family val="2"/>
      </rPr>
      <t xml:space="preserve">倍）隱含什麼路徑。</t>
    </r>
  </si>
  <si>
    <r>
      <rPr>
        <sz val="11"/>
        <rFont val="Noto Sans CJK SC"/>
        <family val="2"/>
      </rPr>
      <t xml:space="preserve">重點觀察 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：目標價 </t>
    </r>
    <r>
      <rPr>
        <sz val="11"/>
        <rFont val="Cambria"/>
        <family val="0"/>
        <charset val="1"/>
      </rPr>
      <t xml:space="preserve">NT$908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DCF 529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Comparable 1,287 </t>
    </r>
    <r>
      <rPr>
        <sz val="11"/>
        <rFont val="Noto Sans CJK SC"/>
        <family val="2"/>
      </rPr>
      <t xml:space="preserve">各半），比現價 </t>
    </r>
    <r>
      <rPr>
        <sz val="11"/>
        <rFont val="Cambria"/>
        <family val="0"/>
        <charset val="1"/>
      </rPr>
      <t xml:space="preserve">986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2026-10-22</t>
    </r>
    <r>
      <rPr>
        <sz val="11"/>
        <rFont val="Noto Sans CJK SC"/>
        <family val="2"/>
      </rPr>
      <t xml:space="preserve">）低 </t>
    </r>
    <r>
      <rPr>
        <sz val="11"/>
        <rFont val="Cambria"/>
        <family val="0"/>
        <charset val="1"/>
      </rPr>
      <t xml:space="preserve">7.9%</t>
    </r>
    <r>
      <rPr>
        <sz val="11"/>
        <rFont val="Noto Sans CJK SC"/>
        <family val="2"/>
      </rPr>
      <t xml:space="preserve">，級距 </t>
    </r>
    <r>
      <rPr>
        <sz val="11"/>
        <rFont val="Cambria"/>
        <family val="0"/>
        <charset val="1"/>
      </rPr>
      <t xml:space="preserve">0%</t>
    </r>
    <r>
      <rPr>
        <sz val="11"/>
        <rFont val="Noto Sans CJK SC"/>
        <family val="2"/>
      </rPr>
      <t xml:space="preserve">～−</t>
    </r>
    <r>
      <rPr>
        <sz val="11"/>
        <rFont val="Cambria"/>
        <family val="0"/>
        <charset val="1"/>
      </rPr>
      <t xml:space="preserve">25%</t>
    </r>
    <r>
      <rPr>
        <sz val="11"/>
        <rFont val="Noto Sans CJK SC"/>
        <family val="2"/>
      </rPr>
      <t xml:space="preserve">（中立）；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單獨為 </t>
    </r>
    <r>
      <rPr>
        <sz val="11"/>
        <rFont val="Cambria"/>
        <family val="0"/>
        <charset val="1"/>
      </rPr>
      <t xml:space="preserve">+30.5%</t>
    </r>
    <r>
      <rPr>
        <sz val="11"/>
        <rFont val="Noto Sans CJK SC"/>
        <family val="2"/>
      </rPr>
      <t xml:space="preserve">，市場共識目標價 </t>
    </r>
    <r>
      <rPr>
        <sz val="11"/>
        <rFont val="Cambria"/>
        <family val="0"/>
        <charset val="1"/>
      </rPr>
      <t xml:space="preserve">1,092</t>
    </r>
    <r>
      <rPr>
        <sz val="11"/>
        <rFont val="Noto Sans CJK SC"/>
        <family val="2"/>
      </rPr>
      <t xml:space="preserve">。兩法差距來自 </t>
    </r>
    <r>
      <rPr>
        <sz val="11"/>
        <rFont val="Cambria"/>
        <family val="0"/>
        <charset val="1"/>
      </rPr>
      <t xml:space="preserve">DCF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2026–28 </t>
    </r>
    <r>
      <rPr>
        <sz val="11"/>
        <rFont val="Noto Sans CJK SC"/>
        <family val="2"/>
      </rPr>
      <t xml:space="preserve">年資本支出合計 </t>
    </r>
    <r>
      <rPr>
        <sz val="11"/>
        <rFont val="Cambria"/>
        <family val="0"/>
        <charset val="1"/>
      </rPr>
      <t xml:space="preserve">440 </t>
    </r>
    <r>
      <rPr>
        <sz val="11"/>
        <rFont val="Noto Sans CJK SC"/>
        <family val="2"/>
      </rPr>
      <t xml:space="preserve">億（</t>
    </r>
    <r>
      <rPr>
        <sz val="11"/>
        <rFont val="Cambria"/>
        <family val="0"/>
        <charset val="1"/>
      </rPr>
      <t xml:space="preserve">K6 </t>
    </r>
    <r>
      <rPr>
        <sz val="11"/>
        <rFont val="Noto Sans CJK SC"/>
        <family val="2"/>
      </rPr>
      <t xml:space="preserve">新廠與 </t>
    </r>
    <r>
      <rPr>
        <sz val="11"/>
        <rFont val="Cambria"/>
        <family val="0"/>
        <charset val="1"/>
      </rPr>
      <t xml:space="preserve">ABF </t>
    </r>
    <r>
      <rPr>
        <sz val="11"/>
        <rFont val="Noto Sans CJK SC"/>
        <family val="2"/>
      </rPr>
      <t xml:space="preserve">擴產），情境 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每股股東現金流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只有 </t>
    </r>
    <r>
      <rPr>
        <sz val="11"/>
        <rFont val="Cambria"/>
        <family val="0"/>
        <charset val="1"/>
      </rPr>
      <t xml:space="preserve">10.37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EPS 26.21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40%</t>
    </r>
    <r>
      <rPr>
        <sz val="11"/>
        <rFont val="Noto Sans CJK SC"/>
        <family val="2"/>
      </rPr>
      <t xml:space="preserve">）；本模型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 30.44 </t>
    </r>
    <r>
      <rPr>
        <sz val="11"/>
        <rFont val="Noto Sans CJK SC"/>
        <family val="2"/>
      </rPr>
      <t xml:space="preserve">比共識前瞻 </t>
    </r>
    <r>
      <rPr>
        <sz val="11"/>
        <rFont val="Cambria"/>
        <family val="0"/>
        <charset val="1"/>
      </rPr>
      <t xml:space="preserve">EPS 22.06 </t>
    </r>
    <r>
      <rPr>
        <sz val="11"/>
        <rFont val="Noto Sans CJK SC"/>
        <family val="2"/>
      </rPr>
      <t xml:space="preserve">高 </t>
    </r>
    <r>
      <rPr>
        <sz val="11"/>
        <rFont val="Cambria"/>
        <family val="0"/>
        <charset val="1"/>
      </rPr>
      <t xml:space="preserve">38%</t>
    </r>
    <r>
      <rPr>
        <sz val="11"/>
        <rFont val="Noto Sans CJK SC"/>
        <family val="2"/>
      </rPr>
      <t xml:space="preserve">（期間差約一年），共識目標價隱含 </t>
    </r>
    <r>
      <rPr>
        <sz val="11"/>
        <rFont val="Cambria"/>
        <family val="0"/>
        <charset val="1"/>
      </rPr>
      <t xml:space="preserve">49.5 </t>
    </r>
    <r>
      <rPr>
        <sz val="11"/>
        <rFont val="Noto Sans CJK SC"/>
        <family val="2"/>
      </rPr>
      <t xml:space="preserve">倍、比同業中位數 </t>
    </r>
    <r>
      <rPr>
        <sz val="11"/>
        <rFont val="Cambria"/>
        <family val="0"/>
        <charset val="1"/>
      </rPr>
      <t xml:space="preserve">42.3 </t>
    </r>
    <r>
      <rPr>
        <sz val="11"/>
        <rFont val="Noto Sans CJK SC"/>
        <family val="2"/>
      </rPr>
      <t xml:space="preserve">倍高 </t>
    </r>
    <r>
      <rPr>
        <sz val="11"/>
        <rFont val="Cambria"/>
        <family val="0"/>
        <charset val="1"/>
      </rPr>
      <t xml:space="preserve">17%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</si>
  <si>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重點觀察 </t>
    </r>
    <r>
      <rPr>
        <sz val="11"/>
        <rFont val="Cambria"/>
        <family val="0"/>
        <charset val="1"/>
      </rPr>
      <t xml:space="preserve">2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FY2027–28 ABF </t>
    </r>
    <r>
      <rPr>
        <sz val="11"/>
        <rFont val="Noto Sans CJK SC"/>
        <family val="2"/>
      </rPr>
      <t xml:space="preserve">需求滿足率約 </t>
    </r>
    <r>
      <rPr>
        <sz val="11"/>
        <rFont val="Cambria"/>
        <family val="0"/>
        <charset val="1"/>
      </rPr>
      <t xml:space="preserve">86%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88%</t>
    </r>
    <r>
      <rPr>
        <sz val="11"/>
        <rFont val="Noto Sans CJK SC"/>
        <family val="2"/>
      </rPr>
      <t xml:space="preserve">（產能受限），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由價格與產能決定、而非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份額：漲價年度化 </t>
    </r>
    <r>
      <rPr>
        <sz val="11"/>
        <rFont val="Cambria"/>
        <family val="0"/>
        <charset val="1"/>
      </rPr>
      <t xml:space="preserve">8%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22%</t>
    </r>
    <r>
      <rPr>
        <sz val="11"/>
        <rFont val="Noto Sans CJK SC"/>
        <family val="2"/>
      </rPr>
      <t xml:space="preserve">（基準 </t>
    </r>
    <r>
      <rPr>
        <sz val="11"/>
        <rFont val="Cambria"/>
        <family val="0"/>
        <charset val="1"/>
      </rPr>
      <t xml:space="preserve">15%</t>
    </r>
    <r>
      <rPr>
        <sz val="11"/>
        <rFont val="Noto Sans CJK SC"/>
        <family val="2"/>
      </rPr>
      <t xml:space="preserve">）使 </t>
    </r>
    <r>
      <rPr>
        <sz val="11"/>
        <rFont val="Cambria"/>
        <family val="0"/>
        <charset val="1"/>
      </rPr>
      <t xml:space="preserve">FY2027 EPS −11.4%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+11.4%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ABF </t>
    </r>
    <r>
      <rPr>
        <sz val="11"/>
        <rFont val="Noto Sans CJK SC"/>
        <family val="2"/>
      </rPr>
      <t xml:space="preserve">溢價取 </t>
    </r>
    <r>
      <rPr>
        <sz val="11"/>
        <rFont val="Cambria"/>
        <family val="0"/>
        <charset val="1"/>
      </rPr>
      <t xml:space="preserve">Ibiden </t>
    </r>
    <r>
      <rPr>
        <sz val="11"/>
        <rFont val="Noto Sans CJK SC"/>
        <family val="2"/>
      </rPr>
      <t xml:space="preserve">低／高值使 </t>
    </r>
    <r>
      <rPr>
        <sz val="11"/>
        <rFont val="Cambria"/>
        <family val="0"/>
        <charset val="1"/>
      </rPr>
      <t xml:space="preserve">FY2028 EPS −15.2%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+15.7%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ABF </t>
    </r>
    <r>
      <rPr>
        <sz val="11"/>
        <rFont val="Noto Sans CJK SC"/>
        <family val="2"/>
      </rPr>
      <t xml:space="preserve">產能低值 −</t>
    </r>
    <r>
      <rPr>
        <sz val="11"/>
        <rFont val="Cambria"/>
        <family val="0"/>
        <charset val="1"/>
      </rPr>
      <t xml:space="preserve">13.2%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部署 </t>
    </r>
    <r>
      <rPr>
        <sz val="11"/>
        <rFont val="Cambria"/>
        <family val="0"/>
        <charset val="1"/>
      </rPr>
      <t xml:space="preserve">×0.8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Vera CPU </t>
    </r>
    <r>
      <rPr>
        <sz val="11"/>
        <rFont val="Noto Sans CJK SC"/>
        <family val="2"/>
      </rPr>
      <t xml:space="preserve">或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份額高低對 </t>
    </r>
    <r>
      <rPr>
        <sz val="11"/>
        <rFont val="Cambria"/>
        <family val="0"/>
        <charset val="1"/>
      </rPr>
      <t xml:space="preserve">FY2027–28 EPS </t>
    </r>
    <r>
      <rPr>
        <sz val="11"/>
        <rFont val="Noto Sans CJK SC"/>
        <family val="2"/>
      </rPr>
      <t xml:space="preserve">的影響都在 </t>
    </r>
    <r>
      <rPr>
        <sz val="11"/>
        <rFont val="Cambria"/>
        <family val="0"/>
        <charset val="1"/>
      </rPr>
      <t xml:space="preserve">0.3% </t>
    </r>
    <r>
      <rPr>
        <sz val="11"/>
        <rFont val="Noto Sans CJK SC"/>
        <family val="2"/>
      </rPr>
      <t xml:space="preserve">以內。</t>
    </r>
  </si>
  <si>
    <r>
      <rPr>
        <sz val="11"/>
        <rFont val="Noto Sans CJK SC"/>
        <family val="2"/>
      </rPr>
      <t xml:space="preserve">重點觀察 </t>
    </r>
    <r>
      <rPr>
        <sz val="11"/>
        <rFont val="Cambria"/>
        <family val="0"/>
        <charset val="1"/>
      </rPr>
      <t xml:space="preserve">3</t>
    </r>
    <r>
      <rPr>
        <sz val="11"/>
        <rFont val="Noto Sans CJK SC"/>
        <family val="2"/>
      </rPr>
      <t xml:space="preserve">：份額說法與上游衝突：券商稱景碩 </t>
    </r>
    <r>
      <rPr>
        <sz val="11"/>
        <rFont val="Cambria"/>
        <family val="0"/>
        <charset val="1"/>
      </rPr>
      <t xml:space="preserve">Rubin GPU </t>
    </r>
    <r>
      <rPr>
        <sz val="11"/>
        <rFont val="Noto Sans CJK SC"/>
        <family val="2"/>
      </rPr>
      <t xml:space="preserve">份額 </t>
    </r>
    <r>
      <rPr>
        <sz val="11"/>
        <rFont val="Cambria"/>
        <family val="0"/>
        <charset val="1"/>
      </rPr>
      <t xml:space="preserve">15–20%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Vera CPU 80–100%</t>
    </r>
    <r>
      <rPr>
        <sz val="11"/>
        <rFont val="Noto Sans CJK SC"/>
        <family val="2"/>
      </rPr>
      <t xml:space="preserve">，但 </t>
    </r>
    <r>
      <rPr>
        <sz val="11"/>
        <rFont val="Cambria"/>
        <family val="0"/>
        <charset val="1"/>
      </rPr>
      <t xml:space="preserve">Ibiden</t>
    </r>
    <r>
      <rPr>
        <sz val="11"/>
        <rFont val="Noto Sans CJK SC"/>
        <family val="2"/>
      </rPr>
      <t xml:space="preserve">、欣興、南電模型的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份額已合計約 </t>
    </r>
    <r>
      <rPr>
        <sz val="11"/>
        <rFont val="Cambria"/>
        <family val="0"/>
        <charset val="1"/>
      </rPr>
      <t xml:space="preserve">94–97%</t>
    </r>
    <r>
      <rPr>
        <sz val="11"/>
        <rFont val="Noto Sans CJK SC"/>
        <family val="2"/>
      </rPr>
      <t xml:space="preserve">，本模型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取 </t>
    </r>
    <r>
      <rPr>
        <sz val="11"/>
        <rFont val="Cambria"/>
        <family val="0"/>
        <charset val="1"/>
      </rPr>
      <t xml:space="preserve">2%→6%</t>
    </r>
    <r>
      <rPr>
        <sz val="11"/>
        <rFont val="Noto Sans CJK SC"/>
        <family val="2"/>
      </rPr>
      <t xml:space="preserve">。下一個檢驗點是 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財報與法說（</t>
    </r>
    <r>
      <rPr>
        <sz val="11"/>
        <rFont val="Cambria"/>
        <family val="0"/>
        <charset val="1"/>
      </rPr>
      <t xml:space="preserve">stockanalysis </t>
    </r>
    <r>
      <rPr>
        <sz val="11"/>
        <rFont val="Noto Sans CJK SC"/>
        <family val="2"/>
      </rPr>
      <t xml:space="preserve">估 </t>
    </r>
    <r>
      <rPr>
        <sz val="11"/>
        <rFont val="Cambria"/>
        <family val="0"/>
        <charset val="1"/>
      </rPr>
      <t xml:space="preserve">2026-11-06</t>
    </r>
    <r>
      <rPr>
        <sz val="11"/>
        <rFont val="Noto Sans CJK SC"/>
        <family val="2"/>
      </rPr>
      <t xml:space="preserve">）：本模型 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毛利率 </t>
    </r>
    <r>
      <rPr>
        <sz val="11"/>
        <rFont val="Cambria"/>
        <family val="0"/>
        <charset val="1"/>
      </rPr>
      <t xml:space="preserve">31%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EPS 4.30</t>
    </r>
    <r>
      <rPr>
        <sz val="11"/>
        <rFont val="Noto Sans CJK SC"/>
        <family val="2"/>
      </rPr>
      <t xml:space="preserve">（永豐 </t>
    </r>
    <r>
      <rPr>
        <sz val="11"/>
        <rFont val="Cambria"/>
        <family val="0"/>
        <charset val="1"/>
      </rPr>
      <t xml:space="preserve">4.29</t>
    </r>
    <r>
      <rPr>
        <sz val="11"/>
        <rFont val="Noto Sans CJK SC"/>
        <family val="2"/>
      </rPr>
      <t xml:space="preserve">、美系毛利率 </t>
    </r>
    <r>
      <rPr>
        <sz val="11"/>
        <rFont val="Cambria"/>
        <family val="0"/>
        <charset val="1"/>
      </rPr>
      <t xml:space="preserve">27.8%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FY2026 EPS 13.69 </t>
    </r>
    <r>
      <rPr>
        <sz val="11"/>
        <rFont val="Noto Sans CJK SC"/>
        <family val="2"/>
      </rPr>
      <t xml:space="preserve">比主串共識 </t>
    </r>
    <r>
      <rPr>
        <sz val="11"/>
        <rFont val="Cambria"/>
        <family val="0"/>
        <charset val="1"/>
      </rPr>
      <t xml:space="preserve">10.42 </t>
    </r>
    <r>
      <rPr>
        <sz val="11"/>
        <rFont val="Noto Sans CJK SC"/>
        <family val="2"/>
      </rPr>
      <t xml:space="preserve">高 </t>
    </r>
    <r>
      <rPr>
        <sz val="11"/>
        <rFont val="Cambria"/>
        <family val="0"/>
        <charset val="1"/>
      </rPr>
      <t xml:space="preserve">31%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</si>
  <si>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頁灰底）。金額：十億新台幣；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：新台幣（基本、歸屬母公司）。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財報約 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月底～</t>
    </r>
    <r>
      <rPr>
        <sz val="11"/>
        <rFont val="Cambria"/>
        <family val="0"/>
        <charset val="1"/>
      </rPr>
      <t xml:space="preserve">11 </t>
    </r>
    <r>
      <rPr>
        <sz val="11"/>
        <rFont val="Noto Sans CJK SC"/>
        <family val="2"/>
      </rPr>
      <t xml:space="preserve">月初公布，本版只納入 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</si>
  <si>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</si>
  <si>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加速器與 </t>
    </r>
    <r>
      <rPr>
        <sz val="11"/>
        <rFont val="Cambria"/>
        <family val="0"/>
        <charset val="1"/>
      </rPr>
      <t xml:space="preserve">CPU </t>
    </r>
    <r>
      <rPr>
        <sz val="11"/>
        <rFont val="Noto Sans CJK SC"/>
        <family val="2"/>
      </rPr>
      <t xml:space="preserve">載板：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與非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tsmc </t>
    </r>
    <r>
      <rPr>
        <sz val="11"/>
        <rFont val="Noto Sans CJK SC"/>
        <family val="2"/>
      </rPr>
      <t xml:space="preserve">同字母情境係數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載板金額（</t>
    </r>
    <r>
      <rPr>
        <sz val="11"/>
        <rFont val="Cambria"/>
        <family val="0"/>
        <charset val="1"/>
      </rPr>
      <t xml:space="preserve">Ibiden </t>
    </r>
    <r>
      <rPr>
        <sz val="11"/>
        <rFont val="Noto Sans CJK SC"/>
        <family val="2"/>
      </rPr>
      <t xml:space="preserve">模型 </t>
    </r>
    <r>
      <rPr>
        <sz val="11"/>
        <rFont val="Cambria"/>
        <family val="0"/>
        <charset val="1"/>
      </rPr>
      <t xml:space="preserve">US$215 × </t>
    </r>
    <r>
      <rPr>
        <sz val="11"/>
        <rFont val="Noto Sans CJK SC"/>
        <family val="2"/>
      </rPr>
      <t xml:space="preserve">面積層數 </t>
    </r>
    <r>
      <rPr>
        <sz val="11"/>
        <rFont val="Cambria"/>
        <family val="0"/>
        <charset val="1"/>
      </rPr>
      <t xml:space="preserve">+18%</t>
    </r>
    <r>
      <rPr>
        <sz val="11"/>
        <rFont val="Noto Sans CJK SC"/>
        <family val="2"/>
      </rPr>
      <t xml:space="preserve">／年 </t>
    </r>
    <r>
      <rPr>
        <sz val="11"/>
        <rFont val="Cambria"/>
        <family val="0"/>
        <charset val="1"/>
      </rPr>
      <t xml:space="preserve">× Ibiden </t>
    </r>
    <r>
      <rPr>
        <sz val="11"/>
        <rFont val="Noto Sans CJK SC"/>
        <family val="2"/>
      </rPr>
      <t xml:space="preserve">溢價指數）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景碩份額（</t>
    </r>
    <r>
      <rPr>
        <sz val="11"/>
        <rFont val="Cambria"/>
        <family val="0"/>
        <charset val="1"/>
      </rPr>
      <t xml:space="preserve">GPU 2%→6%</t>
    </r>
    <r>
      <rPr>
        <sz val="11"/>
        <rFont val="Noto Sans CJK SC"/>
        <family val="2"/>
      </rPr>
      <t xml:space="preserve">、非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金額 </t>
    </r>
    <r>
      <rPr>
        <sz val="11"/>
        <rFont val="Cambria"/>
        <family val="0"/>
        <charset val="1"/>
      </rPr>
      <t xml:space="preserve">3%→6%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NVIDIA CPU 35%→70–75%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CPU </t>
    </r>
    <r>
      <rPr>
        <sz val="11"/>
        <rFont val="Noto Sans CJK SC"/>
        <family val="2"/>
      </rPr>
      <t xml:space="preserve">顆數＝</t>
    </r>
    <r>
      <rPr>
        <sz val="11"/>
        <rFont val="Cambria"/>
        <family val="0"/>
        <charset val="1"/>
      </rPr>
      <t xml:space="preserve">NVIDIA × 0.4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CPU </t>
    </r>
    <r>
      <rPr>
        <sz val="11"/>
        <rFont val="Noto Sans CJK SC"/>
        <family val="2"/>
      </rPr>
      <t xml:space="preserve">載板金額＝</t>
    </r>
    <r>
      <rPr>
        <sz val="11"/>
        <rFont val="Cambria"/>
        <family val="0"/>
        <charset val="1"/>
      </rPr>
      <t xml:space="preserve">GPU × 0.3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漲價年度化 </t>
    </r>
    <r>
      <rPr>
        <sz val="11"/>
        <rFont val="Cambria"/>
        <family val="0"/>
        <charset val="1"/>
      </rPr>
      <t xml:space="preserve">1.15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</si>
  <si>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其他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載板＝</t>
    </r>
    <r>
      <rPr>
        <sz val="11"/>
        <rFont val="Cambria"/>
        <family val="0"/>
        <charset val="1"/>
      </rPr>
      <t xml:space="preserve">FY2026 AI </t>
    </r>
    <r>
      <rPr>
        <sz val="11"/>
        <rFont val="Noto Sans CJK SC"/>
        <family val="2"/>
      </rPr>
      <t xml:space="preserve">載板（</t>
    </r>
    <r>
      <rPr>
        <sz val="11"/>
        <rFont val="Cambria"/>
        <family val="0"/>
        <charset val="1"/>
      </rPr>
      <t xml:space="preserve">ABF × 25%</t>
    </r>
    <r>
      <rPr>
        <sz val="11"/>
        <rFont val="Noto Sans CJK SC"/>
        <family val="2"/>
      </rPr>
      <t xml:space="preserve">）− 加速器與 </t>
    </r>
    <r>
      <rPr>
        <sz val="11"/>
        <rFont val="Cambria"/>
        <family val="0"/>
        <charset val="1"/>
      </rPr>
      <t xml:space="preserve">CPU </t>
    </r>
    <r>
      <rPr>
        <sz val="11"/>
        <rFont val="Noto Sans CJK SC"/>
        <family val="2"/>
      </rPr>
      <t xml:space="preserve">載板（校準殘差），之後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交換晶片與交換器市場成長 </t>
    </r>
    <r>
      <rPr>
        <sz val="11"/>
        <rFont val="Cambria"/>
        <family val="0"/>
        <charset val="1"/>
      </rPr>
      <t xml:space="preserve">^ 0.5 × </t>
    </r>
    <r>
      <rPr>
        <sz val="11"/>
        <rFont val="Noto Sans CJK SC"/>
        <family val="2"/>
      </rPr>
      <t xml:space="preserve">情境係數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溢價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漲價年度化；非 </t>
    </r>
    <r>
      <rPr>
        <sz val="11"/>
        <rFont val="Cambria"/>
        <family val="0"/>
        <charset val="1"/>
      </rPr>
      <t xml:space="preserve">AI ABF </t>
    </r>
    <r>
      <rPr>
        <sz val="11"/>
        <rFont val="Noto Sans CJK SC"/>
        <family val="2"/>
      </rPr>
      <t xml:space="preserve">量 </t>
    </r>
    <r>
      <rPr>
        <sz val="11"/>
        <rFont val="Cambria"/>
        <family val="0"/>
        <charset val="1"/>
      </rPr>
      <t xml:space="preserve">+6%</t>
    </r>
    <r>
      <rPr>
        <sz val="11"/>
        <rFont val="Noto Sans CJK SC"/>
        <family val="2"/>
      </rPr>
      <t xml:space="preserve">／年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漲價年度化。</t>
    </r>
    <r>
      <rPr>
        <sz val="11"/>
        <rFont val="Cambria"/>
        <family val="0"/>
        <charset val="1"/>
      </rPr>
      <t xml:space="preserve">ABF </t>
    </r>
    <r>
      <rPr>
        <sz val="11"/>
        <rFont val="Noto Sans CJK SC"/>
        <family val="2"/>
      </rPr>
      <t xml:space="preserve">產能指數 </t>
    </r>
    <r>
      <rPr>
        <sz val="11"/>
        <rFont val="Cambria"/>
        <family val="0"/>
        <charset val="1"/>
      </rPr>
      <t xml:space="preserve">1.20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1.50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1.85</t>
    </r>
    <r>
      <rPr>
        <sz val="11"/>
        <rFont val="Noto Sans CJK SC"/>
        <family val="2"/>
      </rPr>
      <t xml:space="preserve">（公司規劃，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組合 </t>
    </r>
    <r>
      <rPr>
        <sz val="11"/>
        <rFont val="Cambria"/>
        <family val="0"/>
        <charset val="1"/>
      </rPr>
      <t xml:space="preserve">+5%</t>
    </r>
    <r>
      <rPr>
        <sz val="11"/>
        <rFont val="Noto Sans CJK SC"/>
        <family val="2"/>
      </rPr>
      <t xml:space="preserve">／年。</t>
    </r>
    <r>
      <rPr>
        <sz val="11"/>
        <rFont val="Cambria"/>
        <family val="0"/>
        <charset val="1"/>
      </rPr>
      <t xml:space="preserve">BT </t>
    </r>
    <r>
      <rPr>
        <sz val="11"/>
        <rFont val="Noto Sans CJK SC"/>
        <family val="2"/>
      </rPr>
      <t xml:space="preserve">與其他載板年增依情境（</t>
    </r>
    <r>
      <rPr>
        <sz val="11"/>
        <rFont val="Cambria"/>
        <family val="0"/>
        <charset val="1"/>
      </rPr>
      <t xml:space="preserve">A 28%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20%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3%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12%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0%</t>
    </r>
    <r>
      <rPr>
        <sz val="11"/>
        <rFont val="Noto Sans CJK SC"/>
        <family val="2"/>
      </rPr>
      <t xml:space="preserve">／−</t>
    </r>
    <r>
      <rPr>
        <sz val="11"/>
        <rFont val="Cambria"/>
        <family val="0"/>
        <charset val="1"/>
      </rPr>
      <t xml:space="preserve">3%</t>
    </r>
    <r>
      <rPr>
        <sz val="11"/>
        <rFont val="Noto Sans CJK SC"/>
        <family val="2"/>
      </rPr>
      <t xml:space="preserve">）；晶碩 </t>
    </r>
    <r>
      <rPr>
        <sz val="11"/>
        <rFont val="Cambria"/>
        <family val="0"/>
        <charset val="1"/>
      </rPr>
      <t xml:space="preserve">+10%</t>
    </r>
    <r>
      <rPr>
        <sz val="11"/>
        <rFont val="Noto Sans CJK SC"/>
        <family val="2"/>
      </rPr>
      <t xml:space="preserve">／年。</t>
    </r>
  </si>
  <si>
    <r>
      <rPr>
        <sz val="11"/>
        <rFont val="Noto Sans CJK SC"/>
        <family val="2"/>
      </rPr>
      <t xml:space="preserve">毛利＝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錨點＋</t>
    </r>
    <r>
      <rPr>
        <sz val="11"/>
        <rFont val="Cambria"/>
        <family val="0"/>
        <charset val="1"/>
      </rPr>
      <t xml:space="preserve">ABF </t>
    </r>
    <r>
      <rPr>
        <sz val="11"/>
        <rFont val="Noto Sans CJK SC"/>
        <family val="2"/>
      </rPr>
      <t xml:space="preserve">現金毛利增量（</t>
    </r>
    <r>
      <rPr>
        <sz val="11"/>
        <rFont val="Cambria"/>
        <family val="0"/>
        <charset val="1"/>
      </rPr>
      <t xml:space="preserve">50%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BT </t>
    </r>
    <r>
      <rPr>
        <sz val="11"/>
        <rFont val="Noto Sans CJK SC"/>
        <family val="2"/>
      </rPr>
      <t xml:space="preserve">增量（</t>
    </r>
    <r>
      <rPr>
        <sz val="11"/>
        <rFont val="Cambria"/>
        <family val="0"/>
        <charset val="1"/>
      </rPr>
      <t xml:space="preserve">45%</t>
    </r>
    <r>
      <rPr>
        <sz val="11"/>
        <rFont val="Noto Sans CJK SC"/>
        <family val="2"/>
      </rPr>
      <t xml:space="preserve">）＋晶碩增量（</t>
    </r>
    <r>
      <rPr>
        <sz val="11"/>
        <rFont val="Cambria"/>
        <family val="0"/>
        <charset val="1"/>
      </rPr>
      <t xml:space="preserve">45%</t>
    </r>
    <r>
      <rPr>
        <sz val="11"/>
        <rFont val="Noto Sans CJK SC"/>
        <family val="2"/>
      </rPr>
      <t xml:space="preserve">）＋漲價溢價營收 − 折舊增量；折舊＝前一年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1 − 1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8 </t>
    </r>
    <r>
      <rPr>
        <sz val="11"/>
        <rFont val="Noto Sans CJK SC"/>
        <family val="2"/>
      </rPr>
      <t xml:space="preserve">年）＋前一年資本支出 </t>
    </r>
    <r>
      <rPr>
        <sz val="11"/>
        <rFont val="Cambria"/>
        <family val="0"/>
        <charset val="1"/>
      </rPr>
      <t xml:space="preserve">÷ 8 </t>
    </r>
    <r>
      <rPr>
        <sz val="11"/>
        <rFont val="Noto Sans CJK SC"/>
        <family val="2"/>
      </rPr>
      <t xml:space="preserve">年；資本支出 </t>
    </r>
    <r>
      <rPr>
        <sz val="11"/>
        <rFont val="Cambria"/>
        <family val="0"/>
        <charset val="1"/>
      </rPr>
      <t xml:space="preserve">170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160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120 </t>
    </r>
    <r>
      <rPr>
        <sz val="11"/>
        <rFont val="Noto Sans CJK SC"/>
        <family val="2"/>
      </rPr>
      <t xml:space="preserve">億（三情境相同）。營業費用彈性 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；業外每年 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億；稅率 </t>
    </r>
    <r>
      <rPr>
        <sz val="11"/>
        <rFont val="Cambria"/>
        <family val="0"/>
        <charset val="1"/>
      </rPr>
      <t xml:space="preserve">12%</t>
    </r>
    <r>
      <rPr>
        <sz val="11"/>
        <rFont val="Noto Sans CJK SC"/>
        <family val="2"/>
      </rPr>
      <t xml:space="preserve">；非控制權益＝晶碩營收 </t>
    </r>
    <r>
      <rPr>
        <sz val="11"/>
        <rFont val="Cambria"/>
        <family val="0"/>
        <charset val="1"/>
      </rPr>
      <t xml:space="preserve">× 25% × 68.8%</t>
    </r>
    <r>
      <rPr>
        <sz val="11"/>
        <rFont val="Noto Sans CJK SC"/>
        <family val="2"/>
      </rPr>
      <t xml:space="preserve">；股數持平 </t>
    </r>
    <r>
      <rPr>
        <sz val="11"/>
        <rFont val="Cambria"/>
        <family val="0"/>
        <charset val="1"/>
      </rPr>
      <t xml:space="preserve">5.27 </t>
    </r>
    <r>
      <rPr>
        <sz val="11"/>
        <rFont val="Noto Sans CJK SC"/>
        <family val="2"/>
      </rPr>
      <t xml:space="preserve">億股。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</si>
  <si>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1Q26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2Q26 </t>
    </r>
    <r>
      <rPr>
        <sz val="11"/>
        <rFont val="Noto Sans CJK SC"/>
        <family val="2"/>
      </rPr>
      <t xml:space="preserve">財報實績（</t>
    </r>
    <r>
      <rPr>
        <sz val="11"/>
        <rFont val="Cambria"/>
        <family val="0"/>
        <charset val="1"/>
      </rPr>
      <t xml:space="preserve">EPS 1.17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2.57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 </t>
    </r>
    <r>
      <rPr>
        <sz val="11"/>
        <rFont val="Cambria"/>
        <family val="0"/>
        <charset val="1"/>
      </rPr>
      <t xml:space="preserve">145.4 </t>
    </r>
    <r>
      <rPr>
        <sz val="11"/>
        <rFont val="Noto Sans CJK SC"/>
        <family val="2"/>
      </rPr>
      <t xml:space="preserve">億＋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毛利率 </t>
    </r>
    <r>
      <rPr>
        <sz val="11"/>
        <rFont val="Cambria"/>
        <family val="0"/>
        <charset val="1"/>
      </rPr>
      <t xml:space="preserve">31%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4Q26 </t>
    </r>
    <r>
      <rPr>
        <sz val="11"/>
        <rFont val="Noto Sans CJK SC"/>
        <family val="2"/>
      </rPr>
      <t xml:space="preserve">營收季增 </t>
    </r>
    <r>
      <rPr>
        <sz val="11"/>
        <rFont val="Cambria"/>
        <family val="0"/>
        <charset val="1"/>
      </rPr>
      <t xml:space="preserve">12%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32%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</si>
  <si>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目標價（股東現金流＝每股（淨利＋折舊－資本支出），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，負值取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目標價（欣興、南電、</t>
    </r>
    <r>
      <rPr>
        <sz val="11"/>
        <rFont val="Cambria"/>
        <family val="0"/>
        <charset val="1"/>
      </rPr>
      <t xml:space="preserve">Ibiden</t>
    </r>
    <r>
      <rPr>
        <sz val="11"/>
        <rFont val="Noto Sans CJK SC"/>
        <family val="2"/>
      </rPr>
      <t xml:space="preserve">、三星電機、</t>
    </r>
    <r>
      <rPr>
        <sz val="11"/>
        <rFont val="Cambria"/>
        <family val="0"/>
        <charset val="1"/>
      </rPr>
      <t xml:space="preserve">AT&amp;S </t>
    </r>
    <r>
      <rPr>
        <sz val="11"/>
        <rFont val="Noto Sans CJK SC"/>
        <family val="2"/>
      </rPr>
      <t xml:space="preserve">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；無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單獨目標價、市場共識目標價、差距拆解與上檔空間級距。十年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 </t>
    </r>
    <r>
      <rPr>
        <sz val="11"/>
        <rFont val="Cambria"/>
        <family val="0"/>
        <charset val="1"/>
      </rPr>
      <t xml:space="preserve">× FY2027 EPS </t>
    </r>
    <r>
      <rPr>
        <sz val="11"/>
        <rFont val="Noto Sans CJK SC"/>
        <family val="2"/>
      </rPr>
      <t xml:space="preserve">保留為參考（不是目標價）。本版未做先驗，無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</si>
  <si>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情境與行業一致：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讀 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同字母顆數係數（＝</t>
    </r>
    <r>
      <rPr>
        <sz val="11"/>
        <rFont val="Cambria"/>
        <family val="0"/>
        <charset val="1"/>
      </rPr>
      <t xml:space="preserve">markets/memory SCEN_UNITS</t>
    </r>
    <r>
      <rPr>
        <sz val="11"/>
        <rFont val="Noto Sans CJK SC"/>
        <family val="2"/>
      </rPr>
      <t xml:space="preserve">，建置時核對）；交換器市場讀 </t>
    </r>
    <r>
      <rPr>
        <sz val="11"/>
        <rFont val="Cambria"/>
        <family val="0"/>
        <charset val="1"/>
      </rPr>
      <t xml:space="preserve">markets/network</t>
    </r>
    <r>
      <rPr>
        <sz val="11"/>
        <rFont val="Noto Sans CJK SC"/>
        <family val="2"/>
      </rPr>
      <t xml:space="preserve">（單一路徑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同字母係數）；公司特有變數只有 </t>
    </r>
    <r>
      <rPr>
        <sz val="11"/>
        <rFont val="Cambria"/>
        <family val="0"/>
        <charset val="1"/>
      </rPr>
      <t xml:space="preserve">BT </t>
    </r>
    <r>
      <rPr>
        <sz val="11"/>
        <rFont val="Noto Sans CJK SC"/>
        <family val="2"/>
      </rPr>
      <t xml:space="preserve">與其他載板年增隨情境，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最有利、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最不利。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</si>
  <si>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未使用。公司數字經資料商與媒體轉載（公司原文待人工複核）；券商與資料商為 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</si>
  <si>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公司不揭露 </t>
    </r>
    <r>
      <rPr>
        <sz val="11"/>
        <rFont val="Cambria"/>
        <family val="0"/>
        <charset val="1"/>
      </rPr>
      <t xml:space="preserve">ABF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BT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拆分，產品組合取媒體與法說摘要、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占比取高盛轉述；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券商稱景碩 </t>
    </r>
    <r>
      <rPr>
        <sz val="11"/>
        <rFont val="Cambria"/>
        <family val="0"/>
        <charset val="1"/>
      </rPr>
      <t xml:space="preserve">Rubin GPU </t>
    </r>
    <r>
      <rPr>
        <sz val="11"/>
        <rFont val="Noto Sans CJK SC"/>
        <family val="2"/>
      </rPr>
      <t xml:space="preserve">份額 </t>
    </r>
    <r>
      <rPr>
        <sz val="11"/>
        <rFont val="Cambria"/>
        <family val="0"/>
        <charset val="1"/>
      </rPr>
      <t xml:space="preserve">15–20%</t>
    </r>
    <r>
      <rPr>
        <sz val="11"/>
        <rFont val="Noto Sans CJK SC"/>
        <family val="2"/>
      </rPr>
      <t xml:space="preserve">，與 </t>
    </r>
    <r>
      <rPr>
        <sz val="11"/>
        <rFont val="Cambria"/>
        <family val="0"/>
        <charset val="1"/>
      </rPr>
      <t xml:space="preserve">Ibiden</t>
    </r>
    <r>
      <rPr>
        <sz val="11"/>
        <rFont val="Noto Sans CJK SC"/>
        <family val="2"/>
      </rPr>
      <t xml:space="preserve">、欣興、南電模型的份額合計（</t>
    </r>
    <r>
      <rPr>
        <sz val="11"/>
        <rFont val="Cambria"/>
        <family val="0"/>
        <charset val="1"/>
      </rPr>
      <t xml:space="preserve">94–97%</t>
    </r>
    <r>
      <rPr>
        <sz val="11"/>
        <rFont val="Noto Sans CJK SC"/>
        <family val="2"/>
      </rPr>
      <t xml:space="preserve">）衝突，本模型取剩餘空間（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列高值）；</t>
    </r>
    <r>
      <rPr>
        <sz val="11"/>
        <rFont val="Cambria"/>
        <family val="0"/>
        <charset val="1"/>
      </rPr>
      <t xml:space="preserve">(3) Vera CPU </t>
    </r>
    <r>
      <rPr>
        <sz val="11"/>
        <rFont val="Noto Sans CJK SC"/>
        <family val="2"/>
      </rPr>
      <t xml:space="preserve">份額與 </t>
    </r>
    <r>
      <rPr>
        <sz val="11"/>
        <rFont val="Cambria"/>
        <family val="0"/>
        <charset val="1"/>
      </rPr>
      <t xml:space="preserve">CPU </t>
    </r>
    <r>
      <rPr>
        <sz val="11"/>
        <rFont val="Noto Sans CJK SC"/>
        <family val="2"/>
      </rPr>
      <t xml:space="preserve">載板金額比為公司說法與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毛利用現金流通率近似，未建分廠稼動率；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客戶贊助設備的金額與會計處理未知，資本支出可能高估；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晶碩持股比例由非控制權益推得（約 </t>
    </r>
    <r>
      <rPr>
        <sz val="11"/>
        <rFont val="Cambria"/>
        <family val="0"/>
        <charset val="1"/>
      </rPr>
      <t xml:space="preserve">31%</t>
    </r>
    <r>
      <rPr>
        <sz val="11"/>
        <rFont val="Noto Sans CJK SC"/>
        <family val="2"/>
      </rPr>
      <t xml:space="preserve">），未取得原文；</t>
    </r>
    <r>
      <rPr>
        <sz val="11"/>
        <rFont val="Cambria"/>
        <family val="0"/>
        <charset val="1"/>
      </rPr>
      <t xml:space="preserve">(7)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2023–24 </t>
    </r>
    <r>
      <rPr>
        <sz val="11"/>
        <rFont val="Noto Sans CJK SC"/>
        <family val="2"/>
      </rPr>
      <t xml:space="preserve">年約 </t>
    </r>
    <r>
      <rPr>
        <sz val="11"/>
        <rFont val="Cambria"/>
        <family val="0"/>
        <charset val="1"/>
      </rPr>
      <t xml:space="preserve">900 </t>
    </r>
    <r>
      <rPr>
        <sz val="11"/>
        <rFont val="Noto Sans CJK SC"/>
        <family val="2"/>
      </rPr>
      <t xml:space="preserve">倍、</t>
    </r>
    <r>
      <rPr>
        <sz val="11"/>
        <rFont val="Cambria"/>
        <family val="0"/>
        <charset val="1"/>
      </rPr>
      <t xml:space="preserve">2019 </t>
    </r>
    <r>
      <rPr>
        <sz val="11"/>
        <rFont val="Noto Sans CJK SC"/>
        <family val="2"/>
      </rPr>
      <t xml:space="preserve">年虧損不計；</t>
    </r>
    <r>
      <rPr>
        <sz val="11"/>
        <rFont val="Cambria"/>
        <family val="0"/>
        <charset val="1"/>
      </rPr>
      <t xml:space="preserve">(8) FactSet </t>
    </r>
    <r>
      <rPr>
        <sz val="11"/>
        <rFont val="Noto Sans CJK SC"/>
        <family val="2"/>
      </rPr>
      <t xml:space="preserve">共識為 </t>
    </r>
    <r>
      <rPr>
        <sz val="11"/>
        <rFont val="Cambria"/>
        <family val="0"/>
        <charset val="1"/>
      </rPr>
      <t xml:space="preserve">2026-06</t>
    </r>
    <r>
      <rPr>
        <sz val="11"/>
        <rFont val="Noto Sans CJK SC"/>
        <family val="2"/>
      </rPr>
      <t xml:space="preserve">，主串提供的共識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口徑未查證；</t>
    </r>
    <r>
      <rPr>
        <sz val="11"/>
        <rFont val="Cambria"/>
        <family val="0"/>
        <charset val="1"/>
      </rPr>
      <t xml:space="preserve">(9) 3Q26 </t>
    </r>
    <r>
      <rPr>
        <sz val="11"/>
        <rFont val="Noto Sans CJK SC"/>
        <family val="2"/>
      </rPr>
      <t xml:space="preserve">財報（約 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月底～</t>
    </r>
    <r>
      <rPr>
        <sz val="11"/>
        <rFont val="Cambria"/>
        <family val="0"/>
        <charset val="1"/>
      </rPr>
      <t xml:space="preserve">11 </t>
    </r>
    <r>
      <rPr>
        <sz val="11"/>
        <rFont val="Noto Sans CJK SC"/>
        <family val="2"/>
      </rPr>
      <t xml:space="preserve">月初）後更新錨點。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</si>
  <si>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）；顆數：百萬顆；比例：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</si>
  <si>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給低／高區間，不當點估計（放情境或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未使用。公司數字經資料商（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）與媒體轉載；公司說法為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；券商、媒體、資料商為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</si>
  <si>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</si>
  <si>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</si>
  <si>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</si>
  <si>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</si>
  <si>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</si>
  <si>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</si>
  <si>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</si>
  <si>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</si>
  <si>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</si>
  <si>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加速器顆數、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資本支出與交換器市場（讀 </t>
    </r>
    <r>
      <rPr>
        <b val="true"/>
        <sz val="11"/>
        <rFont val="Cambria"/>
        <family val="0"/>
        <charset val="1"/>
      </rPr>
      <t xml:space="preserve">markets/network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成品；唯讀，不自行重估）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</si>
  <si>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</si>
  <si>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</si>
  <si>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</si>
  <si>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</si>
  <si>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</t>
    </r>
  </si>
  <si>
    <r>
      <rPr>
        <sz val="11"/>
        <color theme="1"/>
        <rFont val="Noto Sans CJK SC"/>
        <family val="2"/>
      </rPr>
      <t xml:space="preserve">唯讀上游；與 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、欣興、南電、台積電模型同一份顆數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</si>
  <si>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</si>
  <si>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</si>
  <si>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</si>
  <si>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</si>
  <si>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</si>
  <si>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</si>
  <si>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</si>
  <si>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</si>
  <si>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%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</si>
  <si>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In!E8</t>
    </r>
  </si>
  <si>
    <t xml:space="preserve">同上</t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</si>
  <si>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</si>
  <si>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</si>
  <si>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In!E9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</si>
  <si>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</si>
  <si>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</si>
  <si>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</si>
  <si>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</si>
  <si>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</si>
  <si>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In!E11</t>
    </r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</si>
  <si>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</si>
  <si>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</si>
  <si>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In!E12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</si>
  <si>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</si>
  <si>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</si>
  <si>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In!E13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</si>
  <si>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</si>
  <si>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</si>
  <si>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In!E14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</si>
  <si>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</si>
  <si>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</si>
  <si>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In!E15</t>
    </r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</si>
  <si>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</si>
  <si>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</si>
  <si>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In!E16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</si>
  <si>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</si>
  <si>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</si>
  <si>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In!E17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</si>
  <si>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</si>
  <si>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</si>
  <si>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In!E18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</si>
  <si>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</si>
  <si>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</si>
  <si>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In!E19</t>
    </r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</si>
  <si>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</si>
  <si>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</si>
  <si>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In!E20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</si>
  <si>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</si>
  <si>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</si>
  <si>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In!E21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</si>
  <si>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</si>
  <si>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</si>
  <si>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In!E22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</si>
  <si>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</si>
  <si>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</si>
  <si>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In!E23</t>
    </r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</si>
  <si>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</si>
  <si>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</si>
  <si>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In!E24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</si>
  <si>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</si>
  <si>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</si>
  <si>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In!E25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</si>
  <si>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</si>
  <si>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</si>
  <si>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In!E26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</si>
  <si>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</si>
  <si>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</si>
  <si>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In!E27</t>
    </r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</si>
  <si>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</si>
  <si>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</si>
  <si>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</si>
  <si>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</si>
  <si>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</si>
  <si>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In!E29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</si>
  <si>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</si>
  <si>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</si>
  <si>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In!E30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</si>
  <si>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</si>
  <si>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</si>
  <si>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In!E31</t>
    </r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</si>
  <si>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</si>
  <si>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</si>
  <si>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In!E32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</si>
  <si>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</si>
  <si>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</si>
  <si>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</si>
  <si>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</si>
  <si>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</si>
  <si>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In!E34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</si>
  <si>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</si>
  <si>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</si>
  <si>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In!E35</t>
    </r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</si>
  <si>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</si>
  <si>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</si>
  <si>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In!E36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</si>
  <si>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</si>
  <si>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</si>
  <si>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</si>
  <si>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</si>
  <si>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換算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</si>
  <si>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</si>
  <si>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</si>
  <si>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</si>
  <si>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</si>
  <si>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</si>
  <si>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</si>
  <si>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swm_26</t>
  </si>
  <si>
    <r>
      <rPr>
        <sz val="11"/>
        <color theme="1"/>
        <rFont val="Noto Sans CJK SC"/>
        <family val="2"/>
      </rPr>
      <t xml:space="preserve">交換晶片與交換器市場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scale-up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scale-out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</si>
  <si>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Mkt!C17:F17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</si>
  <si>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載板（網通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、交換器、</t>
    </r>
    <r>
      <rPr>
        <sz val="11"/>
        <color theme="1"/>
        <rFont val="Calibri"/>
        <family val="2"/>
        <charset val="1"/>
      </rPr>
      <t xml:space="preserve">FPGA</t>
    </r>
    <r>
      <rPr>
        <sz val="11"/>
        <color theme="1"/>
        <rFont val="Noto Sans CJK SC"/>
        <family val="2"/>
      </rPr>
      <t xml:space="preserve">）的成長依據</t>
    </r>
  </si>
  <si>
    <t xml:space="preserve">swm_27</t>
  </si>
  <si>
    <r>
      <rPr>
        <sz val="11"/>
        <color theme="1"/>
        <rFont val="Noto Sans CJK SC"/>
        <family val="2"/>
      </rPr>
      <t xml:space="preserve">交換晶片與交換器市場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scale-up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scale-out</t>
    </r>
    <r>
      <rPr>
        <sz val="11"/>
        <color theme="1"/>
        <rFont val="Noto Sans CJK SC"/>
        <family val="2"/>
      </rPr>
      <t xml:space="preserve">）</t>
    </r>
  </si>
  <si>
    <t xml:space="preserve">swm_28</t>
  </si>
  <si>
    <r>
      <rPr>
        <sz val="11"/>
        <color theme="1"/>
        <rFont val="Noto Sans CJK SC"/>
        <family val="2"/>
      </rPr>
      <t xml:space="preserve">交換晶片與交換器市場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scale-up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scale-out</t>
    </r>
    <r>
      <rPr>
        <sz val="11"/>
        <color theme="1"/>
        <rFont val="Noto Sans CJK SC"/>
        <family val="2"/>
      </rPr>
      <t xml:space="preserve">）</t>
    </r>
  </si>
  <si>
    <t xml:space="preserve">swm_29</t>
  </si>
  <si>
    <r>
      <rPr>
        <sz val="11"/>
        <color theme="1"/>
        <rFont val="Noto Sans CJK SC"/>
        <family val="2"/>
      </rPr>
      <t xml:space="preserve">交換晶片與交換器市場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scale-up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scale-out</t>
    </r>
    <r>
      <rPr>
        <sz val="11"/>
        <color theme="1"/>
        <rFont val="Noto Sans CJK SC"/>
        <family val="2"/>
      </rPr>
      <t xml:space="preserve">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</si>
  <si>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</si>
  <si>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</si>
  <si>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</si>
  <si>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</si>
  <si>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</si>
  <si>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＝順利（基準）；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＝不如預期；與台積電、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、欣興、南電模型相同（＝</t>
    </r>
    <r>
      <rPr>
        <sz val="11"/>
        <color theme="1"/>
        <rFont val="Calibri"/>
        <family val="2"/>
        <charset val="1"/>
      </rPr>
      <t xml:space="preserve">markets/memory SCEN_UNITS</t>
    </r>
    <r>
      <rPr>
        <sz val="11"/>
        <color theme="1"/>
        <rFont val="Noto Sans CJK SC"/>
        <family val="2"/>
      </rPr>
      <t xml:space="preserve">，建置時核對）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</si>
  <si>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</si>
  <si>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</si>
  <si>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</si>
  <si>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</si>
  <si>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</si>
  <si>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</si>
  <si>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</si>
  <si>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</si>
  <si>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</si>
  <si>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</si>
  <si>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</si>
  <si>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</si>
  <si>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</si>
  <si>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</si>
  <si>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</si>
  <si>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每顆加速器載板金額與份額（口徑與 </t>
    </r>
    <r>
      <rPr>
        <b val="true"/>
        <sz val="11"/>
        <rFont val="Cambria"/>
        <family val="0"/>
        <charset val="1"/>
      </rPr>
      <t xml:space="preserve">Ibiden</t>
    </r>
    <r>
      <rPr>
        <b val="true"/>
        <sz val="11"/>
        <rFont val="Noto Sans CJK SC"/>
        <family val="2"/>
      </rPr>
      <t xml:space="preserve">、欣興、南電一致；三者數字唯讀取自各自 </t>
    </r>
    <r>
      <rPr>
        <b val="true"/>
        <sz val="11"/>
        <rFont val="Cambria"/>
        <family val="0"/>
        <charset val="1"/>
      </rPr>
      <t xml:space="preserve">dist</t>
    </r>
    <r>
      <rPr>
        <b val="true"/>
        <sz val="11"/>
        <rFont val="Noto Sans CJK SC"/>
        <family val="2"/>
      </rPr>
      <t xml:space="preserve">）</t>
    </r>
  </si>
  <si>
    <t xml:space="preserve">v26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</si>
  <si>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加速器載板金額（全市場；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模型校準）</t>
    </r>
  </si>
  <si>
    <t xml:space="preserve">US$</t>
  </si>
  <si>
    <r>
      <rPr>
        <sz val="11"/>
        <color theme="1"/>
        <rFont val="Calibri"/>
        <family val="2"/>
        <charset val="1"/>
      </rPr>
      <t xml:space="preserve">ibiden/dist/20261025_Ibiden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Units!C8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</si>
  <si>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模型：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每顆營收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</si>
  <si>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g_asp</t>
  </si>
  <si>
    <r>
      <rPr>
        <sz val="11"/>
        <color theme="1"/>
        <rFont val="Noto Sans CJK SC"/>
        <family val="2"/>
      </rPr>
      <t xml:space="preserve">每顆載板金額年增（面積、層數；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</si>
  <si>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t xml:space="preserve">Analogy</t>
  </si>
  <si>
    <r>
      <rPr>
        <sz val="11"/>
        <color theme="1"/>
        <rFont val="Calibri"/>
        <family val="2"/>
        <charset val="1"/>
      </rPr>
      <t xml:space="preserve">ibiden/dist/20261025_Ibiden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In!E50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</si>
  <si>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路線圖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90×90 mm → 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110×110 mm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</si>
  <si>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t xml:space="preserve">ibpp_27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</si>
  <si>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</si>
  <si>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ibiden/dist/20261025_Ibiden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In!E55</t>
    </r>
  </si>
  <si>
    <r>
      <rPr>
        <sz val="11"/>
        <color theme="1"/>
        <rFont val="Noto Sans CJK SC"/>
        <family val="2"/>
      </rPr>
      <t xml:space="preserve">全市場短缺溢價；新產能到位後回落（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模型；欣興、南電模型同值）</t>
    </r>
  </si>
  <si>
    <t xml:space="preserve">ibrel_27</t>
  </si>
  <si>
    <r>
      <rPr>
        <sz val="11"/>
        <color theme="1"/>
        <rFont val="Calibri"/>
        <family val="2"/>
        <charset val="1"/>
      </rPr>
      <t xml:space="preserve">Ibiden NVIDIA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</si>
  <si>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ibiden/dist/20261025_Ibiden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In!E51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</si>
  <si>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頁份額合計檢查用</t>
    </r>
  </si>
  <si>
    <t xml:space="preserve">ibpp_28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</si>
  <si>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</si>
  <si>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ibiden/dist/20261025_Ibiden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In!E56</t>
    </r>
  </si>
  <si>
    <t xml:space="preserve">ibrel_28</t>
  </si>
  <si>
    <r>
      <rPr>
        <sz val="11"/>
        <color theme="1"/>
        <rFont val="Calibri"/>
        <family val="2"/>
        <charset val="1"/>
      </rPr>
      <t xml:space="preserve">Ibiden NVIDIA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</si>
  <si>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ibiden/dist/20261025_Ibiden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In!E52</t>
    </r>
  </si>
  <si>
    <t xml:space="preserve">ibpp_29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</si>
  <si>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</si>
  <si>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ibiden/dist/20261025_Ibiden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In!E57</t>
    </r>
  </si>
  <si>
    <t xml:space="preserve">ibrel_29</t>
  </si>
  <si>
    <r>
      <rPr>
        <sz val="11"/>
        <color theme="1"/>
        <rFont val="Calibri"/>
        <family val="2"/>
        <charset val="1"/>
      </rPr>
      <t xml:space="preserve">Ibiden NVIDIA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</si>
  <si>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ibiden/dist/20261025_Ibiden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In!E53</t>
    </r>
  </si>
  <si>
    <t xml:space="preserve">ib_sh26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</si>
  <si>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模型假設）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</si>
  <si>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</si>
  <si>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ibiden/dist/20261025_Ibiden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Units!C8</t>
    </r>
    <r>
      <rPr>
        <sz val="11"/>
        <color theme="1"/>
        <rFont val="Noto Sans CJK SC"/>
        <family val="2"/>
      </rPr>
      <t xml:space="preserve">（列標籤：假設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</si>
  <si>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Ibiden 70–80%</t>
    </r>
  </si>
  <si>
    <t xml:space="preserve">ib_w_ot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</si>
  <si>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權重（份額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每顆金額，相對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</si>
  <si>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ibiden/dist/20261025_Ibiden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In!E48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</si>
  <si>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÷ v_ot </t>
    </r>
    <r>
      <rPr>
        <sz val="11"/>
        <color theme="1"/>
        <rFont val="Noto Sans CJK SC"/>
        <family val="2"/>
      </rPr>
      <t xml:space="preserve">即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</t>
    </r>
  </si>
  <si>
    <t xml:space="preserve">v_ot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</si>
  <si>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加速器每顆載板金額 </t>
    </r>
    <r>
      <rPr>
        <sz val="11"/>
        <color theme="1"/>
        <rFont val="Calibri"/>
        <family val="2"/>
        <charset val="1"/>
      </rPr>
      <t xml:space="preserve">÷ NVIDIA</t>
    </r>
    <r>
      <rPr>
        <sz val="11"/>
        <color theme="1"/>
        <rFont val="Noto Sans CJK SC"/>
        <family val="2"/>
      </rPr>
      <t xml:space="preserve">（欣興、南電模型同值）</t>
    </r>
  </si>
  <si>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 </t>
    </r>
    <r>
      <rPr>
        <sz val="11"/>
        <color theme="1"/>
        <rFont val="Noto Sans CJK SC"/>
        <family val="2"/>
      </rPr>
      <t xml:space="preserve">系列封裝面積接近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；量化：未找到</t>
    </r>
  </si>
  <si>
    <r>
      <rPr>
        <sz val="11"/>
        <color theme="1"/>
        <rFont val="Noto Sans CJK SC"/>
        <family val="2"/>
      </rPr>
      <t xml:space="preserve">與欣興、南電模型 </t>
    </r>
    <r>
      <rPr>
        <sz val="11"/>
        <color theme="1"/>
        <rFont val="Calibri"/>
        <family val="2"/>
        <charset val="1"/>
      </rPr>
      <t xml:space="preserve">v_ot </t>
    </r>
    <r>
      <rPr>
        <sz val="11"/>
        <color theme="1"/>
        <rFont val="Noto Sans CJK SC"/>
        <family val="2"/>
      </rPr>
      <t xml:space="preserve">相同</t>
    </r>
  </si>
  <si>
    <t xml:space="preserve">un_nv_26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</si>
  <si>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（欣興模型）</t>
    </r>
  </si>
  <si>
    <r>
      <rPr>
        <sz val="11"/>
        <color theme="1"/>
        <rFont val="Calibri"/>
        <family val="2"/>
        <charset val="1"/>
      </rPr>
      <t xml:space="preserve">unimicron/dist/20261025_</t>
    </r>
    <r>
      <rPr>
        <sz val="11"/>
        <color theme="1"/>
        <rFont val="Noto Sans CJK SC"/>
        <family val="2"/>
      </rPr>
      <t xml:space="preserve">欣興模型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In!E59</t>
    </r>
  </si>
  <si>
    <t xml:space="preserve">un_ot_26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</si>
  <si>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（欣興模型）</t>
    </r>
  </si>
  <si>
    <r>
      <rPr>
        <sz val="11"/>
        <color theme="1"/>
        <rFont val="Calibri"/>
        <family val="2"/>
        <charset val="1"/>
      </rPr>
      <t xml:space="preserve">unimicron/dist/20261025_</t>
    </r>
    <r>
      <rPr>
        <sz val="11"/>
        <color theme="1"/>
        <rFont val="Noto Sans CJK SC"/>
        <family val="2"/>
      </rPr>
      <t xml:space="preserve">欣興模型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In!E63</t>
    </r>
  </si>
  <si>
    <t xml:space="preserve">np_nv_26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</si>
  <si>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（南電模型）</t>
    </r>
  </si>
  <si>
    <r>
      <rPr>
        <sz val="11"/>
        <color theme="1"/>
        <rFont val="Calibri"/>
        <family val="2"/>
        <charset val="1"/>
      </rPr>
      <t xml:space="preserve">nanya_pcb/dist/20261025_</t>
    </r>
    <r>
      <rPr>
        <sz val="11"/>
        <color theme="1"/>
        <rFont val="Noto Sans CJK SC"/>
        <family val="2"/>
      </rPr>
      <t xml:space="preserve">南電模型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In!E71</t>
    </r>
  </si>
  <si>
    <t xml:space="preserve">np_ot_26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</si>
  <si>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（南電模型）</t>
    </r>
  </si>
  <si>
    <r>
      <rPr>
        <sz val="11"/>
        <color theme="1"/>
        <rFont val="Calibri"/>
        <family val="2"/>
        <charset val="1"/>
      </rPr>
      <t xml:space="preserve">nanya_pcb/dist/20261025_</t>
    </r>
    <r>
      <rPr>
        <sz val="11"/>
        <color theme="1"/>
        <rFont val="Noto Sans CJK SC"/>
        <family val="2"/>
      </rPr>
      <t xml:space="preserve">南電模型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In!E75</t>
    </r>
  </si>
  <si>
    <t xml:space="preserve">un_nv_27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</si>
  <si>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（欣興模型）</t>
    </r>
  </si>
  <si>
    <r>
      <rPr>
        <sz val="11"/>
        <color theme="1"/>
        <rFont val="Calibri"/>
        <family val="2"/>
        <charset val="1"/>
      </rPr>
      <t xml:space="preserve">unimicron/dist/20261025_</t>
    </r>
    <r>
      <rPr>
        <sz val="11"/>
        <color theme="1"/>
        <rFont val="Noto Sans CJK SC"/>
        <family val="2"/>
      </rPr>
      <t xml:space="preserve">欣興模型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In!E60</t>
    </r>
  </si>
  <si>
    <t xml:space="preserve">un_ot_27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</si>
  <si>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（欣興模型）</t>
    </r>
  </si>
  <si>
    <r>
      <rPr>
        <sz val="11"/>
        <color theme="1"/>
        <rFont val="Calibri"/>
        <family val="2"/>
        <charset val="1"/>
      </rPr>
      <t xml:space="preserve">unimicron/dist/20261025_</t>
    </r>
    <r>
      <rPr>
        <sz val="11"/>
        <color theme="1"/>
        <rFont val="Noto Sans CJK SC"/>
        <family val="2"/>
      </rPr>
      <t xml:space="preserve">欣興模型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In!E64</t>
    </r>
  </si>
  <si>
    <t xml:space="preserve">np_nv_27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</si>
  <si>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（南電模型）</t>
    </r>
  </si>
  <si>
    <r>
      <rPr>
        <sz val="11"/>
        <color theme="1"/>
        <rFont val="Calibri"/>
        <family val="2"/>
        <charset val="1"/>
      </rPr>
      <t xml:space="preserve">nanya_pcb/dist/20261025_</t>
    </r>
    <r>
      <rPr>
        <sz val="11"/>
        <color theme="1"/>
        <rFont val="Noto Sans CJK SC"/>
        <family val="2"/>
      </rPr>
      <t xml:space="preserve">南電模型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In!E72</t>
    </r>
  </si>
  <si>
    <t xml:space="preserve">np_ot_27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</si>
  <si>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（南電模型）</t>
    </r>
  </si>
  <si>
    <r>
      <rPr>
        <sz val="11"/>
        <color theme="1"/>
        <rFont val="Calibri"/>
        <family val="2"/>
        <charset val="1"/>
      </rPr>
      <t xml:space="preserve">nanya_pcb/dist/20261025_</t>
    </r>
    <r>
      <rPr>
        <sz val="11"/>
        <color theme="1"/>
        <rFont val="Noto Sans CJK SC"/>
        <family val="2"/>
      </rPr>
      <t xml:space="preserve">南電模型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In!E76</t>
    </r>
  </si>
  <si>
    <t xml:space="preserve">un_nv_28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</si>
  <si>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（欣興模型）</t>
    </r>
  </si>
  <si>
    <r>
      <rPr>
        <sz val="11"/>
        <color theme="1"/>
        <rFont val="Calibri"/>
        <family val="2"/>
        <charset val="1"/>
      </rPr>
      <t xml:space="preserve">unimicron/dist/20261025_</t>
    </r>
    <r>
      <rPr>
        <sz val="11"/>
        <color theme="1"/>
        <rFont val="Noto Sans CJK SC"/>
        <family val="2"/>
      </rPr>
      <t xml:space="preserve">欣興模型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In!E61</t>
    </r>
  </si>
  <si>
    <t xml:space="preserve">un_ot_28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</si>
  <si>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（欣興模型）</t>
    </r>
  </si>
  <si>
    <r>
      <rPr>
        <sz val="11"/>
        <color theme="1"/>
        <rFont val="Calibri"/>
        <family val="2"/>
        <charset val="1"/>
      </rPr>
      <t xml:space="preserve">unimicron/dist/20261025_</t>
    </r>
    <r>
      <rPr>
        <sz val="11"/>
        <color theme="1"/>
        <rFont val="Noto Sans CJK SC"/>
        <family val="2"/>
      </rPr>
      <t xml:space="preserve">欣興模型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In!E65</t>
    </r>
  </si>
  <si>
    <t xml:space="preserve">np_nv_28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</si>
  <si>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（南電模型）</t>
    </r>
  </si>
  <si>
    <r>
      <rPr>
        <sz val="11"/>
        <color theme="1"/>
        <rFont val="Calibri"/>
        <family val="2"/>
        <charset val="1"/>
      </rPr>
      <t xml:space="preserve">nanya_pcb/dist/20261025_</t>
    </r>
    <r>
      <rPr>
        <sz val="11"/>
        <color theme="1"/>
        <rFont val="Noto Sans CJK SC"/>
        <family val="2"/>
      </rPr>
      <t xml:space="preserve">南電模型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In!E73</t>
    </r>
  </si>
  <si>
    <t xml:space="preserve">np_ot_28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</si>
  <si>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（南電模型）</t>
    </r>
  </si>
  <si>
    <r>
      <rPr>
        <sz val="11"/>
        <color theme="1"/>
        <rFont val="Calibri"/>
        <family val="2"/>
        <charset val="1"/>
      </rPr>
      <t xml:space="preserve">nanya_pcb/dist/20261025_</t>
    </r>
    <r>
      <rPr>
        <sz val="11"/>
        <color theme="1"/>
        <rFont val="Noto Sans CJK SC"/>
        <family val="2"/>
      </rPr>
      <t xml:space="preserve">南電模型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In!E77</t>
    </r>
  </si>
  <si>
    <t xml:space="preserve">un_nv_29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</si>
  <si>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（欣興模型）</t>
    </r>
  </si>
  <si>
    <r>
      <rPr>
        <sz val="11"/>
        <color theme="1"/>
        <rFont val="Calibri"/>
        <family val="2"/>
        <charset val="1"/>
      </rPr>
      <t xml:space="preserve">unimicron/dist/20261025_</t>
    </r>
    <r>
      <rPr>
        <sz val="11"/>
        <color theme="1"/>
        <rFont val="Noto Sans CJK SC"/>
        <family val="2"/>
      </rPr>
      <t xml:space="preserve">欣興模型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In!E62</t>
    </r>
  </si>
  <si>
    <t xml:space="preserve">un_ot_29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</si>
  <si>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（欣興模型）</t>
    </r>
  </si>
  <si>
    <r>
      <rPr>
        <sz val="11"/>
        <color theme="1"/>
        <rFont val="Calibri"/>
        <family val="2"/>
        <charset val="1"/>
      </rPr>
      <t xml:space="preserve">unimicron/dist/20261025_</t>
    </r>
    <r>
      <rPr>
        <sz val="11"/>
        <color theme="1"/>
        <rFont val="Noto Sans CJK SC"/>
        <family val="2"/>
      </rPr>
      <t xml:space="preserve">欣興模型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In!E66</t>
    </r>
  </si>
  <si>
    <t xml:space="preserve">np_nv_29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</si>
  <si>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（南電模型）</t>
    </r>
  </si>
  <si>
    <r>
      <rPr>
        <sz val="11"/>
        <color theme="1"/>
        <rFont val="Calibri"/>
        <family val="2"/>
        <charset val="1"/>
      </rPr>
      <t xml:space="preserve">nanya_pcb/dist/20261025_</t>
    </r>
    <r>
      <rPr>
        <sz val="11"/>
        <color theme="1"/>
        <rFont val="Noto Sans CJK SC"/>
        <family val="2"/>
      </rPr>
      <t xml:space="preserve">南電模型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In!E74</t>
    </r>
  </si>
  <si>
    <t xml:space="preserve">np_ot_29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</si>
  <si>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（南電模型）</t>
    </r>
  </si>
  <si>
    <r>
      <rPr>
        <sz val="11"/>
        <color theme="1"/>
        <rFont val="Calibri"/>
        <family val="2"/>
        <charset val="1"/>
      </rPr>
      <t xml:space="preserve">nanya_pcb/dist/20261025_</t>
    </r>
    <r>
      <rPr>
        <sz val="11"/>
        <color theme="1"/>
        <rFont val="Noto Sans CJK SC"/>
        <family val="2"/>
      </rPr>
      <t xml:space="preserve">南電模型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In!E78</t>
    </r>
  </si>
  <si>
    <t xml:space="preserve">sh_nv_26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</si>
  <si>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</si>
  <si>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TechNews 2026-08-04</t>
    </r>
    <r>
      <rPr>
        <sz val="11"/>
        <color theme="1"/>
        <rFont val="Noto Sans CJK SC"/>
        <family val="2"/>
      </rPr>
      <t xml:space="preserve">（高盛；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法說重點）：預估 </t>
    </r>
    <r>
      <rPr>
        <sz val="11"/>
        <color theme="1"/>
        <rFont val="Calibri"/>
        <family val="2"/>
        <charset val="1"/>
      </rPr>
      <t xml:space="preserve">AI GPU </t>
    </r>
    <r>
      <rPr>
        <sz val="11"/>
        <color theme="1"/>
        <rFont val="Noto Sans CJK SC"/>
        <family val="2"/>
      </rPr>
      <t xml:space="preserve">載板市占未來幾季升到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；經濟日報 </t>
    </r>
    <r>
      <rPr>
        <sz val="11"/>
        <color theme="1"/>
        <rFont val="Calibri"/>
        <family val="2"/>
        <charset val="1"/>
      </rPr>
      <t xml:space="preserve">2026-09-16</t>
    </r>
    <r>
      <rPr>
        <sz val="11"/>
        <color theme="1"/>
        <rFont val="Noto Sans CJK SC"/>
        <family val="2"/>
      </rPr>
      <t xml:space="preserve">（投顧法人：</t>
    </r>
    <r>
      <rPr>
        <sz val="11"/>
        <color theme="1"/>
        <rFont val="Calibri"/>
        <family val="2"/>
        <charset val="1"/>
      </rPr>
      <t xml:space="preserve">Vera 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份額、產能）：</t>
    </r>
    <r>
      <rPr>
        <sz val="11"/>
        <color theme="1"/>
        <rFont val="Calibri"/>
        <family val="2"/>
        <charset val="1"/>
      </rPr>
      <t xml:space="preserve">Rubin GPU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</si>
  <si>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景碩分析 </t>
    </r>
    <r>
      <rPr>
        <sz val="11"/>
        <color theme="1"/>
        <rFont val="Calibri"/>
        <family val="2"/>
        <charset val="1"/>
      </rPr>
      <t xml:space="preserve">2026-04-07</t>
    </r>
    <r>
      <rPr>
        <sz val="11"/>
        <color theme="1"/>
        <rFont val="Noto Sans CJK SC"/>
        <family val="2"/>
      </rPr>
      <t xml:space="preserve">（引述券商；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Vera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初期份額約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（說法；與上游份額衝突，見 </t>
    </r>
    <r>
      <rPr>
        <sz val="11"/>
        <color theme="1"/>
        <rFont val="Calibri"/>
        <family val="2"/>
        <charset val="1"/>
      </rPr>
      <t xml:space="preserve">README</t>
    </r>
    <r>
      <rPr>
        <sz val="11"/>
        <color theme="1"/>
        <rFont val="Noto Sans CJK SC"/>
        <family val="2"/>
      </rPr>
      <t xml:space="preserve">）</t>
    </r>
  </si>
  <si>
    <t xml:space="preserve">sh_nv_27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</si>
  <si>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</si>
  <si>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上游合計限制：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70% × </t>
    </r>
    <r>
      <rPr>
        <sz val="11"/>
        <color theme="1"/>
        <rFont val="Noto Sans CJK SC"/>
        <family val="2"/>
      </rPr>
      <t xml:space="preserve">相對值）＋欣興＋南電已占 </t>
    </r>
    <r>
      <rPr>
        <sz val="11"/>
        <color theme="1"/>
        <rFont val="Calibri"/>
        <family val="2"/>
        <charset val="1"/>
      </rPr>
      <t xml:space="preserve">94–97%</t>
    </r>
    <r>
      <rPr>
        <sz val="11"/>
        <color theme="1"/>
        <rFont val="Noto Sans CJK SC"/>
        <family val="2"/>
      </rPr>
      <t xml:space="preserve">，基準取剩餘空間（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頁）；高值取券商說法下緣</t>
    </r>
  </si>
  <si>
    <t xml:space="preserve">—</t>
  </si>
  <si>
    <t xml:space="preserve">sh_nv_28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</si>
  <si>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2028</t>
    </r>
  </si>
  <si>
    <t xml:space="preserve">sh_nv_29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</si>
  <si>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2029</t>
    </r>
  </si>
  <si>
    <t xml:space="preserve">sh_ot_26</t>
  </si>
  <si>
    <r>
      <rPr>
        <sz val="11"/>
        <color theme="1"/>
        <rFont val="Noto Sans CJK SC"/>
        <family val="2"/>
      </rPr>
      <t xml:space="preserve">景碩占非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</si>
  <si>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景碩分析 </t>
    </r>
    <r>
      <rPr>
        <sz val="11"/>
        <color theme="1"/>
        <rFont val="Calibri"/>
        <family val="2"/>
        <charset val="1"/>
      </rPr>
      <t xml:space="preserve">2026-04-07</t>
    </r>
    <r>
      <rPr>
        <sz val="11"/>
        <color theme="1"/>
        <rFont val="Noto Sans CJK SC"/>
        <family val="2"/>
      </rPr>
      <t xml:space="preserve">（引述券商；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起出貨，</t>
    </r>
    <r>
      <rPr>
        <sz val="11"/>
        <color theme="1"/>
        <rFont val="Calibri"/>
        <family val="2"/>
        <charset val="1"/>
      </rPr>
      <t xml:space="preserve">AWS Trainium 2H26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</si>
  <si>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Noto Sans CJK SC"/>
        <family val="2"/>
      </rPr>
      <t xml:space="preserve">合計檢查：</t>
    </r>
    <r>
      <rPr>
        <sz val="11"/>
        <color theme="1"/>
        <rFont val="Calibri"/>
        <family val="2"/>
        <charset val="1"/>
      </rPr>
      <t xml:space="preserve">Ibiden 50%</t>
    </r>
    <r>
      <rPr>
        <sz val="11"/>
        <color theme="1"/>
        <rFont val="Noto Sans CJK SC"/>
        <family val="2"/>
      </rPr>
      <t xml:space="preserve">＋欣興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＋南電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，其餘為三星電機、景碩、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</si>
  <si>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sh_ot_27</t>
  </si>
  <si>
    <r>
      <rPr>
        <sz val="11"/>
        <color theme="1"/>
        <rFont val="Noto Sans CJK SC"/>
        <family val="2"/>
      </rPr>
      <t xml:space="preserve">景碩占非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2027</t>
    </r>
  </si>
  <si>
    <t xml:space="preserve">sh_ot_28</t>
  </si>
  <si>
    <r>
      <rPr>
        <sz val="11"/>
        <color theme="1"/>
        <rFont val="Noto Sans CJK SC"/>
        <family val="2"/>
      </rPr>
      <t xml:space="preserve">景碩占非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2028</t>
    </r>
  </si>
  <si>
    <t xml:space="preserve">sh_ot_29</t>
  </si>
  <si>
    <r>
      <rPr>
        <sz val="11"/>
        <color theme="1"/>
        <rFont val="Noto Sans CJK SC"/>
        <family val="2"/>
      </rPr>
      <t xml:space="preserve">景碩占非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2029</t>
    </r>
  </si>
  <si>
    <t xml:space="preserve">cpu_r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</si>
  <si>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自家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Grace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Vera</t>
    </r>
    <r>
      <rPr>
        <sz val="11"/>
        <color theme="1"/>
        <rFont val="Noto Sans CJK SC"/>
        <family val="2"/>
      </rPr>
      <t xml:space="preserve">）顆數 </t>
    </r>
    <r>
      <rPr>
        <sz val="11"/>
        <color theme="1"/>
        <rFont val="Calibri"/>
        <family val="2"/>
        <charset val="1"/>
      </rPr>
      <t xml:space="preserve">÷ NVIDIA </t>
    </r>
    <r>
      <rPr>
        <sz val="11"/>
        <color theme="1"/>
        <rFont val="Noto Sans CJK SC"/>
        <family val="2"/>
      </rPr>
      <t xml:space="preserve">加速器顆數</t>
    </r>
  </si>
  <si>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VR200 NVL72 </t>
    </r>
    <r>
      <rPr>
        <sz val="11"/>
        <color theme="1"/>
        <rFont val="Noto Sans CJK SC"/>
        <family val="2"/>
      </rPr>
      <t xml:space="preserve">機櫃：每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封裝配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HGX </t>
    </r>
    <r>
      <rPr>
        <sz val="11"/>
        <color theme="1"/>
        <rFont val="Noto Sans CJK SC"/>
        <family val="2"/>
      </rPr>
      <t xml:space="preserve">系統用 </t>
    </r>
    <r>
      <rPr>
        <sz val="11"/>
        <color theme="1"/>
        <rFont val="Calibri"/>
        <family val="2"/>
        <charset val="1"/>
      </rPr>
      <t xml:space="preserve">x86 CPU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</si>
  <si>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機櫃與 </t>
    </r>
    <r>
      <rPr>
        <sz val="11"/>
        <color theme="1"/>
        <rFont val="Calibri"/>
        <family val="2"/>
        <charset val="1"/>
      </rPr>
      <t xml:space="preserve">HGX </t>
    </r>
    <r>
      <rPr>
        <sz val="11"/>
        <color theme="1"/>
        <rFont val="Noto Sans CJK SC"/>
        <family val="2"/>
      </rPr>
      <t xml:space="preserve">出貨比例：未找到</t>
    </r>
  </si>
  <si>
    <t xml:space="preserve">v_cpu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</si>
  <si>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CPU </t>
    </r>
    <r>
      <rPr>
        <sz val="11"/>
        <color theme="1"/>
        <rFont val="Noto Sans CJK SC"/>
        <family val="2"/>
      </rPr>
      <t xml:space="preserve">載板金額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加速器載板金額</t>
    </r>
  </si>
  <si>
    <r>
      <rPr>
        <sz val="11"/>
        <color theme="1"/>
        <rFont val="Calibri"/>
        <family val="2"/>
        <charset val="1"/>
      </rPr>
      <t xml:space="preserve">Vera CPU </t>
    </r>
    <r>
      <rPr>
        <sz val="11"/>
        <color theme="1"/>
        <rFont val="Noto Sans CJK SC"/>
        <family val="2"/>
      </rPr>
      <t xml:space="preserve">為單晶片（</t>
    </r>
    <r>
      <rPr>
        <sz val="11"/>
        <color theme="1"/>
        <rFont val="Calibri"/>
        <family val="2"/>
        <charset val="1"/>
      </rPr>
      <t xml:space="preserve">88 </t>
    </r>
    <r>
      <rPr>
        <sz val="11"/>
        <color theme="1"/>
        <rFont val="Noto Sans CJK SC"/>
        <family val="2"/>
      </rPr>
      <t xml:space="preserve">核），封裝面積小於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；量化：未找到</t>
    </r>
  </si>
  <si>
    <t xml:space="preserve">sh_cpu_26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</si>
  <si>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CPU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Grace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Vera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</si>
  <si>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2026-04-23</t>
    </r>
    <r>
      <rPr>
        <sz val="11"/>
        <color theme="1"/>
        <rFont val="Noto Sans CJK SC"/>
        <family val="2"/>
      </rPr>
      <t xml:space="preserve">（投顧法人：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份額、稼動率）：美系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客戶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供應份額由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升到 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</si>
  <si>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Noto Sans CJK SC"/>
        <family val="2"/>
      </rPr>
      <t xml:space="preserve">年平均（上半年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起跳）</t>
    </r>
  </si>
  <si>
    <t xml:space="preserve">sh_cpu_27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</si>
  <si>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CPU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Grace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Vera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</si>
  <si>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TechNews 2026-08-04</t>
    </r>
    <r>
      <rPr>
        <sz val="11"/>
        <color theme="1"/>
        <rFont val="Noto Sans CJK SC"/>
        <family val="2"/>
      </rPr>
      <t xml:space="preserve">（高盛；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法說重點）：公司法說表達目標拿下 </t>
    </r>
    <r>
      <rPr>
        <sz val="11"/>
        <color theme="1"/>
        <rFont val="Calibri"/>
        <family val="2"/>
        <charset val="1"/>
      </rPr>
      <t xml:space="preserve">Vera CPU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100% </t>
    </r>
    <r>
      <rPr>
        <sz val="11"/>
        <color theme="1"/>
        <rFont val="Noto Sans CJK SC"/>
        <family val="2"/>
      </rPr>
      <t xml:space="preserve">份額；經濟日報 </t>
    </r>
    <r>
      <rPr>
        <sz val="11"/>
        <color theme="1"/>
        <rFont val="Calibri"/>
        <family val="2"/>
        <charset val="1"/>
      </rPr>
      <t xml:space="preserve">2026-09-16</t>
    </r>
    <r>
      <rPr>
        <sz val="11"/>
        <color theme="1"/>
        <rFont val="Noto Sans CJK SC"/>
        <family val="2"/>
      </rPr>
      <t xml:space="preserve">（投顧法人：</t>
    </r>
    <r>
      <rPr>
        <sz val="11"/>
        <color theme="1"/>
        <rFont val="Calibri"/>
        <family val="2"/>
        <charset val="1"/>
      </rPr>
      <t xml:space="preserve">Vera 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份額、產能）：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80–100%</t>
    </r>
  </si>
  <si>
    <t xml:space="preserve">公司與券商說法，基準取下緣以下</t>
  </si>
  <si>
    <t xml:space="preserve">sh_cpu_28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</si>
  <si>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CPU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Grace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Vera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</si>
  <si>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年後第二供應商（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）可能回補，基準略降</t>
    </r>
  </si>
  <si>
    <t xml:space="preserve">sh_cpu_29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</si>
  <si>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CPU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Grace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Vera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</si>
  <si>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C. FY2026 </t>
    </r>
    <r>
      <rPr>
        <b val="true"/>
        <sz val="11"/>
        <rFont val="Noto Sans CJK SC"/>
        <family val="2"/>
      </rPr>
      <t xml:space="preserve">產品組合與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占比（公司未按季揭露；券商與法說摘要推全年）</t>
    </r>
  </si>
  <si>
    <t xml:space="preserve">mx_abf</t>
  </si>
  <si>
    <r>
      <rPr>
        <sz val="11"/>
        <color theme="1"/>
        <rFont val="Calibri"/>
        <family val="2"/>
        <charset val="1"/>
      </rPr>
      <t xml:space="preserve">FY2026 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</si>
  <si>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MoneyDJ 2026-01-19</t>
    </r>
    <r>
      <rPr>
        <sz val="11"/>
        <color theme="1"/>
        <rFont val="Noto Sans CJK SC"/>
        <family val="2"/>
      </rPr>
      <t xml:space="preserve">（產品組合、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年資本支出）：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30–40%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35–40%</t>
    </r>
    <r>
      <rPr>
        <sz val="11"/>
        <color theme="1"/>
        <rFont val="Noto Sans CJK SC"/>
        <family val="2"/>
      </rPr>
      <t xml:space="preserve">、隱形眼鏡 </t>
    </r>
    <r>
      <rPr>
        <sz val="11"/>
        <color theme="1"/>
        <rFont val="Calibri"/>
        <family val="2"/>
        <charset val="1"/>
      </rPr>
      <t xml:space="preserve">15–20%</t>
    </r>
  </si>
  <si>
    <r>
      <rPr>
        <sz val="11"/>
        <color theme="1"/>
        <rFont val="Noto Sans CJK SC"/>
        <family val="2"/>
      </rPr>
      <t xml:space="preserve">富果 </t>
    </r>
    <r>
      <rPr>
        <sz val="11"/>
        <color theme="1"/>
        <rFont val="Calibri"/>
        <family val="2"/>
        <charset val="1"/>
      </rPr>
      <t xml:space="preserve">2Q25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2025-08-19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摘要）：</t>
    </r>
    <r>
      <rPr>
        <sz val="11"/>
        <color theme="1"/>
        <rFont val="Calibri"/>
        <family val="2"/>
        <charset val="1"/>
      </rPr>
      <t xml:space="preserve">2Q25 ABF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漲幅大於 </t>
    </r>
    <r>
      <rPr>
        <sz val="11"/>
        <color theme="1"/>
        <rFont val="Calibri"/>
        <family val="2"/>
        <charset val="1"/>
      </rPr>
      <t xml:space="preserve">BT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TechNews 2026-08-04</t>
    </r>
    <r>
      <rPr>
        <sz val="11"/>
        <color theme="1"/>
        <rFont val="Noto Sans CJK SC"/>
        <family val="2"/>
      </rPr>
      <t xml:space="preserve">（高盛；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法說重點））</t>
    </r>
  </si>
  <si>
    <t xml:space="preserve">ai_abf</t>
  </si>
  <si>
    <r>
      <rPr>
        <sz val="11"/>
        <color theme="1"/>
        <rFont val="Calibri"/>
        <family val="2"/>
        <charset val="1"/>
      </rPr>
      <t xml:space="preserve">FY2026 AI</t>
    </r>
    <r>
      <rPr>
        <sz val="11"/>
        <color theme="1"/>
        <rFont val="Noto Sans CJK SC"/>
        <family val="2"/>
      </rPr>
      <t xml:space="preserve">（加速器、</t>
    </r>
    <r>
      <rPr>
        <sz val="11"/>
        <color theme="1"/>
        <rFont val="Calibri"/>
        <family val="2"/>
        <charset val="1"/>
      </rPr>
      <t xml:space="preserve">NVIDIA CPU</t>
    </r>
    <r>
      <rPr>
        <sz val="11"/>
        <color theme="1"/>
        <rFont val="Noto Sans CJK SC"/>
        <family val="2"/>
      </rPr>
      <t xml:space="preserve">、網通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ABF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</si>
  <si>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TechNews 2026-08-04</t>
    </r>
    <r>
      <rPr>
        <sz val="11"/>
        <color theme="1"/>
        <rFont val="Noto Sans CJK SC"/>
        <family val="2"/>
      </rPr>
      <t xml:space="preserve">（高盛；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法說重點）：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相關約占總營收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15–20%</t>
    </r>
  </si>
  <si>
    <r>
      <rPr>
        <sz val="11"/>
        <color theme="1"/>
        <rFont val="Calibri"/>
        <family val="2"/>
        <charset val="1"/>
      </rPr>
      <t xml:space="preserve">10% ÷ ABF 42%≈24%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</si>
  <si>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需求與產能（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</si>
  <si>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el_o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</si>
  <si>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載板（網通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、交換器、</t>
    </r>
    <r>
      <rPr>
        <sz val="11"/>
        <color theme="1"/>
        <rFont val="Calibri"/>
        <family val="2"/>
        <charset val="1"/>
      </rPr>
      <t xml:space="preserve">FPGA</t>
    </r>
    <r>
      <rPr>
        <sz val="11"/>
        <color theme="1"/>
        <rFont val="Noto Sans CJK SC"/>
        <family val="2"/>
      </rPr>
      <t xml:space="preserve">）對交換晶片與交換器市場的彈性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</si>
  <si>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載板＝</t>
    </r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載板 − 加速器與 </t>
    </r>
    <r>
      <rPr>
        <sz val="11"/>
        <color theme="1"/>
        <rFont val="Calibri"/>
        <family val="2"/>
        <charset val="1"/>
      </rPr>
      <t xml:space="preserve">NVIDIA CPU </t>
    </r>
    <r>
      <rPr>
        <sz val="11"/>
        <color theme="1"/>
        <rFont val="Noto Sans CJK SC"/>
        <family val="2"/>
      </rPr>
      <t xml:space="preserve">載板（校準殘差）；隨交換器市場成長但低於等比例（單價另由溢價計）</t>
    </r>
  </si>
  <si>
    <t xml:space="preserve">與南電模型同值</t>
  </si>
  <si>
    <t xml:space="preserve">g_nai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</si>
  <si>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ABF</t>
    </r>
    <r>
      <rPr>
        <sz val="11"/>
        <color theme="1"/>
        <rFont val="Noto Sans CJK SC"/>
        <family val="2"/>
      </rPr>
      <t xml:space="preserve">（伺服器與 </t>
    </r>
    <r>
      <rPr>
        <sz val="11"/>
        <color theme="1"/>
        <rFont val="Calibri"/>
        <family val="2"/>
        <charset val="1"/>
      </rPr>
      <t xml:space="preserve">PC CPU</t>
    </r>
    <r>
      <rPr>
        <sz val="11"/>
        <color theme="1"/>
        <rFont val="Noto Sans CJK SC"/>
        <family val="2"/>
      </rPr>
      <t xml:space="preserve">、基地台 </t>
    </r>
    <r>
      <rPr>
        <sz val="11"/>
        <color theme="1"/>
        <rFont val="Calibri"/>
        <family val="2"/>
        <charset val="1"/>
      </rPr>
      <t xml:space="preserve">FPGA</t>
    </r>
    <r>
      <rPr>
        <sz val="11"/>
        <color theme="1"/>
        <rFont val="Noto Sans CJK SC"/>
        <family val="2"/>
      </rPr>
      <t xml:space="preserve">）年增（量）</t>
    </r>
  </si>
  <si>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景碩分析 </t>
    </r>
    <r>
      <rPr>
        <sz val="11"/>
        <color theme="1"/>
        <rFont val="Calibri"/>
        <family val="2"/>
        <charset val="1"/>
      </rPr>
      <t xml:space="preserve">2026-04-07</t>
    </r>
    <r>
      <rPr>
        <sz val="11"/>
        <color theme="1"/>
        <rFont val="Noto Sans CJK SC"/>
        <family val="2"/>
      </rPr>
      <t xml:space="preserve">（引述券商；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）：景碩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覆晶載板市占長期約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</si>
  <si>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2026-04-23</t>
    </r>
    <r>
      <rPr>
        <sz val="11"/>
        <color theme="1"/>
        <rFont val="Noto Sans CJK SC"/>
        <family val="2"/>
      </rPr>
      <t xml:space="preserve">（投顧法人：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份額、稼動率）：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代理帶動一般伺服器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需求延伸到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</t>
    </r>
  </si>
  <si>
    <t xml:space="preserve">cap_27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</si>
  <si>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</si>
  <si>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獲利、產能規劃）：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月產能約 </t>
    </r>
    <r>
      <rPr>
        <sz val="11"/>
        <color theme="1"/>
        <rFont val="Calibri"/>
        <family val="2"/>
        <charset val="1"/>
      </rPr>
      <t xml:space="preserve">4,000 </t>
    </r>
    <r>
      <rPr>
        <sz val="11"/>
        <color theme="1"/>
        <rFont val="Noto Sans CJK SC"/>
        <family val="2"/>
      </rPr>
      <t xml:space="preserve">萬顆，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5,000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6,500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8,000 </t>
    </r>
    <r>
      <rPr>
        <sz val="11"/>
        <color theme="1"/>
        <rFont val="Noto Sans CJK SC"/>
        <family val="2"/>
      </rPr>
      <t xml:space="preserve">萬（公司規劃）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</si>
  <si>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2026-04-23</t>
    </r>
    <r>
      <rPr>
        <sz val="11"/>
        <color theme="1"/>
        <rFont val="Noto Sans CJK SC"/>
        <family val="2"/>
      </rPr>
      <t xml:space="preserve">（投顧法人：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份額、稼動率）：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稼動率由 </t>
    </r>
    <r>
      <rPr>
        <sz val="11"/>
        <color theme="1"/>
        <rFont val="Calibri"/>
        <family val="2"/>
        <charset val="1"/>
      </rPr>
      <t xml:space="preserve">86% </t>
    </r>
    <r>
      <rPr>
        <sz val="11"/>
        <color theme="1"/>
        <rFont val="Noto Sans CJK SC"/>
        <family val="2"/>
      </rPr>
      <t xml:space="preserve">升到 </t>
    </r>
    <r>
      <rPr>
        <sz val="11"/>
        <color theme="1"/>
        <rFont val="Calibri"/>
        <family val="2"/>
        <charset val="1"/>
      </rPr>
      <t xml:space="preserve">95%</t>
    </r>
    <r>
      <rPr>
        <sz val="11"/>
        <color theme="1"/>
        <rFont val="Noto Sans CJK SC"/>
        <family val="2"/>
      </rPr>
      <t xml:space="preserve">；經濟日報 </t>
    </r>
    <r>
      <rPr>
        <sz val="11"/>
        <color theme="1"/>
        <rFont val="Calibri"/>
        <family val="2"/>
        <charset val="1"/>
      </rPr>
      <t xml:space="preserve">2026-09-16</t>
    </r>
    <r>
      <rPr>
        <sz val="11"/>
        <color theme="1"/>
        <rFont val="Noto Sans CJK SC"/>
        <family val="2"/>
      </rPr>
      <t xml:space="preserve">（投顧法人：</t>
    </r>
    <r>
      <rPr>
        <sz val="11"/>
        <color theme="1"/>
        <rFont val="Calibri"/>
        <family val="2"/>
        <charset val="1"/>
      </rPr>
      <t xml:space="preserve">Vera 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份額、產能）：</t>
    </r>
    <r>
      <rPr>
        <sz val="11"/>
        <color theme="1"/>
        <rFont val="Calibri"/>
        <family val="2"/>
        <charset val="1"/>
      </rPr>
      <t xml:space="preserve">85–90%</t>
    </r>
  </si>
  <si>
    <t xml:space="preserve">cap_28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</si>
  <si>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</si>
  <si>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同上（年底值；年平均約為前後年底的中點）</t>
  </si>
  <si>
    <r>
      <rPr>
        <sz val="11"/>
        <color theme="1"/>
        <rFont val="Calibri"/>
        <family val="2"/>
        <charset val="1"/>
      </rPr>
      <t xml:space="preserve">T-glass </t>
    </r>
    <r>
      <rPr>
        <sz val="11"/>
        <color theme="1"/>
        <rFont val="Noto Sans CJK SC"/>
        <family val="2"/>
      </rPr>
      <t xml:space="preserve">供給（日東紡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擴產）可能限制實際產出（旺得富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（永豐、玉山投顧；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預估））</t>
    </r>
  </si>
  <si>
    <t xml:space="preserve">cap_29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</si>
  <si>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</si>
  <si>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g_mix</t>
  </si>
  <si>
    <t xml:space="preserve">每單位產能營收年增（層數、尺寸組合）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</si>
  <si>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與伺服器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載板面積大、層數高；組合往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移動</t>
    </r>
  </si>
  <si>
    <t xml:space="preserve">與欣興、南電模型同值</t>
  </si>
  <si>
    <t xml:space="preserve">carry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</si>
  <si>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漲價年度化（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基期含上半年低價；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＋此值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</si>
  <si>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旺得富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（永豐、玉山投顧；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預估）：</t>
    </r>
    <r>
      <rPr>
        <sz val="11"/>
        <color theme="1"/>
        <rFont val="Calibri"/>
        <family val="2"/>
        <charset val="1"/>
      </rPr>
      <t xml:space="preserve">4Q26 ABF </t>
    </r>
    <r>
      <rPr>
        <sz val="11"/>
        <color theme="1"/>
        <rFont val="Noto Sans CJK SC"/>
        <family val="2"/>
      </rPr>
      <t xml:space="preserve">漲幅由 </t>
    </r>
    <r>
      <rPr>
        <sz val="11"/>
        <color theme="1"/>
        <rFont val="Calibri"/>
        <family val="2"/>
        <charset val="1"/>
      </rPr>
      <t xml:space="preserve">5–10% </t>
    </r>
    <r>
      <rPr>
        <sz val="11"/>
        <color theme="1"/>
        <rFont val="Noto Sans CJK SC"/>
        <family val="2"/>
      </rPr>
      <t xml:space="preserve">上修到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每季 </t>
    </r>
    <r>
      <rPr>
        <sz val="11"/>
        <color theme="1"/>
        <rFont val="Calibri"/>
        <family val="2"/>
        <charset val="1"/>
      </rPr>
      <t xml:space="preserve">5–10%</t>
    </r>
  </si>
  <si>
    <r>
      <rPr>
        <sz val="11"/>
        <color theme="1"/>
        <rFont val="Calibri"/>
        <family val="2"/>
        <charset val="1"/>
      </rPr>
      <t xml:space="preserve">TechNews 2026-08-04</t>
    </r>
    <r>
      <rPr>
        <sz val="11"/>
        <color theme="1"/>
        <rFont val="Noto Sans CJK SC"/>
        <family val="2"/>
      </rPr>
      <t xml:space="preserve">（高盛；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法說重點）：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ABF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平均每季漲約 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年化 </t>
    </r>
    <r>
      <rPr>
        <sz val="11"/>
        <color theme="1"/>
        <rFont val="Calibri"/>
        <family val="2"/>
        <charset val="1"/>
      </rPr>
      <t xml:space="preserve">÷ FY2026 </t>
    </r>
    <r>
      <rPr>
        <sz val="11"/>
        <color theme="1"/>
        <rFont val="Noto Sans CJK SC"/>
        <family val="2"/>
      </rPr>
      <t xml:space="preserve">營收約 </t>
    </r>
    <r>
      <rPr>
        <sz val="11"/>
        <color theme="1"/>
        <rFont val="Calibri"/>
        <family val="2"/>
        <charset val="1"/>
      </rPr>
      <t xml:space="preserve">1.20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；含量增）</t>
    </r>
  </si>
  <si>
    <t xml:space="preserve">g_bt27_A</t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</si>
  <si>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與其他載板年增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；公司特有，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最有利）</t>
    </r>
  </si>
  <si>
    <r>
      <rPr>
        <sz val="11"/>
        <color theme="1"/>
        <rFont val="Noto Sans CJK SC"/>
        <family val="2"/>
      </rPr>
      <t xml:space="preserve">旺得富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（永豐、玉山投顧；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預估）：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每季漲 </t>
    </r>
    <r>
      <rPr>
        <sz val="11"/>
        <color theme="1"/>
        <rFont val="Calibri"/>
        <family val="2"/>
        <charset val="1"/>
      </rPr>
      <t xml:space="preserve">5–10%</t>
    </r>
    <r>
      <rPr>
        <sz val="11"/>
        <color theme="1"/>
        <rFont val="Noto Sans CJK SC"/>
        <family val="2"/>
      </rPr>
      <t xml:space="preserve">；經濟日報 </t>
    </r>
    <r>
      <rPr>
        <sz val="11"/>
        <color theme="1"/>
        <rFont val="Calibri"/>
        <family val="2"/>
        <charset val="1"/>
      </rPr>
      <t xml:space="preserve">2026-09-16</t>
    </r>
    <r>
      <rPr>
        <sz val="11"/>
        <color theme="1"/>
        <rFont val="Noto Sans CJK SC"/>
        <family val="2"/>
      </rPr>
      <t xml:space="preserve">（投顧法人：</t>
    </r>
    <r>
      <rPr>
        <sz val="11"/>
        <color theme="1"/>
        <rFont val="Calibri"/>
        <family val="2"/>
        <charset val="1"/>
      </rPr>
      <t xml:space="preserve">Vera 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份額、產能）：記憶體占 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需求逾五成、光模組為成長動能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</si>
  <si>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月營收、資本支出 </t>
    </r>
    <r>
      <rPr>
        <sz val="11"/>
        <color theme="1"/>
        <rFont val="Calibri"/>
        <family val="2"/>
        <charset val="1"/>
      </rPr>
      <t xml:space="preserve">196 </t>
    </r>
    <r>
      <rPr>
        <sz val="11"/>
        <color theme="1"/>
        <rFont val="Noto Sans CJK SC"/>
        <family val="2"/>
      </rPr>
      <t xml:space="preserve">億）：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漲價幅度大於 </t>
    </r>
    <r>
      <rPr>
        <sz val="11"/>
        <color theme="1"/>
        <rFont val="Calibri"/>
        <family val="2"/>
        <charset val="1"/>
      </rPr>
      <t xml:space="preserve">ABF</t>
    </r>
    <r>
      <rPr>
        <sz val="11"/>
        <color theme="1"/>
        <rFont val="Noto Sans CJK SC"/>
        <family val="2"/>
      </rPr>
      <t xml:space="preserve">，帶動組合改善</t>
    </r>
  </si>
  <si>
    <t xml:space="preserve">g_bt28_A</t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</si>
  <si>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與其他載板年增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；公司特有，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最有利）</t>
    </r>
  </si>
  <si>
    <t xml:space="preserve">g_bt29_A</t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</si>
  <si>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與其他載板年增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；公司特有，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最有利）</t>
    </r>
  </si>
  <si>
    <t xml:space="preserve">g_bt27_B</t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</si>
  <si>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與其他載板年增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；公司特有，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最有利）</t>
    </r>
  </si>
  <si>
    <t xml:space="preserve">g_bt28_B</t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</si>
  <si>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與其他載板年增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；公司特有，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最有利）</t>
    </r>
  </si>
  <si>
    <t xml:space="preserve">g_bt29_B</t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</si>
  <si>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與其他載板年增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；公司特有，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最有利）</t>
    </r>
  </si>
  <si>
    <t xml:space="preserve">g_bt27_C</t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</si>
  <si>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與其他載板年增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；公司特有，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最有利）</t>
    </r>
  </si>
  <si>
    <t xml:space="preserve">g_bt28_C</t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</si>
  <si>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與其他載板年增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；公司特有，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最有利）</t>
    </r>
  </si>
  <si>
    <t xml:space="preserve">g_bt29_C</t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</si>
  <si>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與其他載板年增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；公司特有，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最有利）</t>
    </r>
  </si>
  <si>
    <t xml:space="preserve">g_lens</t>
  </si>
  <si>
    <t xml:space="preserve">晶碩（隱形眼鏡）營收年增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</si>
  <si>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晶碩（</t>
    </r>
    <r>
      <rPr>
        <sz val="11"/>
        <color theme="1"/>
        <rFont val="Calibri"/>
        <family val="2"/>
        <charset val="1"/>
      </rPr>
      <t xml:space="preserve">6491</t>
    </r>
    <r>
      <rPr>
        <sz val="11"/>
        <color theme="1"/>
        <rFont val="Noto Sans CJK SC"/>
        <family val="2"/>
      </rPr>
      <t xml:space="preserve">）季損益表：</t>
    </r>
    <r>
      <rPr>
        <sz val="11"/>
        <color theme="1"/>
        <rFont val="Calibri"/>
        <family val="2"/>
        <charset val="1"/>
      </rPr>
      <t xml:space="preserve">1H26 40.0 </t>
    </r>
    <r>
      <rPr>
        <sz val="11"/>
        <color theme="1"/>
        <rFont val="Noto Sans CJK SC"/>
        <family val="2"/>
      </rPr>
      <t xml:space="preserve">億，年增 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70.4 </t>
    </r>
    <r>
      <rPr>
        <sz val="11"/>
        <color theme="1"/>
        <rFont val="Noto Sans CJK SC"/>
        <family val="2"/>
      </rPr>
      <t xml:space="preserve">億，年增 </t>
    </r>
    <r>
      <rPr>
        <sz val="11"/>
        <color theme="1"/>
        <rFont val="Calibri"/>
        <family val="2"/>
        <charset val="1"/>
      </rPr>
      <t xml:space="preserve">3%</t>
    </r>
  </si>
  <si>
    <r>
      <rPr>
        <sz val="11"/>
        <color theme="1"/>
        <rFont val="Noto Sans CJK SC"/>
        <family val="2"/>
      </rPr>
      <t xml:space="preserve">三情境相同（與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無關）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</si>
  <si>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毛利、折舊、費用與淨利（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</si>
  <si>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ft_abf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</si>
  <si>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營收增量的現金毛利率（扣除漲價溢價後）</t>
    </r>
  </si>
  <si>
    <r>
      <rPr>
        <sz val="11"/>
        <color theme="1"/>
        <rFont val="Calibri"/>
        <family val="2"/>
        <charset val="1"/>
      </rPr>
      <t xml:space="preserve">TechNews 2026-08-04</t>
    </r>
    <r>
      <rPr>
        <sz val="11"/>
        <color theme="1"/>
        <rFont val="Noto Sans CJK SC"/>
        <family val="2"/>
      </rPr>
      <t xml:space="preserve">（高盛；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法說重點）：</t>
    </r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年毛利率每年約 </t>
    </r>
    <r>
      <rPr>
        <sz val="11"/>
        <color theme="1"/>
        <rFont val="Calibri"/>
        <family val="2"/>
        <charset val="1"/>
      </rPr>
      <t xml:space="preserve">+5pt</t>
    </r>
    <r>
      <rPr>
        <sz val="11"/>
        <color theme="1"/>
        <rFont val="Noto Sans CJK SC"/>
        <family val="2"/>
      </rPr>
      <t xml:space="preserve">（組合與稼動率）</t>
    </r>
  </si>
  <si>
    <t xml:space="preserve">ft_bt</t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</si>
  <si>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與其他載板營收增量的現金毛利率</t>
    </r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</si>
  <si>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成長以漲價為主（漲價幾乎全數落在毛利）；量增部分毛利率較低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</si>
  <si>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月營收、資本支出 </t>
    </r>
    <r>
      <rPr>
        <sz val="11"/>
        <color theme="1"/>
        <rFont val="Calibri"/>
        <family val="2"/>
        <charset val="1"/>
      </rPr>
      <t xml:space="preserve">196 </t>
    </r>
    <r>
      <rPr>
        <sz val="11"/>
        <color theme="1"/>
        <rFont val="Noto Sans CJK SC"/>
        <family val="2"/>
      </rPr>
      <t xml:space="preserve">億）</t>
    </r>
  </si>
  <si>
    <t xml:space="preserve">ft_lens</t>
  </si>
  <si>
    <t xml:space="preserve">晶碩營收增量的現金毛利率</t>
  </si>
  <si>
    <t xml:space="preserve">晶碩毛利率：未找到（本串未取得）</t>
  </si>
  <si>
    <t xml:space="preserve">cx27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</si>
  <si>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（三情境相同；公司特有，含晶碩）</t>
    </r>
  </si>
  <si>
    <t xml:space="preserve">NT$B</t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</si>
  <si>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月營收、資本支出 </t>
    </r>
    <r>
      <rPr>
        <sz val="11"/>
        <color theme="1"/>
        <rFont val="Calibri"/>
        <family val="2"/>
        <charset val="1"/>
      </rPr>
      <t xml:space="preserve">196 </t>
    </r>
    <r>
      <rPr>
        <sz val="11"/>
        <color theme="1"/>
        <rFont val="Noto Sans CJK SC"/>
        <family val="2"/>
      </rPr>
      <t xml:space="preserve">億）：</t>
    </r>
    <r>
      <rPr>
        <sz val="11"/>
        <color theme="1"/>
        <rFont val="Calibri"/>
        <family val="2"/>
        <charset val="1"/>
      </rPr>
      <t xml:space="preserve">K6 </t>
    </r>
    <r>
      <rPr>
        <sz val="11"/>
        <color theme="1"/>
        <rFont val="Noto Sans CJK SC"/>
        <family val="2"/>
      </rPr>
      <t xml:space="preserve">等新專案 </t>
    </r>
    <r>
      <rPr>
        <sz val="11"/>
        <color theme="1"/>
        <rFont val="Calibri"/>
        <family val="2"/>
        <charset val="1"/>
      </rPr>
      <t xml:space="preserve">196 </t>
    </r>
    <r>
      <rPr>
        <sz val="11"/>
        <color theme="1"/>
        <rFont val="Noto Sans CJK SC"/>
        <family val="2"/>
      </rPr>
      <t xml:space="preserve">億（三年，廠房）＋原三年設備計畫 </t>
    </r>
    <r>
      <rPr>
        <sz val="11"/>
        <color theme="1"/>
        <rFont val="Calibri"/>
        <family val="2"/>
        <charset val="1"/>
      </rPr>
      <t xml:space="preserve">235 </t>
    </r>
    <r>
      <rPr>
        <sz val="11"/>
        <color theme="1"/>
        <rFont val="Noto Sans CJK SC"/>
        <family val="2"/>
      </rPr>
      <t xml:space="preserve">億＝</t>
    </r>
    <r>
      <rPr>
        <sz val="11"/>
        <color theme="1"/>
        <rFont val="Calibri"/>
        <family val="2"/>
        <charset val="1"/>
      </rPr>
      <t xml:space="preserve">431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</si>
  <si>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TechNews 2026-08-04</t>
    </r>
    <r>
      <rPr>
        <sz val="11"/>
        <color theme="1"/>
        <rFont val="Noto Sans CJK SC"/>
        <family val="2"/>
      </rPr>
      <t xml:space="preserve">（高盛；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法說重點）：新廠設備由 </t>
    </r>
    <r>
      <rPr>
        <sz val="11"/>
        <color theme="1"/>
        <rFont val="Calibri"/>
        <family val="2"/>
        <charset val="1"/>
      </rPr>
      <t xml:space="preserve">3–4 </t>
    </r>
    <r>
      <rPr>
        <sz val="11"/>
        <color theme="1"/>
        <rFont val="Noto Sans CJK SC"/>
        <family val="2"/>
      </rPr>
      <t xml:space="preserve">家核心客戶直接贊助（若屬實，景碩帳上資本支出偏低值）；</t>
    </r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景碩分析 </t>
    </r>
    <r>
      <rPr>
        <sz val="11"/>
        <color theme="1"/>
        <rFont val="Calibri"/>
        <family val="2"/>
        <charset val="1"/>
      </rPr>
      <t xml:space="preserve">2026-04-07</t>
    </r>
    <r>
      <rPr>
        <sz val="11"/>
        <color theme="1"/>
        <rFont val="Noto Sans CJK SC"/>
        <family val="2"/>
      </rPr>
      <t xml:space="preserve">（引述券商；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）：原計畫 </t>
    </r>
    <r>
      <rPr>
        <sz val="11"/>
        <color theme="1"/>
        <rFont val="Calibri"/>
        <family val="2"/>
        <charset val="1"/>
      </rPr>
      <t xml:space="preserve">2026–28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85 </t>
    </r>
    <r>
      <rPr>
        <sz val="11"/>
        <color theme="1"/>
        <rFont val="Noto Sans CJK SC"/>
        <family val="2"/>
      </rPr>
      <t xml:space="preserve">億</t>
    </r>
  </si>
  <si>
    <t xml:space="preserve">cx28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</si>
  <si>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（三情境相同；公司特有，含晶碩）</t>
    </r>
  </si>
  <si>
    <t xml:space="preserve">cx29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</si>
  <si>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（三情境相同；公司特有，含晶碩）</t>
    </r>
  </si>
  <si>
    <t xml:space="preserve">capex26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</si>
  <si>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</si>
  <si>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35.2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現金流量表：</t>
    </r>
    <r>
      <rPr>
        <sz val="11"/>
        <color theme="1"/>
        <rFont val="Calibri"/>
        <family val="2"/>
        <charset val="1"/>
      </rPr>
      <t xml:space="preserve">1Q 13.6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 21.6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</si>
  <si>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MoneyDJ 2026-01-19</t>
    </r>
    <r>
      <rPr>
        <sz val="11"/>
        <color theme="1"/>
        <rFont val="Noto Sans CJK SC"/>
        <family val="2"/>
      </rPr>
      <t xml:space="preserve">（產品組合、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年資本支出）：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80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月新增 </t>
    </r>
    <r>
      <rPr>
        <sz val="11"/>
        <color theme="1"/>
        <rFont val="Calibri"/>
        <family val="2"/>
        <charset val="1"/>
      </rPr>
      <t xml:space="preserve">196 </t>
    </r>
    <r>
      <rPr>
        <sz val="11"/>
        <color theme="1"/>
        <rFont val="Noto Sans CJK SC"/>
        <family val="2"/>
      </rPr>
      <t xml:space="preserve">億專案（三年）</t>
    </r>
  </si>
  <si>
    <t xml:space="preserve">da26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</si>
  <si>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折舊攤提（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實績＋下半年每季 </t>
    </r>
    <r>
      <rPr>
        <sz val="11"/>
        <color theme="1"/>
        <rFont val="Calibri"/>
        <family val="2"/>
        <charset val="1"/>
      </rPr>
      <t xml:space="preserve">21.5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</si>
  <si>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現金流量表：</t>
    </r>
    <r>
      <rPr>
        <sz val="11"/>
        <color theme="1"/>
        <rFont val="Calibri"/>
        <family val="2"/>
        <charset val="1"/>
      </rPr>
      <t xml:space="preserve">1Q26 19.74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20.46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</si>
  <si>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Noto Sans CJK SC"/>
        <family val="2"/>
      </rPr>
      <t xml:space="preserve">下半年每季 </t>
    </r>
    <r>
      <rPr>
        <sz val="11"/>
        <color theme="1"/>
        <rFont val="Calibri"/>
        <family val="2"/>
        <charset val="1"/>
      </rPr>
      <t xml:space="preserve">21.5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，延續季增）</t>
    </r>
  </si>
  <si>
    <t xml:space="preserve">life</t>
  </si>
  <si>
    <t xml:space="preserve">新增資產平均折舊年限</t>
  </si>
  <si>
    <t xml:space="preserve">年</t>
  </si>
  <si>
    <t xml:space="preserve">載板設備與廠房混合；與欣興、南電模型同值</t>
  </si>
  <si>
    <t xml:space="preserve">會計年限：未找到</t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</si>
  <si>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</si>
  <si>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</si>
  <si>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14.59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2Q26 15.82 </t>
    </r>
    <r>
      <rPr>
        <sz val="11"/>
        <color theme="1"/>
        <rFont val="Noto Sans CJK SC"/>
        <family val="2"/>
      </rPr>
      <t xml:space="preserve">億（營收季增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）</t>
    </r>
  </si>
  <si>
    <t xml:space="preserve">nonop27</t>
  </si>
  <si>
    <r>
      <rPr>
        <sz val="11"/>
        <color theme="1"/>
        <rFont val="Noto Sans CJK SC"/>
        <family val="2"/>
      </rPr>
      <t xml:space="preserve">營業外淨額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</si>
  <si>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1Q26 0.74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2Q26 1.05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推得；現增後利息支出下降）</t>
    </r>
  </si>
  <si>
    <r>
      <rPr>
        <sz val="11"/>
        <color theme="1"/>
        <rFont val="Noto Sans CJK SC"/>
        <family val="2"/>
      </rPr>
      <t xml:space="preserve">利息收入、匯兌（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</si>
  <si>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nonop28</t>
  </si>
  <si>
    <r>
      <rPr>
        <sz val="11"/>
        <color theme="1"/>
        <rFont val="Noto Sans CJK SC"/>
        <family val="2"/>
      </rPr>
      <t xml:space="preserve">營業外淨額 </t>
    </r>
    <r>
      <rPr>
        <sz val="11"/>
        <color theme="1"/>
        <rFont val="Calibri"/>
        <family val="2"/>
        <charset val="1"/>
      </rPr>
      <t xml:space="preserve">FY2028</t>
    </r>
  </si>
  <si>
    <t xml:space="preserve">nonop29</t>
  </si>
  <si>
    <r>
      <rPr>
        <sz val="11"/>
        <color theme="1"/>
        <rFont val="Noto Sans CJK SC"/>
        <family val="2"/>
      </rPr>
      <t xml:space="preserve">營業外淨額 </t>
    </r>
    <r>
      <rPr>
        <sz val="11"/>
        <color theme="1"/>
        <rFont val="Calibri"/>
        <family val="2"/>
        <charset val="1"/>
      </rPr>
      <t xml:space="preserve">FY2029</t>
    </r>
  </si>
  <si>
    <t xml:space="preserve">tax</t>
  </si>
  <si>
    <r>
      <rPr>
        <sz val="11"/>
        <color theme="1"/>
        <rFont val="Noto Sans CJK SC"/>
        <family val="2"/>
      </rPr>
      <t xml:space="preserve">所得稅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稅前利益（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</si>
  <si>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FY2025 12.0%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：所得稅 </t>
    </r>
    <r>
      <rPr>
        <sz val="11"/>
        <color theme="1"/>
        <rFont val="Calibri"/>
        <family val="2"/>
        <charset val="1"/>
      </rPr>
      <t xml:space="preserve">3.70 ÷ </t>
    </r>
    <r>
      <rPr>
        <sz val="11"/>
        <color theme="1"/>
        <rFont val="Noto Sans CJK SC"/>
        <family val="2"/>
      </rPr>
      <t xml:space="preserve">稅前 </t>
    </r>
    <r>
      <rPr>
        <sz val="11"/>
        <color theme="1"/>
        <rFont val="Calibri"/>
        <family val="2"/>
        <charset val="1"/>
      </rPr>
      <t xml:space="preserve">30.87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</si>
  <si>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Calibri"/>
        <family val="2"/>
        <charset val="1"/>
      </rPr>
      <t xml:space="preserve">1H26 6.9%</t>
    </r>
    <r>
      <rPr>
        <sz val="11"/>
        <color theme="1"/>
        <rFont val="Noto Sans CJK SC"/>
        <family val="2"/>
      </rPr>
      <t xml:space="preserve">；營所稅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，獲利升高後投資抵減占比下降</t>
    </r>
  </si>
  <si>
    <t xml:space="preserve">sh_g</t>
  </si>
  <si>
    <t xml:space="preserve">股數年變動</t>
  </si>
  <si>
    <r>
      <rPr>
        <sz val="11"/>
        <color theme="1"/>
        <rFont val="Noto Sans CJK SC"/>
        <family val="2"/>
      </rPr>
      <t xml:space="preserve">流通股數 </t>
    </r>
    <r>
      <rPr>
        <sz val="11"/>
        <color theme="1"/>
        <rFont val="Calibri"/>
        <family val="2"/>
        <charset val="1"/>
      </rPr>
      <t xml:space="preserve">5.2691 </t>
    </r>
    <r>
      <rPr>
        <sz val="11"/>
        <color theme="1"/>
        <rFont val="Noto Sans CJK SC"/>
        <family val="2"/>
      </rPr>
      <t xml:space="preserve">億股（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年初現增 </t>
    </r>
    <r>
      <rPr>
        <sz val="11"/>
        <color theme="1"/>
        <rFont val="Calibri"/>
        <family val="2"/>
        <charset val="1"/>
      </rPr>
      <t xml:space="preserve">7,000 </t>
    </r>
    <r>
      <rPr>
        <sz val="11"/>
        <color theme="1"/>
        <rFont val="Noto Sans CJK SC"/>
        <family val="2"/>
      </rPr>
      <t xml:space="preserve">萬股，每股 </t>
    </r>
    <r>
      <rPr>
        <sz val="11"/>
        <color theme="1"/>
        <rFont val="Calibri"/>
        <family val="2"/>
        <charset val="1"/>
      </rPr>
      <t xml:space="preserve">145 </t>
    </r>
    <r>
      <rPr>
        <sz val="11"/>
        <color theme="1"/>
        <rFont val="Noto Sans CJK SC"/>
        <family val="2"/>
      </rPr>
      <t xml:space="preserve">元）</t>
    </r>
  </si>
  <si>
    <r>
      <rPr>
        <sz val="11"/>
        <color theme="1"/>
        <rFont val="Noto Sans CJK SC"/>
        <family val="2"/>
      </rPr>
      <t xml:space="preserve">股本 </t>
    </r>
    <r>
      <rPr>
        <sz val="11"/>
        <color theme="1"/>
        <rFont val="Calibri"/>
        <family val="2"/>
        <charset val="1"/>
      </rPr>
      <t xml:space="preserve">52.69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nstock</t>
    </r>
    <r>
      <rPr>
        <sz val="11"/>
        <color theme="1"/>
        <rFont val="Noto Sans CJK SC"/>
        <family val="2"/>
      </rPr>
      <t xml:space="preserve">）</t>
    </r>
  </si>
  <si>
    <t xml:space="preserve">nm_lens</t>
  </si>
  <si>
    <t xml:space="preserve">晶碩淨利率（非控制權益推算用）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</si>
  <si>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晶碩（</t>
    </r>
    <r>
      <rPr>
        <sz val="11"/>
        <color theme="1"/>
        <rFont val="Calibri"/>
        <family val="2"/>
        <charset val="1"/>
      </rPr>
      <t xml:space="preserve">6491</t>
    </r>
    <r>
      <rPr>
        <sz val="11"/>
        <color theme="1"/>
        <rFont val="Noto Sans CJK SC"/>
        <family val="2"/>
      </rPr>
      <t xml:space="preserve">）季損益表：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10.17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40.01 </t>
    </r>
    <r>
      <rPr>
        <sz val="11"/>
        <color theme="1"/>
        <rFont val="Noto Sans CJK SC"/>
        <family val="2"/>
      </rPr>
      <t xml:space="preserve">億＝</t>
    </r>
    <r>
      <rPr>
        <sz val="11"/>
        <color theme="1"/>
        <rFont val="Calibri"/>
        <family val="2"/>
        <charset val="1"/>
      </rPr>
      <t xml:space="preserve">25.4%</t>
    </r>
  </si>
  <si>
    <r>
      <rPr>
        <sz val="11"/>
        <color theme="1"/>
        <rFont val="Calibri"/>
        <family val="2"/>
        <charset val="1"/>
      </rPr>
      <t xml:space="preserve">FY2025 16.28 ÷ 70.39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23.1%</t>
    </r>
  </si>
  <si>
    <t xml:space="preserve">nci_sh</t>
  </si>
  <si>
    <r>
      <rPr>
        <sz val="11"/>
        <color theme="1"/>
        <rFont val="Noto Sans CJK SC"/>
        <family val="2"/>
      </rPr>
      <t xml:space="preserve">非控制權益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晶碩淨利（景碩對晶碩的有效持股約 </t>
    </r>
    <r>
      <rPr>
        <sz val="11"/>
        <color theme="1"/>
        <rFont val="Calibri"/>
        <family val="2"/>
        <charset val="1"/>
      </rPr>
      <t xml:space="preserve">31%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</si>
  <si>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季損益表（公司財報轉載）：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非控制權益 </t>
    </r>
    <r>
      <rPr>
        <sz val="11"/>
        <color theme="1"/>
        <rFont val="Calibri"/>
        <family val="2"/>
        <charset val="1"/>
      </rPr>
      <t xml:space="preserve">3.27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3.73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</si>
  <si>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晶碩（</t>
    </r>
    <r>
      <rPr>
        <sz val="11"/>
        <color theme="1"/>
        <rFont val="Calibri"/>
        <family val="2"/>
        <charset val="1"/>
      </rPr>
      <t xml:space="preserve">6491</t>
    </r>
    <r>
      <rPr>
        <sz val="11"/>
        <color theme="1"/>
        <rFont val="Noto Sans CJK SC"/>
        <family val="2"/>
      </rPr>
      <t xml:space="preserve">）季損益表：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晶碩淨利 </t>
    </r>
    <r>
      <rPr>
        <sz val="11"/>
        <color theme="1"/>
        <rFont val="Calibri"/>
        <family val="2"/>
        <charset val="1"/>
      </rPr>
      <t xml:space="preserve">4.72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5.44 </t>
    </r>
    <r>
      <rPr>
        <sz val="11"/>
        <color theme="1"/>
        <rFont val="Noto Sans CJK SC"/>
        <family val="2"/>
      </rPr>
      <t xml:space="preserve">億；持股比例原文：未找到</t>
    </r>
  </si>
  <si>
    <r>
      <rPr>
        <b val="true"/>
        <sz val="11"/>
        <rFont val="Cambria"/>
        <family val="0"/>
        <charset val="1"/>
      </rPr>
      <t xml:space="preserve">F.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營收實績＋假設）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</si>
  <si>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</si>
  <si>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營收（月營收實績：前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月累計 − 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）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</si>
  <si>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</si>
  <si>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TechNews 2026-10-06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月累計）：前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381.41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51.81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</si>
  <si>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月營收、資本支出 </t>
    </r>
    <r>
      <rPr>
        <sz val="11"/>
        <color theme="1"/>
        <rFont val="Calibri"/>
        <family val="2"/>
        <charset val="1"/>
      </rPr>
      <t xml:space="preserve">196 </t>
    </r>
    <r>
      <rPr>
        <sz val="11"/>
        <color theme="1"/>
        <rFont val="Noto Sans CJK SC"/>
        <family val="2"/>
      </rPr>
      <t xml:space="preserve">億）：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45.49 </t>
    </r>
    <r>
      <rPr>
        <sz val="11"/>
        <color theme="1"/>
        <rFont val="Noto Sans CJK SC"/>
        <family val="2"/>
      </rPr>
      <t xml:space="preserve">億</t>
    </r>
  </si>
  <si>
    <t xml:space="preserve">q3_gm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</si>
  <si>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</si>
  <si>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旺得富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（永豐、玉山投顧；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預估）：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 </t>
    </r>
    <r>
      <rPr>
        <sz val="11"/>
        <color theme="1"/>
        <rFont val="Calibri"/>
        <family val="2"/>
        <charset val="1"/>
      </rPr>
      <t xml:space="preserve">EPS 1.55</t>
    </r>
    <r>
      <rPr>
        <sz val="11"/>
        <color theme="1"/>
        <rFont val="Noto Sans CJK SC"/>
        <family val="2"/>
      </rPr>
      <t xml:space="preserve">、淨利率 </t>
    </r>
    <r>
      <rPr>
        <sz val="11"/>
        <color theme="1"/>
        <rFont val="Calibri"/>
        <family val="2"/>
        <charset val="1"/>
      </rPr>
      <t xml:space="preserve">17%</t>
    </r>
    <r>
      <rPr>
        <sz val="11"/>
        <color theme="1"/>
        <rFont val="Noto Sans CJK SC"/>
        <family val="2"/>
      </rPr>
      <t xml:space="preserve">；永豐 </t>
    </r>
    <r>
      <rPr>
        <sz val="11"/>
        <color theme="1"/>
        <rFont val="Calibri"/>
        <family val="2"/>
        <charset val="1"/>
      </rPr>
      <t xml:space="preserve">3Q26 EPS 4.29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</si>
  <si>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2026-10-12</t>
    </r>
    <r>
      <rPr>
        <sz val="11"/>
        <color theme="1"/>
        <rFont val="Noto Sans CJK SC"/>
        <family val="2"/>
      </rPr>
      <t xml:space="preserve">（美系券商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毛利率）：美系券商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27.8%</t>
    </r>
  </si>
  <si>
    <t xml:space="preserve">q3_opx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</si>
  <si>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營業費用</t>
    </r>
  </si>
  <si>
    <r>
      <rPr>
        <sz val="11"/>
        <color theme="1"/>
        <rFont val="Calibri"/>
        <family val="2"/>
        <charset val="1"/>
      </rPr>
      <t xml:space="preserve">1Q26 1.459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1.582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</si>
  <si>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q4_g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</si>
  <si>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</si>
  <si>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Calibri"/>
        <family val="2"/>
        <charset val="1"/>
      </rPr>
      <t xml:space="preserve">TechNews 2026-08-04</t>
    </r>
    <r>
      <rPr>
        <sz val="11"/>
        <color theme="1"/>
        <rFont val="Noto Sans CJK SC"/>
        <family val="2"/>
      </rPr>
      <t xml:space="preserve">（高盛；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法說重點）：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各季增約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</si>
  <si>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旺得富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（永豐、玉山投顧；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預估）：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173.14 </t>
    </r>
    <r>
      <rPr>
        <sz val="11"/>
        <color theme="1"/>
        <rFont val="Noto Sans CJK SC"/>
        <family val="2"/>
      </rPr>
      <t xml:space="preserve">億（季增 </t>
    </r>
    <r>
      <rPr>
        <sz val="11"/>
        <color theme="1"/>
        <rFont val="Calibri"/>
        <family val="2"/>
        <charset val="1"/>
      </rPr>
      <t xml:space="preserve">19.1%</t>
    </r>
    <r>
      <rPr>
        <sz val="11"/>
        <color theme="1"/>
        <rFont val="Noto Sans CJK SC"/>
        <family val="2"/>
      </rPr>
      <t xml:space="preserve">）</t>
    </r>
  </si>
  <si>
    <t xml:space="preserve">q4_gm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</si>
  <si>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</si>
  <si>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旺得富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（永豐、玉山投顧；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預估）：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33%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</si>
  <si>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2026-10-12</t>
    </r>
    <r>
      <rPr>
        <sz val="11"/>
        <color theme="1"/>
        <rFont val="Noto Sans CJK SC"/>
        <family val="2"/>
      </rPr>
      <t xml:space="preserve">（美系券商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毛利率）：美系券商 </t>
    </r>
    <r>
      <rPr>
        <sz val="11"/>
        <color theme="1"/>
        <rFont val="Calibri"/>
        <family val="2"/>
        <charset val="1"/>
      </rPr>
      <t xml:space="preserve">29.3%</t>
    </r>
  </si>
  <si>
    <t xml:space="preserve">q4_opx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</si>
  <si>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</t>
    </r>
  </si>
  <si>
    <t xml:space="preserve">q_nonop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</si>
  <si>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營業外淨額（每季）</t>
    </r>
  </si>
  <si>
    <r>
      <rPr>
        <sz val="11"/>
        <color theme="1"/>
        <rFont val="Calibri"/>
        <family val="2"/>
        <charset val="1"/>
      </rPr>
      <t xml:space="preserve">1Q26 0.074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0.105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推得）</t>
    </r>
  </si>
  <si>
    <t xml:space="preserve">q_tax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</si>
  <si>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所得稅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稅前利益</t>
    </r>
  </si>
  <si>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：所得稅 </t>
    </r>
    <r>
      <rPr>
        <sz val="11"/>
        <color theme="1"/>
        <rFont val="Calibri"/>
        <family val="2"/>
        <charset val="1"/>
      </rPr>
      <t xml:space="preserve">1.90 ÷ </t>
    </r>
    <r>
      <rPr>
        <sz val="11"/>
        <color theme="1"/>
        <rFont val="Noto Sans CJK SC"/>
        <family val="2"/>
      </rPr>
      <t xml:space="preserve">稅前 </t>
    </r>
    <r>
      <rPr>
        <sz val="11"/>
        <color theme="1"/>
        <rFont val="Calibri"/>
        <family val="2"/>
        <charset val="1"/>
      </rPr>
      <t xml:space="preserve">27.49 </t>
    </r>
    <r>
      <rPr>
        <sz val="11"/>
        <color theme="1"/>
        <rFont val="Noto Sans CJK SC"/>
        <family val="2"/>
      </rPr>
      <t xml:space="preserve">億＝</t>
    </r>
    <r>
      <rPr>
        <sz val="11"/>
        <color theme="1"/>
        <rFont val="Calibri"/>
        <family val="2"/>
        <charset val="1"/>
      </rPr>
      <t xml:space="preserve">6.9%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</si>
  <si>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FY2025 12.0%</t>
  </si>
  <si>
    <t xml:space="preserve">q3_lens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</si>
  <si>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晶碩營收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</si>
  <si>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晶碩（</t>
    </r>
    <r>
      <rPr>
        <sz val="11"/>
        <color theme="1"/>
        <rFont val="Calibri"/>
        <family val="2"/>
        <charset val="1"/>
      </rPr>
      <t xml:space="preserve">6491</t>
    </r>
    <r>
      <rPr>
        <sz val="11"/>
        <color theme="1"/>
        <rFont val="Noto Sans CJK SC"/>
        <family val="2"/>
      </rPr>
      <t xml:space="preserve">）季損益表：</t>
    </r>
    <r>
      <rPr>
        <sz val="11"/>
        <color theme="1"/>
        <rFont val="Calibri"/>
        <family val="2"/>
        <charset val="1"/>
      </rPr>
      <t xml:space="preserve">2Q26 2.115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1.886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</si>
  <si>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月營收：未找到</t>
    </r>
  </si>
  <si>
    <t xml:space="preserve">q4_lens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</si>
  <si>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晶碩營收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</si>
  <si>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晶碩（</t>
    </r>
    <r>
      <rPr>
        <sz val="11"/>
        <color theme="1"/>
        <rFont val="Calibri"/>
        <family val="2"/>
        <charset val="1"/>
      </rPr>
      <t xml:space="preserve">6491</t>
    </r>
    <r>
      <rPr>
        <sz val="11"/>
        <color theme="1"/>
        <rFont val="Noto Sans CJK SC"/>
        <family val="2"/>
      </rPr>
      <t xml:space="preserve">）季損益表：</t>
    </r>
    <r>
      <rPr>
        <sz val="11"/>
        <color theme="1"/>
        <rFont val="Calibri"/>
        <family val="2"/>
        <charset val="1"/>
      </rPr>
      <t xml:space="preserve">4Q25 1.930</t>
    </r>
  </si>
  <si>
    <t xml:space="preserve">q_sh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</si>
  <si>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加權股數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</si>
  <si>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</si>
  <si>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3189</t>
    </r>
    <r>
      <rPr>
        <sz val="11"/>
        <color theme="1"/>
        <rFont val="Noto Sans CJK SC"/>
        <family val="2"/>
      </rPr>
      <t xml:space="preserve">）：流通股數 </t>
    </r>
    <r>
      <rPr>
        <sz val="11"/>
        <color theme="1"/>
        <rFont val="Calibri"/>
        <family val="2"/>
        <charset val="1"/>
      </rPr>
      <t xml:space="preserve">526.91M</t>
    </r>
  </si>
  <si>
    <r>
      <rPr>
        <sz val="11"/>
        <color theme="1"/>
        <rFont val="Calibri"/>
        <family val="2"/>
        <charset val="1"/>
      </rPr>
      <t xml:space="preserve">nstock</t>
    </r>
    <r>
      <rPr>
        <sz val="11"/>
        <color theme="1"/>
        <rFont val="Noto Sans CJK SC"/>
        <family val="2"/>
      </rPr>
      <t xml:space="preserve">：股本 </t>
    </r>
    <r>
      <rPr>
        <sz val="11"/>
        <color theme="1"/>
        <rFont val="Calibri"/>
        <family val="2"/>
        <charset val="1"/>
      </rPr>
      <t xml:space="preserve">52.69 </t>
    </r>
    <r>
      <rPr>
        <sz val="11"/>
        <color theme="1"/>
        <rFont val="Noto Sans CJK SC"/>
        <family val="2"/>
      </rPr>
      <t xml:space="preserve">億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</si>
  <si>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共識與券商（只作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對照，不作校準）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</si>
  <si>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</si>
  <si>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FY2026</t>
    </r>
    <r>
      <rPr>
        <sz val="11"/>
        <color theme="1"/>
        <rFont val="Noto Sans CJK SC"/>
        <family val="2"/>
      </rPr>
      <t xml:space="preserve">（主串補位排序表，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</si>
  <si>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t xml:space="preserve">NT$</t>
  </si>
  <si>
    <t xml:space="preserve">主串提供（補位排序表）；原始口徑本串未查證</t>
  </si>
  <si>
    <r>
      <rPr>
        <sz val="11"/>
        <color theme="1"/>
        <rFont val="Noto Sans CJK SC"/>
        <family val="2"/>
      </rPr>
      <t xml:space="preserve">鉅亨 </t>
    </r>
    <r>
      <rPr>
        <sz val="11"/>
        <color theme="1"/>
        <rFont val="Calibri"/>
        <family val="2"/>
        <charset val="1"/>
      </rPr>
      <t xml:space="preserve">2026-06-20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FactSet 13 </t>
    </r>
    <r>
      <rPr>
        <sz val="11"/>
        <color theme="1"/>
        <rFont val="Noto Sans CJK SC"/>
        <family val="2"/>
      </rPr>
      <t xml:space="preserve">位分析師）：平均 </t>
    </r>
    <r>
      <rPr>
        <sz val="11"/>
        <color theme="1"/>
        <rFont val="Calibri"/>
        <family val="2"/>
        <charset val="1"/>
      </rPr>
      <t xml:space="preserve">9.73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</si>
  <si>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</si>
  <si>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FY2027</t>
    </r>
    <r>
      <rPr>
        <sz val="11"/>
        <color theme="1"/>
        <rFont val="Noto Sans CJK SC"/>
        <family val="2"/>
      </rPr>
      <t xml:space="preserve">（主串補位排序表，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</si>
  <si>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鉅亨 </t>
    </r>
    <r>
      <rPr>
        <sz val="11"/>
        <color theme="1"/>
        <rFont val="Calibri"/>
        <family val="2"/>
        <charset val="1"/>
      </rPr>
      <t xml:space="preserve">2026-06-20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FactSet 13 </t>
    </r>
    <r>
      <rPr>
        <sz val="11"/>
        <color theme="1"/>
        <rFont val="Noto Sans CJK SC"/>
        <family val="2"/>
      </rPr>
      <t xml:space="preserve">位分析師）：平均 </t>
    </r>
    <r>
      <rPr>
        <sz val="11"/>
        <color theme="1"/>
        <rFont val="Calibri"/>
        <family val="2"/>
        <charset val="1"/>
      </rPr>
      <t xml:space="preserve">19.93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</si>
  <si>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t xml:space="preserve">fs_eps26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</si>
  <si>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FY2026</t>
    </r>
    <r>
      <rPr>
        <sz val="11"/>
        <color theme="1"/>
        <rFont val="Noto Sans CJK SC"/>
        <family val="2"/>
      </rPr>
      <t xml:space="preserve">（平均，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</si>
  <si>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鉅亨 </t>
    </r>
    <r>
      <rPr>
        <sz val="11"/>
        <color theme="1"/>
        <rFont val="Calibri"/>
        <family val="2"/>
        <charset val="1"/>
      </rPr>
      <t xml:space="preserve">2026-06-20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FactSet 13 </t>
    </r>
    <r>
      <rPr>
        <sz val="11"/>
        <color theme="1"/>
        <rFont val="Noto Sans CJK SC"/>
        <family val="2"/>
      </rPr>
      <t xml:space="preserve">位分析師）</t>
    </r>
  </si>
  <si>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9.33</t>
    </r>
  </si>
  <si>
    <t xml:space="preserve">fs_eps27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</si>
  <si>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FY2027</t>
    </r>
    <r>
      <rPr>
        <sz val="11"/>
        <color theme="1"/>
        <rFont val="Noto Sans CJK SC"/>
        <family val="2"/>
      </rPr>
      <t xml:space="preserve">（平均，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</si>
  <si>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18.45</t>
    </r>
  </si>
  <si>
    <t xml:space="preserve">fs_eps28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</si>
  <si>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FY2028</t>
    </r>
    <r>
      <rPr>
        <sz val="11"/>
        <color theme="1"/>
        <rFont val="Noto Sans CJK SC"/>
        <family val="2"/>
      </rPr>
      <t xml:space="preserve">（平均，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</si>
  <si>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36.45</t>
    </r>
  </si>
  <si>
    <t xml:space="preserve">fs_rev27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</si>
  <si>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（平均，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</si>
  <si>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t xml:space="preserve">fs_rev28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</si>
  <si>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（平均，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</si>
  <si>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t xml:space="preserve">bk_eps27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</si>
  <si>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EPS FY2027</t>
    </r>
    <r>
      <rPr>
        <sz val="11"/>
        <color theme="1"/>
        <rFont val="Noto Sans CJK SC"/>
        <family val="2"/>
      </rPr>
      <t xml:space="preserve">（永豐 </t>
    </r>
    <r>
      <rPr>
        <sz val="11"/>
        <color theme="1"/>
        <rFont val="Calibri"/>
        <family val="2"/>
        <charset val="1"/>
      </rPr>
      <t xml:space="preserve">36.03</t>
    </r>
    <r>
      <rPr>
        <sz val="11"/>
        <color theme="1"/>
        <rFont val="Noto Sans CJK SC"/>
        <family val="2"/>
      </rPr>
      <t xml:space="preserve">、玉山 </t>
    </r>
    <r>
      <rPr>
        <sz val="11"/>
        <color theme="1"/>
        <rFont val="Calibri"/>
        <family val="2"/>
        <charset val="1"/>
      </rPr>
      <t xml:space="preserve">42.41</t>
    </r>
    <r>
      <rPr>
        <sz val="11"/>
        <color theme="1"/>
        <rFont val="Noto Sans CJK SC"/>
        <family val="2"/>
      </rPr>
      <t xml:space="preserve">、美系 </t>
    </r>
    <r>
      <rPr>
        <sz val="11"/>
        <color theme="1"/>
        <rFont val="Calibri"/>
        <family val="2"/>
        <charset val="1"/>
      </rPr>
      <t xml:space="preserve">27.3 </t>
    </r>
    <r>
      <rPr>
        <sz val="11"/>
        <color theme="1"/>
        <rFont val="Noto Sans CJK SC"/>
        <family val="2"/>
      </rPr>
      <t xml:space="preserve">平均）</t>
    </r>
  </si>
  <si>
    <r>
      <rPr>
        <sz val="11"/>
        <color theme="1"/>
        <rFont val="Noto Sans CJK SC"/>
        <family val="2"/>
      </rPr>
      <t xml:space="preserve">旺得富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（永豐、玉山投顧；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預估）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</si>
  <si>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2026-10-12</t>
    </r>
    <r>
      <rPr>
        <sz val="11"/>
        <color theme="1"/>
        <rFont val="Noto Sans CJK SC"/>
        <family val="2"/>
      </rPr>
      <t xml:space="preserve">（美系券商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毛利率）</t>
    </r>
  </si>
  <si>
    <t xml:space="preserve">bk_eps28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</si>
  <si>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EPS FY2028</t>
    </r>
    <r>
      <rPr>
        <sz val="11"/>
        <color theme="1"/>
        <rFont val="Noto Sans CJK SC"/>
        <family val="2"/>
      </rPr>
      <t xml:space="preserve">（永豐 </t>
    </r>
    <r>
      <rPr>
        <sz val="11"/>
        <color theme="1"/>
        <rFont val="Calibri"/>
        <family val="2"/>
        <charset val="1"/>
      </rPr>
      <t xml:space="preserve">62.22</t>
    </r>
    <r>
      <rPr>
        <sz val="11"/>
        <color theme="1"/>
        <rFont val="Noto Sans CJK SC"/>
        <family val="2"/>
      </rPr>
      <t xml:space="preserve">、玉山 </t>
    </r>
    <r>
      <rPr>
        <sz val="11"/>
        <color theme="1"/>
        <rFont val="Calibri"/>
        <family val="2"/>
        <charset val="1"/>
      </rPr>
      <t xml:space="preserve">89.75</t>
    </r>
    <r>
      <rPr>
        <sz val="11"/>
        <color theme="1"/>
        <rFont val="Noto Sans CJK SC"/>
        <family val="2"/>
      </rPr>
      <t xml:space="preserve">、美系 </t>
    </r>
    <r>
      <rPr>
        <sz val="11"/>
        <color theme="1"/>
        <rFont val="Calibri"/>
        <family val="2"/>
        <charset val="1"/>
      </rPr>
      <t xml:space="preserve">51.5 </t>
    </r>
    <r>
      <rPr>
        <sz val="11"/>
        <color theme="1"/>
        <rFont val="Noto Sans CJK SC"/>
        <family val="2"/>
      </rPr>
      <t xml:space="preserve">平均）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</si>
  <si>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價格與市場資料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</si>
  <si>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</si>
  <si>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</si>
  <si>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3189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986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14:39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</si>
  <si>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nstock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986</t>
    </r>
  </si>
  <si>
    <t xml:space="preserve">fpe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</si>
  <si>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，價格日期 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</si>
  <si>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3189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</si>
  <si>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口徑：頁面未明示（約未來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月）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</si>
  <si>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</si>
  <si>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</si>
  <si>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5.93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</si>
  <si>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</si>
  <si>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頁面價格 </t>
    </r>
    <r>
      <rPr>
        <sz val="11"/>
        <color theme="1"/>
        <rFont val="Calibri"/>
        <family val="2"/>
        <charset val="1"/>
      </rPr>
      <t xml:space="preserve">986 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</si>
  <si>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直接數字：未找到</t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</si>
  <si>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</si>
  <si>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</si>
  <si>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3189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1,092.15</t>
    </r>
    <r>
      <rPr>
        <sz val="11"/>
        <color theme="1"/>
        <rFont val="Noto Sans CJK SC"/>
        <family val="2"/>
      </rPr>
      <t xml:space="preserve">（頁面價格日期 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</si>
  <si>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月：永豐 </t>
    </r>
    <r>
      <rPr>
        <sz val="11"/>
        <color theme="1"/>
        <rFont val="Calibri"/>
        <family val="2"/>
        <charset val="1"/>
      </rPr>
      <t xml:space="preserve">1,280</t>
    </r>
    <r>
      <rPr>
        <sz val="11"/>
        <color theme="1"/>
        <rFont val="Noto Sans CJK SC"/>
        <family val="2"/>
      </rPr>
      <t xml:space="preserve">、玉山 </t>
    </r>
    <r>
      <rPr>
        <sz val="11"/>
        <color theme="1"/>
        <rFont val="Calibri"/>
        <family val="2"/>
        <charset val="1"/>
      </rPr>
      <t xml:space="preserve">1,270</t>
    </r>
    <r>
      <rPr>
        <sz val="11"/>
        <color theme="1"/>
        <rFont val="Noto Sans CJK SC"/>
        <family val="2"/>
      </rPr>
      <t xml:space="preserve">（旺得富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（永豐、玉山投顧；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預估））；高盛 </t>
    </r>
    <r>
      <rPr>
        <sz val="11"/>
        <color theme="1"/>
        <rFont val="Calibri"/>
        <family val="2"/>
        <charset val="1"/>
      </rPr>
      <t xml:space="preserve">1,125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</t>
    </r>
  </si>
  <si>
    <t xml:space="preserve">fx</t>
  </si>
  <si>
    <t xml:space="preserve">匯率</t>
  </si>
  <si>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US$</t>
    </r>
  </si>
  <si>
    <t xml:space="preserve">nim5</t>
  </si>
  <si>
    <r>
      <rPr>
        <sz val="11"/>
        <color theme="1"/>
        <rFont val="Noto Sans CJK SC"/>
        <family val="2"/>
      </rPr>
      <t xml:space="preserve">近五年平均淨利率（</t>
    </r>
    <r>
      <rPr>
        <sz val="11"/>
        <color theme="1"/>
        <rFont val="Calibri"/>
        <family val="2"/>
        <charset val="1"/>
      </rPr>
      <t xml:space="preserve">FY2021–25</t>
    </r>
    <r>
      <rPr>
        <sz val="11"/>
        <color theme="1"/>
        <rFont val="Noto Sans CJK SC"/>
        <family val="2"/>
      </rPr>
      <t xml:space="preserve">；十年平均的參考）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</si>
  <si>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3189</t>
    </r>
    <r>
      <rPr>
        <sz val="11"/>
        <color theme="1"/>
        <rFont val="Noto Sans CJK SC"/>
        <family val="2"/>
      </rPr>
      <t xml:space="preserve">）：營收與歸屬母公司淨利 </t>
    </r>
    <r>
      <rPr>
        <sz val="11"/>
        <color theme="1"/>
        <rFont val="Calibri"/>
        <family val="2"/>
        <charset val="1"/>
      </rPr>
      <t xml:space="preserve">FY2021–25</t>
    </r>
  </si>
  <si>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）營收：未找到（</t>
    </r>
    <r>
      <rPr>
        <sz val="11"/>
        <color theme="1"/>
        <rFont val="Calibri"/>
        <family val="2"/>
        <charset val="1"/>
      </rPr>
      <t xml:space="preserve">FY2016–20 </t>
    </r>
    <r>
      <rPr>
        <sz val="11"/>
        <color theme="1"/>
        <rFont val="Noto Sans CJK SC"/>
        <family val="2"/>
      </rPr>
      <t xml:space="preserve">營收未取得），收斂法依工作單改用 </t>
    </r>
    <r>
      <rPr>
        <sz val="11"/>
        <color theme="1"/>
        <rFont val="Calibri"/>
        <family val="2"/>
        <charset val="1"/>
      </rPr>
      <t xml:space="preserve">FY2029 × 0.8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</si>
  <si>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目標價與收斂法參數（黃底；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</si>
  <si>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</si>
  <si>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</si>
  <si>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</si>
  <si>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</si>
  <si>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</si>
  <si>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</si>
  <si>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</si>
  <si>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</si>
  <si>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</si>
  <si>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</si>
  <si>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，美台日韓同一值）</t>
    </r>
  </si>
  <si>
    <t xml:space="preserve">tp_g</t>
  </si>
  <si>
    <t xml:space="preserve">長期成長率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</si>
  <si>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</si>
  <si>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永續價值與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收斂目標（情境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</si>
  <si>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</si>
  <si>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</si>
  <si>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3189</t>
    </r>
    <r>
      <rPr>
        <sz val="11"/>
        <color theme="1"/>
        <rFont val="Noto Sans CJK SC"/>
        <family val="2"/>
      </rPr>
      <t xml:space="preserve">） 比率頁：</t>
    </r>
    <r>
      <rPr>
        <sz val="11"/>
        <color theme="1"/>
        <rFont val="Calibri"/>
        <family val="2"/>
        <charset val="1"/>
      </rPr>
      <t xml:space="preserve">FY2023 3.00%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3.37%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6.69%</t>
    </r>
  </si>
  <si>
    <r>
      <rPr>
        <sz val="11"/>
        <color theme="1"/>
        <rFont val="Noto Sans CJK SC"/>
        <family val="2"/>
      </rPr>
      <t xml:space="preserve">單一來源；本模型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改用（淨利＋折舊－資本支出），此值只作參考列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</si>
  <si>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</si>
  <si>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</si>
  <si>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</si>
  <si>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</si>
  <si>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</si>
  <si>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</si>
  <si>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</si>
  <si>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</si>
  <si>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</si>
  <si>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</si>
  <si>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</si>
  <si>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</si>
  <si>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</si>
  <si>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</si>
  <si>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</si>
  <si>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與十年平均的中點）</t>
    </r>
  </si>
  <si>
    <r>
      <rPr>
        <sz val="11"/>
        <color theme="1"/>
        <rFont val="Noto Sans CJK SC"/>
        <family val="2"/>
      </rPr>
      <t xml:space="preserve">十年平均淨利率：未找到，以情境 </t>
    </r>
    <r>
      <rPr>
        <sz val="11"/>
        <color theme="1"/>
        <rFont val="Calibri"/>
        <family val="2"/>
        <charset val="1"/>
      </rPr>
      <t xml:space="preserve">B FY2029 × 0.8 </t>
    </r>
    <r>
      <rPr>
        <sz val="11"/>
        <color theme="1"/>
        <rFont val="Noto Sans CJK SC"/>
        <family val="2"/>
      </rPr>
      <t xml:space="preserve">代替（工作單規則）；本列＝（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2</t>
    </r>
  </si>
  <si>
    <r>
      <rPr>
        <sz val="11"/>
        <color theme="1"/>
        <rFont val="Noto Sans CJK SC"/>
        <family val="2"/>
      </rPr>
      <t xml:space="preserve">近五年平均見 </t>
    </r>
    <r>
      <rPr>
        <sz val="11"/>
        <color theme="1"/>
        <rFont val="Calibri"/>
        <family val="2"/>
        <charset val="1"/>
      </rPr>
      <t xml:space="preserve">nim5</t>
    </r>
    <r>
      <rPr>
        <sz val="11"/>
        <color theme="1"/>
        <rFont val="Noto Sans CJK SC"/>
        <family val="2"/>
      </rPr>
      <t xml:space="preserve">（只作參考）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</si>
  <si>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</si>
  <si>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淨利率收斂目標（＝十年平均）</t>
    </r>
  </si>
  <si>
    <r>
      <rPr>
        <sz val="11"/>
        <color theme="1"/>
        <rFont val="Noto Sans CJK SC"/>
        <family val="2"/>
      </rPr>
      <t xml:space="preserve">十年平均淨利率：未找到，以情境 </t>
    </r>
    <r>
      <rPr>
        <sz val="11"/>
        <color theme="1"/>
        <rFont val="Calibri"/>
        <family val="2"/>
        <charset val="1"/>
      </rPr>
      <t xml:space="preserve">C FY2029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代替（工作單規則）</t>
    </r>
  </si>
  <si>
    <r>
      <rPr>
        <sz val="11"/>
        <color theme="1"/>
        <rFont val="Calibri"/>
        <family val="2"/>
        <charset val="1"/>
      </rPr>
      <t xml:space="preserve">Q — FY2025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新台幣、基本；股數十億股）。藍字＝輸入；黑字＝公式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</si>
  <si>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營收實績（月營收）與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毛利率、費用假設＋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假設。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月底～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月初公布（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2026-11-06</t>
    </r>
    <r>
      <rPr>
        <sz val="11"/>
        <color theme="1"/>
        <rFont val="Noto Sans CJK SC"/>
        <family val="2"/>
      </rPr>
      <t xml:space="preserve">），屆時以實績取代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欄（毛利率、費用、業外、淨利）</t>
    </r>
  </si>
  <si>
    <t xml:space="preserve">FY2025A</t>
  </si>
  <si>
    <r>
      <rPr>
        <b val="true"/>
        <sz val="11"/>
        <rFont val="Cambria"/>
        <family val="0"/>
        <charset val="1"/>
      </rPr>
      <t xml:space="preserve">1Q26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</si>
  <si>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2Q26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</si>
  <si>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</si>
  <si>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</si>
  <si>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</si>
  <si>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</si>
  <si>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</si>
  <si>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</si>
  <si>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年度與季損益表（公司財報轉載）</t>
    </r>
  </si>
  <si>
    <r>
      <rPr>
        <sz val="11"/>
        <color theme="1"/>
        <rFont val="Calibri"/>
        <family val="2"/>
        <charset val="1"/>
      </rPr>
      <t xml:space="preserve">FY2025 393.51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nstock </t>
    </r>
    <r>
      <rPr>
        <sz val="11"/>
        <color theme="1"/>
        <rFont val="Noto Sans CJK SC"/>
        <family val="2"/>
      </rPr>
      <t xml:space="preserve">同）；</t>
    </r>
    <r>
      <rPr>
        <sz val="11"/>
        <color theme="1"/>
        <rFont val="Calibri"/>
        <family val="2"/>
        <charset val="1"/>
      </rPr>
      <t xml:space="preserve">1Q26 111.05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brodog </t>
    </r>
    <r>
      <rPr>
        <sz val="11"/>
        <color theme="1"/>
        <rFont val="Noto Sans CJK SC"/>
        <family val="2"/>
      </rPr>
      <t xml:space="preserve">同）；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＝前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381.41 − 3Q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TechNews</t>
    </r>
    <r>
      <rPr>
        <sz val="11"/>
        <color theme="1"/>
        <rFont val="Noto Sans CJK SC"/>
        <family val="2"/>
      </rPr>
      <t xml:space="preserve">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</si>
  <si>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</si>
  <si>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</si>
  <si>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26.09%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nstock </t>
    </r>
    <r>
      <rPr>
        <sz val="11"/>
        <color theme="1"/>
        <rFont val="Noto Sans CJK SC"/>
        <family val="2"/>
      </rPr>
      <t xml:space="preserve">同；經濟日報 </t>
    </r>
    <r>
      <rPr>
        <sz val="11"/>
        <color theme="1"/>
        <rFont val="Calibri"/>
        <family val="2"/>
        <charset val="1"/>
      </rPr>
      <t xml:space="preserve">26.1%</t>
    </r>
    <r>
      <rPr>
        <sz val="11"/>
        <color theme="1"/>
        <rFont val="Noto Sans CJK SC"/>
        <family val="2"/>
      </rPr>
      <t xml:space="preserve">）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</si>
  <si>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</si>
  <si>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FY2025 21.1%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brodog </t>
    </r>
    <r>
      <rPr>
        <sz val="11"/>
        <color theme="1"/>
        <rFont val="Noto Sans CJK SC"/>
        <family val="2"/>
      </rPr>
      <t xml:space="preserve">同）</t>
    </r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</si>
  <si>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</si>
  <si>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</si>
  <si>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毛利 − 營業利益</t>
  </si>
  <si>
    <t xml:space="preserve">營業利益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</si>
  <si>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</si>
  <si>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13.43%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nstock </t>
    </r>
    <r>
      <rPr>
        <sz val="11"/>
        <color theme="1"/>
        <rFont val="Noto Sans CJK SC"/>
        <family val="2"/>
      </rPr>
      <t xml:space="preserve">同）</t>
    </r>
  </si>
  <si>
    <t xml:space="preserve">營業外淨額</t>
  </si>
  <si>
    <t xml:space="preserve">稅前利益 − 營業利益</t>
  </si>
  <si>
    <t xml:space="preserve">稅前利益</t>
  </si>
  <si>
    <t xml:space="preserve">所得稅</t>
  </si>
  <si>
    <t xml:space="preserve">合併淨利（含非控制權益）</t>
  </si>
  <si>
    <t xml:space="preserve">稅前 − 所得稅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</si>
  <si>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27.17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8.76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16.83 </t>
    </r>
    <r>
      <rPr>
        <sz val="11"/>
        <color theme="1"/>
        <rFont val="Noto Sans CJK SC"/>
        <family val="2"/>
      </rPr>
      <t xml:space="preserve">億</t>
    </r>
  </si>
  <si>
    <t xml:space="preserve">非控制權益（主要為晶碩）</t>
  </si>
  <si>
    <r>
      <rPr>
        <sz val="11"/>
        <color theme="1"/>
        <rFont val="Noto Sans CJK SC"/>
        <family val="2"/>
      </rPr>
      <t xml:space="preserve">合併淨利 − 歸屬母公司淨利；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</t>
    </r>
    <r>
      <rPr>
        <sz val="11"/>
        <color theme="1"/>
        <rFont val="Noto Sans CJK SC"/>
        <family val="2"/>
      </rPr>
      <t xml:space="preserve">＝晶碩營收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晶碩淨利率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非控制比例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</si>
  <si>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11.21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3.27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3.73 </t>
    </r>
    <r>
      <rPr>
        <sz val="11"/>
        <color theme="1"/>
        <rFont val="Noto Sans CJK SC"/>
        <family val="2"/>
      </rPr>
      <t xml:space="preserve">億</t>
    </r>
  </si>
  <si>
    <t xml:space="preserve">歸屬母公司淨利</t>
  </si>
  <si>
    <r>
      <rPr>
        <sz val="11"/>
        <color theme="1"/>
        <rFont val="Noto Sans CJK SC"/>
        <family val="2"/>
      </rPr>
      <t xml:space="preserve">旺得富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（永豐、玉山投顧；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預估）：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 </t>
    </r>
    <r>
      <rPr>
        <sz val="11"/>
        <color theme="1"/>
        <rFont val="Calibri"/>
        <family val="2"/>
        <charset val="1"/>
      </rPr>
      <t xml:space="preserve">EPS 1.55</t>
    </r>
  </si>
  <si>
    <t xml:space="preserve">加權股數（十億股）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</si>
  <si>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</si>
  <si>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年初現增 </t>
    </r>
    <r>
      <rPr>
        <sz val="11"/>
        <color theme="1"/>
        <rFont val="Calibri"/>
        <family val="2"/>
        <charset val="1"/>
      </rPr>
      <t xml:space="preserve">7,000 </t>
    </r>
    <r>
      <rPr>
        <sz val="11"/>
        <color theme="1"/>
        <rFont val="Noto Sans CJK SC"/>
        <family val="2"/>
      </rPr>
      <t xml:space="preserve">萬股（每股 </t>
    </r>
    <r>
      <rPr>
        <sz val="11"/>
        <color theme="1"/>
        <rFont val="Calibri"/>
        <family val="2"/>
        <charset val="1"/>
      </rPr>
      <t xml:space="preserve">145 </t>
    </r>
    <r>
      <rPr>
        <sz val="11"/>
        <color theme="1"/>
        <rFont val="Noto Sans CJK SC"/>
        <family val="2"/>
      </rPr>
      <t xml:space="preserve">元）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</si>
  <si>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（基本）</t>
    </r>
  </si>
  <si>
    <r>
      <rPr>
        <sz val="11"/>
        <color theme="1"/>
        <rFont val="Calibri"/>
        <family val="2"/>
        <charset val="1"/>
      </rPr>
      <t xml:space="preserve">FY2025 3.51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wantgoo </t>
    </r>
    <r>
      <rPr>
        <sz val="11"/>
        <color theme="1"/>
        <rFont val="Noto Sans CJK SC"/>
        <family val="2"/>
      </rPr>
      <t xml:space="preserve">同）；</t>
    </r>
    <r>
      <rPr>
        <sz val="11"/>
        <color theme="1"/>
        <rFont val="Calibri"/>
        <family val="2"/>
        <charset val="1"/>
      </rPr>
      <t xml:space="preserve">1H26 3.74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nstock</t>
    </r>
    <r>
      <rPr>
        <sz val="11"/>
        <color theme="1"/>
        <rFont val="Noto Sans CJK SC"/>
        <family val="2"/>
      </rPr>
      <t xml:space="preserve">、經濟日報同）</t>
    </r>
  </si>
  <si>
    <t xml:space="preserve">折舊攤提（年度）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</si>
  <si>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季現金流量表（四季加總）</t>
    </r>
  </si>
  <si>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口徑 </t>
    </r>
    <r>
      <rPr>
        <sz val="11"/>
        <color theme="1"/>
        <rFont val="Calibri"/>
        <family val="2"/>
        <charset val="1"/>
      </rPr>
      <t xml:space="preserve">71.08 </t>
    </r>
    <r>
      <rPr>
        <sz val="11"/>
        <color theme="1"/>
        <rFont val="Noto Sans CJK SC"/>
        <family val="2"/>
      </rPr>
      <t xml:space="preserve">億</t>
    </r>
  </si>
  <si>
    <t xml:space="preserve">資本支出（年度）</t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</si>
  <si>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季現金流量表（四季加總）；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capex26</t>
    </r>
  </si>
  <si>
    <t xml:space="preserve">晶碩營收（合併於景碩）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</si>
  <si>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晶碩（</t>
    </r>
    <r>
      <rPr>
        <sz val="11"/>
        <color theme="1"/>
        <rFont val="Calibri"/>
        <family val="2"/>
        <charset val="1"/>
      </rPr>
      <t xml:space="preserve">6491</t>
    </r>
    <r>
      <rPr>
        <sz val="11"/>
        <color theme="1"/>
        <rFont val="Noto Sans CJK SC"/>
        <family val="2"/>
      </rPr>
      <t xml:space="preserve">）季損益表</t>
    </r>
  </si>
  <si>
    <r>
      <rPr>
        <sz val="11"/>
        <color theme="1"/>
        <rFont val="Calibri"/>
        <family val="2"/>
        <charset val="1"/>
      </rPr>
      <t xml:space="preserve">FY2025 70.39 </t>
    </r>
    <r>
      <rPr>
        <sz val="11"/>
        <color theme="1"/>
        <rFont val="Noto Sans CJK SC"/>
        <family val="2"/>
      </rPr>
      <t xml:space="preserve">億（優分析同）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</si>
  <si>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產品別（錨點營收 </t>
    </r>
    <r>
      <rPr>
        <b val="true"/>
        <sz val="11"/>
        <rFont val="Cambria"/>
        <family val="0"/>
        <charset val="1"/>
      </rPr>
      <t xml:space="preserve">× 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節占比；晶碩取實績＋假設）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</si>
  <si>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</t>
    </r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</si>
  <si>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與其他載板（含類載板）</t>
    </r>
  </si>
  <si>
    <t xml:space="preserve">晶碩（隱形眼鏡）</t>
  </si>
  <si>
    <t xml:space="preserve">檢查（參考；校準未使用券商數字）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</si>
  <si>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 自算 − （前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月累計 </t>
    </r>
    <r>
      <rPr>
        <sz val="11"/>
        <color theme="1"/>
        <rFont val="Calibri"/>
        <family val="2"/>
        <charset val="1"/>
      </rPr>
      <t xml:space="preserve">38.141 − 3Q26</t>
    </r>
    <r>
      <rPr>
        <sz val="11"/>
        <color theme="1"/>
        <rFont val="Noto Sans CJK SC"/>
        <family val="2"/>
      </rPr>
      <t xml:space="preserve">）（應為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</si>
  <si>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</si>
  <si>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合併淨利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</si>
  <si>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永豐 </t>
    </r>
    <r>
      <rPr>
        <sz val="11"/>
        <color theme="1"/>
        <rFont val="Calibri"/>
        <family val="2"/>
        <charset val="1"/>
      </rPr>
      <t xml:space="preserve">13.21 − 1</t>
    </r>
  </si>
  <si>
    <r>
      <rPr>
        <sz val="11"/>
        <color theme="1"/>
        <rFont val="Calibri"/>
        <family val="2"/>
        <charset val="1"/>
      </rPr>
      <t xml:space="preserve">3Q26 EPS ÷ </t>
    </r>
    <r>
      <rPr>
        <sz val="11"/>
        <color theme="1"/>
        <rFont val="Noto Sans CJK SC"/>
        <family val="2"/>
      </rPr>
      <t xml:space="preserve">永豐估 </t>
    </r>
    <r>
      <rPr>
        <sz val="11"/>
        <color theme="1"/>
        <rFont val="Calibri"/>
        <family val="2"/>
        <charset val="1"/>
      </rPr>
      <t xml:space="preserve">4.29 − 1</t>
    </r>
  </si>
  <si>
    <r>
      <rPr>
        <sz val="11"/>
        <color theme="1"/>
        <rFont val="Calibri"/>
        <family val="2"/>
        <charset val="1"/>
      </rPr>
      <t xml:space="preserve">4Q26 EPS ÷ </t>
    </r>
    <r>
      <rPr>
        <sz val="11"/>
        <color theme="1"/>
        <rFont val="Noto Sans CJK SC"/>
        <family val="2"/>
      </rPr>
      <t xml:space="preserve">永豐估 </t>
    </r>
    <r>
      <rPr>
        <sz val="11"/>
        <color theme="1"/>
        <rFont val="Calibri"/>
        <family val="2"/>
        <charset val="1"/>
      </rPr>
      <t xml:space="preserve">5.39 − 1</t>
    </r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</si>
  <si>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營收年化 </t>
    </r>
    <r>
      <rPr>
        <sz val="11"/>
        <color theme="1"/>
        <rFont val="Calibri"/>
        <family val="2"/>
        <charset val="1"/>
      </rPr>
      <t xml:space="preserve">÷ FY2026 </t>
    </r>
    <r>
      <rPr>
        <sz val="11"/>
        <color theme="1"/>
        <rFont val="Noto Sans CJK SC"/>
        <family val="2"/>
      </rPr>
      <t xml:space="preserve">營收（漲價年度化 </t>
    </r>
    <r>
      <rPr>
        <sz val="11"/>
        <color theme="1"/>
        <rFont val="Calibri"/>
        <family val="2"/>
        <charset val="1"/>
      </rPr>
      <t xml:space="preserve">carry </t>
    </r>
    <r>
      <rPr>
        <sz val="11"/>
        <color theme="1"/>
        <rFont val="Noto Sans CJK SC"/>
        <family val="2"/>
      </rPr>
      <t xml:space="preserve">的對照）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</si>
  <si>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景碩在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加速器與 </t>
    </r>
    <r>
      <rPr>
        <sz val="11"/>
        <color theme="1"/>
        <rFont val="Calibri"/>
        <family val="2"/>
        <charset val="1"/>
      </rPr>
      <t xml:space="preserve">NVIDIA CPU </t>
    </r>
    <r>
      <rPr>
        <sz val="11"/>
        <color theme="1"/>
        <rFont val="Noto Sans CJK SC"/>
        <family val="2"/>
      </rPr>
      <t xml:space="preserve">載板的份額與每顆金額（口徑與 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、欣興、南電模型一致；情境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）。份額合計＝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ibiden/dist</t>
    </r>
    <r>
      <rPr>
        <sz val="11"/>
        <color theme="1"/>
        <rFont val="Noto Sans CJK SC"/>
        <family val="2"/>
      </rPr>
      <t xml:space="preserve">）＋欣興（</t>
    </r>
    <r>
      <rPr>
        <sz val="11"/>
        <color theme="1"/>
        <rFont val="Calibri"/>
        <family val="2"/>
        <charset val="1"/>
      </rPr>
      <t xml:space="preserve">unimicron/dist</t>
    </r>
    <r>
      <rPr>
        <sz val="11"/>
        <color theme="1"/>
        <rFont val="Noto Sans CJK SC"/>
        <family val="2"/>
      </rPr>
      <t xml:space="preserve">）＋南電（</t>
    </r>
    <r>
      <rPr>
        <sz val="11"/>
        <color theme="1"/>
        <rFont val="Calibri"/>
        <family val="2"/>
        <charset val="1"/>
      </rPr>
      <t xml:space="preserve">nanya_pcb/dist</t>
    </r>
    <r>
      <rPr>
        <sz val="11"/>
        <color theme="1"/>
        <rFont val="Noto Sans CJK SC"/>
        <family val="2"/>
      </rPr>
      <t xml:space="preserve">）＋景碩，其餘為三星電機、</t>
    </r>
    <r>
      <rPr>
        <sz val="11"/>
        <color theme="1"/>
        <rFont val="Calibri"/>
        <family val="2"/>
        <charset val="1"/>
      </rPr>
      <t xml:space="preserve">AT&amp;S </t>
    </r>
    <r>
      <rPr>
        <sz val="11"/>
        <color theme="1"/>
        <rFont val="Noto Sans CJK SC"/>
        <family val="2"/>
      </rPr>
      <t xml:space="preserve">等</t>
    </r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</si>
  <si>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</si>
  <si>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</si>
  <si>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</si>
  <si>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</si>
  <si>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</si>
  <si>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</t>
    </r>
  </si>
  <si>
    <t xml:space="preserve">markets/network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</si>
  <si>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</t>
    </r>
  </si>
  <si>
    <r>
      <rPr>
        <sz val="11"/>
        <color theme="1"/>
        <rFont val="Calibri"/>
        <family val="2"/>
        <charset val="1"/>
      </rPr>
      <t xml:space="preserve">NVIDIA CPU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Grace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Vera</t>
    </r>
    <r>
      <rPr>
        <sz val="11"/>
        <color theme="1"/>
        <rFont val="Noto Sans CJK SC"/>
        <family val="2"/>
      </rPr>
      <t xml:space="preserve">）顆數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</si>
  <si>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× cpu_r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</si>
  <si>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加速器載板金額（全市場）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</si>
  <si>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頁同值（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面積層數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溢價）</t>
    </r>
  </si>
  <si>
    <r>
      <rPr>
        <sz val="11"/>
        <color theme="1"/>
        <rFont val="Noto Sans CJK SC"/>
        <family val="2"/>
      </rPr>
      <t xml:space="preserve">景碩份額：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</si>
  <si>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（券商稱 </t>
    </r>
    <r>
      <rPr>
        <sz val="11"/>
        <color theme="1"/>
        <rFont val="Calibri"/>
        <family val="2"/>
        <charset val="1"/>
      </rPr>
      <t xml:space="preserve">Rubin 15–20%</t>
    </r>
    <r>
      <rPr>
        <sz val="11"/>
        <color theme="1"/>
        <rFont val="Noto Sans CJK SC"/>
        <family val="2"/>
      </rPr>
      <t xml:space="preserve">，與上游合計衝突）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</si>
  <si>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份額：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70% × Ibiden </t>
    </r>
    <r>
      <rPr>
        <sz val="11"/>
        <color theme="1"/>
        <rFont val="Noto Sans CJK SC"/>
        <family val="2"/>
      </rPr>
      <t xml:space="preserve">份額相對值）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</si>
  <si>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</t>
    </r>
  </si>
  <si>
    <r>
      <rPr>
        <sz val="11"/>
        <color theme="1"/>
        <rFont val="Noto Sans CJK SC"/>
        <family val="2"/>
      </rPr>
      <t xml:space="preserve">欣興份額：</t>
    </r>
    <r>
      <rPr>
        <sz val="11"/>
        <color theme="1"/>
        <rFont val="Calibri"/>
        <family val="2"/>
        <charset val="1"/>
      </rPr>
      <t xml:space="preserve">NVIDIA</t>
    </r>
  </si>
  <si>
    <t xml:space="preserve">欣興模型</t>
  </si>
  <si>
    <r>
      <rPr>
        <sz val="11"/>
        <color theme="1"/>
        <rFont val="Noto Sans CJK SC"/>
        <family val="2"/>
      </rPr>
      <t xml:space="preserve">南電份額：</t>
    </r>
    <r>
      <rPr>
        <sz val="11"/>
        <color theme="1"/>
        <rFont val="Calibri"/>
        <family val="2"/>
        <charset val="1"/>
      </rPr>
      <t xml:space="preserve">NVIDIA</t>
    </r>
  </si>
  <si>
    <t xml:space="preserve">南電模型</t>
  </si>
  <si>
    <r>
      <rPr>
        <sz val="11"/>
        <color theme="1"/>
        <rFont val="Noto Sans CJK SC"/>
        <family val="2"/>
      </rPr>
      <t xml:space="preserve">合計：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＋欣興＋南電＋景碩（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</si>
  <si>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應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；其餘為三星電機等</t>
    </r>
  </si>
  <si>
    <r>
      <rPr>
        <sz val="11"/>
        <color theme="1"/>
        <rFont val="Noto Sans CJK SC"/>
        <family val="2"/>
      </rPr>
      <t xml:space="preserve">景碩份額：非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（金額）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</si>
  <si>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份額：非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÷ v_ot</t>
    </r>
    <r>
      <rPr>
        <sz val="11"/>
        <color theme="1"/>
        <rFont val="Noto Sans CJK SC"/>
        <family val="2"/>
      </rPr>
      <t xml:space="preserve">）</t>
    </r>
  </si>
  <si>
    <t xml:space="preserve">與欣興、南電模型同算法</t>
  </si>
  <si>
    <r>
      <rPr>
        <sz val="11"/>
        <color theme="1"/>
        <rFont val="Noto Sans CJK SC"/>
        <family val="2"/>
      </rPr>
      <t xml:space="preserve">欣興份額：非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（金額）</t>
    </r>
  </si>
  <si>
    <r>
      <rPr>
        <sz val="11"/>
        <color theme="1"/>
        <rFont val="Noto Sans CJK SC"/>
        <family val="2"/>
      </rPr>
      <t xml:space="preserve">南電份額：非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（金額）</t>
    </r>
  </si>
  <si>
    <r>
      <rPr>
        <sz val="11"/>
        <color theme="1"/>
        <rFont val="Noto Sans CJK SC"/>
        <family val="2"/>
      </rPr>
      <t xml:space="preserve">合計：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＋欣興＋南電＋景碩（非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</si>
  <si>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應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；其餘為三星電機、</t>
    </r>
    <r>
      <rPr>
        <sz val="11"/>
        <color theme="1"/>
        <rFont val="Calibri"/>
        <family val="2"/>
        <charset val="1"/>
      </rPr>
      <t xml:space="preserve">AT&amp;S</t>
    </r>
  </si>
  <si>
    <r>
      <rPr>
        <sz val="11"/>
        <color theme="1"/>
        <rFont val="Noto Sans CJK SC"/>
        <family val="2"/>
      </rPr>
      <t xml:space="preserve">景碩份額：</t>
    </r>
    <r>
      <rPr>
        <sz val="11"/>
        <color theme="1"/>
        <rFont val="Calibri"/>
        <family val="2"/>
        <charset val="1"/>
      </rPr>
      <t xml:space="preserve">NVIDIA CPU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Grace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</si>
  <si>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公司與券商說法（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）；其餘主要為 </t>
    </r>
    <r>
      <rPr>
        <sz val="11"/>
        <color theme="1"/>
        <rFont val="Calibri"/>
        <family val="2"/>
        <charset val="1"/>
      </rPr>
      <t xml:space="preserve">Ibiden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</si>
  <si>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加速器的景碩營收（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載板）</t>
    </r>
  </si>
  <si>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、欣興、南電對照值見各自 </t>
    </r>
    <r>
      <rPr>
        <sz val="11"/>
        <color theme="1"/>
        <rFont val="Calibri"/>
        <family val="2"/>
        <charset val="1"/>
      </rPr>
      <t xml:space="preserve">dist Units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</si>
  <si>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景碩加速器與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載板營收</t>
    </r>
  </si>
  <si>
    <t xml:space="preserve">US$M</t>
  </si>
  <si>
    <r>
      <rPr>
        <sz val="11"/>
        <color theme="1"/>
        <rFont val="Noto Sans CJK SC"/>
        <family val="2"/>
      </rPr>
      <t xml:space="preserve">景碩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載板營收（含網通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等其他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</si>
  <si>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景碩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</si>
  <si>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capex </t>
    </r>
    <r>
      <rPr>
        <sz val="11"/>
        <color theme="1"/>
        <rFont val="Noto Sans CJK SC"/>
        <family val="2"/>
      </rPr>
      <t xml:space="preserve">即每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</si>
  <si>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景碩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載板營收（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capex 37.59B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</si>
  <si>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IF_CapexIT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基準，經橋接表；與 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、欣興、南電模型相同係數）</t>
    </r>
  </si>
  <si>
    <r>
      <rPr>
        <b val="true"/>
        <sz val="11"/>
        <rFont val="Noto Sans CJK SC"/>
        <family val="2"/>
      </rPr>
      <t xml:space="preserve">讀法：景碩的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曝險以 </t>
    </r>
    <r>
      <rPr>
        <b val="true"/>
        <sz val="11"/>
        <rFont val="Cambria"/>
        <family val="0"/>
        <charset val="1"/>
      </rPr>
      <t xml:space="preserve">NVIDIA CPU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Grace→Vera</t>
    </r>
    <r>
      <rPr>
        <b val="true"/>
        <sz val="11"/>
        <rFont val="Noto Sans CJK SC"/>
        <family val="2"/>
      </rPr>
      <t xml:space="preserve">）載板為主，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加速器載板份額小；券商稱 </t>
    </r>
    <r>
      <rPr>
        <b val="true"/>
        <sz val="11"/>
        <rFont val="Cambria"/>
        <family val="0"/>
        <charset val="1"/>
      </rPr>
      <t xml:space="preserve">Rubin GPU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15–20%</t>
    </r>
    <r>
      <rPr>
        <b val="true"/>
        <sz val="11"/>
        <rFont val="Noto Sans CJK SC"/>
        <family val="2"/>
      </rPr>
      <t xml:space="preserve">，但 </t>
    </r>
    <r>
      <rPr>
        <b val="true"/>
        <sz val="11"/>
        <rFont val="Cambria"/>
        <family val="0"/>
        <charset val="1"/>
      </rPr>
      <t xml:space="preserve">Ibiden</t>
    </r>
    <r>
      <rPr>
        <b val="true"/>
        <sz val="11"/>
        <rFont val="Noto Sans CJK SC"/>
        <family val="2"/>
      </rPr>
      <t xml:space="preserve">、欣興、南電模型的份額已合計 </t>
    </r>
    <r>
      <rPr>
        <b val="true"/>
        <sz val="11"/>
        <rFont val="Cambria"/>
        <family val="0"/>
        <charset val="1"/>
      </rPr>
      <t xml:space="preserve">94–97%</t>
    </r>
    <r>
      <rPr>
        <b val="true"/>
        <sz val="11"/>
        <rFont val="Noto Sans CJK SC"/>
        <family val="2"/>
      </rPr>
      <t xml:space="preserve">，本模型取剩餘空間，兩者不能同時成立（見 </t>
    </r>
    <r>
      <rPr>
        <b val="true"/>
        <sz val="11"/>
        <rFont val="Cambria"/>
        <family val="0"/>
        <charset val="1"/>
      </rPr>
      <t xml:space="preserve">README</t>
    </r>
    <r>
      <rPr>
        <b val="true"/>
        <sz val="1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</si>
  <si>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景碩損益（十億新台幣；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新台幣、基本；歸屬母公司）。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營收實績＋假設；三情境相同），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由驅動因子推導，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起為收斂法。三情境各一個完整推導區塊（本頁下方），頂端為摘要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</si>
  <si>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收斂法（上游顆數只到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節），非驅動因子推導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</si>
  <si>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</si>
  <si>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</si>
  <si>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</si>
  <si>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</si>
  <si>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</si>
  <si>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</si>
  <si>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</si>
  <si>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</si>
  <si>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</si>
  <si>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</si>
  <si>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ABF </t>
    </r>
    <r>
      <rPr>
        <sz val="11"/>
        <color theme="1"/>
        <rFont val="Noto Sans CJK SC"/>
        <family val="2"/>
      </rPr>
      <t xml:space="preserve">載板</t>
    </r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</si>
  <si>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載板</t>
    </r>
  </si>
  <si>
    <r>
      <rPr>
        <sz val="11"/>
        <color theme="1"/>
        <rFont val="Calibri"/>
        <family val="2"/>
        <charset val="1"/>
      </rPr>
      <t xml:space="preserve">  ABF </t>
    </r>
    <r>
      <rPr>
        <sz val="11"/>
        <color theme="1"/>
        <rFont val="Noto Sans CJK SC"/>
        <family val="2"/>
      </rPr>
      <t xml:space="preserve">需求滿足率</t>
    </r>
  </si>
  <si>
    <t xml:space="preserve">  折舊攤提</t>
  </si>
  <si>
    <t xml:space="preserve">營業利益率</t>
  </si>
  <si>
    <t xml:space="preserve">  淨利率</t>
  </si>
  <si>
    <t xml:space="preserve">EPS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</si>
  <si>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</si>
  <si>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</si>
  <si>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</si>
  <si>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− 錨點</t>
    </r>
  </si>
  <si>
    <r>
      <rPr>
        <sz val="11"/>
        <color theme="1"/>
        <rFont val="Noto Sans CJK SC"/>
        <family val="2"/>
      </rPr>
      <t xml:space="preserve">  三情境：營收差（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</si>
  <si>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三情境：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差（</t>
    </r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</si>
  <si>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應 </t>
    </r>
    <r>
      <rPr>
        <sz val="11"/>
        <color theme="1"/>
        <rFont val="Calibri"/>
        <family val="2"/>
        <charset val="1"/>
      </rPr>
      <t xml:space="preserve">&gt; 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＝是）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</si>
  <si>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顆數係數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（基準）；</t>
    </r>
    <r>
      <rPr>
        <b val="true"/>
        <sz val="11"/>
        <rFont val="Cambria"/>
        <family val="0"/>
        <charset val="1"/>
      </rPr>
      <t xml:space="preserve">BT </t>
    </r>
    <r>
      <rPr>
        <b val="true"/>
        <sz val="11"/>
        <rFont val="Noto Sans CJK SC"/>
        <family val="2"/>
      </rPr>
      <t xml:space="preserve">與其他載板年增 </t>
    </r>
    <r>
      <rPr>
        <b val="true"/>
        <sz val="11"/>
        <rFont val="Cambria"/>
        <family val="0"/>
        <charset val="1"/>
      </rPr>
      <t xml:space="preserve">28%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5%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</si>
  <si>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加速器與 </t>
    </r>
    <r>
      <rPr>
        <b val="true"/>
        <sz val="11"/>
        <rFont val="Cambria"/>
        <family val="0"/>
        <charset val="1"/>
      </rPr>
      <t xml:space="preserve">NVIDIA CPU </t>
    </r>
    <r>
      <rPr>
        <b val="true"/>
        <sz val="11"/>
        <rFont val="Noto Sans CJK SC"/>
        <family val="2"/>
      </rPr>
      <t xml:space="preserve">載板（口徑與 </t>
    </r>
    <r>
      <rPr>
        <b val="true"/>
        <sz val="11"/>
        <rFont val="Cambria"/>
        <family val="0"/>
        <charset val="1"/>
      </rPr>
      <t xml:space="preserve">Ibiden</t>
    </r>
    <r>
      <rPr>
        <b val="true"/>
        <sz val="11"/>
        <rFont val="Noto Sans CJK SC"/>
        <family val="2"/>
      </rPr>
      <t xml:space="preserve">、欣興、南電一致；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</si>
  <si>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情境係數</t>
    </r>
  </si>
  <si>
    <r>
      <rPr>
        <sz val="11"/>
        <color theme="1"/>
        <rFont val="Calibri"/>
        <family val="2"/>
        <charset val="1"/>
      </rPr>
      <t xml:space="preserve">markets/network 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Hopper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</si>
  <si>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情境係數</t>
    </r>
  </si>
  <si>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</si>
  <si>
    <r>
      <rPr>
        <sz val="11"/>
        <color theme="1"/>
        <rFont val="Calibri"/>
        <family val="2"/>
        <charset val="1"/>
      </rPr>
      <t xml:space="preserve">NVIDIA CPU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Grace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Vera</t>
    </r>
    <r>
      <rPr>
        <sz val="11"/>
        <color theme="1"/>
        <rFont val="Noto Sans CJK SC"/>
        <family val="2"/>
      </rPr>
      <t xml:space="preserve">）顆數 ＝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× CPU </t>
    </r>
    <r>
      <rPr>
        <sz val="11"/>
        <color theme="1"/>
        <rFont val="Noto Sans CJK SC"/>
        <family val="2"/>
      </rPr>
      <t xml:space="preserve">比例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</si>
  <si>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cpu_r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配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</si>
  <si>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每顆載板面積與層數指數（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</si>
  <si>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g_asp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</si>
  <si>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價格溢價指數（全市場；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</si>
  <si>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pp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</si>
  <si>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景碩漲價年度化（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基期；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</si>
  <si>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carry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</si>
  <si>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加速器載板金額（全市場）＝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面積層數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溢價</t>
    </r>
  </si>
  <si>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／顆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</si>
  <si>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金額取自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頁（權威）</t>
    </r>
  </si>
  <si>
    <r>
      <rPr>
        <sz val="11"/>
        <color theme="1"/>
        <rFont val="Noto Sans CJK SC"/>
        <family val="2"/>
      </rPr>
      <t xml:space="preserve">景碩份額：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）載板</t>
    </r>
  </si>
  <si>
    <r>
      <rPr>
        <sz val="11"/>
        <color theme="1"/>
        <rFont val="Noto Sans CJK SC"/>
        <family val="2"/>
      </rPr>
      <t xml:space="preserve">景碩份額：非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</si>
  <si>
    <r>
      <rPr>
        <sz val="11"/>
        <color theme="1"/>
        <rFont val="Noto Sans CJK SC"/>
        <family val="2"/>
      </rPr>
      <t xml:space="preserve">景碩份額：</t>
    </r>
    <r>
      <rPr>
        <sz val="11"/>
        <color theme="1"/>
        <rFont val="Calibri"/>
        <family val="2"/>
        <charset val="1"/>
      </rPr>
      <t xml:space="preserve">NVIDIA CPU </t>
    </r>
    <r>
      <rPr>
        <sz val="11"/>
        <color theme="1"/>
        <rFont val="Noto Sans CJK SC"/>
        <family val="2"/>
      </rPr>
      <t xml:space="preserve">載板</t>
    </r>
  </si>
  <si>
    <r>
      <rPr>
        <sz val="11"/>
        <color theme="1"/>
        <rFont val="Noto Sans CJK SC"/>
        <family val="2"/>
      </rPr>
      <t xml:space="preserve">景碩加速器與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載板營收 ＝（</t>
    </r>
    <r>
      <rPr>
        <sz val="11"/>
        <color theme="1"/>
        <rFont val="Calibri"/>
        <family val="2"/>
        <charset val="1"/>
      </rPr>
      <t xml:space="preserve">NVIDIA ×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 ＋ 非 </t>
    </r>
    <r>
      <rPr>
        <sz val="11"/>
        <color theme="1"/>
        <rFont val="Calibri"/>
        <family val="2"/>
        <charset val="1"/>
      </rPr>
      <t xml:space="preserve">NVIDIA ×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× v_ot × </t>
    </r>
    <r>
      <rPr>
        <sz val="11"/>
        <color theme="1"/>
        <rFont val="Noto Sans CJK SC"/>
        <family val="2"/>
      </rPr>
      <t xml:space="preserve">份額 ＋ </t>
    </r>
    <r>
      <rPr>
        <sz val="11"/>
        <color theme="1"/>
        <rFont val="Calibri"/>
        <family val="2"/>
        <charset val="1"/>
      </rPr>
      <t xml:space="preserve">CPU ×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× v_cpu × </t>
    </r>
    <r>
      <rPr>
        <sz val="11"/>
        <color theme="1"/>
        <rFont val="Noto Sans CJK SC"/>
        <family val="2"/>
      </rPr>
      <t xml:space="preserve">份額）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漲價年度化</t>
    </r>
  </si>
  <si>
    <r>
      <rPr>
        <sz val="11"/>
        <color theme="1"/>
        <rFont val="Noto Sans CJK SC"/>
        <family val="2"/>
      </rPr>
      <t xml:space="preserve">景碩加速器與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載板營收（新台幣）</t>
    </r>
  </si>
  <si>
    <r>
      <rPr>
        <b val="true"/>
        <sz val="11"/>
        <rFont val="Cambria"/>
        <family val="0"/>
        <charset val="1"/>
      </rPr>
      <t xml:space="preserve">B. ABF </t>
    </r>
    <r>
      <rPr>
        <b val="true"/>
        <sz val="11"/>
        <rFont val="Noto Sans CJK SC"/>
        <family val="2"/>
      </rPr>
      <t xml:space="preserve">需求與產能（營收＝</t>
    </r>
    <r>
      <rPr>
        <b val="true"/>
        <sz val="11"/>
        <rFont val="Cambria"/>
        <family val="0"/>
        <charset val="1"/>
      </rPr>
      <t xml:space="preserve">MIN</t>
    </r>
    <r>
      <rPr>
        <b val="true"/>
        <sz val="11"/>
        <rFont val="Noto Sans CJK SC"/>
        <family val="2"/>
      </rPr>
      <t xml:space="preserve">（需求</t>
    </r>
    <r>
      <rPr>
        <b val="true"/>
        <sz val="11"/>
        <rFont val="Cambria"/>
        <family val="0"/>
        <charset val="1"/>
      </rPr>
      <t xml:space="preserve">, </t>
    </r>
    <r>
      <rPr>
        <b val="true"/>
        <sz val="11"/>
        <rFont val="Noto Sans CJK SC"/>
        <family val="2"/>
      </rPr>
      <t xml:space="preserve">產能））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</si>
  <si>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載板需求（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ABF × AI </t>
    </r>
    <r>
      <rPr>
        <sz val="11"/>
        <color theme="1"/>
        <rFont val="Noto Sans CJK SC"/>
        <family val="2"/>
      </rPr>
      <t xml:space="preserve">占比）</t>
    </r>
  </si>
  <si>
    <r>
      <rPr>
        <sz val="11"/>
        <color theme="1"/>
        <rFont val="Noto Sans CJK SC"/>
        <family val="2"/>
      </rPr>
      <t xml:space="preserve">高盛：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約占總營收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</si>
  <si>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載板需求（網通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、交換器、</t>
    </r>
    <r>
      <rPr>
        <sz val="11"/>
        <color theme="1"/>
        <rFont val="Calibri"/>
        <family val="2"/>
        <charset val="1"/>
      </rPr>
      <t xml:space="preserve">FPGA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</si>
  <si>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＝校準殘差（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）；之後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交換晶片與交換器市場成長 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Noto Sans CJK SC"/>
        <family val="2"/>
      </rPr>
      <t xml:space="preserve">彈性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情境係數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溢價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</si>
  <si>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ABF </t>
    </r>
    <r>
      <rPr>
        <sz val="11"/>
        <color theme="1"/>
        <rFont val="Noto Sans CJK SC"/>
        <family val="2"/>
      </rPr>
      <t xml:space="preserve">需求（伺服器與 </t>
    </r>
    <r>
      <rPr>
        <sz val="11"/>
        <color theme="1"/>
        <rFont val="Calibri"/>
        <family val="2"/>
        <charset val="1"/>
      </rPr>
      <t xml:space="preserve">PC CPU</t>
    </r>
    <r>
      <rPr>
        <sz val="11"/>
        <color theme="1"/>
        <rFont val="Noto Sans CJK SC"/>
        <family val="2"/>
      </rPr>
      <t xml:space="preserve">、基地台 </t>
    </r>
    <r>
      <rPr>
        <sz val="11"/>
        <color theme="1"/>
        <rFont val="Calibri"/>
        <family val="2"/>
        <charset val="1"/>
      </rPr>
      <t xml:space="preserve">FPGA</t>
    </r>
    <r>
      <rPr>
        <sz val="11"/>
        <color theme="1"/>
        <rFont val="Noto Sans CJK SC"/>
        <family val="2"/>
      </rPr>
      <t xml:space="preserve">；含漲價年度化）</t>
    </r>
  </si>
  <si>
    <r>
      <rPr>
        <sz val="11"/>
        <color theme="1"/>
        <rFont val="Noto Sans CJK SC"/>
        <family val="2"/>
      </rPr>
      <t xml:space="preserve">景碩 </t>
    </r>
    <r>
      <rPr>
        <sz val="11"/>
        <color theme="1"/>
        <rFont val="Calibri"/>
        <family val="2"/>
        <charset val="1"/>
      </rPr>
      <t xml:space="preserve">4Q26 ABF </t>
    </r>
    <r>
      <rPr>
        <sz val="11"/>
        <color theme="1"/>
        <rFont val="Noto Sans CJK SC"/>
        <family val="2"/>
      </rPr>
      <t xml:space="preserve">漲價為全面性（非只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），故非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也乘漲價年度化；不乘全市場溢價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</si>
  <si>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需求合計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</si>
  <si>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產能上限（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溢價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漲價年度化）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</si>
  <si>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稼動率約 </t>
    </r>
    <r>
      <rPr>
        <sz val="11"/>
        <color theme="1"/>
        <rFont val="Calibri"/>
        <family val="2"/>
        <charset val="1"/>
      </rPr>
      <t xml:space="preserve">85–95%</t>
    </r>
    <r>
      <rPr>
        <sz val="11"/>
        <color theme="1"/>
        <rFont val="Noto Sans CJK SC"/>
        <family val="2"/>
      </rPr>
      <t xml:space="preserve">，以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營收為產能基準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</si>
  <si>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載板營收 ＝ </t>
    </r>
    <r>
      <rPr>
        <sz val="11"/>
        <color theme="1"/>
        <rFont val="Calibri"/>
        <family val="2"/>
        <charset val="1"/>
      </rPr>
      <t xml:space="preserve">MIN</t>
    </r>
    <r>
      <rPr>
        <sz val="11"/>
        <color theme="1"/>
        <rFont val="Noto Sans CJK SC"/>
        <family val="2"/>
      </rPr>
      <t xml:space="preserve">（需求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產能）</t>
    </r>
  </si>
  <si>
    <r>
      <rPr>
        <sz val="11"/>
        <color theme="1"/>
        <rFont val="Noto Sans CJK SC"/>
        <family val="2"/>
      </rPr>
      <t xml:space="preserve">需求滿足率（營收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需求；</t>
    </r>
    <r>
      <rPr>
        <sz val="11"/>
        <color theme="1"/>
        <rFont val="Calibri"/>
        <family val="2"/>
        <charset val="1"/>
      </rPr>
      <t xml:space="preserve">&lt; 100% </t>
    </r>
    <r>
      <rPr>
        <sz val="11"/>
        <color theme="1"/>
        <rFont val="Noto Sans CJK SC"/>
        <family val="2"/>
      </rPr>
      <t xml:space="preserve">表示產能受限）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</si>
  <si>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載板營收（加速器、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＋其他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，乘滿足率）</t>
    </r>
  </si>
  <si>
    <r>
      <rPr>
        <sz val="11"/>
        <color theme="1"/>
        <rFont val="Noto Sans CJK SC"/>
        <family val="2"/>
      </rPr>
      <t xml:space="preserve">加速器與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載板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</si>
  <si>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其他產品與合計</t>
    </r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</si>
  <si>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與其他載板（情境別年增；公司特有）</t>
    </r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</si>
  <si>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成長以漲價為主；記憶體占 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需求逾五成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</si>
  <si>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無關；三情境相同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</si>
  <si>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達到），非驅動因子推導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</si>
  <si>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</si>
  <si>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ABF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</si>
  <si>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</si>
  <si>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高盛：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（公司口徑）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</si>
  <si>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折舊、毛利與損益</t>
    </r>
  </si>
  <si>
    <t xml:space="preserve">資本支出</t>
  </si>
  <si>
    <r>
      <rPr>
        <sz val="11"/>
        <color theme="1"/>
        <rFont val="Noto Sans CJK SC"/>
        <family val="2"/>
      </rPr>
      <t xml:space="preserve">折舊攤提 ＝ 前一年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1 − 1</t>
    </r>
    <r>
      <rPr>
        <sz val="11"/>
        <color theme="1"/>
        <rFont val="Noto Sans CJK SC"/>
        <family val="2"/>
      </rPr>
      <t xml:space="preserve">／年限）＋ 前一年資本支出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年限</t>
    </r>
  </si>
  <si>
    <t xml:space="preserve">新產能前一年投入、當年開始折舊（近似）</t>
  </si>
  <si>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</si>
  <si>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漲價溢價營收（相對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價格；全數落在毛利）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</si>
  <si>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1 − 1</t>
    </r>
    <r>
      <rPr>
        <sz val="11"/>
        <color theme="1"/>
        <rFont val="Noto Sans CJK SC"/>
        <family val="2"/>
      </rPr>
      <t xml:space="preserve">／（溢價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漲價年度化））＋ 非 </t>
    </r>
    <r>
      <rPr>
        <sz val="11"/>
        <color theme="1"/>
        <rFont val="Calibri"/>
        <family val="2"/>
        <charset val="1"/>
      </rPr>
      <t xml:space="preserve">AI ABF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1 − 1</t>
    </r>
    <r>
      <rPr>
        <sz val="11"/>
        <color theme="1"/>
        <rFont val="Noto Sans CJK SC"/>
        <family val="2"/>
      </rPr>
      <t xml:space="preserve">／漲價年度化），乘滿足率</t>
    </r>
  </si>
  <si>
    <r>
      <rPr>
        <sz val="11"/>
        <color theme="1"/>
        <rFont val="Noto Sans CJK SC"/>
        <family val="2"/>
      </rPr>
      <t xml:space="preserve">毛利 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現金毛利增量 ＋ 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現金毛利增量 ＋ 晶碩現金毛利增量 ＋ 溢價 − 折舊增量</t>
    </r>
  </si>
  <si>
    <t xml:space="preserve">流通率為現金毛利口徑；折舊另計</t>
  </si>
  <si>
    <r>
      <rPr>
        <sz val="11"/>
        <color theme="1"/>
        <rFont val="Noto Sans CJK SC"/>
        <family val="2"/>
      </rPr>
      <t xml:space="preserve">非控制權益 ＝ 晶碩營收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晶碩淨利率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非控制比例</t>
    </r>
  </si>
  <si>
    <r>
      <rPr>
        <sz val="11"/>
        <color theme="1"/>
        <rFont val="Noto Sans CJK SC"/>
        <family val="2"/>
      </rPr>
      <t xml:space="preserve">景碩對晶碩的有效持股約 </t>
    </r>
    <r>
      <rPr>
        <sz val="11"/>
        <color theme="1"/>
        <rFont val="Calibri"/>
        <family val="2"/>
        <charset val="1"/>
      </rPr>
      <t xml:space="preserve">31%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nci_sh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</si>
  <si>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加權股數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</si>
  <si>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</si>
  <si>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淨利率（歸屬母公司淨利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</si>
  <si>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</si>
  <si>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起：資本支出率由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折舊率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^</t>
    </r>
    <r>
      <rPr>
        <sz val="11"/>
        <color theme="1"/>
        <rFont val="Noto Sans CJK SC"/>
        <family val="2"/>
      </rPr>
      <t xml:space="preserve">（年限／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）（穩態更新）；折舊率維持 </t>
    </r>
    <r>
      <rPr>
        <sz val="11"/>
        <color theme="1"/>
        <rFont val="Calibri"/>
        <family val="2"/>
        <charset val="1"/>
      </rPr>
      <t xml:space="preserve">FY2029</t>
    </r>
  </si>
  <si>
    <t xml:space="preserve">股東現金流 ＝ 淨利 ＋ 折舊 − 資本支出</t>
  </si>
  <si>
    <t xml:space="preserve">不含營運資金變動；折舊與資本支出為合併數（含晶碩），淨利為歸屬母公司</t>
  </si>
  <si>
    <t xml:space="preserve">每股股東現金流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</si>
  <si>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顆數係數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CY2028 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）；</t>
    </r>
    <r>
      <rPr>
        <b val="true"/>
        <sz val="11"/>
        <rFont val="Cambria"/>
        <family val="0"/>
        <charset val="1"/>
      </rPr>
      <t xml:space="preserve">BT </t>
    </r>
    <r>
      <rPr>
        <b val="true"/>
        <sz val="11"/>
        <rFont val="Noto Sans CJK SC"/>
        <family val="2"/>
      </rPr>
      <t xml:space="preserve">與其他載板年增 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3%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</si>
  <si>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顆數係數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CY2028–29 ×0.6</t>
    </r>
    <r>
      <rPr>
        <b val="true"/>
        <sz val="11"/>
        <rFont val="Noto Sans CJK SC"/>
        <family val="2"/>
      </rPr>
      <t xml:space="preserve">）；</t>
    </r>
    <r>
      <rPr>
        <b val="true"/>
        <sz val="11"/>
        <rFont val="Cambria"/>
        <family val="0"/>
        <charset val="1"/>
      </rPr>
      <t xml:space="preserve">BT </t>
    </r>
    <r>
      <rPr>
        <b val="true"/>
        <sz val="11"/>
        <rFont val="Noto Sans CJK SC"/>
        <family val="2"/>
      </rPr>
      <t xml:space="preserve">與其他載板年增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／−</t>
    </r>
    <r>
      <rPr>
        <b val="true"/>
        <sz val="11"/>
        <rFont val="Cambria"/>
        <family val="0"/>
        <charset val="1"/>
      </rPr>
      <t xml:space="preserve">3%</t>
    </r>
  </si>
  <si>
    <r>
      <rPr>
        <b val="true"/>
        <sz val="11"/>
        <rFont val="Noto Sans CJK SC"/>
        <family val="2"/>
      </rPr>
      <t xml:space="preserve">項目（自由現金流；欄＝年度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情境，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為錨點年、</t>
    </r>
    <r>
      <rPr>
        <b val="true"/>
        <sz val="11"/>
        <rFont val="Cambria"/>
        <family val="0"/>
        <charset val="1"/>
      </rPr>
      <t xml:space="preserve">FY2030 </t>
    </r>
    <r>
      <rPr>
        <b val="true"/>
        <sz val="11"/>
        <rFont val="Noto Sans CJK SC"/>
        <family val="2"/>
      </rPr>
      <t xml:space="preserve">起為收斂法）</t>
    </r>
  </si>
  <si>
    <t xml:space="preserve">FY2026 A</t>
  </si>
  <si>
    <t xml:space="preserve">FY2027 A</t>
  </si>
  <si>
    <t xml:space="preserve">FY2028 A</t>
  </si>
  <si>
    <t xml:space="preserve">FY2029 A</t>
  </si>
  <si>
    <t xml:space="preserve">FY2030 A</t>
  </si>
  <si>
    <t xml:space="preserve">FY2031 A</t>
  </si>
  <si>
    <t xml:space="preserve">FY2032 A</t>
  </si>
  <si>
    <t xml:space="preserve">FY2026 B</t>
  </si>
  <si>
    <t xml:space="preserve">FY2027 B</t>
  </si>
  <si>
    <t xml:space="preserve">FY2028 B</t>
  </si>
  <si>
    <t xml:space="preserve">FY2029 B</t>
  </si>
  <si>
    <t xml:space="preserve">FY2030 B</t>
  </si>
  <si>
    <t xml:space="preserve">FY2031 B</t>
  </si>
  <si>
    <t xml:space="preserve">FY2032 B</t>
  </si>
  <si>
    <t xml:space="preserve">FY2026 C</t>
  </si>
  <si>
    <t xml:space="preserve">FY2027 C</t>
  </si>
  <si>
    <t xml:space="preserve">FY2028 C</t>
  </si>
  <si>
    <t xml:space="preserve">FY2029 C</t>
  </si>
  <si>
    <t xml:space="preserve">FY2030 C</t>
  </si>
  <si>
    <t xml:space="preserve">FY2031 C</t>
  </si>
  <si>
    <t xml:space="preserve">FY2032 C</t>
  </si>
  <si>
    <t xml:space="preserve">自由現金流（淨利＋折舊 − 資本支出；不含營運資金變動）</t>
  </si>
  <si>
    <r>
      <rPr>
        <sz val="11"/>
        <color theme="1"/>
        <rFont val="Noto Sans CJK SC"/>
        <family val="2"/>
      </rPr>
      <t xml:space="preserve">取自本頁各情境推導區塊的「股東現金流」列（歸屬母公司淨利＋合併折舊 − 合併資本支出；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起資本支出率收斂到穩態更新）；不進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</si>
  <si>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（模型）」；目標價＝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節，年底落後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）只作參考</t>
    </r>
  </si>
  <si>
    <r>
      <rPr>
        <sz val="11"/>
        <color theme="1"/>
        <rFont val="Noto Sans CJK SC"/>
        <family val="2"/>
      </rPr>
      <t xml:space="preserve">循環位置：景碩不是設備股，不套設備市場見頂年；以本模型營收最高的會計年度為見頂年（比照 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、欣興、南電；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</si>
  <si>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</si>
  <si>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</si>
  <si>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</si>
  <si>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</si>
  <si>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</si>
  <si>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</si>
  <si>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</si>
  <si>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</si>
  <si>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</si>
  <si>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</si>
  <si>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</si>
  <si>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</si>
  <si>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</si>
  <si>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</si>
  <si>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方法：景碩資本密集且模型有資本支出與折舊，改用每股（淨利＋折舊－資本支出）（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頁「每股股東現金流」；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起資本支出率收斂到穩態更新）</t>
    </r>
  </si>
  <si>
    <r>
      <rPr>
        <sz val="11"/>
        <color theme="1"/>
        <rFont val="Noto Sans CJK SC"/>
        <family val="2"/>
      </rPr>
      <t xml:space="preserve">  參考：再投資率（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</si>
  <si>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）；本模型不採用，只作對照（第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列）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</si>
  <si>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</si>
  <si>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年底；</t>
    </r>
    <r>
      <rPr>
        <sz val="11"/>
        <color theme="1"/>
        <rFont val="Calibri"/>
        <family val="2"/>
        <charset val="1"/>
      </rPr>
      <t xml:space="preserve">&lt; 0 </t>
    </r>
    <r>
      <rPr>
        <sz val="11"/>
        <color theme="1"/>
        <rFont val="Noto Sans CJK SC"/>
        <family val="2"/>
      </rPr>
      <t xml:space="preserve">時取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（股東有限責任）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</si>
  <si>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</si>
  <si>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</si>
  <si>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</si>
  <si>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  參考：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）法的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</si>
  <si>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Noto Sans CJK SC"/>
        <family val="2"/>
      </rPr>
      <t xml:space="preserve">近三年 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（遠低於 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4% </t>
    </r>
    <r>
      <rPr>
        <sz val="11"/>
        <color theme="1"/>
        <rFont val="Noto Sans CJK SC"/>
        <family val="2"/>
      </rPr>
      <t xml:space="preserve">所需）→ 再投資率上限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；不進目標價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</si>
  <si>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</si>
  <si>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</si>
  <si>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</si>
  <si>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</si>
  <si>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</si>
  <si>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</si>
  <si>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欣興（</t>
    </r>
    <r>
      <rPr>
        <sz val="11"/>
        <color theme="1"/>
        <rFont val="Calibri"/>
        <family val="2"/>
        <charset val="1"/>
      </rPr>
      <t xml:space="preserve">Unimicron</t>
    </r>
    <r>
      <rPr>
        <sz val="11"/>
        <color theme="1"/>
        <rFont val="Noto Sans CJK SC"/>
        <family val="2"/>
      </rPr>
      <t xml:space="preserve">）</t>
    </r>
  </si>
  <si>
    <t xml:space="preserve">3037.TW</t>
  </si>
  <si>
    <t xml:space="preserve">2026-10-22</t>
  </si>
  <si>
    <r>
      <rPr>
        <sz val="11"/>
        <color theme="1"/>
        <rFont val="Calibri"/>
        <family val="2"/>
        <charset val="1"/>
      </rPr>
      <t xml:space="preserve">stockanalysis.com forward PE</t>
    </r>
    <r>
      <rPr>
        <sz val="11"/>
        <color theme="1"/>
        <rFont val="Noto Sans CJK SC"/>
        <family val="2"/>
      </rPr>
      <t xml:space="preserve">（分析師共識；價格日期如左；與欣興、南電、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模型同一組數字）</t>
    </r>
  </si>
  <si>
    <r>
      <rPr>
        <sz val="11"/>
        <color theme="1"/>
        <rFont val="Noto Sans CJK SC"/>
        <family val="2"/>
      </rPr>
      <t xml:space="preserve">南電（</t>
    </r>
    <r>
      <rPr>
        <sz val="11"/>
        <color theme="1"/>
        <rFont val="Calibri"/>
        <family val="2"/>
        <charset val="1"/>
      </rPr>
      <t xml:space="preserve">Nan Ya PCB</t>
    </r>
    <r>
      <rPr>
        <sz val="11"/>
        <color theme="1"/>
        <rFont val="Noto Sans CJK SC"/>
        <family val="2"/>
      </rPr>
      <t xml:space="preserve">）</t>
    </r>
  </si>
  <si>
    <t xml:space="preserve">8046.TW</t>
  </si>
  <si>
    <t xml:space="preserve">2026-09-07</t>
  </si>
  <si>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（揖斐電）</t>
    </r>
  </si>
  <si>
    <t xml:space="preserve">4062.T</t>
  </si>
  <si>
    <t xml:space="preserve">2026-10-16</t>
  </si>
  <si>
    <r>
      <rPr>
        <sz val="11"/>
        <color theme="1"/>
        <rFont val="Noto Sans CJK SC"/>
        <family val="2"/>
      </rPr>
      <t xml:space="preserve">三星電機（</t>
    </r>
    <r>
      <rPr>
        <sz val="11"/>
        <color theme="1"/>
        <rFont val="Calibri"/>
        <family val="2"/>
        <charset val="1"/>
      </rPr>
      <t xml:space="preserve">Samsung Electro-Mechanics</t>
    </r>
    <r>
      <rPr>
        <sz val="11"/>
        <color theme="1"/>
        <rFont val="Noto Sans CJK SC"/>
        <family val="2"/>
      </rPr>
      <t xml:space="preserve">）</t>
    </r>
  </si>
  <si>
    <t xml:space="preserve">009150.KS</t>
  </si>
  <si>
    <t xml:space="preserve">2026-08-28</t>
  </si>
  <si>
    <t xml:space="preserve">AT&amp;S</t>
  </si>
  <si>
    <t xml:space="preserve">ATS.VI</t>
  </si>
  <si>
    <t xml:space="preserve">2026-10-23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</si>
  <si>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</si>
  <si>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載板同業：欣興、南電、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（無中國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股）；南電、三星電機價格日期較舊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</si>
  <si>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</si>
  <si>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</si>
  <si>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</si>
  <si>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</si>
  <si>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</si>
  <si>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</si>
  <si>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</si>
  <si>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</si>
  <si>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</si>
  <si>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</si>
  <si>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1,092.15</t>
    </r>
    <r>
      <rPr>
        <sz val="11"/>
        <color theme="1"/>
        <rFont val="Noto Sans CJK SC"/>
        <family val="2"/>
      </rPr>
      <t xml:space="preserve">（頁面價格日期 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月永豐 </t>
    </r>
    <r>
      <rPr>
        <sz val="11"/>
        <color theme="1"/>
        <rFont val="Calibri"/>
        <family val="2"/>
        <charset val="1"/>
      </rPr>
      <t xml:space="preserve">1,280</t>
    </r>
    <r>
      <rPr>
        <sz val="11"/>
        <color theme="1"/>
        <rFont val="Noto Sans CJK SC"/>
        <family val="2"/>
      </rPr>
      <t xml:space="preserve">、玉山 </t>
    </r>
    <r>
      <rPr>
        <sz val="11"/>
        <color theme="1"/>
        <rFont val="Calibri"/>
        <family val="2"/>
        <charset val="1"/>
      </rPr>
      <t xml:space="preserve">1,270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</si>
  <si>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</si>
  <si>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</si>
  <si>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</si>
  <si>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</si>
  <si>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＝頁面價格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）；兩者期間差約一年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</si>
  <si>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</si>
  <si>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</si>
  <si>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</si>
  <si>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</si>
  <si>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節兩來源平均，</t>
    </r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虧損不計）的分位（超出區間時記 </t>
    </r>
    <r>
      <rPr>
        <sz val="11"/>
        <color theme="1"/>
        <rFont val="Calibri"/>
        <family val="2"/>
        <charset val="1"/>
      </rPr>
      <t xml:space="preserve">0%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）；只作檢查，不進目標價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</si>
  <si>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</si>
  <si>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</si>
  <si>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</si>
  <si>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強力放空（剛好 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為中立、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為買進、−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為中立、−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為放空）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</si>
  <si>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</si>
  <si>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：股東現金流＝每股（淨利＋折舊－資本支出），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明確期＋永續，情境價值 </t>
    </r>
    <r>
      <rPr>
        <sz val="11"/>
        <color theme="1"/>
        <rFont val="Calibri"/>
        <family val="2"/>
        <charset val="1"/>
      </rPr>
      <t xml:space="preserve">&lt; 0 </t>
    </r>
    <r>
      <rPr>
        <sz val="11"/>
        <color theme="1"/>
        <rFont val="Noto Sans CJK SC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；景碩 </t>
    </r>
    <r>
      <rPr>
        <sz val="11"/>
        <color theme="1"/>
        <rFont val="Calibri"/>
        <family val="2"/>
        <charset val="1"/>
      </rPr>
      <t xml:space="preserve">2026–28 </t>
    </r>
    <r>
      <rPr>
        <sz val="11"/>
        <color theme="1"/>
        <rFont val="Noto Sans CJK SC"/>
        <family val="2"/>
      </rPr>
      <t xml:space="preserve">年新廠（</t>
    </r>
    <r>
      <rPr>
        <sz val="11"/>
        <color theme="1"/>
        <rFont val="Calibri"/>
        <family val="2"/>
        <charset val="1"/>
      </rPr>
      <t xml:space="preserve">K6</t>
    </r>
    <r>
      <rPr>
        <sz val="11"/>
        <color theme="1"/>
        <rFont val="Noto Sans CJK SC"/>
        <family val="2"/>
      </rPr>
      <t xml:space="preserve">）與設備資本支出合計約 </t>
    </r>
    <r>
      <rPr>
        <sz val="11"/>
        <color theme="1"/>
        <rFont val="Calibri"/>
        <family val="2"/>
        <charset val="1"/>
      </rPr>
      <t xml:space="preserve">430 </t>
    </r>
    <r>
      <rPr>
        <sz val="11"/>
        <color theme="1"/>
        <rFont val="Noto Sans CJK SC"/>
        <family val="2"/>
      </rPr>
      <t xml:space="preserve">億，折舊與資本支出含晶碩（淨利只計歸屬母公司），現金流偏低估約晶碩非控制部分；客戶贊助設備若屬實，資本支出偏高估。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溢價沿用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持平、之後回落），比券商保守。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：欣興、南電、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、三星電機、</t>
    </r>
    <r>
      <rPr>
        <sz val="11"/>
        <color theme="1"/>
        <rFont val="Calibri"/>
        <family val="2"/>
        <charset val="1"/>
      </rPr>
      <t xml:space="preserve">AT&amp;S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中位數（無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股）；同業同處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短缺溢價期，倍數偏高；景碩含晶碩（隱形眼鏡）未另估。情境對應：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），皆讀 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同字母係數；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與其他載板年增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最低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</si>
  <si>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</si>
  <si>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</si>
  <si>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</si>
  <si>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</si>
  <si>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</si>
  <si>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</si>
  <si>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</si>
  <si>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</si>
  <si>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情境差只來自 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與其他載板年增（顆數係數從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</si>
  <si>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</si>
  <si>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</si>
  <si>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</si>
  <si>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</si>
  <si>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，價格日期 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</si>
  <si>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</si>
  <si>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</si>
  <si>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</si>
  <si>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</si>
  <si>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</si>
  <si>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</si>
  <si>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</si>
  <si>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</si>
  <si>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</si>
  <si>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</si>
  <si>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</si>
  <si>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</si>
  <si>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</si>
  <si>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</si>
  <si>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</si>
  <si>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</si>
  <si>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</si>
  <si>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</si>
  <si>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</si>
  <si>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</si>
  <si>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。所需倍數愈高，現價愈依賴「</t>
    </r>
    <r>
      <rPr>
        <sz val="11"/>
        <color theme="1"/>
        <rFont val="Calibri"/>
        <family val="2"/>
        <charset val="1"/>
      </rPr>
      <t xml:space="preserve">Vera CPU </t>
    </r>
    <r>
      <rPr>
        <sz val="11"/>
        <color theme="1"/>
        <rFont val="Noto Sans CJK SC"/>
        <family val="2"/>
      </rPr>
      <t xml:space="preserve">載板份額、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漲價延續、</t>
    </r>
    <r>
      <rPr>
        <sz val="11"/>
        <color theme="1"/>
        <rFont val="Calibri"/>
        <family val="2"/>
        <charset val="1"/>
      </rPr>
      <t xml:space="preserve">K6 </t>
    </r>
    <r>
      <rPr>
        <sz val="11"/>
        <color theme="1"/>
        <rFont val="Noto Sans CJK SC"/>
        <family val="2"/>
      </rPr>
      <t xml:space="preserve">新產能如期開出」。本版未做先驗，無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</si>
  <si>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十年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年底；兩來源平均，分位排名用；</t>
    </r>
    <r>
      <rPr>
        <b val="true"/>
        <sz val="11"/>
        <rFont val="Cambria"/>
        <family val="0"/>
        <charset val="1"/>
      </rPr>
      <t xml:space="preserve">2019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為負，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無意義，不計）</t>
    </r>
  </si>
  <si>
    <t xml:space="preserve">年底</t>
  </si>
  <si>
    <r>
      <rPr>
        <b val="true"/>
        <sz val="11"/>
        <rFont val="Noto Sans CJK SC"/>
        <family val="2"/>
      </rPr>
      <t xml:space="preserve">兩來源平均 </t>
    </r>
    <r>
      <rPr>
        <b val="true"/>
        <sz val="11"/>
        <rFont val="Cambria"/>
        <family val="0"/>
        <charset val="1"/>
      </rPr>
      <t xml:space="preserve">P/E</t>
    </r>
  </si>
  <si>
    <t xml:space="preserve">stockanalysis</t>
  </si>
  <si>
    <t xml:space="preserve">自算</t>
  </si>
  <si>
    <t xml:space="preserve">2016</t>
  </si>
  <si>
    <t xml:space="preserve">2017</t>
  </si>
  <si>
    <t xml:space="preserve">2018</t>
  </si>
  <si>
    <t xml:space="preserve">2019</t>
  </si>
  <si>
    <r>
      <rPr>
        <sz val="11"/>
        <color theme="1"/>
        <rFont val="Noto Sans CJK SC"/>
        <family val="2"/>
      </rPr>
      <t xml:space="preserve">不計（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為負，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無意義）</t>
    </r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</si>
  <si>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</si>
  <si>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</si>
  <si>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</si>
  <si>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</si>
  <si>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</si>
  <si>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</si>
  <si>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年數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</si>
  <si>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</si>
  <si>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依循環位置取分位，兩個來源分別取分位再平均。景碩的落後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與盈餘反向：盈餘低谷年（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0.11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900 </t>
    </r>
    <r>
      <rPr>
        <sz val="11"/>
        <color theme="1"/>
        <rFont val="Noto Sans CJK SC"/>
        <family val="2"/>
      </rPr>
      <t xml:space="preserve">倍，高峰年（</t>
    </r>
    <r>
      <rPr>
        <sz val="11"/>
        <color theme="1"/>
        <rFont val="Calibri"/>
        <family val="2"/>
        <charset val="1"/>
      </rPr>
      <t xml:space="preserve">2022</t>
    </r>
    <r>
      <rPr>
        <sz val="11"/>
        <color theme="1"/>
        <rFont val="Noto Sans CJK SC"/>
        <family val="2"/>
      </rPr>
      <t xml:space="preserve">）約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倍；</t>
    </r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年虧損不計，十年多為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載板需求前的循環，套用在 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時偏誤方向不明確。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</si>
  <si>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</si>
  <si>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Noto Sans CJK SC"/>
        <family val="2"/>
      </rPr>
      <t xml:space="preserve">（年度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</si>
  <si>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自算（</t>
    </r>
    <r>
      <rPr>
        <b val="true"/>
        <sz val="11"/>
        <rFont val="Cambria"/>
        <family val="0"/>
        <charset val="1"/>
      </rPr>
      <t xml:space="preserve">digrin 12 </t>
    </r>
    <r>
      <rPr>
        <b val="true"/>
        <sz val="11"/>
        <rFont val="Noto Sans CJK SC"/>
        <family val="2"/>
      </rPr>
      <t xml:space="preserve">月未調整股價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年度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</si>
  <si>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</si>
  <si>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（年度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（資料商；只有 </t>
    </r>
    <r>
      <rPr>
        <sz val="11"/>
        <color theme="1"/>
        <rFont val="Calibri"/>
        <family val="2"/>
        <charset val="1"/>
      </rPr>
      <t xml:space="preserve">2021–2025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年）；自算（</t>
    </r>
    <r>
      <rPr>
        <sz val="11"/>
        <color theme="1"/>
        <rFont val="Calibri"/>
        <family val="2"/>
        <charset val="1"/>
      </rPr>
      <t xml:space="preserve">digrin 12 </t>
    </r>
    <r>
      <rPr>
        <sz val="11"/>
        <color theme="1"/>
        <rFont val="Noto Sans CJK SC"/>
        <family val="2"/>
      </rPr>
      <t xml:space="preserve">月未調整股價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年度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（價格為月資料的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月值；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取自 </t>
    </r>
    <r>
      <rPr>
        <sz val="11"/>
        <color theme="1"/>
        <rFont val="Calibri"/>
        <family val="2"/>
        <charset val="1"/>
      </rPr>
      <t xml:space="preserve">wantgoo </t>
    </r>
    <r>
      <rPr>
        <sz val="11"/>
        <color theme="1"/>
        <rFont val="Noto Sans CJK SC"/>
        <family val="2"/>
      </rPr>
      <t xml:space="preserve">歷年股利表；</t>
    </r>
    <r>
      <rPr>
        <sz val="11"/>
        <color theme="1"/>
        <rFont val="Calibri"/>
        <family val="2"/>
        <charset val="1"/>
      </rPr>
      <t xml:space="preserve">2019 EPS </t>
    </r>
    <r>
      <rPr>
        <sz val="11"/>
        <color theme="1"/>
        <rFont val="Noto Sans CJK SC"/>
        <family val="2"/>
      </rPr>
      <t xml:space="preserve">為負不計，共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</si>
  <si>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</si>
  <si>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</si>
  <si>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</si>
  <si>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</si>
  <si>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</si>
  <si>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</si>
  <si>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</si>
  <si>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</si>
  <si>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</si>
  <si>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</si>
  <si>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</si>
  <si>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</si>
  <si>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</si>
  <si>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</si>
  <si>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</si>
  <si>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</si>
  <si>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</si>
  <si>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</si>
  <si>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</si>
  <si>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</si>
  <si>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</si>
  <si>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</si>
  <si>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</si>
  <si>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</si>
  <si>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券商、共識與市場口徑。只作事後對照，不為對上數字而調參數。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共識為 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財報前）；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月券商數字取自媒體轉載（永豐、玉山、美系）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</si>
  <si>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</si>
  <si>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</si>
  <si>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</si>
  <si>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</si>
  <si>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</si>
  <si>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</si>
  <si>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</si>
  <si>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</si>
  <si>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EPS </t>
    </r>
    <r>
      <rPr>
        <b val="true"/>
        <sz val="11"/>
        <rFont val="Noto Sans CJK SC"/>
        <family val="2"/>
      </rPr>
      <t xml:space="preserve">與營收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共識、券商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</si>
  <si>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10.42</t>
    </r>
    <r>
      <rPr>
        <sz val="11"/>
        <color theme="1"/>
        <rFont val="Noto Sans CJK SC"/>
        <family val="2"/>
      </rPr>
      <t xml:space="preserve">（主串補位排序表）</t>
    </r>
  </si>
  <si>
    <t xml:space="preserve">主串提供</t>
  </si>
  <si>
    <r>
      <rPr>
        <sz val="11"/>
        <color theme="1"/>
        <rFont val="Noto Sans CJK SC"/>
        <family val="2"/>
      </rPr>
      <t xml:space="preserve">永豐 </t>
    </r>
    <r>
      <rPr>
        <sz val="11"/>
        <color theme="1"/>
        <rFont val="Calibri"/>
        <family val="2"/>
        <charset val="1"/>
      </rPr>
      <t xml:space="preserve">13.21</t>
    </r>
    <r>
      <rPr>
        <sz val="11"/>
        <color theme="1"/>
        <rFont val="Noto Sans CJK SC"/>
        <family val="2"/>
      </rPr>
      <t xml:space="preserve">、玉山 </t>
    </r>
    <r>
      <rPr>
        <sz val="11"/>
        <color theme="1"/>
        <rFont val="Calibri"/>
        <family val="2"/>
        <charset val="1"/>
      </rPr>
      <t xml:space="preserve">12.93</t>
    </r>
    <r>
      <rPr>
        <sz val="11"/>
        <color theme="1"/>
        <rFont val="Noto Sans CJK SC"/>
        <family val="2"/>
      </rPr>
      <t xml:space="preserve">、美系 </t>
    </r>
    <r>
      <rPr>
        <sz val="11"/>
        <color theme="1"/>
        <rFont val="Calibri"/>
        <family val="2"/>
        <charset val="1"/>
      </rPr>
      <t xml:space="preserve">10.6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FactSet 2026-06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9.73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</si>
  <si>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永豐 </t>
    </r>
    <r>
      <rPr>
        <sz val="11"/>
        <color theme="1"/>
        <rFont val="Calibri"/>
        <family val="2"/>
        <charset val="1"/>
      </rPr>
      <t xml:space="preserve">13.21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）</t>
    </r>
  </si>
  <si>
    <t xml:space="preserve">旺得富（永豐）</t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</si>
  <si>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26.47</t>
    </r>
    <r>
      <rPr>
        <sz val="11"/>
        <color theme="1"/>
        <rFont val="Noto Sans CJK SC"/>
        <family val="2"/>
      </rPr>
      <t xml:space="preserve">（主串補位排序表）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</si>
  <si>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券商平均（永豐 </t>
    </r>
    <r>
      <rPr>
        <sz val="11"/>
        <color theme="1"/>
        <rFont val="Calibri"/>
        <family val="2"/>
        <charset val="1"/>
      </rPr>
      <t xml:space="preserve">36.03</t>
    </r>
    <r>
      <rPr>
        <sz val="11"/>
        <color theme="1"/>
        <rFont val="Noto Sans CJK SC"/>
        <family val="2"/>
      </rPr>
      <t xml:space="preserve">、玉山 </t>
    </r>
    <r>
      <rPr>
        <sz val="11"/>
        <color theme="1"/>
        <rFont val="Calibri"/>
        <family val="2"/>
        <charset val="1"/>
      </rPr>
      <t xml:space="preserve">42.41</t>
    </r>
    <r>
      <rPr>
        <sz val="11"/>
        <color theme="1"/>
        <rFont val="Noto Sans CJK SC"/>
        <family val="2"/>
      </rPr>
      <t xml:space="preserve">、美系 </t>
    </r>
    <r>
      <rPr>
        <sz val="11"/>
        <color theme="1"/>
        <rFont val="Calibri"/>
        <family val="2"/>
        <charset val="1"/>
      </rPr>
      <t xml:space="preserve">27.3</t>
    </r>
    <r>
      <rPr>
        <sz val="11"/>
        <color theme="1"/>
        <rFont val="Noto Sans CJK SC"/>
        <family val="2"/>
      </rPr>
      <t xml:space="preserve">）</t>
    </r>
  </si>
  <si>
    <t xml:space="preserve">旺得富、經濟日報</t>
  </si>
  <si>
    <r>
      <rPr>
        <sz val="11"/>
        <color theme="1"/>
        <rFont val="Noto Sans CJK SC"/>
        <family val="2"/>
      </rPr>
      <t xml:space="preserve">差距超過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的原因見 </t>
    </r>
    <r>
      <rPr>
        <sz val="11"/>
        <color theme="1"/>
        <rFont val="Calibri"/>
        <family val="2"/>
        <charset val="1"/>
      </rPr>
      <t xml:space="preserve">README</t>
    </r>
  </si>
  <si>
    <r>
      <rPr>
        <sz val="11"/>
        <color theme="1"/>
        <rFont val="Calibri"/>
        <family val="2"/>
        <charset val="1"/>
      </rPr>
      <t xml:space="preserve">FY2027 EPS vs FactSet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19.93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</si>
  <si>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鉅亨（</t>
    </r>
    <r>
      <rPr>
        <sz val="11"/>
        <color theme="1"/>
        <rFont val="Calibri"/>
        <family val="2"/>
        <charset val="1"/>
      </rPr>
      <t xml:space="preserve">FactSet 13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</si>
  <si>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FY2028 EPS vs FactSet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34.39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</si>
  <si>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鉅亨（</t>
    </r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</si>
  <si>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券商平均（永豐 </t>
    </r>
    <r>
      <rPr>
        <sz val="11"/>
        <color theme="1"/>
        <rFont val="Calibri"/>
        <family val="2"/>
        <charset val="1"/>
      </rPr>
      <t xml:space="preserve">62.22</t>
    </r>
    <r>
      <rPr>
        <sz val="11"/>
        <color theme="1"/>
        <rFont val="Noto Sans CJK SC"/>
        <family val="2"/>
      </rPr>
      <t xml:space="preserve">、玉山 </t>
    </r>
    <r>
      <rPr>
        <sz val="11"/>
        <color theme="1"/>
        <rFont val="Calibri"/>
        <family val="2"/>
        <charset val="1"/>
      </rPr>
      <t xml:space="preserve">89.75</t>
    </r>
    <r>
      <rPr>
        <sz val="11"/>
        <color theme="1"/>
        <rFont val="Noto Sans CJK SC"/>
        <family val="2"/>
      </rPr>
      <t xml:space="preserve">、美系 </t>
    </r>
    <r>
      <rPr>
        <sz val="11"/>
        <color theme="1"/>
        <rFont val="Calibri"/>
        <family val="2"/>
        <charset val="1"/>
      </rPr>
      <t xml:space="preserve">51.5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</si>
  <si>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FactSet </t>
    </r>
    <r>
      <rPr>
        <sz val="11"/>
        <color theme="1"/>
        <rFont val="Noto Sans CJK SC"/>
        <family val="2"/>
      </rPr>
      <t xml:space="preserve">平均（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</si>
  <si>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FactSet </t>
    </r>
    <r>
      <rPr>
        <sz val="11"/>
        <color theme="1"/>
        <rFont val="Noto Sans CJK SC"/>
        <family val="2"/>
      </rPr>
      <t xml:space="preserve">平均（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</si>
  <si>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模型前瞻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頁面價格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</si>
  <si>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（推導）</t>
    </r>
  </si>
  <si>
    <t xml:space="preserve">口徑不同，只作量級比較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</si>
  <si>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錨點與毛利率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</si>
  <si>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毛利率（假設）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美系券商 </t>
    </r>
    <r>
      <rPr>
        <sz val="11"/>
        <color theme="1"/>
        <rFont val="Calibri"/>
        <family val="2"/>
        <charset val="1"/>
      </rPr>
      <t xml:space="preserve">27.8%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</si>
  <si>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2026-10-12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</si>
  <si>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月底～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月初</t>
    </r>
  </si>
  <si>
    <r>
      <rPr>
        <sz val="11"/>
        <color theme="1"/>
        <rFont val="Calibri"/>
        <family val="2"/>
        <charset val="1"/>
      </rPr>
      <t xml:space="preserve">3Q26 EPS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永豐估 </t>
    </r>
    <r>
      <rPr>
        <sz val="11"/>
        <color theme="1"/>
        <rFont val="Calibri"/>
        <family val="2"/>
        <charset val="1"/>
      </rPr>
      <t xml:space="preserve">4.29</t>
    </r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</si>
  <si>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永豐估 </t>
    </r>
    <r>
      <rPr>
        <sz val="11"/>
        <color theme="1"/>
        <rFont val="Calibri"/>
        <family val="2"/>
        <charset val="1"/>
      </rPr>
      <t xml:space="preserve">173.14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</si>
  <si>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毛利率（假設）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永豐估 </t>
    </r>
    <r>
      <rPr>
        <sz val="11"/>
        <color theme="1"/>
        <rFont val="Calibri"/>
        <family val="2"/>
        <charset val="1"/>
      </rPr>
      <t xml:space="preserve">33%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</si>
  <si>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Noto Sans CJK SC"/>
        <family val="2"/>
      </rPr>
      <t xml:space="preserve">美系 </t>
    </r>
    <r>
      <rPr>
        <sz val="11"/>
        <color theme="1"/>
        <rFont val="Calibri"/>
        <family val="2"/>
        <charset val="1"/>
      </rPr>
      <t xml:space="preserve">29.3%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</si>
  <si>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高盛「每年約 </t>
    </r>
    <r>
      <rPr>
        <sz val="11"/>
        <color theme="1"/>
        <rFont val="Calibri"/>
        <family val="2"/>
        <charset val="1"/>
      </rPr>
      <t xml:space="preserve">+5pt</t>
    </r>
    <r>
      <rPr>
        <sz val="11"/>
        <color theme="1"/>
        <rFont val="Noto Sans CJK SC"/>
        <family val="2"/>
      </rPr>
      <t xml:space="preserve">」推算（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錨點＋</t>
    </r>
    <r>
      <rPr>
        <sz val="11"/>
        <color theme="1"/>
        <rFont val="Calibri"/>
        <family val="2"/>
        <charset val="1"/>
      </rPr>
      <t xml:space="preserve">5pt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</si>
  <si>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TechNews</t>
    </r>
    <r>
      <rPr>
        <sz val="11"/>
        <color theme="1"/>
        <rFont val="Noto Sans CJK SC"/>
        <family val="2"/>
      </rPr>
      <t xml:space="preserve">（高盛）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</si>
  <si>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同上（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錨點＋</t>
    </r>
    <r>
      <rPr>
        <sz val="11"/>
        <color theme="1"/>
        <rFont val="Calibri"/>
        <family val="2"/>
        <charset val="1"/>
      </rPr>
      <t xml:space="preserve">10pt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</si>
  <si>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產能、份額與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口徑</t>
    </r>
  </si>
  <si>
    <r>
      <rPr>
        <sz val="11"/>
        <color theme="1"/>
        <rFont val="Calibri"/>
        <family val="2"/>
        <charset val="1"/>
      </rPr>
      <t xml:space="preserve">FY2027 ABF </t>
    </r>
    <r>
      <rPr>
        <sz val="11"/>
        <color theme="1"/>
        <rFont val="Noto Sans CJK SC"/>
        <family val="2"/>
      </rPr>
      <t xml:space="preserve">需求滿足率（</t>
    </r>
    <r>
      <rPr>
        <sz val="11"/>
        <color theme="1"/>
        <rFont val="Calibri"/>
        <family val="2"/>
        <charset val="1"/>
      </rPr>
      <t xml:space="preserve">&lt; 100%</t>
    </r>
    <r>
      <rPr>
        <sz val="11"/>
        <color theme="1"/>
        <rFont val="Noto Sans CJK SC"/>
        <family val="2"/>
      </rPr>
      <t xml:space="preserve">＝產能受限）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</si>
  <si>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</si>
  <si>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高盛：</t>
    </r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可能短缺</t>
    </r>
  </si>
  <si>
    <r>
      <rPr>
        <sz val="11"/>
        <color theme="1"/>
        <rFont val="Calibri"/>
        <family val="2"/>
        <charset val="1"/>
      </rPr>
      <t xml:space="preserve">FY2028 ABF </t>
    </r>
    <r>
      <rPr>
        <sz val="11"/>
        <color theme="1"/>
        <rFont val="Noto Sans CJK SC"/>
        <family val="2"/>
      </rPr>
      <t xml:space="preserve">需求滿足率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</si>
  <si>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載板占營收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</si>
  <si>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載板占營收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15–20% </t>
    </r>
    <r>
      <rPr>
        <sz val="11"/>
        <color theme="1"/>
        <rFont val="Noto Sans CJK SC"/>
        <family val="2"/>
      </rPr>
      <t xml:space="preserve">中點（百分點）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</si>
  <si>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份額合計：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＋欣興＋南電＋景碩（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</si>
  <si>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</si>
  <si>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應 ≤ </t>
    </r>
    <r>
      <rPr>
        <sz val="11"/>
        <color theme="1"/>
        <rFont val="Calibri"/>
        <family val="2"/>
        <charset val="1"/>
      </rPr>
      <t xml:space="preserve">100%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</si>
  <si>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份額合計：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＋欣興＋南電＋景碩（非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</si>
  <si>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加速器的景碩營收（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載板）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</si>
  <si>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同期約 </t>
    </r>
    <r>
      <rPr>
        <sz val="11"/>
        <color theme="1"/>
        <rFont val="Calibri"/>
        <family val="2"/>
        <charset val="1"/>
      </rPr>
      <t xml:space="preserve">169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ibiden/dist Units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</si>
  <si>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景碩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載板營收（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</si>
  <si>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</si>
  <si>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FY2026–FY2028 </t>
    </r>
    <r>
      <rPr>
        <sz val="11"/>
        <color theme="1"/>
        <rFont val="Noto Sans CJK SC"/>
        <family val="2"/>
      </rPr>
      <t xml:space="preserve">資本支出合計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擴產計畫 </t>
    </r>
    <r>
      <rPr>
        <sz val="11"/>
        <color theme="1"/>
        <rFont val="Calibri"/>
        <family val="2"/>
        <charset val="1"/>
      </rPr>
      <t xml:space="preserve">431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235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196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</si>
  <si>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2026-08-06</t>
    </r>
  </si>
  <si>
    <t xml:space="preserve">模型含晶碩；計畫期間與年度未完全對齊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</si>
  <si>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恆等於錨點，其他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載板在每個案例內重新校準）：對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</si>
  <si>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</si>
  <si>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</si>
  <si>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</si>
  <si>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</si>
  <si>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</si>
  <si>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</si>
  <si>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</si>
  <si>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</si>
  <si>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</si>
  <si>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</si>
  <si>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</si>
  <si>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</si>
  <si>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起顆數與其他 </t>
    </r>
    <r>
      <rPr>
        <sz val="11"/>
        <color theme="1"/>
        <rFont val="Calibri"/>
        <family val="2"/>
        <charset val="1"/>
      </rPr>
      <t xml:space="preserve">AI 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</si>
  <si>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</si>
  <si>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</si>
  <si>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 低</t>
    </r>
  </si>
  <si>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1.10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1.30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1.55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</si>
  <si>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 高</t>
    </r>
  </si>
  <si>
    <r>
      <rPr>
        <sz val="11"/>
        <color theme="1"/>
        <rFont val="Calibri"/>
        <family val="2"/>
        <charset val="1"/>
      </rPr>
      <t xml:space="preserve">1.25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2.00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</si>
  <si>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溢價 低（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低值）</t>
    </r>
  </si>
  <si>
    <r>
      <rPr>
        <sz val="11"/>
        <color theme="1"/>
        <rFont val="Calibri"/>
        <family val="2"/>
        <charset val="1"/>
      </rPr>
      <t xml:space="preserve">0.95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0.75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</si>
  <si>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溢價 高（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高值）</t>
    </r>
  </si>
  <si>
    <r>
      <rPr>
        <sz val="11"/>
        <color theme="1"/>
        <rFont val="Calibri"/>
        <family val="2"/>
        <charset val="1"/>
      </rPr>
      <t xml:space="preserve">1.05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1.00</t>
    </r>
  </si>
  <si>
    <r>
      <rPr>
        <sz val="11"/>
        <color theme="1"/>
        <rFont val="Noto Sans CJK SC"/>
        <family val="2"/>
      </rPr>
      <t xml:space="preserve">漲價年度化 </t>
    </r>
    <r>
      <rPr>
        <sz val="11"/>
        <color theme="1"/>
        <rFont val="Calibri"/>
        <family val="2"/>
        <charset val="1"/>
      </rPr>
      <t xml:space="preserve">8%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</si>
  <si>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15%</t>
    </r>
  </si>
  <si>
    <r>
      <rPr>
        <sz val="11"/>
        <color theme="1"/>
        <rFont val="Noto Sans CJK SC"/>
        <family val="2"/>
      </rPr>
      <t xml:space="preserve">漲價年度化 </t>
    </r>
    <r>
      <rPr>
        <sz val="11"/>
        <color theme="1"/>
        <rFont val="Calibri"/>
        <family val="2"/>
        <charset val="1"/>
      </rPr>
      <t xml:space="preserve">22%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</si>
  <si>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現金毛利率 </t>
    </r>
    <r>
      <rPr>
        <sz val="11"/>
        <color theme="1"/>
        <rFont val="Calibri"/>
        <family val="2"/>
        <charset val="1"/>
      </rPr>
      <t xml:space="preserve">40%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</si>
  <si>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</si>
  <si>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現金毛利率 </t>
    </r>
    <r>
      <rPr>
        <sz val="11"/>
        <color theme="1"/>
        <rFont val="Calibri"/>
        <family val="2"/>
        <charset val="1"/>
      </rPr>
      <t xml:space="preserve">60%</t>
    </r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</si>
  <si>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現金毛利率 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</si>
  <si>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45%</t>
    </r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</si>
  <si>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現金毛利率 </t>
    </r>
    <r>
      <rPr>
        <sz val="11"/>
        <color theme="1"/>
        <rFont val="Calibri"/>
        <family val="2"/>
        <charset val="1"/>
      </rPr>
      <t xml:space="preserve">60%</t>
    </r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</si>
  <si>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年增 走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</si>
  <si>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Calibri"/>
        <family val="2"/>
        <charset val="1"/>
      </rPr>
      <t xml:space="preserve">12%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／−</t>
    </r>
    <r>
      <rPr>
        <sz val="11"/>
        <color theme="1"/>
        <rFont val="Calibri"/>
        <family val="2"/>
        <charset val="1"/>
      </rPr>
      <t xml:space="preserve">3%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</si>
  <si>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ABF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2%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</si>
  <si>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6%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</si>
  <si>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ABF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</si>
  <si>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折舊年限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</si>
  <si>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</si>
  <si>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折舊年限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</t>
    </r>
  </si>
  <si>
    <t xml:space="preserve">資本支出 低</t>
  </si>
  <si>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70 </t>
    </r>
    <r>
      <rPr>
        <sz val="11"/>
        <color theme="1"/>
        <rFont val="Noto Sans CJK SC"/>
        <family val="2"/>
      </rPr>
      <t xml:space="preserve">億</t>
    </r>
  </si>
  <si>
    <t xml:space="preserve">資本支出 高</t>
  </si>
  <si>
    <r>
      <rPr>
        <sz val="11"/>
        <color theme="1"/>
        <rFont val="Calibri"/>
        <family val="2"/>
        <charset val="1"/>
      </rPr>
      <t xml:space="preserve">220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220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160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</si>
  <si>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Noto Sans CJK SC"/>
        <family val="2"/>
      </rPr>
      <t xml:space="preserve">景碩 </t>
    </r>
    <r>
      <rPr>
        <sz val="11"/>
        <color theme="1"/>
        <rFont val="Calibri"/>
        <family val="2"/>
        <charset val="1"/>
      </rPr>
      <t xml:space="preserve">NVIDIA GPU </t>
    </r>
    <r>
      <rPr>
        <sz val="11"/>
        <color theme="1"/>
        <rFont val="Noto Sans CJK SC"/>
        <family val="2"/>
      </rPr>
      <t xml:space="preserve">份額 低</t>
    </r>
  </si>
  <si>
    <t xml:space="preserve">1%→2%</t>
  </si>
  <si>
    <r>
      <rPr>
        <sz val="11"/>
        <color theme="1"/>
        <rFont val="Noto Sans CJK SC"/>
        <family val="2"/>
      </rPr>
      <t xml:space="preserve">景碩 </t>
    </r>
    <r>
      <rPr>
        <sz val="11"/>
        <color theme="1"/>
        <rFont val="Calibri"/>
        <family val="2"/>
        <charset val="1"/>
      </rPr>
      <t xml:space="preserve">NVIDIA GPU </t>
    </r>
    <r>
      <rPr>
        <sz val="11"/>
        <color theme="1"/>
        <rFont val="Noto Sans CJK SC"/>
        <family val="2"/>
      </rPr>
      <t xml:space="preserve">份額 高（券商說法）</t>
    </r>
  </si>
  <si>
    <t xml:space="preserve">10%→15%</t>
  </si>
  <si>
    <r>
      <rPr>
        <sz val="11"/>
        <color theme="1"/>
        <rFont val="Noto Sans CJK SC"/>
        <family val="2"/>
      </rPr>
      <t xml:space="preserve">景碩 </t>
    </r>
    <r>
      <rPr>
        <sz val="11"/>
        <color theme="1"/>
        <rFont val="Calibri"/>
        <family val="2"/>
        <charset val="1"/>
      </rPr>
      <t xml:space="preserve">Vera CPU </t>
    </r>
    <r>
      <rPr>
        <sz val="11"/>
        <color theme="1"/>
        <rFont val="Noto Sans CJK SC"/>
        <family val="2"/>
      </rPr>
      <t xml:space="preserve">份額 低</t>
    </r>
  </si>
  <si>
    <t xml:space="preserve">50%→45%</t>
  </si>
  <si>
    <r>
      <rPr>
        <sz val="11"/>
        <color theme="1"/>
        <rFont val="Noto Sans CJK SC"/>
        <family val="2"/>
      </rPr>
      <t xml:space="preserve">景碩 </t>
    </r>
    <r>
      <rPr>
        <sz val="11"/>
        <color theme="1"/>
        <rFont val="Calibri"/>
        <family val="2"/>
        <charset val="1"/>
      </rPr>
      <t xml:space="preserve">Vera CPU </t>
    </r>
    <r>
      <rPr>
        <sz val="11"/>
        <color theme="1"/>
        <rFont val="Noto Sans CJK SC"/>
        <family val="2"/>
      </rPr>
      <t xml:space="preserve">份額 高</t>
    </r>
  </si>
  <si>
    <t xml:space="preserve">90%→100%</t>
  </si>
  <si>
    <r>
      <rPr>
        <sz val="11"/>
        <color theme="1"/>
        <rFont val="Noto Sans CJK SC"/>
        <family val="2"/>
      </rPr>
      <t xml:space="preserve">景碩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 低</t>
    </r>
  </si>
  <si>
    <t xml:space="preserve">2%→3%</t>
  </si>
  <si>
    <r>
      <rPr>
        <sz val="11"/>
        <color theme="1"/>
        <rFont val="Noto Sans CJK SC"/>
        <family val="2"/>
      </rPr>
      <t xml:space="preserve">景碩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 高</t>
    </r>
  </si>
  <si>
    <t xml:space="preserve">8%→10%</t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</si>
  <si>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載板金額比 </t>
    </r>
    <r>
      <rPr>
        <sz val="11"/>
        <color theme="1"/>
        <rFont val="Calibri"/>
        <family val="2"/>
        <charset val="1"/>
      </rPr>
      <t xml:space="preserve">0.20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</si>
  <si>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0.30</t>
    </r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</si>
  <si>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載板金額比 </t>
    </r>
    <r>
      <rPr>
        <sz val="11"/>
        <color theme="1"/>
        <rFont val="Calibri"/>
        <family val="2"/>
        <charset val="1"/>
      </rPr>
      <t xml:space="preserve">0.45</t>
    </r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</si>
  <si>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1.0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</si>
  <si>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0.6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</si>
  <si>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</si>
  <si>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12%</t>
    </r>
  </si>
  <si>
    <r>
      <rPr>
        <sz val="11"/>
        <color theme="1"/>
        <rFont val="Noto Sans CJK SC"/>
        <family val="2"/>
      </rPr>
      <t xml:space="preserve">業外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</si>
  <si>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每年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（基準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</si>
  <si>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Noto Sans CJK SC"/>
        <family val="2"/>
      </rPr>
      <t xml:space="preserve">晶碩年增 </t>
    </r>
    <r>
      <rPr>
        <sz val="11"/>
        <color theme="1"/>
        <rFont val="Calibri"/>
        <family val="2"/>
        <charset val="1"/>
      </rPr>
      <t xml:space="preserve">3%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</si>
  <si>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</si>
  <si>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</si>
  <si>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年增較低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</si>
  <si>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</si>
  <si>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年增最低</t>
    </r>
  </si>
  <si>
    <r>
      <rPr>
        <sz val="11"/>
        <color theme="1"/>
        <rFont val="Noto Sans CJK SC"/>
        <family val="2"/>
      </rPr>
      <t xml:space="preserve">讀法：漲價年度化與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溢價直接決定毛利（溢價全數落在毛利）；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產能受限時，份額與部署的上修只部分轉成營收；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情境差只來自 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年增。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</si>
  <si>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與資本支出率路徑不隨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</si>
  <si>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</si>
  <si>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</si>
  <si>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</si>
  <si>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</si>
  <si>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</si>
  <si>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</si>
  <si>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</si>
  <si>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</si>
  <si>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</si>
  <si>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</si>
  <si>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</si>
  <si>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</si>
  <si>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</si>
  <si>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</si>
  <si>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</si>
  <si>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</si>
  <si>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</si>
  <si>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產能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</si>
  <si>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產能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</si>
  <si>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溢價 低（</t>
    </r>
    <r>
      <rPr>
        <b val="true"/>
        <sz val="11"/>
        <rFont val="Cambria"/>
        <family val="0"/>
        <charset val="1"/>
      </rPr>
      <t xml:space="preserve">Ibiden </t>
    </r>
    <r>
      <rPr>
        <b val="true"/>
        <sz val="11"/>
        <rFont val="Noto Sans CJK SC"/>
        <family val="2"/>
      </rPr>
      <t xml:space="preserve">低值）（情境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</si>
  <si>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溢價 高（</t>
    </r>
    <r>
      <rPr>
        <b val="true"/>
        <sz val="11"/>
        <rFont val="Cambria"/>
        <family val="0"/>
        <charset val="1"/>
      </rPr>
      <t xml:space="preserve">Ibiden </t>
    </r>
    <r>
      <rPr>
        <b val="true"/>
        <sz val="11"/>
        <rFont val="Noto Sans CJK SC"/>
        <family val="2"/>
      </rPr>
      <t xml:space="preserve">高值）（情境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</si>
  <si>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案例區塊：漲價年度化 </t>
    </r>
    <r>
      <rPr>
        <b val="true"/>
        <sz val="11"/>
        <rFont val="Cambria"/>
        <family val="0"/>
        <charset val="1"/>
      </rPr>
      <t xml:space="preserve">8%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</si>
  <si>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案例區塊：漲價年度化 </t>
    </r>
    <r>
      <rPr>
        <b val="true"/>
        <sz val="11"/>
        <rFont val="Cambria"/>
        <family val="0"/>
        <charset val="1"/>
      </rPr>
      <t xml:space="preserve">22%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</si>
  <si>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現金毛利率 </t>
    </r>
    <r>
      <rPr>
        <b val="true"/>
        <sz val="11"/>
        <rFont val="Cambria"/>
        <family val="0"/>
        <charset val="1"/>
      </rPr>
      <t xml:space="preserve">40%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</si>
  <si>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現金毛利率 </t>
    </r>
    <r>
      <rPr>
        <b val="true"/>
        <sz val="11"/>
        <rFont val="Cambria"/>
        <family val="0"/>
        <charset val="1"/>
      </rPr>
      <t xml:space="preserve">60%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</si>
  <si>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BT </t>
    </r>
    <r>
      <rPr>
        <b val="true"/>
        <sz val="11"/>
        <rFont val="Noto Sans CJK SC"/>
        <family val="2"/>
      </rPr>
      <t xml:space="preserve">現金毛利率 </t>
    </r>
    <r>
      <rPr>
        <b val="true"/>
        <sz val="11"/>
        <rFont val="Cambria"/>
        <family val="0"/>
        <charset val="1"/>
      </rPr>
      <t xml:space="preserve">30%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</si>
  <si>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BT </t>
    </r>
    <r>
      <rPr>
        <b val="true"/>
        <sz val="11"/>
        <rFont val="Noto Sans CJK SC"/>
        <family val="2"/>
      </rPr>
      <t xml:space="preserve">現金毛利率 </t>
    </r>
    <r>
      <rPr>
        <b val="true"/>
        <sz val="11"/>
        <rFont val="Cambria"/>
        <family val="0"/>
        <charset val="1"/>
      </rPr>
      <t xml:space="preserve">60%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</si>
  <si>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BT </t>
    </r>
    <r>
      <rPr>
        <b val="true"/>
        <sz val="11"/>
        <rFont val="Noto Sans CJK SC"/>
        <family val="2"/>
      </rPr>
      <t xml:space="preserve">年增 走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路徑（情境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</si>
  <si>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ABF </t>
    </r>
    <r>
      <rPr>
        <b val="true"/>
        <sz val="11"/>
        <rFont val="Noto Sans CJK SC"/>
        <family val="2"/>
      </rPr>
      <t xml:space="preserve">年增 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</si>
  <si>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ABF </t>
    </r>
    <r>
      <rPr>
        <b val="true"/>
        <sz val="11"/>
        <rFont val="Noto Sans CJK SC"/>
        <family val="2"/>
      </rPr>
      <t xml:space="preserve">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</si>
  <si>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案例區塊：折舊年限 </t>
    </r>
    <r>
      <rPr>
        <b val="true"/>
        <sz val="11"/>
        <rFont val="Cambria"/>
        <family val="0"/>
        <charset val="1"/>
      </rPr>
      <t xml:space="preserve">6 </t>
    </r>
    <r>
      <rPr>
        <b val="true"/>
        <sz val="11"/>
        <rFont val="Noto Sans CJK SC"/>
        <family val="2"/>
      </rPr>
      <t xml:space="preserve">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</si>
  <si>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案例區塊：折舊年限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</si>
  <si>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案例區塊：資本支出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</si>
  <si>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案例區塊：資本支出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</si>
  <si>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案例區塊：景碩 </t>
    </r>
    <r>
      <rPr>
        <b val="true"/>
        <sz val="11"/>
        <rFont val="Cambria"/>
        <family val="0"/>
        <charset val="1"/>
      </rPr>
      <t xml:space="preserve">NVIDIA GPU </t>
    </r>
    <r>
      <rPr>
        <b val="true"/>
        <sz val="11"/>
        <rFont val="Noto Sans CJK SC"/>
        <family val="2"/>
      </rPr>
      <t xml:space="preserve">份額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</si>
  <si>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案例區塊：景碩 </t>
    </r>
    <r>
      <rPr>
        <b val="true"/>
        <sz val="11"/>
        <rFont val="Cambria"/>
        <family val="0"/>
        <charset val="1"/>
      </rPr>
      <t xml:space="preserve">NVIDIA GPU </t>
    </r>
    <r>
      <rPr>
        <b val="true"/>
        <sz val="11"/>
        <rFont val="Noto Sans CJK SC"/>
        <family val="2"/>
      </rPr>
      <t xml:space="preserve">份額 高（券商說法）（情境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</si>
  <si>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案例區塊：景碩 </t>
    </r>
    <r>
      <rPr>
        <b val="true"/>
        <sz val="11"/>
        <rFont val="Cambria"/>
        <family val="0"/>
        <charset val="1"/>
      </rPr>
      <t xml:space="preserve">Vera CPU </t>
    </r>
    <r>
      <rPr>
        <b val="true"/>
        <sz val="11"/>
        <rFont val="Noto Sans CJK SC"/>
        <family val="2"/>
      </rPr>
      <t xml:space="preserve">份額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</si>
  <si>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案例區塊：景碩 </t>
    </r>
    <r>
      <rPr>
        <b val="true"/>
        <sz val="11"/>
        <rFont val="Cambria"/>
        <family val="0"/>
        <charset val="1"/>
      </rPr>
      <t xml:space="preserve">Vera CPU </t>
    </r>
    <r>
      <rPr>
        <b val="true"/>
        <sz val="11"/>
        <rFont val="Noto Sans CJK SC"/>
        <family val="2"/>
      </rPr>
      <t xml:space="preserve">份額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</si>
  <si>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案例區塊：景碩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份額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</si>
  <si>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案例區塊：景碩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份額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</si>
  <si>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載板金額比 </t>
    </r>
    <r>
      <rPr>
        <b val="true"/>
        <sz val="11"/>
        <rFont val="Cambria"/>
        <family val="0"/>
        <charset val="1"/>
      </rPr>
      <t xml:space="preserve">0.20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</si>
  <si>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載板金額比 </t>
    </r>
    <r>
      <rPr>
        <b val="true"/>
        <sz val="11"/>
        <rFont val="Cambria"/>
        <family val="0"/>
        <charset val="1"/>
      </rPr>
      <t xml:space="preserve">0.45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</si>
  <si>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</si>
  <si>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</si>
  <si>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案例區塊：業外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</si>
  <si>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案例區塊：晶碩年增 </t>
    </r>
    <r>
      <rPr>
        <b val="true"/>
        <sz val="11"/>
        <rFont val="Cambria"/>
        <family val="0"/>
        <charset val="1"/>
      </rPr>
      <t xml:space="preserve">3%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</si>
  <si>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來源（公司財報經資料商與媒體轉載；法說內容經媒體摘要；券商與資料商皆為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</si>
  <si>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（現價 </t>
    </r>
    <r>
      <rPr>
        <sz val="11"/>
        <color theme="1"/>
        <rFont val="Calibri"/>
        <family val="2"/>
        <charset val="1"/>
      </rPr>
      <t xml:space="preserve">986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）、股數、前瞻與近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、目標價 </t>
    </r>
    <r>
      <rPr>
        <sz val="11"/>
        <color theme="1"/>
        <rFont val="Calibri"/>
        <family val="2"/>
        <charset val="1"/>
      </rPr>
      <t xml:space="preserve">1,092.15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位）、下次財報日估 </t>
    </r>
    <r>
      <rPr>
        <sz val="11"/>
        <color theme="1"/>
        <rFont val="Calibri"/>
        <family val="2"/>
        <charset val="1"/>
      </rPr>
      <t xml:space="preserve">2026-11-06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</si>
  <si>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https://stockanalysis.com/quote/tpe/3189/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</si>
  <si>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年度與季損益表（營收、毛利、營業利益、稅前、所得稅、非控制權益、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、股數）</t>
    </r>
  </si>
  <si>
    <t xml:space="preserve">https://stockanalysis.com/quote/tpe/3189/financials/income-statement/?p=quarterly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</si>
  <si>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季現金流量表（折舊攤提、資本支出、現金增資 </t>
    </r>
    <r>
      <rPr>
        <sz val="11"/>
        <color theme="1"/>
        <rFont val="Calibri"/>
        <family val="2"/>
        <charset val="1"/>
      </rPr>
      <t xml:space="preserve">101.59 </t>
    </r>
    <r>
      <rPr>
        <sz val="11"/>
        <color theme="1"/>
        <rFont val="Noto Sans CJK SC"/>
        <family val="2"/>
      </rPr>
      <t xml:space="preserve">億）</t>
    </r>
  </si>
  <si>
    <t xml:space="preserve">https://stockanalysis.com/quote/tpe/3189/financials/cash-flow-statement/?p=quarterly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</si>
  <si>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比率頁（年度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FY2021–25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</si>
  <si>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https://stockanalysis.com/quote/tpe/3189/financials/ratios/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</si>
  <si>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晶碩（</t>
    </r>
    <r>
      <rPr>
        <sz val="11"/>
        <color theme="1"/>
        <rFont val="Calibri"/>
        <family val="2"/>
        <charset val="1"/>
      </rPr>
      <t xml:space="preserve">6491</t>
    </r>
    <r>
      <rPr>
        <sz val="11"/>
        <color theme="1"/>
        <rFont val="Noto Sans CJK SC"/>
        <family val="2"/>
      </rPr>
      <t xml:space="preserve">）季損益表（營收、淨利）</t>
    </r>
  </si>
  <si>
    <t xml:space="preserve">https://stockanalysis.com/quote/tpe/6491/financials/?p=quarterly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</si>
  <si>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nstock</t>
    </r>
    <r>
      <rPr>
        <sz val="11"/>
        <color theme="1"/>
        <rFont val="Noto Sans CJK SC"/>
        <family val="2"/>
      </rPr>
      <t xml:space="preserve">（股本 </t>
    </r>
    <r>
      <rPr>
        <sz val="11"/>
        <color theme="1"/>
        <rFont val="Calibri"/>
        <family val="2"/>
        <charset val="1"/>
      </rPr>
      <t xml:space="preserve">52.69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毛利率、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月營收、現價核對）</t>
    </r>
  </si>
  <si>
    <t xml:space="preserve">https://www.nstock.tw/%E6%99%AF%E7%A2%A9%E5%81%9A%E4%BB%80%E9%BA%BC.html</t>
  </si>
  <si>
    <r>
      <rPr>
        <sz val="11"/>
        <color theme="1"/>
        <rFont val="Noto Sans CJK SC"/>
        <family val="2"/>
      </rPr>
      <t xml:space="preserve">媒體：</t>
    </r>
    <r>
      <rPr>
        <sz val="11"/>
        <color theme="1"/>
        <rFont val="Calibri"/>
        <family val="2"/>
        <charset val="1"/>
      </rPr>
      <t xml:space="preserve">TechNews 2026-10-06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 </t>
    </r>
    <r>
      <rPr>
        <sz val="11"/>
        <color theme="1"/>
        <rFont val="Calibri"/>
        <family val="2"/>
        <charset val="1"/>
      </rPr>
      <t xml:space="preserve">51.81 </t>
    </r>
    <r>
      <rPr>
        <sz val="11"/>
        <color theme="1"/>
        <rFont val="Noto Sans CJK SC"/>
        <family val="2"/>
      </rPr>
      <t xml:space="preserve">億、前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381.41 </t>
    </r>
    <r>
      <rPr>
        <sz val="11"/>
        <color theme="1"/>
        <rFont val="Noto Sans CJK SC"/>
        <family val="2"/>
      </rPr>
      <t xml:space="preserve">億）</t>
    </r>
  </si>
  <si>
    <t xml:space="preserve">https://finance.technews.tw/2026/10/06/kinsus-3189-202609-financial-report/</t>
  </si>
  <si>
    <r>
      <rPr>
        <sz val="11"/>
        <color theme="1"/>
        <rFont val="Noto Sans CJK SC"/>
        <family val="2"/>
      </rPr>
      <t xml:space="preserve">媒體：工商時報 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月營收、資本支出 </t>
    </r>
    <r>
      <rPr>
        <sz val="11"/>
        <color theme="1"/>
        <rFont val="Calibri"/>
        <family val="2"/>
        <charset val="1"/>
      </rPr>
      <t xml:space="preserve">196 </t>
    </r>
    <r>
      <rPr>
        <sz val="11"/>
        <color theme="1"/>
        <rFont val="Noto Sans CJK SC"/>
        <family val="2"/>
      </rPr>
      <t xml:space="preserve">億＋</t>
    </r>
    <r>
      <rPr>
        <sz val="11"/>
        <color theme="1"/>
        <rFont val="Calibri"/>
        <family val="2"/>
        <charset val="1"/>
      </rPr>
      <t xml:space="preserve">235 </t>
    </r>
    <r>
      <rPr>
        <sz val="11"/>
        <color theme="1"/>
        <rFont val="Noto Sans CJK SC"/>
        <family val="2"/>
      </rPr>
      <t xml:space="preserve">億）</t>
    </r>
  </si>
  <si>
    <t xml:space="preserve">https://www.ctee.com.tw/news/20260806701841-430503</t>
  </si>
  <si>
    <r>
      <rPr>
        <sz val="11"/>
        <color theme="1"/>
        <rFont val="Noto Sans CJK SC"/>
        <family val="2"/>
      </rPr>
      <t xml:space="preserve">券商（媒體）：</t>
    </r>
    <r>
      <rPr>
        <sz val="11"/>
        <color theme="1"/>
        <rFont val="Calibri"/>
        <family val="2"/>
        <charset val="1"/>
      </rPr>
      <t xml:space="preserve">TechNews 2026-08-04 </t>
    </r>
    <r>
      <rPr>
        <sz val="11"/>
        <color theme="1"/>
        <rFont val="Noto Sans CJK SC"/>
        <family val="2"/>
      </rPr>
      <t xml:space="preserve">高盛（目標價 </t>
    </r>
    <r>
      <rPr>
        <sz val="11"/>
        <color theme="1"/>
        <rFont val="Calibri"/>
        <family val="2"/>
        <charset val="1"/>
      </rPr>
      <t xml:space="preserve">1,125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Vera CPU 100% </t>
    </r>
    <r>
      <rPr>
        <sz val="11"/>
        <color theme="1"/>
        <rFont val="Noto Sans CJK SC"/>
        <family val="2"/>
      </rPr>
      <t xml:space="preserve">目標、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占營收、毛利率、客戶贊助設備、產能倍增）</t>
    </r>
  </si>
  <si>
    <t xml:space="preserve">https://finance.technews.tw/2026/08/04/vera-cpu/</t>
  </si>
  <si>
    <r>
      <rPr>
        <sz val="11"/>
        <color theme="1"/>
        <rFont val="Noto Sans CJK SC"/>
        <family val="2"/>
      </rPr>
      <t xml:space="preserve">券商（媒體）：經濟日報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EPS</t>
    </r>
    <r>
      <rPr>
        <sz val="11"/>
        <color theme="1"/>
        <rFont val="Noto Sans CJK SC"/>
        <family val="2"/>
      </rPr>
      <t xml:space="preserve">、毛利率、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 </t>
    </r>
    <r>
      <rPr>
        <sz val="11"/>
        <color theme="1"/>
        <rFont val="Calibri"/>
        <family val="2"/>
        <charset val="1"/>
      </rPr>
      <t xml:space="preserve">4,000→8,000 </t>
    </r>
    <r>
      <rPr>
        <sz val="11"/>
        <color theme="1"/>
        <rFont val="Noto Sans CJK SC"/>
        <family val="2"/>
      </rPr>
      <t xml:space="preserve">萬顆）</t>
    </r>
  </si>
  <si>
    <t xml:space="preserve">https://money.udn.com/money/story/5607/9676971</t>
  </si>
  <si>
    <r>
      <rPr>
        <sz val="11"/>
        <color theme="1"/>
        <rFont val="Noto Sans CJK SC"/>
        <family val="2"/>
      </rPr>
      <t xml:space="preserve">券商（媒體）：經濟日報 </t>
    </r>
    <r>
      <rPr>
        <sz val="11"/>
        <color theme="1"/>
        <rFont val="Calibri"/>
        <family val="2"/>
        <charset val="1"/>
      </rPr>
      <t xml:space="preserve">2026-09-16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Vera CPU 80–100%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15–20%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記憶體逾五成）</t>
    </r>
  </si>
  <si>
    <t xml:space="preserve">https://money.udn.com/money/amp/story/5607/9757810</t>
  </si>
  <si>
    <r>
      <rPr>
        <sz val="11"/>
        <color theme="1"/>
        <rFont val="Noto Sans CJK SC"/>
        <family val="2"/>
      </rPr>
      <t xml:space="preserve">券商（媒體）：經濟日報 </t>
    </r>
    <r>
      <rPr>
        <sz val="11"/>
        <color theme="1"/>
        <rFont val="Calibri"/>
        <family val="2"/>
        <charset val="1"/>
      </rPr>
      <t xml:space="preserve">2026-10-12</t>
    </r>
    <r>
      <rPr>
        <sz val="11"/>
        <color theme="1"/>
        <rFont val="Noto Sans CJK SC"/>
        <family val="2"/>
      </rPr>
      <t xml:space="preserve">（美系券商 </t>
    </r>
    <r>
      <rPr>
        <sz val="11"/>
        <color theme="1"/>
        <rFont val="Calibri"/>
        <family val="2"/>
        <charset val="1"/>
      </rPr>
      <t xml:space="preserve">EPS 2026–28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毛利率）</t>
    </r>
  </si>
  <si>
    <t xml:space="preserve">https://money.udn.com/money/story/5607/9808557</t>
  </si>
  <si>
    <r>
      <rPr>
        <sz val="11"/>
        <color theme="1"/>
        <rFont val="Noto Sans CJK SC"/>
        <family val="2"/>
      </rPr>
      <t xml:space="preserve">券商（媒體）：旺得富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（永豐 </t>
    </r>
    <r>
      <rPr>
        <sz val="11"/>
        <color theme="1"/>
        <rFont val="Calibri"/>
        <family val="2"/>
        <charset val="1"/>
      </rPr>
      <t xml:space="preserve">1,280</t>
    </r>
    <r>
      <rPr>
        <sz val="11"/>
        <color theme="1"/>
        <rFont val="Noto Sans CJK SC"/>
        <family val="2"/>
      </rPr>
      <t xml:space="preserve">、玉山 </t>
    </r>
    <r>
      <rPr>
        <sz val="11"/>
        <color theme="1"/>
        <rFont val="Calibri"/>
        <family val="2"/>
        <charset val="1"/>
      </rPr>
      <t xml:space="preserve">1,270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2026–28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月自結；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預估）</t>
    </r>
  </si>
  <si>
    <t xml:space="preserve">https://wantrich.chinatimes.com/news/20261014900438-420101</t>
  </si>
  <si>
    <r>
      <rPr>
        <sz val="11"/>
        <color theme="1"/>
        <rFont val="Noto Sans CJK SC"/>
        <family val="2"/>
      </rPr>
      <t xml:space="preserve">券商（媒體）：經濟日報 </t>
    </r>
    <r>
      <rPr>
        <sz val="11"/>
        <color theme="1"/>
        <rFont val="Calibri"/>
        <family val="2"/>
        <charset val="1"/>
      </rPr>
      <t xml:space="preserve">2026-04-23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10%→50%</t>
    </r>
    <r>
      <rPr>
        <sz val="11"/>
        <color theme="1"/>
        <rFont val="Noto Sans CJK SC"/>
        <family val="2"/>
      </rPr>
      <t xml:space="preserve">、稼動率）</t>
    </r>
  </si>
  <si>
    <t xml:space="preserve">https://money.udn.com/money/amp/story/5607/9459664</t>
  </si>
  <si>
    <r>
      <rPr>
        <sz val="11"/>
        <color theme="1"/>
        <rFont val="Noto Sans CJK SC"/>
        <family val="2"/>
      </rPr>
      <t xml:space="preserve">媒體：</t>
    </r>
    <r>
      <rPr>
        <sz val="11"/>
        <color theme="1"/>
        <rFont val="Calibri"/>
        <family val="2"/>
        <charset val="1"/>
      </rPr>
      <t xml:space="preserve">MoneyDJ 2026-01-19</t>
    </r>
    <r>
      <rPr>
        <sz val="11"/>
        <color theme="1"/>
        <rFont val="Noto Sans CJK SC"/>
        <family val="2"/>
      </rPr>
      <t xml:space="preserve">（產品組合 </t>
    </r>
    <r>
      <rPr>
        <sz val="11"/>
        <color theme="1"/>
        <rFont val="Calibri"/>
        <family val="2"/>
        <charset val="1"/>
      </rPr>
      <t xml:space="preserve">ABF 30–40%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BT 35–40%</t>
    </r>
    <r>
      <rPr>
        <sz val="11"/>
        <color theme="1"/>
        <rFont val="Noto Sans CJK SC"/>
        <family val="2"/>
      </rPr>
      <t xml:space="preserve">、隱形眼鏡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年資本支出約 </t>
    </r>
    <r>
      <rPr>
        <sz val="11"/>
        <color theme="1"/>
        <rFont val="Calibri"/>
        <family val="2"/>
        <charset val="1"/>
      </rPr>
      <t xml:space="preserve">80 </t>
    </r>
    <r>
      <rPr>
        <sz val="11"/>
        <color theme="1"/>
        <rFont val="Noto Sans CJK SC"/>
        <family val="2"/>
      </rPr>
      <t xml:space="preserve">億）</t>
    </r>
  </si>
  <si>
    <t xml:space="preserve">https://tw.stock.yahoo.com/news/ai-%E8%A8%98%E6%86%B6%E9%AB%94%E9%9C%80%E6%B1%82%E6%8E%A8%E5%8B%95-%E6%99%AF%E7%A2%A9q1%E6%B7%A1%E5%AD%A3%E6%9C%89%E6%92%90-042600728.html</t>
  </si>
  <si>
    <r>
      <rPr>
        <sz val="11"/>
        <color theme="1"/>
        <rFont val="Noto Sans CJK SC"/>
        <family val="2"/>
      </rPr>
      <t xml:space="preserve">公司（摘要）：富果 </t>
    </r>
    <r>
      <rPr>
        <sz val="11"/>
        <color theme="1"/>
        <rFont val="Calibri"/>
        <family val="2"/>
        <charset val="1"/>
      </rPr>
      <t xml:space="preserve">2Q25 </t>
    </r>
    <r>
      <rPr>
        <sz val="11"/>
        <color theme="1"/>
        <rFont val="Noto Sans CJK SC"/>
        <family val="2"/>
      </rPr>
      <t xml:space="preserve">法說摘要（應用別、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、晶碩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）</t>
    </r>
  </si>
  <si>
    <t xml:space="preserve">https://blog.fugle.tw/post/earnings-call-3189-2025-08-19</t>
  </si>
  <si>
    <r>
      <rPr>
        <sz val="11"/>
        <color theme="1"/>
        <rFont val="Noto Sans CJK SC"/>
        <family val="2"/>
      </rPr>
      <t xml:space="preserve">研究文章：</t>
    </r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景碩分析 </t>
    </r>
    <r>
      <rPr>
        <sz val="11"/>
        <color theme="1"/>
        <rFont val="Calibri"/>
        <family val="2"/>
        <charset val="1"/>
      </rPr>
      <t xml:space="preserve">2026-04-07</t>
    </r>
    <r>
      <rPr>
        <sz val="11"/>
        <color theme="1"/>
        <rFont val="Noto Sans CJK SC"/>
        <family val="2"/>
      </rPr>
      <t xml:space="preserve">（引述券商；現增、份額、資本支出）</t>
    </r>
  </si>
  <si>
    <t xml:space="preserve">https://brodoginvestment.substack.com/p/3db</t>
  </si>
  <si>
    <r>
      <rPr>
        <sz val="11"/>
        <color theme="1"/>
        <rFont val="Noto Sans CJK SC"/>
        <family val="2"/>
      </rPr>
      <t xml:space="preserve">共識：鉅亨 </t>
    </r>
    <r>
      <rPr>
        <sz val="11"/>
        <color theme="1"/>
        <rFont val="Calibri"/>
        <family val="2"/>
        <charset val="1"/>
      </rPr>
      <t xml:space="preserve">2026-06-20 FactSet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位分析師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、營收）</t>
    </r>
  </si>
  <si>
    <t xml:space="preserve">https://news.cnyes.com/news/id/6505998</t>
  </si>
  <si>
    <r>
      <rPr>
        <sz val="11"/>
        <color theme="1"/>
        <rFont val="Noto Sans CJK SC"/>
        <family val="2"/>
      </rPr>
      <t xml:space="preserve">媒體：優分析（晶碩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年營收 </t>
    </r>
    <r>
      <rPr>
        <sz val="11"/>
        <color theme="1"/>
        <rFont val="Calibri"/>
        <family val="2"/>
        <charset val="1"/>
      </rPr>
      <t xml:space="preserve">70.39 </t>
    </r>
    <r>
      <rPr>
        <sz val="11"/>
        <color theme="1"/>
        <rFont val="Noto Sans CJK SC"/>
        <family val="2"/>
      </rPr>
      <t xml:space="preserve">億）</t>
    </r>
  </si>
  <si>
    <t xml:space="preserve">https://uanalyze.com.tw/articles/8838744153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</si>
  <si>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digrin </t>
    </r>
    <r>
      <rPr>
        <sz val="11"/>
        <color theme="1"/>
        <rFont val="Noto Sans CJK SC"/>
        <family val="2"/>
      </rPr>
      <t xml:space="preserve">月股價（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月未調整值）</t>
    </r>
  </si>
  <si>
    <t xml:space="preserve">https://www.digrin.com/stocks/detail/3189.TW/price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</si>
  <si>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wantgoo </t>
    </r>
    <r>
      <rPr>
        <sz val="11"/>
        <color theme="1"/>
        <rFont val="Noto Sans CJK SC"/>
        <family val="2"/>
      </rPr>
      <t xml:space="preserve">歷年股利表（</t>
    </r>
    <r>
      <rPr>
        <sz val="11"/>
        <color theme="1"/>
        <rFont val="Calibri"/>
        <family val="2"/>
        <charset val="1"/>
      </rPr>
      <t xml:space="preserve">EPS 2014–2025</t>
    </r>
    <r>
      <rPr>
        <sz val="11"/>
        <color theme="1"/>
        <rFont val="Noto Sans CJK SC"/>
        <family val="2"/>
      </rPr>
      <t xml:space="preserve">）</t>
    </r>
  </si>
  <si>
    <t xml:space="preserve">https://www.wantgoo.com/stock/3189/profitability/dividend-payout-ratio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</si>
  <si>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（欣興、南電、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；與欣興、南電、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模型同一組）</t>
    </r>
  </si>
  <si>
    <t xml:space="preserve">https://stockanalysis.com/quote/tpe/3037/</t>
  </si>
  <si>
    <r>
      <rPr>
        <sz val="11"/>
        <color theme="1"/>
        <rFont val="Noto Sans CJK SC"/>
        <family val="2"/>
      </rPr>
      <t xml:space="preserve">主串提供：共識 </t>
    </r>
    <r>
      <rPr>
        <sz val="11"/>
        <color theme="1"/>
        <rFont val="Calibri"/>
        <family val="2"/>
        <charset val="1"/>
      </rPr>
      <t xml:space="preserve">EPS FY2026 10.42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26.47</t>
    </r>
    <r>
      <rPr>
        <sz val="11"/>
        <color theme="1"/>
        <rFont val="Noto Sans CJK SC"/>
        <family val="2"/>
      </rPr>
      <t xml:space="preserve">（補位排序表，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；原始口徑本串未查證）</t>
    </r>
  </si>
  <si>
    <r>
      <rPr>
        <sz val="11"/>
        <color theme="1"/>
        <rFont val="Noto Sans CJK SC"/>
        <family val="2"/>
      </rPr>
      <t xml:space="preserve">本 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上游成品（唯讀）：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unimicron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nanya_pcb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；情境係數與 </t>
    </r>
    <r>
      <rPr>
        <sz val="11"/>
        <color theme="1"/>
        <rFont val="Calibri"/>
        <family val="2"/>
        <charset val="1"/>
      </rPr>
      <t xml:space="preserve">markets/memory/market.py SCEN_UNITS </t>
    </r>
    <r>
      <rPr>
        <sz val="11"/>
        <color theme="1"/>
        <rFont val="Noto Sans CJK SC"/>
        <family val="2"/>
      </rPr>
      <t xml:space="preserve">核對</t>
    </r>
  </si>
  <si>
    <r>
      <rPr>
        <sz val="11"/>
        <color theme="1"/>
        <rFont val="Calibri"/>
        <family val="2"/>
        <charset val="1"/>
      </rPr>
      <t xml:space="preserve">ibiden/dist/20261025_Ibiden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unimicron/dist/20261025_</t>
    </r>
    <r>
      <rPr>
        <sz val="11"/>
        <color theme="1"/>
        <rFont val="Noto Sans CJK SC"/>
        <family val="2"/>
      </rPr>
      <t xml:space="preserve">欣興模型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nanya_pcb/dist/20261025_</t>
    </r>
    <r>
      <rPr>
        <sz val="11"/>
        <color theme="1"/>
        <rFont val="Noto Sans CJK SC"/>
        <family val="2"/>
      </rPr>
      <t xml:space="preserve">南電模型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</si>
  <si>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月底～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月初）；公司原文（公開資訊觀測站財報、法說簡報）；</t>
    </r>
    <r>
      <rPr>
        <sz val="11"/>
        <color theme="1"/>
        <rFont val="Calibri"/>
        <family val="2"/>
        <charset val="1"/>
      </rPr>
      <t xml:space="preserve">FY2016–20 </t>
    </r>
    <r>
      <rPr>
        <sz val="11"/>
        <color theme="1"/>
        <rFont val="Noto Sans CJK SC"/>
        <family val="2"/>
      </rPr>
      <t xml:space="preserve">營收（十年平均淨利率）；</t>
    </r>
    <r>
      <rPr>
        <sz val="11"/>
        <color theme="1"/>
        <rFont val="Calibri"/>
        <family val="2"/>
        <charset val="1"/>
      </rPr>
      <t xml:space="preserve">ABF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季度拆分；加速器、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與其他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載板拆分；份額量化；晶碩持股比例原文與毛利率；晶碩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營收；折舊會計年限；客戶贊助設備的金額與會計處理；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月後 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共識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</si>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</sst>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0.00%"/>
    <numFmt numFmtId="166" formatCode="General"/>
    <numFmt numFmtId="167" formatCode="#,##0.000"/>
    <numFmt numFmtId="168" formatCode="0.00"/>
    <numFmt numFmtId="169" formatCode="0.000"/>
    <numFmt numFmtId="170" formatCode="0.0%"/>
    <numFmt numFmtId="171" formatCode="#,##0.00"/>
    <numFmt numFmtId="172" formatCode="#,##0"/>
    <numFmt numFmtId="173" formatCode="#,##0.0"/>
    <numFmt numFmtId="174" formatCode="0.000%"/>
    <numFmt numFmtId="175" formatCode="0.0000"/>
    <numFmt numFmtId="176" formatCode="0.0"/>
    <numFmt numFmtId="177" formatCode="@"/>
    <numFmt numFmtId="178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7.15" hidden="false" customHeight="false" outlineLevel="0" collapsed="false">
      <c r="A5" s="0" t="str">
        <f aca="false">"投資建議："&amp;Val!B49&amp;"（依上檔空間固定規則；加權目標價上檔空間 "&amp;TEXT(Val!B42,"0.0%")&amp;"，級距 "&amp;Val!B48&amp;"）"</f>
        <v>投資建議：中立（依上檔空間固定規則；加權目標價上檔空間 -7.9%，級距 0%～−25%）</v>
      </c>
    </row>
    <row r="6" customFormat="false" ht="17.15" hidden="false" customHeight="false" outlineLevel="0" collapsed="false">
      <c r="A6" s="2" t="s">
        <v>4</v>
      </c>
    </row>
    <row r="7" customFormat="false" ht="17.15" hidden="false" customHeight="false" outlineLevel="0" collapsed="false">
      <c r="A7" s="2" t="s">
        <v>5</v>
      </c>
    </row>
    <row r="8" customFormat="false" ht="17.15" hidden="false" customHeight="false" outlineLevel="0" collapsed="false">
      <c r="A8" s="2" t="s">
        <v>6</v>
      </c>
    </row>
    <row r="9" customFormat="false" ht="17.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1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7.15" hidden="false" customHeight="false" outlineLevel="0" collapsed="false">
      <c r="A16" s="2" t="s">
        <v>13</v>
      </c>
    </row>
    <row r="17" customFormat="false" ht="17.15" hidden="false" customHeight="false" outlineLevel="0" collapsed="false">
      <c r="A17" s="2" t="s">
        <v>14</v>
      </c>
    </row>
    <row r="18" customFormat="false" ht="17.15" hidden="false" customHeight="false" outlineLevel="0" collapsed="false">
      <c r="A18" s="2" t="s">
        <v>15</v>
      </c>
    </row>
    <row r="19" customFormat="false" ht="15" hidden="false" customHeight="false" outlineLevel="0" collapsed="false">
      <c r="A19" s="2"/>
    </row>
    <row r="20" customFormat="false" ht="17.15" hidden="false" customHeight="false" outlineLevel="0" collapsed="false">
      <c r="A20" s="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8" min="8" style="0" width="8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17</v>
      </c>
    </row>
    <row r="2" customFormat="false" ht="17.15" hidden="false" customHeight="false" outlineLevel="0" collapsed="false">
      <c r="A2" s="3" t="s">
        <v>18</v>
      </c>
    </row>
    <row r="3" customFormat="false" ht="17.15" hidden="false" customHeight="false" outlineLevel="0" collapsed="false">
      <c r="A3" s="4" t="s">
        <v>19</v>
      </c>
      <c r="B3" s="4" t="s">
        <v>20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4" t="s">
        <v>26</v>
      </c>
      <c r="I3" s="4" t="s">
        <v>27</v>
      </c>
    </row>
    <row r="4" customFormat="false" ht="17.15" hidden="false" customHeight="false" outlineLevel="0" collapsed="false">
      <c r="A4" s="5" t="s">
        <v>28</v>
      </c>
    </row>
    <row r="5" customFormat="false" ht="17.15" hidden="false" customHeight="false" outlineLevel="0" collapsed="false">
      <c r="A5" s="0" t="s">
        <v>29</v>
      </c>
      <c r="B5" s="0" t="s">
        <v>30</v>
      </c>
      <c r="C5" s="3" t="s">
        <v>31</v>
      </c>
      <c r="E5" s="6" t="n">
        <v>5.4</v>
      </c>
      <c r="G5" s="7" t="s">
        <v>32</v>
      </c>
      <c r="H5" s="7" t="s">
        <v>33</v>
      </c>
      <c r="I5" s="3" t="s">
        <v>34</v>
      </c>
    </row>
    <row r="6" customFormat="false" ht="17.15" hidden="false" customHeight="false" outlineLevel="0" collapsed="false">
      <c r="A6" s="0" t="s">
        <v>35</v>
      </c>
      <c r="B6" s="0" t="s">
        <v>36</v>
      </c>
      <c r="C6" s="3" t="s">
        <v>31</v>
      </c>
      <c r="E6" s="6" t="n">
        <v>2.4</v>
      </c>
      <c r="G6" s="7" t="s">
        <v>32</v>
      </c>
      <c r="H6" s="7" t="s">
        <v>37</v>
      </c>
      <c r="I6" s="3" t="s">
        <v>34</v>
      </c>
    </row>
    <row r="7" customFormat="false" ht="17.15" hidden="false" customHeight="false" outlineLevel="0" collapsed="false">
      <c r="A7" s="0" t="s">
        <v>38</v>
      </c>
      <c r="B7" s="0" t="s">
        <v>39</v>
      </c>
      <c r="C7" s="3" t="s">
        <v>31</v>
      </c>
      <c r="E7" s="6" t="n">
        <v>0.5</v>
      </c>
      <c r="G7" s="7" t="s">
        <v>32</v>
      </c>
      <c r="H7" s="7" t="s">
        <v>40</v>
      </c>
      <c r="I7" s="3" t="s">
        <v>34</v>
      </c>
    </row>
    <row r="8" customFormat="false" ht="17.15" hidden="false" customHeight="false" outlineLevel="0" collapsed="false">
      <c r="A8" s="0" t="s">
        <v>41</v>
      </c>
      <c r="B8" s="0" t="s">
        <v>42</v>
      </c>
      <c r="C8" s="0" t="s">
        <v>43</v>
      </c>
      <c r="E8" s="6" t="n">
        <v>-0.5</v>
      </c>
      <c r="G8" s="7" t="s">
        <v>32</v>
      </c>
      <c r="H8" s="7" t="s">
        <v>44</v>
      </c>
      <c r="I8" s="3" t="s">
        <v>45</v>
      </c>
    </row>
    <row r="9" customFormat="false" ht="17.15" hidden="false" customHeight="false" outlineLevel="0" collapsed="false">
      <c r="A9" s="0" t="s">
        <v>46</v>
      </c>
      <c r="B9" s="0" t="s">
        <v>47</v>
      </c>
      <c r="C9" s="3" t="s">
        <v>31</v>
      </c>
      <c r="E9" s="6" t="n">
        <v>1.7</v>
      </c>
      <c r="G9" s="7" t="s">
        <v>32</v>
      </c>
      <c r="H9" s="7" t="s">
        <v>48</v>
      </c>
      <c r="I9" s="3" t="s">
        <v>34</v>
      </c>
    </row>
    <row r="10" customFormat="false" ht="17.15" hidden="false" customHeight="false" outlineLevel="0" collapsed="false">
      <c r="A10" s="0" t="s">
        <v>49</v>
      </c>
      <c r="B10" s="0" t="s">
        <v>50</v>
      </c>
      <c r="C10" s="3" t="s">
        <v>31</v>
      </c>
      <c r="E10" s="6" t="n">
        <v>7</v>
      </c>
      <c r="G10" s="7" t="s">
        <v>32</v>
      </c>
      <c r="H10" s="7" t="s">
        <v>51</v>
      </c>
      <c r="I10" s="3" t="s">
        <v>34</v>
      </c>
    </row>
    <row r="11" customFormat="false" ht="17.15" hidden="false" customHeight="false" outlineLevel="0" collapsed="false">
      <c r="A11" s="0" t="s">
        <v>52</v>
      </c>
      <c r="B11" s="0" t="s">
        <v>53</v>
      </c>
      <c r="C11" s="3" t="s">
        <v>31</v>
      </c>
      <c r="E11" s="6" t="n">
        <v>7</v>
      </c>
      <c r="G11" s="7" t="s">
        <v>32</v>
      </c>
      <c r="H11" s="7" t="s">
        <v>54</v>
      </c>
      <c r="I11" s="3" t="s">
        <v>34</v>
      </c>
    </row>
    <row r="12" customFormat="false" ht="17.15" hidden="false" customHeight="false" outlineLevel="0" collapsed="false">
      <c r="A12" s="0" t="s">
        <v>55</v>
      </c>
      <c r="B12" s="0" t="s">
        <v>56</v>
      </c>
      <c r="C12" s="0" t="s">
        <v>43</v>
      </c>
      <c r="E12" s="6" t="n">
        <v>0.15</v>
      </c>
      <c r="G12" s="7" t="s">
        <v>32</v>
      </c>
      <c r="H12" s="7" t="s">
        <v>57</v>
      </c>
      <c r="I12" s="3" t="s">
        <v>45</v>
      </c>
    </row>
    <row r="13" customFormat="false" ht="17.15" hidden="false" customHeight="false" outlineLevel="0" collapsed="false">
      <c r="A13" s="0" t="s">
        <v>58</v>
      </c>
      <c r="B13" s="0" t="s">
        <v>59</v>
      </c>
      <c r="C13" s="3" t="s">
        <v>31</v>
      </c>
      <c r="E13" s="6" t="n">
        <v>0</v>
      </c>
      <c r="G13" s="7" t="s">
        <v>32</v>
      </c>
      <c r="H13" s="7" t="s">
        <v>60</v>
      </c>
      <c r="I13" s="3" t="s">
        <v>34</v>
      </c>
    </row>
    <row r="14" customFormat="false" ht="17.15" hidden="false" customHeight="false" outlineLevel="0" collapsed="false">
      <c r="A14" s="0" t="s">
        <v>61</v>
      </c>
      <c r="B14" s="0" t="s">
        <v>62</v>
      </c>
      <c r="C14" s="3" t="s">
        <v>31</v>
      </c>
      <c r="E14" s="6" t="n">
        <v>0.3</v>
      </c>
      <c r="G14" s="7" t="s">
        <v>32</v>
      </c>
      <c r="H14" s="7" t="s">
        <v>63</v>
      </c>
      <c r="I14" s="3" t="s">
        <v>34</v>
      </c>
    </row>
    <row r="15" customFormat="false" ht="17.15" hidden="false" customHeight="false" outlineLevel="0" collapsed="false">
      <c r="A15" s="0" t="s">
        <v>64</v>
      </c>
      <c r="B15" s="0" t="s">
        <v>65</v>
      </c>
      <c r="C15" s="3" t="s">
        <v>31</v>
      </c>
      <c r="E15" s="6" t="n">
        <v>2</v>
      </c>
      <c r="G15" s="7" t="s">
        <v>32</v>
      </c>
      <c r="H15" s="7" t="s">
        <v>66</v>
      </c>
      <c r="I15" s="3" t="s">
        <v>34</v>
      </c>
    </row>
    <row r="16" customFormat="false" ht="17.15" hidden="false" customHeight="false" outlineLevel="0" collapsed="false">
      <c r="A16" s="0" t="s">
        <v>67</v>
      </c>
      <c r="B16" s="0" t="s">
        <v>68</v>
      </c>
      <c r="C16" s="0" t="s">
        <v>43</v>
      </c>
      <c r="E16" s="6" t="n">
        <v>0.15</v>
      </c>
      <c r="G16" s="7" t="s">
        <v>32</v>
      </c>
      <c r="H16" s="7" t="s">
        <v>69</v>
      </c>
      <c r="I16" s="3" t="s">
        <v>45</v>
      </c>
    </row>
    <row r="17" customFormat="false" ht="17.15" hidden="false" customHeight="false" outlineLevel="0" collapsed="false">
      <c r="A17" s="0" t="s">
        <v>70</v>
      </c>
      <c r="B17" s="0" t="s">
        <v>71</v>
      </c>
      <c r="C17" s="3" t="s">
        <v>31</v>
      </c>
      <c r="E17" s="6" t="n">
        <v>0.5</v>
      </c>
      <c r="G17" s="7" t="s">
        <v>32</v>
      </c>
      <c r="H17" s="7" t="s">
        <v>72</v>
      </c>
      <c r="I17" s="3" t="s">
        <v>34</v>
      </c>
    </row>
    <row r="18" customFormat="false" ht="17.15" hidden="false" customHeight="false" outlineLevel="0" collapsed="false">
      <c r="A18" s="0" t="s">
        <v>73</v>
      </c>
      <c r="B18" s="0" t="s">
        <v>74</v>
      </c>
      <c r="C18" s="3" t="s">
        <v>31</v>
      </c>
      <c r="E18" s="6" t="n">
        <v>0</v>
      </c>
      <c r="G18" s="7" t="s">
        <v>32</v>
      </c>
      <c r="H18" s="7" t="s">
        <v>75</v>
      </c>
      <c r="I18" s="3" t="s">
        <v>34</v>
      </c>
    </row>
    <row r="19" customFormat="false" ht="17.15" hidden="false" customHeight="false" outlineLevel="0" collapsed="false">
      <c r="A19" s="0" t="s">
        <v>76</v>
      </c>
      <c r="B19" s="0" t="s">
        <v>77</v>
      </c>
      <c r="C19" s="3" t="s">
        <v>31</v>
      </c>
      <c r="E19" s="6" t="n">
        <v>0</v>
      </c>
      <c r="G19" s="7" t="s">
        <v>32</v>
      </c>
      <c r="H19" s="7" t="s">
        <v>78</v>
      </c>
      <c r="I19" s="3" t="s">
        <v>34</v>
      </c>
    </row>
    <row r="20" customFormat="false" ht="17.15" hidden="false" customHeight="false" outlineLevel="0" collapsed="false">
      <c r="A20" s="0" t="s">
        <v>79</v>
      </c>
      <c r="B20" s="0" t="s">
        <v>80</v>
      </c>
      <c r="C20" s="0" t="s">
        <v>43</v>
      </c>
      <c r="E20" s="6" t="n">
        <v>0</v>
      </c>
      <c r="G20" s="7" t="s">
        <v>32</v>
      </c>
      <c r="H20" s="7" t="s">
        <v>81</v>
      </c>
      <c r="I20" s="3" t="s">
        <v>45</v>
      </c>
    </row>
    <row r="21" customFormat="false" ht="17.15" hidden="false" customHeight="false" outlineLevel="0" collapsed="false">
      <c r="A21" s="0" t="s">
        <v>82</v>
      </c>
      <c r="B21" s="0" t="s">
        <v>83</v>
      </c>
      <c r="C21" s="3" t="s">
        <v>31</v>
      </c>
      <c r="E21" s="6" t="n">
        <v>0.75</v>
      </c>
      <c r="G21" s="7" t="s">
        <v>32</v>
      </c>
      <c r="H21" s="7" t="s">
        <v>84</v>
      </c>
      <c r="I21" s="3" t="s">
        <v>34</v>
      </c>
    </row>
    <row r="22" customFormat="false" ht="17.15" hidden="false" customHeight="false" outlineLevel="0" collapsed="false">
      <c r="A22" s="0" t="s">
        <v>85</v>
      </c>
      <c r="B22" s="0" t="s">
        <v>86</v>
      </c>
      <c r="C22" s="3" t="s">
        <v>31</v>
      </c>
      <c r="E22" s="6" t="n">
        <v>1.5</v>
      </c>
      <c r="G22" s="7" t="s">
        <v>32</v>
      </c>
      <c r="H22" s="7" t="s">
        <v>87</v>
      </c>
      <c r="I22" s="3" t="s">
        <v>34</v>
      </c>
    </row>
    <row r="23" customFormat="false" ht="17.15" hidden="false" customHeight="false" outlineLevel="0" collapsed="false">
      <c r="A23" s="0" t="s">
        <v>88</v>
      </c>
      <c r="B23" s="0" t="s">
        <v>89</v>
      </c>
      <c r="C23" s="3" t="s">
        <v>31</v>
      </c>
      <c r="E23" s="6" t="n">
        <v>2</v>
      </c>
      <c r="G23" s="7" t="s">
        <v>32</v>
      </c>
      <c r="H23" s="7" t="s">
        <v>90</v>
      </c>
      <c r="I23" s="3" t="s">
        <v>34</v>
      </c>
    </row>
    <row r="24" customFormat="false" ht="17.15" hidden="false" customHeight="false" outlineLevel="0" collapsed="false">
      <c r="A24" s="0" t="s">
        <v>91</v>
      </c>
      <c r="B24" s="0" t="s">
        <v>92</v>
      </c>
      <c r="C24" s="0" t="s">
        <v>43</v>
      </c>
      <c r="E24" s="6" t="n">
        <v>0.15</v>
      </c>
      <c r="G24" s="7" t="s">
        <v>32</v>
      </c>
      <c r="H24" s="7" t="s">
        <v>93</v>
      </c>
      <c r="I24" s="3" t="s">
        <v>45</v>
      </c>
    </row>
    <row r="25" customFormat="false" ht="17.15" hidden="false" customHeight="false" outlineLevel="0" collapsed="false">
      <c r="A25" s="0" t="s">
        <v>94</v>
      </c>
      <c r="B25" s="0" t="s">
        <v>95</v>
      </c>
      <c r="C25" s="3" t="s">
        <v>31</v>
      </c>
      <c r="E25" s="6" t="n">
        <v>3.85</v>
      </c>
      <c r="G25" s="7" t="s">
        <v>32</v>
      </c>
      <c r="H25" s="7" t="s">
        <v>96</v>
      </c>
      <c r="I25" s="3" t="s">
        <v>34</v>
      </c>
    </row>
    <row r="26" customFormat="false" ht="17.15" hidden="false" customHeight="false" outlineLevel="0" collapsed="false">
      <c r="A26" s="0" t="s">
        <v>97</v>
      </c>
      <c r="B26" s="0" t="s">
        <v>98</v>
      </c>
      <c r="C26" s="3" t="s">
        <v>31</v>
      </c>
      <c r="E26" s="6" t="n">
        <v>5.5</v>
      </c>
      <c r="G26" s="7" t="s">
        <v>32</v>
      </c>
      <c r="H26" s="7" t="s">
        <v>99</v>
      </c>
      <c r="I26" s="3" t="s">
        <v>34</v>
      </c>
    </row>
    <row r="27" customFormat="false" ht="17.15" hidden="false" customHeight="false" outlineLevel="0" collapsed="false">
      <c r="A27" s="0" t="s">
        <v>100</v>
      </c>
      <c r="B27" s="0" t="s">
        <v>101</v>
      </c>
      <c r="C27" s="3" t="s">
        <v>31</v>
      </c>
      <c r="E27" s="6" t="n">
        <v>7</v>
      </c>
      <c r="G27" s="7" t="s">
        <v>32</v>
      </c>
      <c r="H27" s="7" t="s">
        <v>102</v>
      </c>
      <c r="I27" s="3" t="s">
        <v>34</v>
      </c>
    </row>
    <row r="28" customFormat="false" ht="17.15" hidden="false" customHeight="false" outlineLevel="0" collapsed="false">
      <c r="A28" s="0" t="s">
        <v>103</v>
      </c>
      <c r="B28" s="0" t="s">
        <v>104</v>
      </c>
      <c r="C28" s="0" t="s">
        <v>43</v>
      </c>
      <c r="E28" s="6" t="n">
        <v>0.15</v>
      </c>
      <c r="G28" s="7" t="s">
        <v>32</v>
      </c>
      <c r="H28" s="7" t="s">
        <v>105</v>
      </c>
      <c r="I28" s="3" t="s">
        <v>45</v>
      </c>
    </row>
    <row r="29" customFormat="false" ht="17.15" hidden="false" customHeight="false" outlineLevel="0" collapsed="false">
      <c r="A29" s="0" t="s">
        <v>106</v>
      </c>
      <c r="B29" s="0" t="s">
        <v>107</v>
      </c>
      <c r="C29" s="3" t="s">
        <v>31</v>
      </c>
      <c r="E29" s="6" t="n">
        <v>2</v>
      </c>
      <c r="G29" s="7" t="s">
        <v>32</v>
      </c>
      <c r="H29" s="7" t="s">
        <v>108</v>
      </c>
      <c r="I29" s="3" t="s">
        <v>34</v>
      </c>
    </row>
    <row r="30" customFormat="false" ht="17.15" hidden="false" customHeight="false" outlineLevel="0" collapsed="false">
      <c r="A30" s="0" t="s">
        <v>109</v>
      </c>
      <c r="B30" s="0" t="s">
        <v>110</v>
      </c>
      <c r="C30" s="3" t="s">
        <v>31</v>
      </c>
      <c r="E30" s="6" t="n">
        <v>2.5</v>
      </c>
      <c r="G30" s="7" t="s">
        <v>32</v>
      </c>
      <c r="H30" s="7" t="s">
        <v>111</v>
      </c>
      <c r="I30" s="3" t="s">
        <v>34</v>
      </c>
    </row>
    <row r="31" customFormat="false" ht="17.15" hidden="false" customHeight="false" outlineLevel="0" collapsed="false">
      <c r="A31" s="0" t="s">
        <v>112</v>
      </c>
      <c r="B31" s="0" t="s">
        <v>113</v>
      </c>
      <c r="C31" s="3" t="s">
        <v>31</v>
      </c>
      <c r="E31" s="6" t="n">
        <v>3</v>
      </c>
      <c r="G31" s="7" t="s">
        <v>32</v>
      </c>
      <c r="H31" s="7" t="s">
        <v>114</v>
      </c>
      <c r="I31" s="3" t="s">
        <v>34</v>
      </c>
    </row>
    <row r="32" customFormat="false" ht="17.15" hidden="false" customHeight="false" outlineLevel="0" collapsed="false">
      <c r="A32" s="0" t="s">
        <v>115</v>
      </c>
      <c r="B32" s="0" t="s">
        <v>116</v>
      </c>
      <c r="C32" s="0" t="s">
        <v>43</v>
      </c>
      <c r="E32" s="6" t="n">
        <v>0.15</v>
      </c>
      <c r="G32" s="7" t="s">
        <v>32</v>
      </c>
      <c r="H32" s="7" t="s">
        <v>117</v>
      </c>
      <c r="I32" s="3" t="s">
        <v>45</v>
      </c>
    </row>
    <row r="33" customFormat="false" ht="17.15" hidden="false" customHeight="false" outlineLevel="0" collapsed="false">
      <c r="A33" s="0" t="s">
        <v>118</v>
      </c>
      <c r="B33" s="3" t="s">
        <v>119</v>
      </c>
      <c r="C33" s="3" t="s">
        <v>31</v>
      </c>
      <c r="E33" s="6" t="n">
        <v>1</v>
      </c>
      <c r="G33" s="7" t="s">
        <v>32</v>
      </c>
      <c r="H33" s="7" t="s">
        <v>120</v>
      </c>
      <c r="I33" s="3" t="s">
        <v>34</v>
      </c>
    </row>
    <row r="34" customFormat="false" ht="17.15" hidden="false" customHeight="false" outlineLevel="0" collapsed="false">
      <c r="A34" s="0" t="s">
        <v>121</v>
      </c>
      <c r="B34" s="3" t="s">
        <v>122</v>
      </c>
      <c r="C34" s="3" t="s">
        <v>31</v>
      </c>
      <c r="E34" s="6" t="n">
        <v>4.5</v>
      </c>
      <c r="G34" s="7" t="s">
        <v>32</v>
      </c>
      <c r="H34" s="7" t="s">
        <v>123</v>
      </c>
      <c r="I34" s="3" t="s">
        <v>34</v>
      </c>
    </row>
    <row r="35" customFormat="false" ht="17.15" hidden="false" customHeight="false" outlineLevel="0" collapsed="false">
      <c r="A35" s="0" t="s">
        <v>124</v>
      </c>
      <c r="B35" s="3" t="s">
        <v>125</v>
      </c>
      <c r="C35" s="3" t="s">
        <v>31</v>
      </c>
      <c r="E35" s="6" t="n">
        <v>5</v>
      </c>
      <c r="G35" s="7" t="s">
        <v>32</v>
      </c>
      <c r="H35" s="7" t="s">
        <v>126</v>
      </c>
      <c r="I35" s="3" t="s">
        <v>34</v>
      </c>
    </row>
    <row r="36" customFormat="false" ht="17.15" hidden="false" customHeight="false" outlineLevel="0" collapsed="false">
      <c r="A36" s="0" t="s">
        <v>127</v>
      </c>
      <c r="B36" s="3" t="s">
        <v>128</v>
      </c>
      <c r="C36" s="0" t="s">
        <v>43</v>
      </c>
      <c r="E36" s="6" t="n">
        <v>0.15</v>
      </c>
      <c r="G36" s="7" t="s">
        <v>32</v>
      </c>
      <c r="H36" s="7" t="s">
        <v>129</v>
      </c>
      <c r="I36" s="3" t="s">
        <v>45</v>
      </c>
    </row>
    <row r="37" customFormat="false" ht="17.15" hidden="false" customHeight="false" outlineLevel="0" collapsed="false">
      <c r="A37" s="0" t="s">
        <v>130</v>
      </c>
      <c r="B37" s="0" t="s">
        <v>131</v>
      </c>
      <c r="C37" s="0" t="s">
        <v>132</v>
      </c>
      <c r="E37" s="6" t="n">
        <v>781.872916666666</v>
      </c>
      <c r="G37" s="7" t="s">
        <v>32</v>
      </c>
      <c r="H37" s="7" t="s">
        <v>133</v>
      </c>
      <c r="I37" s="7" t="s">
        <v>134</v>
      </c>
    </row>
    <row r="38" customFormat="false" ht="17.15" hidden="false" customHeight="false" outlineLevel="0" collapsed="false">
      <c r="A38" s="0" t="s">
        <v>135</v>
      </c>
      <c r="B38" s="0" t="s">
        <v>136</v>
      </c>
      <c r="C38" s="0" t="s">
        <v>132</v>
      </c>
      <c r="E38" s="6" t="n">
        <v>1565.35</v>
      </c>
      <c r="G38" s="7" t="s">
        <v>32</v>
      </c>
      <c r="H38" s="7" t="s">
        <v>133</v>
      </c>
      <c r="I38" s="3" t="s">
        <v>45</v>
      </c>
    </row>
    <row r="39" customFormat="false" ht="17.15" hidden="false" customHeight="false" outlineLevel="0" collapsed="false">
      <c r="A39" s="0" t="s">
        <v>137</v>
      </c>
      <c r="B39" s="0" t="s">
        <v>138</v>
      </c>
      <c r="C39" s="0" t="s">
        <v>132</v>
      </c>
      <c r="E39" s="6" t="n">
        <v>1984.26388888889</v>
      </c>
      <c r="G39" s="7" t="s">
        <v>32</v>
      </c>
      <c r="H39" s="7" t="s">
        <v>133</v>
      </c>
      <c r="I39" s="3" t="s">
        <v>45</v>
      </c>
    </row>
    <row r="40" customFormat="false" ht="17.15" hidden="false" customHeight="false" outlineLevel="0" collapsed="false">
      <c r="A40" s="0" t="s">
        <v>139</v>
      </c>
      <c r="B40" s="0" t="s">
        <v>140</v>
      </c>
      <c r="C40" s="0" t="s">
        <v>132</v>
      </c>
      <c r="E40" s="6" t="n">
        <v>2260.39027777778</v>
      </c>
      <c r="G40" s="7" t="s">
        <v>32</v>
      </c>
      <c r="H40" s="7" t="s">
        <v>133</v>
      </c>
      <c r="I40" s="3" t="s">
        <v>45</v>
      </c>
    </row>
    <row r="41" customFormat="false" ht="17.15" hidden="false" customHeight="false" outlineLevel="0" collapsed="false">
      <c r="A41" s="0" t="s">
        <v>141</v>
      </c>
      <c r="B41" s="3" t="s">
        <v>142</v>
      </c>
      <c r="C41" s="0" t="s">
        <v>132</v>
      </c>
      <c r="E41" s="6" t="n">
        <v>50.348</v>
      </c>
      <c r="G41" s="7" t="s">
        <v>32</v>
      </c>
      <c r="H41" s="7" t="s">
        <v>143</v>
      </c>
      <c r="I41" s="3" t="s">
        <v>144</v>
      </c>
    </row>
    <row r="42" customFormat="false" ht="17.15" hidden="false" customHeight="false" outlineLevel="0" collapsed="false">
      <c r="A42" s="0" t="s">
        <v>145</v>
      </c>
      <c r="B42" s="3" t="s">
        <v>146</v>
      </c>
      <c r="C42" s="0" t="s">
        <v>132</v>
      </c>
      <c r="E42" s="6" t="n">
        <v>98.5007</v>
      </c>
      <c r="G42" s="7" t="s">
        <v>32</v>
      </c>
      <c r="H42" s="7" t="s">
        <v>143</v>
      </c>
      <c r="I42" s="3" t="s">
        <v>45</v>
      </c>
    </row>
    <row r="43" customFormat="false" ht="17.15" hidden="false" customHeight="false" outlineLevel="0" collapsed="false">
      <c r="A43" s="0" t="s">
        <v>147</v>
      </c>
      <c r="B43" s="3" t="s">
        <v>148</v>
      </c>
      <c r="C43" s="0" t="s">
        <v>132</v>
      </c>
      <c r="E43" s="6" t="n">
        <v>113.9885</v>
      </c>
      <c r="G43" s="7" t="s">
        <v>32</v>
      </c>
      <c r="H43" s="7" t="s">
        <v>143</v>
      </c>
      <c r="I43" s="3" t="s">
        <v>45</v>
      </c>
    </row>
    <row r="44" customFormat="false" ht="17.15" hidden="false" customHeight="false" outlineLevel="0" collapsed="false">
      <c r="A44" s="0" t="s">
        <v>149</v>
      </c>
      <c r="B44" s="3" t="s">
        <v>150</v>
      </c>
      <c r="C44" s="0" t="s">
        <v>132</v>
      </c>
      <c r="E44" s="6" t="n">
        <v>129.72795</v>
      </c>
      <c r="G44" s="7" t="s">
        <v>32</v>
      </c>
      <c r="H44" s="7" t="s">
        <v>143</v>
      </c>
      <c r="I44" s="3" t="s">
        <v>45</v>
      </c>
    </row>
    <row r="45" customFormat="false" ht="17.15" hidden="false" customHeight="false" outlineLevel="0" collapsed="false">
      <c r="A45" s="0" t="s">
        <v>151</v>
      </c>
      <c r="B45" s="3" t="s">
        <v>152</v>
      </c>
      <c r="C45" s="0" t="s">
        <v>153</v>
      </c>
      <c r="E45" s="6" t="n">
        <v>1</v>
      </c>
      <c r="G45" s="7" t="s">
        <v>154</v>
      </c>
      <c r="H45" s="7" t="s">
        <v>155</v>
      </c>
      <c r="I45" s="7" t="s">
        <v>156</v>
      </c>
    </row>
    <row r="46" customFormat="false" ht="17.15" hidden="false" customHeight="false" outlineLevel="0" collapsed="false">
      <c r="A46" s="0" t="s">
        <v>157</v>
      </c>
      <c r="B46" s="3" t="s">
        <v>158</v>
      </c>
      <c r="C46" s="0" t="s">
        <v>153</v>
      </c>
      <c r="E46" s="6" t="n">
        <v>1</v>
      </c>
      <c r="G46" s="7" t="s">
        <v>154</v>
      </c>
      <c r="H46" s="7" t="s">
        <v>159</v>
      </c>
      <c r="I46" s="3" t="s">
        <v>45</v>
      </c>
    </row>
    <row r="47" customFormat="false" ht="17.15" hidden="false" customHeight="false" outlineLevel="0" collapsed="false">
      <c r="A47" s="0" t="s">
        <v>160</v>
      </c>
      <c r="B47" s="3" t="s">
        <v>161</v>
      </c>
      <c r="C47" s="0" t="s">
        <v>153</v>
      </c>
      <c r="E47" s="6" t="n">
        <v>0.8</v>
      </c>
      <c r="G47" s="7" t="s">
        <v>154</v>
      </c>
      <c r="H47" s="7" t="s">
        <v>162</v>
      </c>
      <c r="I47" s="3" t="s">
        <v>45</v>
      </c>
    </row>
    <row r="48" customFormat="false" ht="17.15" hidden="false" customHeight="false" outlineLevel="0" collapsed="false">
      <c r="A48" s="0" t="s">
        <v>163</v>
      </c>
      <c r="B48" s="3" t="s">
        <v>164</v>
      </c>
      <c r="C48" s="0" t="s">
        <v>153</v>
      </c>
      <c r="E48" s="6" t="n">
        <v>0.85</v>
      </c>
      <c r="G48" s="7" t="s">
        <v>154</v>
      </c>
      <c r="H48" s="7" t="s">
        <v>165</v>
      </c>
      <c r="I48" s="3" t="s">
        <v>45</v>
      </c>
    </row>
    <row r="49" customFormat="false" ht="17.15" hidden="false" customHeight="false" outlineLevel="0" collapsed="false">
      <c r="A49" s="0" t="s">
        <v>166</v>
      </c>
      <c r="B49" s="3" t="s">
        <v>167</v>
      </c>
      <c r="C49" s="0" t="s">
        <v>153</v>
      </c>
      <c r="E49" s="6" t="n">
        <v>0.6</v>
      </c>
      <c r="G49" s="7" t="s">
        <v>154</v>
      </c>
      <c r="H49" s="7" t="s">
        <v>168</v>
      </c>
      <c r="I49" s="3" t="s">
        <v>45</v>
      </c>
    </row>
    <row r="50" customFormat="false" ht="17.15" hidden="false" customHeight="false" outlineLevel="0" collapsed="false">
      <c r="A50" s="0" t="s">
        <v>169</v>
      </c>
      <c r="B50" s="3" t="s">
        <v>170</v>
      </c>
      <c r="C50" s="0" t="s">
        <v>153</v>
      </c>
      <c r="E50" s="6" t="n">
        <v>0.6</v>
      </c>
      <c r="G50" s="7" t="s">
        <v>154</v>
      </c>
      <c r="H50" s="7" t="s">
        <v>171</v>
      </c>
      <c r="I50" s="3" t="s">
        <v>45</v>
      </c>
    </row>
    <row r="51" customFormat="false" ht="17.15" hidden="false" customHeight="false" outlineLevel="0" collapsed="false">
      <c r="A51" s="5" t="s">
        <v>172</v>
      </c>
    </row>
    <row r="52" customFormat="false" ht="17.15" hidden="false" customHeight="false" outlineLevel="0" collapsed="false">
      <c r="A52" s="0" t="s">
        <v>173</v>
      </c>
      <c r="B52" s="0" t="s">
        <v>174</v>
      </c>
      <c r="C52" s="0" t="s">
        <v>175</v>
      </c>
      <c r="E52" s="6" t="n">
        <v>215.308596</v>
      </c>
      <c r="G52" s="7" t="s">
        <v>32</v>
      </c>
      <c r="H52" s="7" t="s">
        <v>176</v>
      </c>
      <c r="I52" s="7" t="s">
        <v>177</v>
      </c>
    </row>
    <row r="53" customFormat="false" ht="17.15" hidden="false" customHeight="false" outlineLevel="0" collapsed="false">
      <c r="A53" s="0" t="s">
        <v>178</v>
      </c>
      <c r="B53" s="3" t="s">
        <v>179</v>
      </c>
      <c r="C53" s="0" t="s">
        <v>43</v>
      </c>
      <c r="D53" s="6" t="n">
        <v>0.1</v>
      </c>
      <c r="E53" s="6" t="n">
        <v>0.18</v>
      </c>
      <c r="F53" s="6" t="n">
        <v>0.22</v>
      </c>
      <c r="G53" s="7" t="s">
        <v>180</v>
      </c>
      <c r="H53" s="7" t="s">
        <v>181</v>
      </c>
      <c r="I53" s="7" t="s">
        <v>182</v>
      </c>
    </row>
    <row r="54" customFormat="false" ht="17.15" hidden="false" customHeight="false" outlineLevel="0" collapsed="false">
      <c r="A54" s="0" t="s">
        <v>183</v>
      </c>
      <c r="B54" s="0" t="s">
        <v>184</v>
      </c>
      <c r="C54" s="0" t="s">
        <v>153</v>
      </c>
      <c r="D54" s="6" t="n">
        <v>0.95</v>
      </c>
      <c r="E54" s="6" t="n">
        <v>1</v>
      </c>
      <c r="F54" s="6" t="n">
        <v>1.05</v>
      </c>
      <c r="G54" s="7" t="s">
        <v>154</v>
      </c>
      <c r="H54" s="7" t="s">
        <v>185</v>
      </c>
      <c r="I54" s="3" t="s">
        <v>186</v>
      </c>
    </row>
    <row r="55" customFormat="false" ht="17.15" hidden="false" customHeight="false" outlineLevel="0" collapsed="false">
      <c r="A55" s="0" t="s">
        <v>187</v>
      </c>
      <c r="B55" s="0" t="s">
        <v>188</v>
      </c>
      <c r="C55" s="0" t="s">
        <v>153</v>
      </c>
      <c r="E55" s="6" t="n">
        <v>0.95</v>
      </c>
      <c r="G55" s="7" t="s">
        <v>154</v>
      </c>
      <c r="H55" s="7" t="s">
        <v>189</v>
      </c>
      <c r="I55" s="7" t="s">
        <v>190</v>
      </c>
    </row>
    <row r="56" customFormat="false" ht="17.15" hidden="false" customHeight="false" outlineLevel="0" collapsed="false">
      <c r="A56" s="0" t="s">
        <v>191</v>
      </c>
      <c r="B56" s="0" t="s">
        <v>192</v>
      </c>
      <c r="C56" s="0" t="s">
        <v>153</v>
      </c>
      <c r="D56" s="6" t="n">
        <v>0.85</v>
      </c>
      <c r="E56" s="6" t="n">
        <v>0.95</v>
      </c>
      <c r="F56" s="6" t="n">
        <v>1.05</v>
      </c>
      <c r="G56" s="7" t="s">
        <v>154</v>
      </c>
      <c r="H56" s="7" t="s">
        <v>193</v>
      </c>
      <c r="I56" s="3" t="s">
        <v>45</v>
      </c>
    </row>
    <row r="57" customFormat="false" ht="17.15" hidden="false" customHeight="false" outlineLevel="0" collapsed="false">
      <c r="A57" s="0" t="s">
        <v>194</v>
      </c>
      <c r="B57" s="0" t="s">
        <v>195</v>
      </c>
      <c r="C57" s="0" t="s">
        <v>153</v>
      </c>
      <c r="E57" s="6" t="n">
        <v>0.88</v>
      </c>
      <c r="G57" s="7" t="s">
        <v>154</v>
      </c>
      <c r="H57" s="7" t="s">
        <v>196</v>
      </c>
      <c r="I57" s="7" t="s">
        <v>190</v>
      </c>
    </row>
    <row r="58" customFormat="false" ht="17.15" hidden="false" customHeight="false" outlineLevel="0" collapsed="false">
      <c r="A58" s="0" t="s">
        <v>197</v>
      </c>
      <c r="B58" s="0" t="s">
        <v>198</v>
      </c>
      <c r="C58" s="0" t="s">
        <v>153</v>
      </c>
      <c r="D58" s="6" t="n">
        <v>0.75</v>
      </c>
      <c r="E58" s="6" t="n">
        <v>0.9</v>
      </c>
      <c r="F58" s="6" t="n">
        <v>1</v>
      </c>
      <c r="G58" s="7" t="s">
        <v>154</v>
      </c>
      <c r="H58" s="7" t="s">
        <v>199</v>
      </c>
      <c r="I58" s="3" t="s">
        <v>45</v>
      </c>
    </row>
    <row r="59" customFormat="false" ht="17.15" hidden="false" customHeight="false" outlineLevel="0" collapsed="false">
      <c r="A59" s="0" t="s">
        <v>200</v>
      </c>
      <c r="B59" s="0" t="s">
        <v>201</v>
      </c>
      <c r="C59" s="0" t="s">
        <v>153</v>
      </c>
      <c r="E59" s="6" t="n">
        <v>0.85</v>
      </c>
      <c r="G59" s="7" t="s">
        <v>154</v>
      </c>
      <c r="H59" s="7" t="s">
        <v>202</v>
      </c>
      <c r="I59" s="7" t="s">
        <v>190</v>
      </c>
    </row>
    <row r="60" customFormat="false" ht="17.15" hidden="false" customHeight="false" outlineLevel="0" collapsed="false">
      <c r="A60" s="0" t="s">
        <v>203</v>
      </c>
      <c r="B60" s="0" t="s">
        <v>204</v>
      </c>
      <c r="C60" s="0" t="s">
        <v>43</v>
      </c>
      <c r="D60" s="6" t="n">
        <v>0.7</v>
      </c>
      <c r="E60" s="6" t="n">
        <v>0.7</v>
      </c>
      <c r="F60" s="6" t="n">
        <v>0.8</v>
      </c>
      <c r="G60" s="7" t="s">
        <v>205</v>
      </c>
      <c r="H60" s="7" t="s">
        <v>206</v>
      </c>
      <c r="I60" s="7" t="s">
        <v>207</v>
      </c>
    </row>
    <row r="61" customFormat="false" ht="17.15" hidden="false" customHeight="false" outlineLevel="0" collapsed="false">
      <c r="A61" s="0" t="s">
        <v>208</v>
      </c>
      <c r="B61" s="0" t="s">
        <v>209</v>
      </c>
      <c r="C61" s="0" t="s">
        <v>153</v>
      </c>
      <c r="D61" s="6" t="n">
        <v>0.2</v>
      </c>
      <c r="E61" s="6" t="n">
        <v>0.4</v>
      </c>
      <c r="F61" s="6" t="n">
        <v>0.6</v>
      </c>
      <c r="G61" s="7" t="s">
        <v>154</v>
      </c>
      <c r="H61" s="7" t="s">
        <v>210</v>
      </c>
      <c r="I61" s="7" t="s">
        <v>211</v>
      </c>
    </row>
    <row r="62" customFormat="false" ht="17.15" hidden="false" customHeight="false" outlineLevel="0" collapsed="false">
      <c r="A62" s="0" t="s">
        <v>212</v>
      </c>
      <c r="B62" s="3" t="s">
        <v>213</v>
      </c>
      <c r="C62" s="0" t="s">
        <v>153</v>
      </c>
      <c r="D62" s="6" t="n">
        <v>0.6</v>
      </c>
      <c r="E62" s="6" t="n">
        <v>0.8</v>
      </c>
      <c r="F62" s="6" t="n">
        <v>1</v>
      </c>
      <c r="G62" s="7" t="s">
        <v>154</v>
      </c>
      <c r="H62" s="7" t="s">
        <v>214</v>
      </c>
      <c r="I62" s="3" t="s">
        <v>215</v>
      </c>
    </row>
    <row r="63" customFormat="false" ht="17.15" hidden="false" customHeight="false" outlineLevel="0" collapsed="false">
      <c r="A63" s="0" t="s">
        <v>216</v>
      </c>
      <c r="B63" s="3" t="s">
        <v>217</v>
      </c>
      <c r="C63" s="0" t="s">
        <v>43</v>
      </c>
      <c r="E63" s="6" t="n">
        <v>0.25</v>
      </c>
      <c r="G63" s="7" t="s">
        <v>154</v>
      </c>
      <c r="H63" s="7" t="s">
        <v>218</v>
      </c>
      <c r="I63" s="7" t="s">
        <v>190</v>
      </c>
    </row>
    <row r="64" customFormat="false" ht="17.15" hidden="false" customHeight="false" outlineLevel="0" collapsed="false">
      <c r="A64" s="0" t="s">
        <v>219</v>
      </c>
      <c r="B64" s="3" t="s">
        <v>220</v>
      </c>
      <c r="C64" s="0" t="s">
        <v>43</v>
      </c>
      <c r="E64" s="6" t="n">
        <v>0.3</v>
      </c>
      <c r="G64" s="7" t="s">
        <v>154</v>
      </c>
      <c r="H64" s="7" t="s">
        <v>221</v>
      </c>
      <c r="I64" s="3" t="s">
        <v>45</v>
      </c>
    </row>
    <row r="65" customFormat="false" ht="17.15" hidden="false" customHeight="false" outlineLevel="0" collapsed="false">
      <c r="A65" s="0" t="s">
        <v>222</v>
      </c>
      <c r="B65" s="3" t="s">
        <v>223</v>
      </c>
      <c r="C65" s="0" t="s">
        <v>43</v>
      </c>
      <c r="E65" s="6" t="n">
        <v>0.02</v>
      </c>
      <c r="G65" s="7" t="s">
        <v>154</v>
      </c>
      <c r="H65" s="7" t="s">
        <v>224</v>
      </c>
      <c r="I65" s="3" t="s">
        <v>45</v>
      </c>
    </row>
    <row r="66" customFormat="false" ht="17.15" hidden="false" customHeight="false" outlineLevel="0" collapsed="false">
      <c r="A66" s="0" t="s">
        <v>225</v>
      </c>
      <c r="B66" s="3" t="s">
        <v>226</v>
      </c>
      <c r="C66" s="0" t="s">
        <v>43</v>
      </c>
      <c r="E66" s="6" t="n">
        <v>0.05</v>
      </c>
      <c r="G66" s="7" t="s">
        <v>154</v>
      </c>
      <c r="H66" s="7" t="s">
        <v>227</v>
      </c>
      <c r="I66" s="3" t="s">
        <v>45</v>
      </c>
    </row>
    <row r="67" customFormat="false" ht="17.15" hidden="false" customHeight="false" outlineLevel="0" collapsed="false">
      <c r="A67" s="0" t="s">
        <v>228</v>
      </c>
      <c r="B67" s="3" t="s">
        <v>229</v>
      </c>
      <c r="C67" s="0" t="s">
        <v>43</v>
      </c>
      <c r="E67" s="6" t="n">
        <v>0.27</v>
      </c>
      <c r="G67" s="7" t="s">
        <v>154</v>
      </c>
      <c r="H67" s="7" t="s">
        <v>230</v>
      </c>
      <c r="I67" s="7" t="s">
        <v>190</v>
      </c>
    </row>
    <row r="68" customFormat="false" ht="17.15" hidden="false" customHeight="false" outlineLevel="0" collapsed="false">
      <c r="A68" s="0" t="s">
        <v>231</v>
      </c>
      <c r="B68" s="3" t="s">
        <v>232</v>
      </c>
      <c r="C68" s="0" t="s">
        <v>43</v>
      </c>
      <c r="E68" s="6" t="n">
        <v>0.31</v>
      </c>
      <c r="G68" s="7" t="s">
        <v>154</v>
      </c>
      <c r="H68" s="7" t="s">
        <v>233</v>
      </c>
      <c r="I68" s="3" t="s">
        <v>45</v>
      </c>
    </row>
    <row r="69" customFormat="false" ht="17.15" hidden="false" customHeight="false" outlineLevel="0" collapsed="false">
      <c r="A69" s="0" t="s">
        <v>234</v>
      </c>
      <c r="B69" s="3" t="s">
        <v>235</v>
      </c>
      <c r="C69" s="0" t="s">
        <v>43</v>
      </c>
      <c r="E69" s="6" t="n">
        <v>0.03</v>
      </c>
      <c r="G69" s="7" t="s">
        <v>154</v>
      </c>
      <c r="H69" s="7" t="s">
        <v>236</v>
      </c>
      <c r="I69" s="3" t="s">
        <v>45</v>
      </c>
    </row>
    <row r="70" customFormat="false" ht="17.15" hidden="false" customHeight="false" outlineLevel="0" collapsed="false">
      <c r="A70" s="0" t="s">
        <v>237</v>
      </c>
      <c r="B70" s="3" t="s">
        <v>238</v>
      </c>
      <c r="C70" s="0" t="s">
        <v>43</v>
      </c>
      <c r="E70" s="6" t="n">
        <v>0.06</v>
      </c>
      <c r="G70" s="7" t="s">
        <v>154</v>
      </c>
      <c r="H70" s="7" t="s">
        <v>239</v>
      </c>
      <c r="I70" s="3" t="s">
        <v>45</v>
      </c>
    </row>
    <row r="71" customFormat="false" ht="17.15" hidden="false" customHeight="false" outlineLevel="0" collapsed="false">
      <c r="A71" s="0" t="s">
        <v>240</v>
      </c>
      <c r="B71" s="3" t="s">
        <v>241</v>
      </c>
      <c r="C71" s="0" t="s">
        <v>43</v>
      </c>
      <c r="E71" s="6" t="n">
        <v>0.29</v>
      </c>
      <c r="G71" s="7" t="s">
        <v>154</v>
      </c>
      <c r="H71" s="7" t="s">
        <v>242</v>
      </c>
      <c r="I71" s="7" t="s">
        <v>190</v>
      </c>
    </row>
    <row r="72" customFormat="false" ht="17.15" hidden="false" customHeight="false" outlineLevel="0" collapsed="false">
      <c r="A72" s="0" t="s">
        <v>243</v>
      </c>
      <c r="B72" s="3" t="s">
        <v>244</v>
      </c>
      <c r="C72" s="0" t="s">
        <v>43</v>
      </c>
      <c r="E72" s="6" t="n">
        <v>0.32</v>
      </c>
      <c r="G72" s="7" t="s">
        <v>154</v>
      </c>
      <c r="H72" s="7" t="s">
        <v>245</v>
      </c>
      <c r="I72" s="3" t="s">
        <v>45</v>
      </c>
    </row>
    <row r="73" customFormat="false" ht="17.15" hidden="false" customHeight="false" outlineLevel="0" collapsed="false">
      <c r="A73" s="0" t="s">
        <v>246</v>
      </c>
      <c r="B73" s="3" t="s">
        <v>247</v>
      </c>
      <c r="C73" s="0" t="s">
        <v>43</v>
      </c>
      <c r="E73" s="6" t="n">
        <v>0.04</v>
      </c>
      <c r="G73" s="7" t="s">
        <v>154</v>
      </c>
      <c r="H73" s="7" t="s">
        <v>248</v>
      </c>
      <c r="I73" s="3" t="s">
        <v>45</v>
      </c>
    </row>
    <row r="74" customFormat="false" ht="17.15" hidden="false" customHeight="false" outlineLevel="0" collapsed="false">
      <c r="A74" s="0" t="s">
        <v>249</v>
      </c>
      <c r="B74" s="3" t="s">
        <v>250</v>
      </c>
      <c r="C74" s="0" t="s">
        <v>43</v>
      </c>
      <c r="E74" s="6" t="n">
        <v>0.07</v>
      </c>
      <c r="G74" s="7" t="s">
        <v>154</v>
      </c>
      <c r="H74" s="7" t="s">
        <v>251</v>
      </c>
      <c r="I74" s="3" t="s">
        <v>45</v>
      </c>
    </row>
    <row r="75" customFormat="false" ht="17.15" hidden="false" customHeight="false" outlineLevel="0" collapsed="false">
      <c r="A75" s="0" t="s">
        <v>252</v>
      </c>
      <c r="B75" s="3" t="s">
        <v>253</v>
      </c>
      <c r="C75" s="0" t="s">
        <v>43</v>
      </c>
      <c r="E75" s="6" t="n">
        <v>0.3</v>
      </c>
      <c r="G75" s="7" t="s">
        <v>154</v>
      </c>
      <c r="H75" s="7" t="s">
        <v>254</v>
      </c>
      <c r="I75" s="7" t="s">
        <v>190</v>
      </c>
    </row>
    <row r="76" customFormat="false" ht="17.15" hidden="false" customHeight="false" outlineLevel="0" collapsed="false">
      <c r="A76" s="0" t="s">
        <v>255</v>
      </c>
      <c r="B76" s="3" t="s">
        <v>256</v>
      </c>
      <c r="C76" s="0" t="s">
        <v>43</v>
      </c>
      <c r="E76" s="6" t="n">
        <v>0.33</v>
      </c>
      <c r="G76" s="7" t="s">
        <v>154</v>
      </c>
      <c r="H76" s="7" t="s">
        <v>257</v>
      </c>
      <c r="I76" s="3" t="s">
        <v>45</v>
      </c>
    </row>
    <row r="77" customFormat="false" ht="17.15" hidden="false" customHeight="false" outlineLevel="0" collapsed="false">
      <c r="A77" s="0" t="s">
        <v>258</v>
      </c>
      <c r="B77" s="3" t="s">
        <v>259</v>
      </c>
      <c r="C77" s="0" t="s">
        <v>43</v>
      </c>
      <c r="E77" s="6" t="n">
        <v>0.04</v>
      </c>
      <c r="G77" s="7" t="s">
        <v>154</v>
      </c>
      <c r="H77" s="7" t="s">
        <v>260</v>
      </c>
      <c r="I77" s="3" t="s">
        <v>45</v>
      </c>
    </row>
    <row r="78" customFormat="false" ht="17.15" hidden="false" customHeight="false" outlineLevel="0" collapsed="false">
      <c r="A78" s="0" t="s">
        <v>261</v>
      </c>
      <c r="B78" s="3" t="s">
        <v>262</v>
      </c>
      <c r="C78" s="0" t="s">
        <v>43</v>
      </c>
      <c r="E78" s="6" t="n">
        <v>0.07</v>
      </c>
      <c r="G78" s="7" t="s">
        <v>154</v>
      </c>
      <c r="H78" s="7" t="s">
        <v>263</v>
      </c>
      <c r="I78" s="3" t="s">
        <v>45</v>
      </c>
    </row>
    <row r="79" customFormat="false" ht="17.15" hidden="false" customHeight="false" outlineLevel="0" collapsed="false">
      <c r="A79" s="0" t="s">
        <v>264</v>
      </c>
      <c r="B79" s="3" t="s">
        <v>265</v>
      </c>
      <c r="C79" s="0" t="s">
        <v>43</v>
      </c>
      <c r="D79" s="6" t="n">
        <v>0.01</v>
      </c>
      <c r="E79" s="6" t="n">
        <v>0.02</v>
      </c>
      <c r="F79" s="6" t="n">
        <v>0.05</v>
      </c>
      <c r="G79" s="7" t="s">
        <v>154</v>
      </c>
      <c r="H79" s="7" t="s">
        <v>266</v>
      </c>
      <c r="I79" s="7" t="s">
        <v>267</v>
      </c>
    </row>
    <row r="80" customFormat="false" ht="17.15" hidden="false" customHeight="false" outlineLevel="0" collapsed="false">
      <c r="A80" s="0" t="s">
        <v>268</v>
      </c>
      <c r="B80" s="3" t="s">
        <v>269</v>
      </c>
      <c r="C80" s="0" t="s">
        <v>43</v>
      </c>
      <c r="D80" s="6" t="n">
        <v>0.01</v>
      </c>
      <c r="E80" s="6" t="n">
        <v>0.03</v>
      </c>
      <c r="F80" s="6" t="n">
        <v>0.1</v>
      </c>
      <c r="G80" s="7" t="s">
        <v>154</v>
      </c>
      <c r="H80" s="3" t="s">
        <v>270</v>
      </c>
      <c r="I80" s="7" t="s">
        <v>271</v>
      </c>
    </row>
    <row r="81" customFormat="false" ht="17.15" hidden="false" customHeight="false" outlineLevel="0" collapsed="false">
      <c r="A81" s="0" t="s">
        <v>272</v>
      </c>
      <c r="B81" s="3" t="s">
        <v>273</v>
      </c>
      <c r="C81" s="0" t="s">
        <v>43</v>
      </c>
      <c r="D81" s="6" t="n">
        <v>0.02</v>
      </c>
      <c r="E81" s="6" t="n">
        <v>0.05</v>
      </c>
      <c r="F81" s="6" t="n">
        <v>0.15</v>
      </c>
      <c r="G81" s="7" t="s">
        <v>154</v>
      </c>
      <c r="H81" s="3" t="s">
        <v>270</v>
      </c>
      <c r="I81" s="7" t="s">
        <v>271</v>
      </c>
    </row>
    <row r="82" customFormat="false" ht="17.15" hidden="false" customHeight="false" outlineLevel="0" collapsed="false">
      <c r="A82" s="0" t="s">
        <v>274</v>
      </c>
      <c r="B82" s="3" t="s">
        <v>275</v>
      </c>
      <c r="C82" s="0" t="s">
        <v>43</v>
      </c>
      <c r="D82" s="6" t="n">
        <v>0.02</v>
      </c>
      <c r="E82" s="6" t="n">
        <v>0.06</v>
      </c>
      <c r="F82" s="6" t="n">
        <v>0.15</v>
      </c>
      <c r="G82" s="7" t="s">
        <v>154</v>
      </c>
      <c r="H82" s="3" t="s">
        <v>270</v>
      </c>
      <c r="I82" s="7" t="s">
        <v>271</v>
      </c>
    </row>
    <row r="83" customFormat="false" ht="17.15" hidden="false" customHeight="false" outlineLevel="0" collapsed="false">
      <c r="A83" s="0" t="s">
        <v>276</v>
      </c>
      <c r="B83" s="3" t="s">
        <v>277</v>
      </c>
      <c r="C83" s="0" t="s">
        <v>43</v>
      </c>
      <c r="D83" s="6" t="n">
        <v>0.02</v>
      </c>
      <c r="E83" s="6" t="n">
        <v>0.03</v>
      </c>
      <c r="F83" s="6" t="n">
        <v>0.05</v>
      </c>
      <c r="G83" s="7" t="s">
        <v>154</v>
      </c>
      <c r="H83" s="7" t="s">
        <v>278</v>
      </c>
      <c r="I83" s="3" t="s">
        <v>279</v>
      </c>
    </row>
    <row r="84" customFormat="false" ht="17.15" hidden="false" customHeight="false" outlineLevel="0" collapsed="false">
      <c r="A84" s="0" t="s">
        <v>280</v>
      </c>
      <c r="B84" s="3" t="s">
        <v>281</v>
      </c>
      <c r="C84" s="0" t="s">
        <v>43</v>
      </c>
      <c r="D84" s="6" t="n">
        <v>0.02</v>
      </c>
      <c r="E84" s="6" t="n">
        <v>0.05</v>
      </c>
      <c r="F84" s="6" t="n">
        <v>0.08</v>
      </c>
      <c r="G84" s="7" t="s">
        <v>154</v>
      </c>
      <c r="H84" s="3" t="s">
        <v>45</v>
      </c>
      <c r="I84" s="7" t="s">
        <v>271</v>
      </c>
    </row>
    <row r="85" customFormat="false" ht="17.15" hidden="false" customHeight="false" outlineLevel="0" collapsed="false">
      <c r="A85" s="0" t="s">
        <v>282</v>
      </c>
      <c r="B85" s="3" t="s">
        <v>283</v>
      </c>
      <c r="C85" s="0" t="s">
        <v>43</v>
      </c>
      <c r="D85" s="6" t="n">
        <v>0.03</v>
      </c>
      <c r="E85" s="6" t="n">
        <v>0.06</v>
      </c>
      <c r="F85" s="6" t="n">
        <v>0.1</v>
      </c>
      <c r="G85" s="7" t="s">
        <v>154</v>
      </c>
      <c r="H85" s="3" t="s">
        <v>45</v>
      </c>
      <c r="I85" s="7" t="s">
        <v>271</v>
      </c>
    </row>
    <row r="86" customFormat="false" ht="17.15" hidden="false" customHeight="false" outlineLevel="0" collapsed="false">
      <c r="A86" s="0" t="s">
        <v>284</v>
      </c>
      <c r="B86" s="3" t="s">
        <v>285</v>
      </c>
      <c r="C86" s="0" t="s">
        <v>43</v>
      </c>
      <c r="D86" s="6" t="n">
        <v>0.03</v>
      </c>
      <c r="E86" s="6" t="n">
        <v>0.06</v>
      </c>
      <c r="F86" s="6" t="n">
        <v>0.1</v>
      </c>
      <c r="G86" s="7" t="s">
        <v>154</v>
      </c>
      <c r="H86" s="3" t="s">
        <v>45</v>
      </c>
      <c r="I86" s="7" t="s">
        <v>271</v>
      </c>
    </row>
    <row r="87" customFormat="false" ht="17.15" hidden="false" customHeight="false" outlineLevel="0" collapsed="false">
      <c r="A87" s="0" t="s">
        <v>286</v>
      </c>
      <c r="B87" s="0" t="s">
        <v>287</v>
      </c>
      <c r="C87" s="0" t="s">
        <v>153</v>
      </c>
      <c r="D87" s="6" t="n">
        <v>0.3</v>
      </c>
      <c r="E87" s="6" t="n">
        <v>0.4</v>
      </c>
      <c r="F87" s="6" t="n">
        <v>0.5</v>
      </c>
      <c r="G87" s="7" t="s">
        <v>180</v>
      </c>
      <c r="H87" s="7" t="s">
        <v>288</v>
      </c>
      <c r="I87" s="7" t="s">
        <v>289</v>
      </c>
    </row>
    <row r="88" customFormat="false" ht="17.15" hidden="false" customHeight="false" outlineLevel="0" collapsed="false">
      <c r="A88" s="0" t="s">
        <v>290</v>
      </c>
      <c r="B88" s="3" t="s">
        <v>291</v>
      </c>
      <c r="C88" s="0" t="s">
        <v>153</v>
      </c>
      <c r="D88" s="6" t="n">
        <v>0.2</v>
      </c>
      <c r="E88" s="6" t="n">
        <v>0.3</v>
      </c>
      <c r="F88" s="6" t="n">
        <v>0.45</v>
      </c>
      <c r="G88" s="7" t="s">
        <v>154</v>
      </c>
      <c r="H88" s="7" t="s">
        <v>292</v>
      </c>
      <c r="I88" s="7" t="s">
        <v>271</v>
      </c>
    </row>
    <row r="89" customFormat="false" ht="17.15" hidden="false" customHeight="false" outlineLevel="0" collapsed="false">
      <c r="A89" s="0" t="s">
        <v>293</v>
      </c>
      <c r="B89" s="3" t="s">
        <v>294</v>
      </c>
      <c r="C89" s="0" t="s">
        <v>43</v>
      </c>
      <c r="D89" s="6" t="n">
        <v>0.25</v>
      </c>
      <c r="E89" s="6" t="n">
        <v>0.35</v>
      </c>
      <c r="F89" s="6" t="n">
        <v>0.5</v>
      </c>
      <c r="G89" s="7" t="s">
        <v>205</v>
      </c>
      <c r="H89" s="3" t="s">
        <v>295</v>
      </c>
      <c r="I89" s="3" t="s">
        <v>296</v>
      </c>
    </row>
    <row r="90" customFormat="false" ht="17.15" hidden="false" customHeight="false" outlineLevel="0" collapsed="false">
      <c r="A90" s="0" t="s">
        <v>297</v>
      </c>
      <c r="B90" s="3" t="s">
        <v>298</v>
      </c>
      <c r="C90" s="0" t="s">
        <v>43</v>
      </c>
      <c r="D90" s="6" t="n">
        <v>0.5</v>
      </c>
      <c r="E90" s="6" t="n">
        <v>0.7</v>
      </c>
      <c r="F90" s="6" t="n">
        <v>0.9</v>
      </c>
      <c r="G90" s="7" t="s">
        <v>205</v>
      </c>
      <c r="H90" s="7" t="s">
        <v>299</v>
      </c>
      <c r="I90" s="3" t="s">
        <v>300</v>
      </c>
    </row>
    <row r="91" customFormat="false" ht="17.15" hidden="false" customHeight="false" outlineLevel="0" collapsed="false">
      <c r="A91" s="0" t="s">
        <v>301</v>
      </c>
      <c r="B91" s="3" t="s">
        <v>302</v>
      </c>
      <c r="C91" s="0" t="s">
        <v>43</v>
      </c>
      <c r="D91" s="6" t="n">
        <v>0.5</v>
      </c>
      <c r="E91" s="6" t="n">
        <v>0.75</v>
      </c>
      <c r="F91" s="6" t="n">
        <v>1</v>
      </c>
      <c r="G91" s="7" t="s">
        <v>154</v>
      </c>
      <c r="H91" s="3" t="s">
        <v>303</v>
      </c>
      <c r="I91" s="7" t="s">
        <v>271</v>
      </c>
    </row>
    <row r="92" customFormat="false" ht="17.15" hidden="false" customHeight="false" outlineLevel="0" collapsed="false">
      <c r="A92" s="0" t="s">
        <v>304</v>
      </c>
      <c r="B92" s="3" t="s">
        <v>305</v>
      </c>
      <c r="C92" s="0" t="s">
        <v>43</v>
      </c>
      <c r="D92" s="6" t="n">
        <v>0.45</v>
      </c>
      <c r="E92" s="6" t="n">
        <v>0.7</v>
      </c>
      <c r="F92" s="6" t="n">
        <v>1</v>
      </c>
      <c r="G92" s="7" t="s">
        <v>154</v>
      </c>
      <c r="H92" s="3" t="s">
        <v>303</v>
      </c>
      <c r="I92" s="7" t="s">
        <v>271</v>
      </c>
    </row>
    <row r="93" customFormat="false" ht="17.15" hidden="false" customHeight="false" outlineLevel="0" collapsed="false">
      <c r="A93" s="5" t="s">
        <v>306</v>
      </c>
    </row>
    <row r="94" customFormat="false" ht="17.15" hidden="false" customHeight="false" outlineLevel="0" collapsed="false">
      <c r="A94" s="0" t="s">
        <v>307</v>
      </c>
      <c r="B94" s="0" t="s">
        <v>308</v>
      </c>
      <c r="C94" s="0" t="s">
        <v>43</v>
      </c>
      <c r="D94" s="6" t="n">
        <v>0.36</v>
      </c>
      <c r="E94" s="6" t="n">
        <v>0.42</v>
      </c>
      <c r="F94" s="6" t="n">
        <v>0.46</v>
      </c>
      <c r="G94" s="7" t="s">
        <v>205</v>
      </c>
      <c r="H94" s="7" t="s">
        <v>309</v>
      </c>
      <c r="I94" s="3" t="s">
        <v>310</v>
      </c>
    </row>
    <row r="95" customFormat="false" ht="17.15" hidden="false" customHeight="false" outlineLevel="0" collapsed="false">
      <c r="A95" s="0" t="s">
        <v>311</v>
      </c>
      <c r="B95" s="0" t="s">
        <v>312</v>
      </c>
      <c r="C95" s="0" t="s">
        <v>43</v>
      </c>
      <c r="D95" s="6" t="n">
        <v>0.18</v>
      </c>
      <c r="E95" s="6" t="n">
        <v>0.25</v>
      </c>
      <c r="F95" s="6" t="n">
        <v>0.32</v>
      </c>
      <c r="G95" s="7" t="s">
        <v>205</v>
      </c>
      <c r="H95" s="7" t="s">
        <v>313</v>
      </c>
      <c r="I95" s="7" t="s">
        <v>314</v>
      </c>
    </row>
    <row r="96" customFormat="false" ht="17.15" hidden="false" customHeight="false" outlineLevel="0" collapsed="false">
      <c r="A96" s="5" t="s">
        <v>315</v>
      </c>
    </row>
    <row r="97" customFormat="false" ht="17.15" hidden="false" customHeight="false" outlineLevel="0" collapsed="false">
      <c r="A97" s="0" t="s">
        <v>316</v>
      </c>
      <c r="B97" s="3" t="s">
        <v>317</v>
      </c>
      <c r="C97" s="0" t="s">
        <v>153</v>
      </c>
      <c r="D97" s="6" t="n">
        <v>0.3</v>
      </c>
      <c r="E97" s="6" t="n">
        <v>0.5</v>
      </c>
      <c r="F97" s="6" t="n">
        <v>0.8</v>
      </c>
      <c r="G97" s="7" t="s">
        <v>154</v>
      </c>
      <c r="H97" s="3" t="s">
        <v>318</v>
      </c>
      <c r="I97" s="3" t="s">
        <v>319</v>
      </c>
    </row>
    <row r="98" customFormat="false" ht="17.15" hidden="false" customHeight="false" outlineLevel="0" collapsed="false">
      <c r="A98" s="0" t="s">
        <v>320</v>
      </c>
      <c r="B98" s="3" t="s">
        <v>321</v>
      </c>
      <c r="C98" s="0" t="s">
        <v>43</v>
      </c>
      <c r="D98" s="6" t="n">
        <v>0.02</v>
      </c>
      <c r="E98" s="6" t="n">
        <v>0.06</v>
      </c>
      <c r="F98" s="6" t="n">
        <v>0.1</v>
      </c>
      <c r="G98" s="7" t="s">
        <v>154</v>
      </c>
      <c r="H98" s="7" t="s">
        <v>322</v>
      </c>
      <c r="I98" s="3" t="s">
        <v>323</v>
      </c>
    </row>
    <row r="99" customFormat="false" ht="17.15" hidden="false" customHeight="false" outlineLevel="0" collapsed="false">
      <c r="A99" s="0" t="s">
        <v>324</v>
      </c>
      <c r="B99" s="0" t="s">
        <v>325</v>
      </c>
      <c r="C99" s="0" t="s">
        <v>153</v>
      </c>
      <c r="D99" s="6" t="n">
        <v>1.1</v>
      </c>
      <c r="E99" s="6" t="n">
        <v>1.2</v>
      </c>
      <c r="F99" s="6" t="n">
        <v>1.25</v>
      </c>
      <c r="G99" s="7" t="s">
        <v>205</v>
      </c>
      <c r="H99" s="3" t="s">
        <v>326</v>
      </c>
      <c r="I99" s="3" t="s">
        <v>327</v>
      </c>
    </row>
    <row r="100" customFormat="false" ht="17.15" hidden="false" customHeight="false" outlineLevel="0" collapsed="false">
      <c r="A100" s="0" t="s">
        <v>328</v>
      </c>
      <c r="B100" s="0" t="s">
        <v>329</v>
      </c>
      <c r="C100" s="0" t="s">
        <v>153</v>
      </c>
      <c r="D100" s="6" t="n">
        <v>1.3</v>
      </c>
      <c r="E100" s="6" t="n">
        <v>1.5</v>
      </c>
      <c r="F100" s="6" t="n">
        <v>1.62</v>
      </c>
      <c r="G100" s="7" t="s">
        <v>154</v>
      </c>
      <c r="H100" s="3" t="s">
        <v>330</v>
      </c>
      <c r="I100" s="7" t="s">
        <v>331</v>
      </c>
    </row>
    <row r="101" customFormat="false" ht="17.15" hidden="false" customHeight="false" outlineLevel="0" collapsed="false">
      <c r="A101" s="0" t="s">
        <v>332</v>
      </c>
      <c r="B101" s="0" t="s">
        <v>333</v>
      </c>
      <c r="C101" s="0" t="s">
        <v>153</v>
      </c>
      <c r="D101" s="6" t="n">
        <v>1.55</v>
      </c>
      <c r="E101" s="6" t="n">
        <v>1.85</v>
      </c>
      <c r="F101" s="6" t="n">
        <v>2</v>
      </c>
      <c r="G101" s="7" t="s">
        <v>154</v>
      </c>
      <c r="H101" s="3" t="s">
        <v>330</v>
      </c>
      <c r="I101" s="7" t="s">
        <v>271</v>
      </c>
    </row>
    <row r="102" customFormat="false" ht="17.15" hidden="false" customHeight="false" outlineLevel="0" collapsed="false">
      <c r="A102" s="0" t="s">
        <v>334</v>
      </c>
      <c r="B102" s="3" t="s">
        <v>335</v>
      </c>
      <c r="C102" s="0" t="s">
        <v>43</v>
      </c>
      <c r="D102" s="6" t="n">
        <v>0</v>
      </c>
      <c r="E102" s="6" t="n">
        <v>0.05</v>
      </c>
      <c r="F102" s="6" t="n">
        <v>0.08</v>
      </c>
      <c r="G102" s="7" t="s">
        <v>154</v>
      </c>
      <c r="H102" s="7" t="s">
        <v>336</v>
      </c>
      <c r="I102" s="3" t="s">
        <v>337</v>
      </c>
    </row>
    <row r="103" customFormat="false" ht="17.15" hidden="false" customHeight="false" outlineLevel="0" collapsed="false">
      <c r="A103" s="0" t="s">
        <v>338</v>
      </c>
      <c r="B103" s="0" t="s">
        <v>339</v>
      </c>
      <c r="C103" s="0" t="s">
        <v>43</v>
      </c>
      <c r="D103" s="6" t="n">
        <v>0.08</v>
      </c>
      <c r="E103" s="6" t="n">
        <v>0.15</v>
      </c>
      <c r="F103" s="6" t="n">
        <v>0.22</v>
      </c>
      <c r="G103" s="7" t="s">
        <v>154</v>
      </c>
      <c r="H103" s="3" t="s">
        <v>340</v>
      </c>
      <c r="I103" s="7" t="s">
        <v>341</v>
      </c>
    </row>
    <row r="104" customFormat="false" ht="17.15" hidden="false" customHeight="false" outlineLevel="0" collapsed="false">
      <c r="A104" s="0" t="s">
        <v>342</v>
      </c>
      <c r="B104" s="0" t="s">
        <v>343</v>
      </c>
      <c r="C104" s="0" t="s">
        <v>43</v>
      </c>
      <c r="E104" s="6" t="n">
        <v>0.28</v>
      </c>
      <c r="G104" s="7" t="s">
        <v>154</v>
      </c>
      <c r="H104" s="3" t="s">
        <v>344</v>
      </c>
      <c r="I104" s="3" t="s">
        <v>345</v>
      </c>
    </row>
    <row r="105" customFormat="false" ht="17.15" hidden="false" customHeight="false" outlineLevel="0" collapsed="false">
      <c r="A105" s="0" t="s">
        <v>346</v>
      </c>
      <c r="B105" s="0" t="s">
        <v>347</v>
      </c>
      <c r="C105" s="0" t="s">
        <v>43</v>
      </c>
      <c r="E105" s="6" t="n">
        <v>0.1</v>
      </c>
      <c r="G105" s="7" t="s">
        <v>154</v>
      </c>
      <c r="H105" s="3" t="s">
        <v>45</v>
      </c>
      <c r="I105" s="7" t="s">
        <v>271</v>
      </c>
    </row>
    <row r="106" customFormat="false" ht="17.15" hidden="false" customHeight="false" outlineLevel="0" collapsed="false">
      <c r="A106" s="0" t="s">
        <v>348</v>
      </c>
      <c r="B106" s="0" t="s">
        <v>349</v>
      </c>
      <c r="C106" s="0" t="s">
        <v>43</v>
      </c>
      <c r="E106" s="6" t="n">
        <v>0.05</v>
      </c>
      <c r="G106" s="7" t="s">
        <v>154</v>
      </c>
      <c r="H106" s="3" t="s">
        <v>45</v>
      </c>
      <c r="I106" s="7" t="s">
        <v>271</v>
      </c>
    </row>
    <row r="107" customFormat="false" ht="17.15" hidden="false" customHeight="false" outlineLevel="0" collapsed="false">
      <c r="A107" s="0" t="s">
        <v>350</v>
      </c>
      <c r="B107" s="0" t="s">
        <v>351</v>
      </c>
      <c r="C107" s="0" t="s">
        <v>43</v>
      </c>
      <c r="E107" s="6" t="n">
        <v>0.2</v>
      </c>
      <c r="G107" s="7" t="s">
        <v>154</v>
      </c>
      <c r="H107" s="3" t="s">
        <v>45</v>
      </c>
      <c r="I107" s="7" t="s">
        <v>271</v>
      </c>
    </row>
    <row r="108" customFormat="false" ht="17.15" hidden="false" customHeight="false" outlineLevel="0" collapsed="false">
      <c r="A108" s="0" t="s">
        <v>352</v>
      </c>
      <c r="B108" s="0" t="s">
        <v>353</v>
      </c>
      <c r="C108" s="0" t="s">
        <v>43</v>
      </c>
      <c r="E108" s="6" t="n">
        <v>0.05</v>
      </c>
      <c r="G108" s="7" t="s">
        <v>154</v>
      </c>
      <c r="H108" s="3" t="s">
        <v>45</v>
      </c>
      <c r="I108" s="7" t="s">
        <v>271</v>
      </c>
    </row>
    <row r="109" customFormat="false" ht="17.15" hidden="false" customHeight="false" outlineLevel="0" collapsed="false">
      <c r="A109" s="0" t="s">
        <v>354</v>
      </c>
      <c r="B109" s="0" t="s">
        <v>355</v>
      </c>
      <c r="C109" s="0" t="s">
        <v>43</v>
      </c>
      <c r="E109" s="6" t="n">
        <v>0.03</v>
      </c>
      <c r="G109" s="7" t="s">
        <v>154</v>
      </c>
      <c r="H109" s="3" t="s">
        <v>45</v>
      </c>
      <c r="I109" s="7" t="s">
        <v>271</v>
      </c>
    </row>
    <row r="110" customFormat="false" ht="17.15" hidden="false" customHeight="false" outlineLevel="0" collapsed="false">
      <c r="A110" s="0" t="s">
        <v>356</v>
      </c>
      <c r="B110" s="0" t="s">
        <v>357</v>
      </c>
      <c r="C110" s="0" t="s">
        <v>43</v>
      </c>
      <c r="E110" s="6" t="n">
        <v>0.12</v>
      </c>
      <c r="G110" s="7" t="s">
        <v>154</v>
      </c>
      <c r="H110" s="3" t="s">
        <v>45</v>
      </c>
      <c r="I110" s="7" t="s">
        <v>271</v>
      </c>
    </row>
    <row r="111" customFormat="false" ht="17.15" hidden="false" customHeight="false" outlineLevel="0" collapsed="false">
      <c r="A111" s="0" t="s">
        <v>358</v>
      </c>
      <c r="B111" s="0" t="s">
        <v>359</v>
      </c>
      <c r="C111" s="0" t="s">
        <v>43</v>
      </c>
      <c r="E111" s="6" t="n">
        <v>0</v>
      </c>
      <c r="G111" s="7" t="s">
        <v>154</v>
      </c>
      <c r="H111" s="3" t="s">
        <v>45</v>
      </c>
      <c r="I111" s="7" t="s">
        <v>271</v>
      </c>
    </row>
    <row r="112" customFormat="false" ht="17.15" hidden="false" customHeight="false" outlineLevel="0" collapsed="false">
      <c r="A112" s="0" t="s">
        <v>360</v>
      </c>
      <c r="B112" s="0" t="s">
        <v>361</v>
      </c>
      <c r="C112" s="0" t="s">
        <v>43</v>
      </c>
      <c r="E112" s="6" t="n">
        <v>-0.03</v>
      </c>
      <c r="G112" s="7" t="s">
        <v>154</v>
      </c>
      <c r="H112" s="3" t="s">
        <v>45</v>
      </c>
      <c r="I112" s="7" t="s">
        <v>271</v>
      </c>
    </row>
    <row r="113" customFormat="false" ht="17.15" hidden="false" customHeight="false" outlineLevel="0" collapsed="false">
      <c r="A113" s="0" t="s">
        <v>362</v>
      </c>
      <c r="B113" s="3" t="s">
        <v>363</v>
      </c>
      <c r="C113" s="0" t="s">
        <v>43</v>
      </c>
      <c r="D113" s="6" t="n">
        <v>0.03</v>
      </c>
      <c r="E113" s="6" t="n">
        <v>0.1</v>
      </c>
      <c r="F113" s="6" t="n">
        <v>0.15</v>
      </c>
      <c r="G113" s="7" t="s">
        <v>32</v>
      </c>
      <c r="H113" s="7" t="s">
        <v>364</v>
      </c>
      <c r="I113" s="3" t="s">
        <v>365</v>
      </c>
    </row>
    <row r="114" customFormat="false" ht="17.15" hidden="false" customHeight="false" outlineLevel="0" collapsed="false">
      <c r="A114" s="5" t="s">
        <v>366</v>
      </c>
    </row>
    <row r="115" customFormat="false" ht="17.15" hidden="false" customHeight="false" outlineLevel="0" collapsed="false">
      <c r="A115" s="0" t="s">
        <v>367</v>
      </c>
      <c r="B115" s="0" t="s">
        <v>368</v>
      </c>
      <c r="C115" s="0" t="s">
        <v>43</v>
      </c>
      <c r="D115" s="6" t="n">
        <v>0.4</v>
      </c>
      <c r="E115" s="6" t="n">
        <v>0.5</v>
      </c>
      <c r="F115" s="6" t="n">
        <v>0.6</v>
      </c>
      <c r="G115" s="7" t="s">
        <v>154</v>
      </c>
      <c r="H115" s="3" t="s">
        <v>337</v>
      </c>
      <c r="I115" s="7" t="s">
        <v>369</v>
      </c>
    </row>
    <row r="116" customFormat="false" ht="17.15" hidden="false" customHeight="false" outlineLevel="0" collapsed="false">
      <c r="A116" s="0" t="s">
        <v>370</v>
      </c>
      <c r="B116" s="0" t="s">
        <v>371</v>
      </c>
      <c r="C116" s="0" t="s">
        <v>43</v>
      </c>
      <c r="D116" s="6" t="n">
        <v>0.3</v>
      </c>
      <c r="E116" s="6" t="n">
        <v>0.45</v>
      </c>
      <c r="F116" s="6" t="n">
        <v>0.6</v>
      </c>
      <c r="G116" s="7" t="s">
        <v>154</v>
      </c>
      <c r="H116" s="7" t="s">
        <v>372</v>
      </c>
      <c r="I116" s="3" t="s">
        <v>373</v>
      </c>
    </row>
    <row r="117" customFormat="false" ht="15" hidden="false" customHeight="false" outlineLevel="0" collapsed="false">
      <c r="A117" s="0" t="s">
        <v>374</v>
      </c>
      <c r="B117" s="3" t="s">
        <v>375</v>
      </c>
      <c r="C117" s="0" t="s">
        <v>43</v>
      </c>
      <c r="D117" s="6" t="n">
        <v>0.35</v>
      </c>
      <c r="E117" s="6" t="n">
        <v>0.45</v>
      </c>
      <c r="F117" s="6" t="n">
        <v>0.55</v>
      </c>
      <c r="G117" s="7" t="s">
        <v>154</v>
      </c>
      <c r="H117" s="3" t="s">
        <v>376</v>
      </c>
      <c r="I117" s="7" t="s">
        <v>271</v>
      </c>
    </row>
    <row r="118" customFormat="false" ht="17.15" hidden="false" customHeight="false" outlineLevel="0" collapsed="false">
      <c r="A118" s="0" t="s">
        <v>377</v>
      </c>
      <c r="B118" s="3" t="s">
        <v>378</v>
      </c>
      <c r="C118" s="0" t="s">
        <v>379</v>
      </c>
      <c r="D118" s="6" t="n">
        <v>10</v>
      </c>
      <c r="E118" s="6" t="n">
        <v>17</v>
      </c>
      <c r="F118" s="6" t="n">
        <v>22</v>
      </c>
      <c r="G118" s="7" t="s">
        <v>154</v>
      </c>
      <c r="H118" s="3" t="s">
        <v>380</v>
      </c>
      <c r="I118" s="7" t="s">
        <v>381</v>
      </c>
    </row>
    <row r="119" customFormat="false" ht="17.15" hidden="false" customHeight="false" outlineLevel="0" collapsed="false">
      <c r="A119" s="0" t="s">
        <v>382</v>
      </c>
      <c r="B119" s="3" t="s">
        <v>383</v>
      </c>
      <c r="C119" s="0" t="s">
        <v>379</v>
      </c>
      <c r="D119" s="6" t="n">
        <v>9</v>
      </c>
      <c r="E119" s="6" t="n">
        <v>16</v>
      </c>
      <c r="F119" s="6" t="n">
        <v>22</v>
      </c>
      <c r="G119" s="7" t="s">
        <v>154</v>
      </c>
      <c r="H119" s="3" t="s">
        <v>45</v>
      </c>
      <c r="I119" s="7" t="s">
        <v>271</v>
      </c>
    </row>
    <row r="120" customFormat="false" ht="17.15" hidden="false" customHeight="false" outlineLevel="0" collapsed="false">
      <c r="A120" s="0" t="s">
        <v>384</v>
      </c>
      <c r="B120" s="3" t="s">
        <v>385</v>
      </c>
      <c r="C120" s="0" t="s">
        <v>379</v>
      </c>
      <c r="D120" s="6" t="n">
        <v>7</v>
      </c>
      <c r="E120" s="6" t="n">
        <v>12</v>
      </c>
      <c r="F120" s="6" t="n">
        <v>16</v>
      </c>
      <c r="G120" s="7" t="s">
        <v>154</v>
      </c>
      <c r="H120" s="3" t="s">
        <v>45</v>
      </c>
      <c r="I120" s="7" t="s">
        <v>271</v>
      </c>
    </row>
    <row r="121" customFormat="false" ht="17.15" hidden="false" customHeight="false" outlineLevel="0" collapsed="false">
      <c r="A121" s="0" t="s">
        <v>386</v>
      </c>
      <c r="B121" s="0" t="s">
        <v>387</v>
      </c>
      <c r="C121" s="0" t="s">
        <v>379</v>
      </c>
      <c r="D121" s="6" t="n">
        <v>8</v>
      </c>
      <c r="E121" s="6" t="n">
        <v>11</v>
      </c>
      <c r="F121" s="6" t="n">
        <v>13</v>
      </c>
      <c r="G121" s="7" t="s">
        <v>154</v>
      </c>
      <c r="H121" s="7" t="s">
        <v>388</v>
      </c>
      <c r="I121" s="7" t="s">
        <v>389</v>
      </c>
    </row>
    <row r="122" customFormat="false" ht="17.15" hidden="false" customHeight="false" outlineLevel="0" collapsed="false">
      <c r="A122" s="0" t="s">
        <v>390</v>
      </c>
      <c r="B122" s="0" t="s">
        <v>391</v>
      </c>
      <c r="C122" s="0" t="s">
        <v>379</v>
      </c>
      <c r="E122" s="0" t="n">
        <f aca="false">1.974+2.046+2*2.15</f>
        <v>8.32</v>
      </c>
      <c r="G122" s="0" t="s">
        <v>32</v>
      </c>
      <c r="H122" s="0" t="s">
        <v>392</v>
      </c>
      <c r="I122" s="3" t="s">
        <v>393</v>
      </c>
    </row>
    <row r="123" customFormat="false" ht="15" hidden="false" customHeight="false" outlineLevel="0" collapsed="false">
      <c r="A123" s="0" t="s">
        <v>394</v>
      </c>
      <c r="B123" s="3" t="s">
        <v>395</v>
      </c>
      <c r="C123" s="3" t="s">
        <v>396</v>
      </c>
      <c r="D123" s="6" t="n">
        <v>6</v>
      </c>
      <c r="E123" s="6" t="n">
        <v>8</v>
      </c>
      <c r="F123" s="6" t="n">
        <v>10</v>
      </c>
      <c r="G123" s="7" t="s">
        <v>154</v>
      </c>
      <c r="H123" s="3" t="s">
        <v>397</v>
      </c>
      <c r="I123" s="3" t="s">
        <v>398</v>
      </c>
    </row>
    <row r="124" customFormat="false" ht="17.15" hidden="false" customHeight="false" outlineLevel="0" collapsed="false">
      <c r="A124" s="0" t="s">
        <v>399</v>
      </c>
      <c r="B124" s="3" t="s">
        <v>400</v>
      </c>
      <c r="C124" s="0" t="s">
        <v>153</v>
      </c>
      <c r="D124" s="6" t="n">
        <v>0.3</v>
      </c>
      <c r="E124" s="6" t="n">
        <v>0.6</v>
      </c>
      <c r="F124" s="6" t="n">
        <v>1</v>
      </c>
      <c r="G124" s="7" t="s">
        <v>154</v>
      </c>
      <c r="H124" s="7" t="s">
        <v>401</v>
      </c>
      <c r="I124" s="7" t="s">
        <v>271</v>
      </c>
    </row>
    <row r="125" customFormat="false" ht="17.15" hidden="false" customHeight="false" outlineLevel="0" collapsed="false">
      <c r="A125" s="0" t="s">
        <v>402</v>
      </c>
      <c r="B125" s="3" t="s">
        <v>403</v>
      </c>
      <c r="C125" s="0" t="s">
        <v>379</v>
      </c>
      <c r="D125" s="6" t="n">
        <v>0</v>
      </c>
      <c r="E125" s="6" t="n">
        <v>0.4</v>
      </c>
      <c r="F125" s="6" t="n">
        <v>0.8</v>
      </c>
      <c r="G125" s="7" t="s">
        <v>154</v>
      </c>
      <c r="H125" s="7" t="s">
        <v>404</v>
      </c>
      <c r="I125" s="3" t="s">
        <v>405</v>
      </c>
    </row>
    <row r="126" customFormat="false" ht="17.15" hidden="false" customHeight="false" outlineLevel="0" collapsed="false">
      <c r="A126" s="0" t="s">
        <v>406</v>
      </c>
      <c r="B126" s="3" t="s">
        <v>407</v>
      </c>
      <c r="C126" s="0" t="s">
        <v>379</v>
      </c>
      <c r="D126" s="6" t="n">
        <v>0</v>
      </c>
      <c r="E126" s="6" t="n">
        <v>0.4</v>
      </c>
      <c r="F126" s="6" t="n">
        <v>0.8</v>
      </c>
      <c r="G126" s="7" t="s">
        <v>154</v>
      </c>
      <c r="H126" s="3" t="s">
        <v>45</v>
      </c>
      <c r="I126" s="7" t="s">
        <v>271</v>
      </c>
    </row>
    <row r="127" customFormat="false" ht="17.15" hidden="false" customHeight="false" outlineLevel="0" collapsed="false">
      <c r="A127" s="0" t="s">
        <v>408</v>
      </c>
      <c r="B127" s="3" t="s">
        <v>409</v>
      </c>
      <c r="C127" s="0" t="s">
        <v>379</v>
      </c>
      <c r="D127" s="6" t="n">
        <v>0</v>
      </c>
      <c r="E127" s="6" t="n">
        <v>0.4</v>
      </c>
      <c r="F127" s="6" t="n">
        <v>0.8</v>
      </c>
      <c r="G127" s="7" t="s">
        <v>154</v>
      </c>
      <c r="H127" s="3" t="s">
        <v>45</v>
      </c>
      <c r="I127" s="7" t="s">
        <v>271</v>
      </c>
    </row>
    <row r="128" customFormat="false" ht="17.15" hidden="false" customHeight="false" outlineLevel="0" collapsed="false">
      <c r="A128" s="0" t="s">
        <v>410</v>
      </c>
      <c r="B128" s="3" t="s">
        <v>411</v>
      </c>
      <c r="C128" s="0" t="s">
        <v>43</v>
      </c>
      <c r="D128" s="6" t="n">
        <v>0.08</v>
      </c>
      <c r="E128" s="6" t="n">
        <v>0.12</v>
      </c>
      <c r="F128" s="6" t="n">
        <v>0.2</v>
      </c>
      <c r="G128" s="7" t="s">
        <v>154</v>
      </c>
      <c r="H128" s="7" t="s">
        <v>412</v>
      </c>
      <c r="I128" s="7" t="s">
        <v>413</v>
      </c>
    </row>
    <row r="129" customFormat="false" ht="17.15" hidden="false" customHeight="false" outlineLevel="0" collapsed="false">
      <c r="A129" s="0" t="s">
        <v>414</v>
      </c>
      <c r="B129" s="3" t="s">
        <v>415</v>
      </c>
      <c r="C129" s="0" t="s">
        <v>43</v>
      </c>
      <c r="D129" s="6" t="n">
        <v>0</v>
      </c>
      <c r="E129" s="6" t="n">
        <v>0</v>
      </c>
      <c r="F129" s="6" t="n">
        <v>0.01</v>
      </c>
      <c r="G129" s="7" t="s">
        <v>154</v>
      </c>
      <c r="H129" s="3" t="s">
        <v>416</v>
      </c>
      <c r="I129" s="3" t="s">
        <v>417</v>
      </c>
    </row>
    <row r="130" customFormat="false" ht="17.15" hidden="false" customHeight="false" outlineLevel="0" collapsed="false">
      <c r="A130" s="0" t="s">
        <v>418</v>
      </c>
      <c r="B130" s="3" t="s">
        <v>419</v>
      </c>
      <c r="C130" s="0" t="s">
        <v>43</v>
      </c>
      <c r="D130" s="6" t="n">
        <v>0.21</v>
      </c>
      <c r="E130" s="6" t="n">
        <v>0.25</v>
      </c>
      <c r="F130" s="6" t="n">
        <v>0.27</v>
      </c>
      <c r="G130" s="7" t="s">
        <v>32</v>
      </c>
      <c r="H130" s="7" t="s">
        <v>420</v>
      </c>
      <c r="I130" s="7" t="s">
        <v>421</v>
      </c>
    </row>
    <row r="131" customFormat="false" ht="17.15" hidden="false" customHeight="false" outlineLevel="0" collapsed="false">
      <c r="A131" s="0" t="s">
        <v>422</v>
      </c>
      <c r="B131" s="3" t="s">
        <v>423</v>
      </c>
      <c r="C131" s="0" t="s">
        <v>43</v>
      </c>
      <c r="E131" s="0" t="n">
        <f aca="false">(0.32657+0.37289)/(0.47228+0.54425)</f>
        <v>0.688085939421365</v>
      </c>
      <c r="G131" s="0" t="s">
        <v>32</v>
      </c>
      <c r="H131" s="0" t="s">
        <v>424</v>
      </c>
      <c r="I131" s="0" t="s">
        <v>425</v>
      </c>
    </row>
    <row r="132" customFormat="false" ht="17.15" hidden="false" customHeight="false" outlineLevel="0" collapsed="false">
      <c r="A132" s="5" t="s">
        <v>426</v>
      </c>
    </row>
    <row r="133" customFormat="false" ht="17.15" hidden="false" customHeight="false" outlineLevel="0" collapsed="false">
      <c r="A133" s="0" t="s">
        <v>427</v>
      </c>
      <c r="B133" s="0" t="s">
        <v>428</v>
      </c>
      <c r="C133" s="0" t="s">
        <v>379</v>
      </c>
      <c r="E133" s="0" t="n">
        <f aca="false">38.141-11.105-12.496</f>
        <v>14.54</v>
      </c>
      <c r="G133" s="0" t="s">
        <v>429</v>
      </c>
      <c r="H133" s="0" t="s">
        <v>430</v>
      </c>
      <c r="I133" s="3" t="s">
        <v>431</v>
      </c>
    </row>
    <row r="134" customFormat="false" ht="17.15" hidden="false" customHeight="false" outlineLevel="0" collapsed="false">
      <c r="A134" s="0" t="s">
        <v>432</v>
      </c>
      <c r="B134" s="0" t="s">
        <v>433</v>
      </c>
      <c r="C134" s="0" t="s">
        <v>43</v>
      </c>
      <c r="D134" s="6" t="n">
        <v>0.278</v>
      </c>
      <c r="E134" s="6" t="n">
        <v>0.31</v>
      </c>
      <c r="F134" s="6" t="n">
        <v>0.33</v>
      </c>
      <c r="G134" s="7" t="s">
        <v>154</v>
      </c>
      <c r="H134" s="3" t="s">
        <v>434</v>
      </c>
      <c r="I134" s="3" t="s">
        <v>435</v>
      </c>
    </row>
    <row r="135" customFormat="false" ht="17.15" hidden="false" customHeight="false" outlineLevel="0" collapsed="false">
      <c r="A135" s="0" t="s">
        <v>436</v>
      </c>
      <c r="B135" s="0" t="s">
        <v>437</v>
      </c>
      <c r="C135" s="0" t="s">
        <v>379</v>
      </c>
      <c r="D135" s="6" t="n">
        <v>1.6</v>
      </c>
      <c r="E135" s="6" t="n">
        <v>1.7</v>
      </c>
      <c r="F135" s="6" t="n">
        <v>1.8</v>
      </c>
      <c r="G135" s="7" t="s">
        <v>154</v>
      </c>
      <c r="H135" s="7" t="s">
        <v>438</v>
      </c>
      <c r="I135" s="7" t="s">
        <v>271</v>
      </c>
    </row>
    <row r="136" customFormat="false" ht="17.15" hidden="false" customHeight="false" outlineLevel="0" collapsed="false">
      <c r="A136" s="0" t="s">
        <v>439</v>
      </c>
      <c r="B136" s="0" t="s">
        <v>440</v>
      </c>
      <c r="C136" s="0" t="s">
        <v>43</v>
      </c>
      <c r="D136" s="6" t="n">
        <v>0.08</v>
      </c>
      <c r="E136" s="6" t="n">
        <v>0.12</v>
      </c>
      <c r="F136" s="6" t="n">
        <v>0.19</v>
      </c>
      <c r="G136" s="7" t="s">
        <v>154</v>
      </c>
      <c r="H136" s="7" t="s">
        <v>441</v>
      </c>
      <c r="I136" s="3" t="s">
        <v>442</v>
      </c>
    </row>
    <row r="137" customFormat="false" ht="17.15" hidden="false" customHeight="false" outlineLevel="0" collapsed="false">
      <c r="A137" s="0" t="s">
        <v>443</v>
      </c>
      <c r="B137" s="0" t="s">
        <v>444</v>
      </c>
      <c r="C137" s="0" t="s">
        <v>43</v>
      </c>
      <c r="D137" s="6" t="n">
        <v>0.293</v>
      </c>
      <c r="E137" s="6" t="n">
        <v>0.32</v>
      </c>
      <c r="F137" s="6" t="n">
        <v>0.33</v>
      </c>
      <c r="G137" s="7" t="s">
        <v>154</v>
      </c>
      <c r="H137" s="3" t="s">
        <v>445</v>
      </c>
      <c r="I137" s="3" t="s">
        <v>446</v>
      </c>
    </row>
    <row r="138" customFormat="false" ht="17.15" hidden="false" customHeight="false" outlineLevel="0" collapsed="false">
      <c r="A138" s="0" t="s">
        <v>447</v>
      </c>
      <c r="B138" s="0" t="s">
        <v>448</v>
      </c>
      <c r="C138" s="0" t="s">
        <v>379</v>
      </c>
      <c r="D138" s="6" t="n">
        <v>1.7</v>
      </c>
      <c r="E138" s="6" t="n">
        <v>1.8</v>
      </c>
      <c r="F138" s="6" t="n">
        <v>1.95</v>
      </c>
      <c r="G138" s="7" t="s">
        <v>154</v>
      </c>
      <c r="H138" s="3" t="s">
        <v>45</v>
      </c>
      <c r="I138" s="7" t="s">
        <v>271</v>
      </c>
    </row>
    <row r="139" customFormat="false" ht="17.15" hidden="false" customHeight="false" outlineLevel="0" collapsed="false">
      <c r="A139" s="0" t="s">
        <v>449</v>
      </c>
      <c r="B139" s="0" t="s">
        <v>450</v>
      </c>
      <c r="C139" s="0" t="s">
        <v>379</v>
      </c>
      <c r="D139" s="6" t="n">
        <v>0</v>
      </c>
      <c r="E139" s="6" t="n">
        <v>0.1</v>
      </c>
      <c r="F139" s="6" t="n">
        <v>0.2</v>
      </c>
      <c r="G139" s="7" t="s">
        <v>154</v>
      </c>
      <c r="H139" s="7" t="s">
        <v>451</v>
      </c>
      <c r="I139" s="7" t="s">
        <v>271</v>
      </c>
    </row>
    <row r="140" customFormat="false" ht="17.15" hidden="false" customHeight="false" outlineLevel="0" collapsed="false">
      <c r="A140" s="0" t="s">
        <v>452</v>
      </c>
      <c r="B140" s="0" t="s">
        <v>453</v>
      </c>
      <c r="C140" s="0" t="s">
        <v>43</v>
      </c>
      <c r="D140" s="6" t="n">
        <v>0.06</v>
      </c>
      <c r="E140" s="6" t="n">
        <v>0.09</v>
      </c>
      <c r="F140" s="6" t="n">
        <v>0.12</v>
      </c>
      <c r="G140" s="7" t="s">
        <v>32</v>
      </c>
      <c r="H140" s="7" t="s">
        <v>454</v>
      </c>
      <c r="I140" s="7" t="s">
        <v>455</v>
      </c>
    </row>
    <row r="141" customFormat="false" ht="17.15" hidden="false" customHeight="false" outlineLevel="0" collapsed="false">
      <c r="A141" s="0" t="s">
        <v>456</v>
      </c>
      <c r="B141" s="0" t="s">
        <v>457</v>
      </c>
      <c r="C141" s="0" t="s">
        <v>379</v>
      </c>
      <c r="D141" s="6" t="n">
        <v>2.1</v>
      </c>
      <c r="E141" s="6" t="n">
        <v>2.2</v>
      </c>
      <c r="F141" s="6" t="n">
        <v>2.3</v>
      </c>
      <c r="G141" s="7" t="s">
        <v>154</v>
      </c>
      <c r="H141" s="7" t="s">
        <v>458</v>
      </c>
      <c r="I141" s="7" t="s">
        <v>459</v>
      </c>
    </row>
    <row r="142" customFormat="false" ht="17.15" hidden="false" customHeight="false" outlineLevel="0" collapsed="false">
      <c r="A142" s="0" t="s">
        <v>460</v>
      </c>
      <c r="B142" s="0" t="s">
        <v>461</v>
      </c>
      <c r="C142" s="0" t="s">
        <v>379</v>
      </c>
      <c r="D142" s="6" t="n">
        <v>2</v>
      </c>
      <c r="E142" s="6" t="n">
        <v>2.1</v>
      </c>
      <c r="F142" s="6" t="n">
        <v>2.25</v>
      </c>
      <c r="G142" s="7" t="s">
        <v>154</v>
      </c>
      <c r="H142" s="7" t="s">
        <v>462</v>
      </c>
      <c r="I142" s="7" t="s">
        <v>271</v>
      </c>
    </row>
    <row r="143" customFormat="false" ht="17.15" hidden="false" customHeight="false" outlineLevel="0" collapsed="false">
      <c r="A143" s="0" t="s">
        <v>463</v>
      </c>
      <c r="B143" s="0" t="s">
        <v>464</v>
      </c>
      <c r="C143" s="3" t="s">
        <v>465</v>
      </c>
      <c r="E143" s="6" t="n">
        <v>0.52691</v>
      </c>
      <c r="G143" s="7" t="s">
        <v>205</v>
      </c>
      <c r="H143" s="7" t="s">
        <v>466</v>
      </c>
      <c r="I143" s="7" t="s">
        <v>467</v>
      </c>
    </row>
    <row r="144" customFormat="false" ht="17.15" hidden="false" customHeight="false" outlineLevel="0" collapsed="false">
      <c r="A144" s="5" t="s">
        <v>468</v>
      </c>
    </row>
    <row r="145" customFormat="false" ht="17.15" hidden="false" customHeight="false" outlineLevel="0" collapsed="false">
      <c r="A145" s="0" t="s">
        <v>469</v>
      </c>
      <c r="B145" s="3" t="s">
        <v>470</v>
      </c>
      <c r="C145" s="0" t="s">
        <v>471</v>
      </c>
      <c r="E145" s="6" t="n">
        <v>10.42</v>
      </c>
      <c r="G145" s="7" t="s">
        <v>32</v>
      </c>
      <c r="H145" s="3" t="s">
        <v>472</v>
      </c>
      <c r="I145" s="3" t="s">
        <v>473</v>
      </c>
    </row>
    <row r="146" customFormat="false" ht="17.15" hidden="false" customHeight="false" outlineLevel="0" collapsed="false">
      <c r="A146" s="0" t="s">
        <v>474</v>
      </c>
      <c r="B146" s="3" t="s">
        <v>475</v>
      </c>
      <c r="C146" s="0" t="s">
        <v>471</v>
      </c>
      <c r="E146" s="6" t="n">
        <v>26.47</v>
      </c>
      <c r="G146" s="7" t="s">
        <v>32</v>
      </c>
      <c r="H146" s="3" t="s">
        <v>472</v>
      </c>
      <c r="I146" s="3" t="s">
        <v>476</v>
      </c>
    </row>
    <row r="147" customFormat="false" ht="17.15" hidden="false" customHeight="false" outlineLevel="0" collapsed="false">
      <c r="A147" s="0" t="s">
        <v>477</v>
      </c>
      <c r="B147" s="0" t="s">
        <v>478</v>
      </c>
      <c r="C147" s="0" t="s">
        <v>471</v>
      </c>
      <c r="D147" s="6" t="n">
        <v>7.75</v>
      </c>
      <c r="E147" s="6" t="n">
        <v>9.73</v>
      </c>
      <c r="F147" s="6" t="n">
        <v>13.6</v>
      </c>
      <c r="G147" s="7" t="s">
        <v>205</v>
      </c>
      <c r="H147" s="3" t="s">
        <v>479</v>
      </c>
      <c r="I147" s="3" t="s">
        <v>480</v>
      </c>
    </row>
    <row r="148" customFormat="false" ht="17.15" hidden="false" customHeight="false" outlineLevel="0" collapsed="false">
      <c r="A148" s="0" t="s">
        <v>481</v>
      </c>
      <c r="B148" s="0" t="s">
        <v>482</v>
      </c>
      <c r="C148" s="0" t="s">
        <v>471</v>
      </c>
      <c r="D148" s="6" t="n">
        <v>13.39</v>
      </c>
      <c r="E148" s="6" t="n">
        <v>19.93</v>
      </c>
      <c r="F148" s="6" t="n">
        <v>33.58</v>
      </c>
      <c r="G148" s="7" t="s">
        <v>205</v>
      </c>
      <c r="H148" s="3" t="s">
        <v>479</v>
      </c>
      <c r="I148" s="3" t="s">
        <v>483</v>
      </c>
    </row>
    <row r="149" customFormat="false" ht="17.15" hidden="false" customHeight="false" outlineLevel="0" collapsed="false">
      <c r="A149" s="0" t="s">
        <v>484</v>
      </c>
      <c r="B149" s="0" t="s">
        <v>485</v>
      </c>
      <c r="C149" s="0" t="s">
        <v>471</v>
      </c>
      <c r="D149" s="6" t="n">
        <v>18.87</v>
      </c>
      <c r="E149" s="6" t="n">
        <v>34.39</v>
      </c>
      <c r="F149" s="6" t="n">
        <v>49.15</v>
      </c>
      <c r="G149" s="7" t="s">
        <v>205</v>
      </c>
      <c r="H149" s="3" t="s">
        <v>479</v>
      </c>
      <c r="I149" s="3" t="s">
        <v>486</v>
      </c>
    </row>
    <row r="150" customFormat="false" ht="17.15" hidden="false" customHeight="false" outlineLevel="0" collapsed="false">
      <c r="A150" s="0" t="s">
        <v>487</v>
      </c>
      <c r="B150" s="0" t="s">
        <v>488</v>
      </c>
      <c r="C150" s="0" t="s">
        <v>379</v>
      </c>
      <c r="D150" s="6" t="n">
        <v>61.862</v>
      </c>
      <c r="E150" s="6" t="n">
        <v>70.348</v>
      </c>
      <c r="F150" s="6" t="n">
        <v>87.849</v>
      </c>
      <c r="G150" s="7" t="s">
        <v>205</v>
      </c>
      <c r="H150" s="3" t="s">
        <v>479</v>
      </c>
      <c r="I150" s="7" t="s">
        <v>271</v>
      </c>
    </row>
    <row r="151" customFormat="false" ht="17.15" hidden="false" customHeight="false" outlineLevel="0" collapsed="false">
      <c r="A151" s="0" t="s">
        <v>489</v>
      </c>
      <c r="B151" s="0" t="s">
        <v>490</v>
      </c>
      <c r="C151" s="0" t="s">
        <v>379</v>
      </c>
      <c r="D151" s="6" t="n">
        <v>79.292</v>
      </c>
      <c r="E151" s="6" t="n">
        <v>93.549</v>
      </c>
      <c r="F151" s="6" t="n">
        <v>114.962</v>
      </c>
      <c r="G151" s="7" t="s">
        <v>205</v>
      </c>
      <c r="H151" s="3" t="s">
        <v>479</v>
      </c>
      <c r="I151" s="7" t="s">
        <v>271</v>
      </c>
    </row>
    <row r="152" customFormat="false" ht="17.15" hidden="false" customHeight="false" outlineLevel="0" collapsed="false">
      <c r="A152" s="0" t="s">
        <v>491</v>
      </c>
      <c r="B152" s="3" t="s">
        <v>492</v>
      </c>
      <c r="C152" s="0" t="s">
        <v>471</v>
      </c>
      <c r="D152" s="6" t="n">
        <v>27.3</v>
      </c>
      <c r="E152" s="7" t="n">
        <f aca="false">AVERAGE(36.03,42.41,27.3)</f>
        <v>35.2466666666667</v>
      </c>
      <c r="F152" s="6" t="n">
        <v>42.41</v>
      </c>
      <c r="G152" s="7" t="s">
        <v>205</v>
      </c>
      <c r="H152" s="3" t="s">
        <v>493</v>
      </c>
      <c r="I152" s="3" t="s">
        <v>494</v>
      </c>
    </row>
    <row r="153" customFormat="false" ht="17.15" hidden="false" customHeight="false" outlineLevel="0" collapsed="false">
      <c r="A153" s="0" t="s">
        <v>495</v>
      </c>
      <c r="B153" s="3" t="s">
        <v>496</v>
      </c>
      <c r="C153" s="0" t="s">
        <v>471</v>
      </c>
      <c r="D153" s="6" t="n">
        <v>51.5</v>
      </c>
      <c r="E153" s="7" t="n">
        <f aca="false">AVERAGE(62.22,89.75,51.5)</f>
        <v>67.8233333333333</v>
      </c>
      <c r="F153" s="6" t="n">
        <v>89.75</v>
      </c>
      <c r="G153" s="7" t="s">
        <v>205</v>
      </c>
      <c r="H153" s="3" t="s">
        <v>493</v>
      </c>
      <c r="I153" s="3" t="s">
        <v>494</v>
      </c>
    </row>
    <row r="154" customFormat="false" ht="17.15" hidden="false" customHeight="false" outlineLevel="0" collapsed="false">
      <c r="A154" s="5" t="s">
        <v>497</v>
      </c>
    </row>
    <row r="155" customFormat="false" ht="17.15" hidden="false" customHeight="false" outlineLevel="0" collapsed="false">
      <c r="A155" s="0" t="s">
        <v>498</v>
      </c>
      <c r="B155" s="3" t="s">
        <v>499</v>
      </c>
      <c r="C155" s="0" t="s">
        <v>471</v>
      </c>
      <c r="E155" s="6" t="n">
        <v>986</v>
      </c>
      <c r="G155" s="7" t="s">
        <v>205</v>
      </c>
      <c r="H155" s="7" t="s">
        <v>500</v>
      </c>
      <c r="I155" s="7" t="s">
        <v>501</v>
      </c>
    </row>
    <row r="156" customFormat="false" ht="17.15" hidden="false" customHeight="false" outlineLevel="0" collapsed="false">
      <c r="A156" s="0" t="s">
        <v>502</v>
      </c>
      <c r="B156" s="3" t="s">
        <v>503</v>
      </c>
      <c r="C156" s="0" t="s">
        <v>153</v>
      </c>
      <c r="E156" s="6" t="n">
        <v>44.7</v>
      </c>
      <c r="G156" s="7" t="s">
        <v>205</v>
      </c>
      <c r="H156" s="7" t="s">
        <v>504</v>
      </c>
      <c r="I156" s="3" t="s">
        <v>505</v>
      </c>
    </row>
    <row r="157" customFormat="false" ht="17.15" hidden="false" customHeight="false" outlineLevel="0" collapsed="false">
      <c r="A157" s="0" t="s">
        <v>506</v>
      </c>
      <c r="B157" s="3" t="s">
        <v>507</v>
      </c>
      <c r="C157" s="0" t="s">
        <v>153</v>
      </c>
      <c r="E157" s="6" t="n">
        <v>166.14</v>
      </c>
      <c r="G157" s="7" t="s">
        <v>205</v>
      </c>
      <c r="H157" s="7" t="s">
        <v>504</v>
      </c>
      <c r="I157" s="3" t="s">
        <v>508</v>
      </c>
    </row>
    <row r="158" customFormat="false" ht="17.15" hidden="false" customHeight="false" outlineLevel="0" collapsed="false">
      <c r="A158" s="0" t="s">
        <v>509</v>
      </c>
      <c r="B158" s="3" t="s">
        <v>510</v>
      </c>
      <c r="C158" s="0" t="s">
        <v>471</v>
      </c>
      <c r="E158" s="0" t="n">
        <f aca="false">986/fpe</f>
        <v>22.0581655480984</v>
      </c>
      <c r="G158" s="0" t="s">
        <v>32</v>
      </c>
      <c r="H158" s="0" t="s">
        <v>504</v>
      </c>
      <c r="I158" s="3" t="s">
        <v>511</v>
      </c>
    </row>
    <row r="159" customFormat="false" ht="17.15" hidden="false" customHeight="false" outlineLevel="0" collapsed="false">
      <c r="A159" s="0" t="s">
        <v>512</v>
      </c>
      <c r="B159" s="3" t="s">
        <v>513</v>
      </c>
      <c r="C159" s="0" t="s">
        <v>471</v>
      </c>
      <c r="E159" s="6" t="n">
        <v>1092.15</v>
      </c>
      <c r="G159" s="7" t="s">
        <v>205</v>
      </c>
      <c r="H159" s="7" t="s">
        <v>514</v>
      </c>
      <c r="I159" s="7" t="s">
        <v>515</v>
      </c>
    </row>
    <row r="160" customFormat="false" ht="17.15" hidden="false" customHeight="false" outlineLevel="0" collapsed="false">
      <c r="A160" s="0" t="s">
        <v>516</v>
      </c>
      <c r="B160" s="3" t="s">
        <v>517</v>
      </c>
      <c r="C160" s="0" t="s">
        <v>518</v>
      </c>
      <c r="E160" s="6" t="n">
        <v>32.5</v>
      </c>
      <c r="G160" s="7" t="s">
        <v>205</v>
      </c>
      <c r="H160" s="3" t="s">
        <v>337</v>
      </c>
      <c r="I160" s="7" t="s">
        <v>271</v>
      </c>
    </row>
    <row r="161" customFormat="false" ht="17.15" hidden="false" customHeight="false" outlineLevel="0" collapsed="false">
      <c r="A161" s="0" t="s">
        <v>519</v>
      </c>
      <c r="B161" s="3" t="s">
        <v>520</v>
      </c>
      <c r="C161" s="0" t="s">
        <v>43</v>
      </c>
      <c r="E161" s="0" t="n">
        <f aca="false">AVERAGE(3.859/33.336,6.977/42.441,0.04752/26.832,0.04889/30.535,1.596/39.351)</f>
        <v>0.0648167697334147</v>
      </c>
      <c r="G161" s="0" t="s">
        <v>32</v>
      </c>
      <c r="H161" s="0" t="s">
        <v>521</v>
      </c>
      <c r="I161" s="3" t="s">
        <v>522</v>
      </c>
    </row>
    <row r="162" customFormat="false" ht="17.15" hidden="false" customHeight="false" outlineLevel="0" collapsed="false">
      <c r="A162" s="5" t="s">
        <v>523</v>
      </c>
    </row>
    <row r="163" customFormat="false" ht="17.15" hidden="false" customHeight="false" outlineLevel="0" collapsed="false">
      <c r="A163" s="8" t="s">
        <v>524</v>
      </c>
      <c r="B163" s="9" t="s">
        <v>525</v>
      </c>
      <c r="C163" s="8" t="s">
        <v>43</v>
      </c>
      <c r="D163" s="8"/>
      <c r="E163" s="10" t="n">
        <v>0.3</v>
      </c>
      <c r="F163" s="8"/>
      <c r="G163" s="8" t="s">
        <v>154</v>
      </c>
      <c r="H163" s="8" t="s">
        <v>526</v>
      </c>
      <c r="I163" s="9" t="s">
        <v>527</v>
      </c>
    </row>
    <row r="164" customFormat="false" ht="17.15" hidden="false" customHeight="false" outlineLevel="0" collapsed="false">
      <c r="A164" s="8" t="s">
        <v>528</v>
      </c>
      <c r="B164" s="9" t="s">
        <v>529</v>
      </c>
      <c r="C164" s="8" t="s">
        <v>43</v>
      </c>
      <c r="D164" s="8"/>
      <c r="E164" s="10" t="n">
        <v>0.5</v>
      </c>
      <c r="F164" s="8"/>
      <c r="G164" s="8" t="s">
        <v>154</v>
      </c>
      <c r="H164" s="8" t="s">
        <v>526</v>
      </c>
      <c r="I164" s="9" t="s">
        <v>527</v>
      </c>
    </row>
    <row r="165" customFormat="false" ht="17.15" hidden="false" customHeight="false" outlineLevel="0" collapsed="false">
      <c r="A165" s="8" t="s">
        <v>530</v>
      </c>
      <c r="B165" s="9" t="s">
        <v>531</v>
      </c>
      <c r="C165" s="8" t="s">
        <v>43</v>
      </c>
      <c r="D165" s="8"/>
      <c r="E165" s="10" t="n">
        <v>0.2</v>
      </c>
      <c r="F165" s="8"/>
      <c r="G165" s="8" t="s">
        <v>154</v>
      </c>
      <c r="H165" s="8" t="s">
        <v>526</v>
      </c>
      <c r="I165" s="9" t="s">
        <v>527</v>
      </c>
    </row>
    <row r="166" customFormat="false" ht="17.15" hidden="false" customHeight="false" outlineLevel="0" collapsed="false">
      <c r="A166" s="8" t="s">
        <v>532</v>
      </c>
      <c r="B166" s="9" t="s">
        <v>533</v>
      </c>
      <c r="C166" s="8" t="s">
        <v>43</v>
      </c>
      <c r="D166" s="8"/>
      <c r="E166" s="10" t="n">
        <v>0.1</v>
      </c>
      <c r="F166" s="8"/>
      <c r="G166" s="8" t="s">
        <v>154</v>
      </c>
      <c r="H166" s="8" t="s">
        <v>534</v>
      </c>
      <c r="I166" s="8" t="s">
        <v>271</v>
      </c>
    </row>
    <row r="167" customFormat="false" ht="17.15" hidden="false" customHeight="false" outlineLevel="0" collapsed="false">
      <c r="A167" s="8" t="s">
        <v>535</v>
      </c>
      <c r="B167" s="9" t="s">
        <v>536</v>
      </c>
      <c r="C167" s="8" t="s">
        <v>43</v>
      </c>
      <c r="D167" s="8"/>
      <c r="E167" s="10" t="n">
        <v>0.04</v>
      </c>
      <c r="F167" s="8"/>
      <c r="G167" s="8" t="s">
        <v>154</v>
      </c>
      <c r="H167" s="8" t="s">
        <v>537</v>
      </c>
      <c r="I167" s="9" t="s">
        <v>538</v>
      </c>
    </row>
    <row r="168" customFormat="false" ht="17.15" hidden="false" customHeight="false" outlineLevel="0" collapsed="false">
      <c r="A168" s="8" t="s">
        <v>539</v>
      </c>
      <c r="B168" s="8" t="s">
        <v>540</v>
      </c>
      <c r="C168" s="8" t="s">
        <v>43</v>
      </c>
      <c r="D168" s="8"/>
      <c r="E168" s="8" t="n">
        <f aca="false">AVERAGE(0.03,0.0337,0.0669)</f>
        <v>0.0435333333333333</v>
      </c>
      <c r="F168" s="8"/>
      <c r="G168" s="8" t="s">
        <v>32</v>
      </c>
      <c r="H168" s="8" t="s">
        <v>541</v>
      </c>
      <c r="I168" s="9" t="s">
        <v>542</v>
      </c>
    </row>
    <row r="169" customFormat="false" ht="17.15" hidden="false" customHeight="false" outlineLevel="0" collapsed="false">
      <c r="A169" s="8" t="s">
        <v>543</v>
      </c>
      <c r="B169" s="9" t="s">
        <v>544</v>
      </c>
      <c r="C169" s="8" t="s">
        <v>43</v>
      </c>
      <c r="D169" s="8"/>
      <c r="E169" s="10" t="n">
        <v>0.5</v>
      </c>
      <c r="F169" s="8"/>
      <c r="G169" s="8" t="s">
        <v>154</v>
      </c>
      <c r="H169" s="8" t="s">
        <v>545</v>
      </c>
      <c r="I169" s="8" t="s">
        <v>271</v>
      </c>
    </row>
    <row r="170" customFormat="false" ht="17.15" hidden="false" customHeight="false" outlineLevel="0" collapsed="false">
      <c r="A170" s="8" t="s">
        <v>546</v>
      </c>
      <c r="B170" s="9" t="s">
        <v>547</v>
      </c>
      <c r="C170" s="8" t="s">
        <v>43</v>
      </c>
      <c r="D170" s="8"/>
      <c r="E170" s="8" t="n">
        <f aca="false">tp_g+0.02</f>
        <v>0.06</v>
      </c>
      <c r="F170" s="8"/>
      <c r="G170" s="8" t="s">
        <v>154</v>
      </c>
      <c r="H170" s="9" t="s">
        <v>548</v>
      </c>
      <c r="I170" s="8" t="s">
        <v>549</v>
      </c>
    </row>
    <row r="171" customFormat="false" ht="17.15" hidden="false" customHeight="false" outlineLevel="0" collapsed="false">
      <c r="A171" s="8" t="s">
        <v>550</v>
      </c>
      <c r="B171" s="9" t="s">
        <v>551</v>
      </c>
      <c r="C171" s="8" t="s">
        <v>43</v>
      </c>
      <c r="D171" s="8"/>
      <c r="E171" s="8" t="n">
        <f aca="false">tp_g</f>
        <v>0.04</v>
      </c>
      <c r="F171" s="8"/>
      <c r="G171" s="8" t="s">
        <v>154</v>
      </c>
      <c r="H171" s="9" t="s">
        <v>45</v>
      </c>
      <c r="I171" s="8" t="s">
        <v>271</v>
      </c>
    </row>
    <row r="172" customFormat="false" ht="17.15" hidden="false" customHeight="false" outlineLevel="0" collapsed="false">
      <c r="A172" s="8" t="s">
        <v>552</v>
      </c>
      <c r="B172" s="9" t="s">
        <v>553</v>
      </c>
      <c r="C172" s="8" t="s">
        <v>43</v>
      </c>
      <c r="D172" s="8"/>
      <c r="E172" s="8" t="n">
        <f aca="false">tp_g-0.02</f>
        <v>0.02</v>
      </c>
      <c r="F172" s="8"/>
      <c r="G172" s="8" t="s">
        <v>154</v>
      </c>
      <c r="H172" s="9" t="s">
        <v>45</v>
      </c>
      <c r="I172" s="8" t="s">
        <v>271</v>
      </c>
    </row>
    <row r="173" customFormat="false" ht="17.15" hidden="false" customHeight="false" outlineLevel="0" collapsed="false">
      <c r="A173" s="8" t="s">
        <v>554</v>
      </c>
      <c r="B173" s="9" t="s">
        <v>555</v>
      </c>
      <c r="C173" s="8" t="s">
        <v>43</v>
      </c>
      <c r="D173" s="8"/>
      <c r="E173" s="11" t="n">
        <f aca="false">PL!G14</f>
        <v>0.220917381687568</v>
      </c>
      <c r="F173" s="8"/>
      <c r="G173" s="8" t="s">
        <v>32</v>
      </c>
      <c r="H173" s="8" t="s">
        <v>556</v>
      </c>
      <c r="I173" s="8" t="s">
        <v>271</v>
      </c>
    </row>
    <row r="174" customFormat="false" ht="17.15" hidden="false" customHeight="false" outlineLevel="0" collapsed="false">
      <c r="A174" s="8" t="s">
        <v>557</v>
      </c>
      <c r="B174" s="9" t="s">
        <v>558</v>
      </c>
      <c r="C174" s="8" t="s">
        <v>43</v>
      </c>
      <c r="D174" s="8"/>
      <c r="E174" s="12" t="n">
        <f aca="false">(PL!G28+PL!G28*0.8)/2</f>
        <v>0.19348029971668</v>
      </c>
      <c r="F174" s="8"/>
      <c r="G174" s="8" t="s">
        <v>154</v>
      </c>
      <c r="H174" s="9" t="s">
        <v>559</v>
      </c>
      <c r="I174" s="9" t="s">
        <v>560</v>
      </c>
    </row>
    <row r="175" customFormat="false" ht="17.15" hidden="false" customHeight="false" outlineLevel="0" collapsed="false">
      <c r="A175" s="8" t="s">
        <v>561</v>
      </c>
      <c r="B175" s="9" t="s">
        <v>562</v>
      </c>
      <c r="C175" s="8" t="s">
        <v>43</v>
      </c>
      <c r="D175" s="8"/>
      <c r="E175" s="12" t="n">
        <f aca="false">PL!G42*0.8</f>
        <v>0.151136197349498</v>
      </c>
      <c r="F175" s="8"/>
      <c r="G175" s="8" t="s">
        <v>154</v>
      </c>
      <c r="H175" s="9" t="s">
        <v>563</v>
      </c>
      <c r="I175" s="8" t="s">
        <v>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7" min="2" style="0" width="14"/>
    <col collapsed="false" customWidth="true" hidden="false" outlineLevel="0" max="8" min="8" style="0" width="26"/>
    <col collapsed="false" customWidth="true" hidden="false" outlineLevel="0" max="9" min="9" style="0" width="60"/>
    <col collapsed="false" customWidth="true" hidden="false" outlineLevel="0" max="10" min="10" style="0" width="64"/>
  </cols>
  <sheetData>
    <row r="1" customFormat="false" ht="17.15" hidden="false" customHeight="false" outlineLevel="0" collapsed="false">
      <c r="A1" s="0" t="s">
        <v>564</v>
      </c>
    </row>
    <row r="2" customFormat="false" ht="17.15" hidden="false" customHeight="false" outlineLevel="0" collapsed="false">
      <c r="A2" s="0" t="s">
        <v>565</v>
      </c>
    </row>
    <row r="3" customFormat="false" ht="17.15" hidden="false" customHeight="false" outlineLevel="0" collapsed="false">
      <c r="A3" s="4" t="s">
        <v>20</v>
      </c>
      <c r="B3" s="13" t="s">
        <v>566</v>
      </c>
      <c r="C3" s="13" t="s">
        <v>567</v>
      </c>
      <c r="D3" s="13" t="s">
        <v>568</v>
      </c>
      <c r="E3" s="13" t="s">
        <v>569</v>
      </c>
      <c r="F3" s="13" t="s">
        <v>570</v>
      </c>
      <c r="G3" s="13" t="s">
        <v>571</v>
      </c>
      <c r="H3" s="4" t="s">
        <v>25</v>
      </c>
      <c r="I3" s="4" t="s">
        <v>572</v>
      </c>
      <c r="J3" s="4" t="s">
        <v>27</v>
      </c>
    </row>
    <row r="4" customFormat="false" ht="17.15" hidden="false" customHeight="false" outlineLevel="0" collapsed="false">
      <c r="A4" s="3" t="s">
        <v>573</v>
      </c>
      <c r="B4" s="14" t="n">
        <v>39.351</v>
      </c>
      <c r="C4" s="14" t="n">
        <v>11.105</v>
      </c>
      <c r="D4" s="14" t="n">
        <v>12.496</v>
      </c>
      <c r="E4" s="15" t="n">
        <f aca="false">q3_rev</f>
        <v>14.54</v>
      </c>
      <c r="F4" s="15" t="n">
        <f aca="false">E4*(1+q4_g)</f>
        <v>16.2848</v>
      </c>
      <c r="G4" s="15" t="n">
        <f aca="false">SUM(C4:F4)</f>
        <v>54.4258</v>
      </c>
      <c r="H4" s="7" t="s">
        <v>574</v>
      </c>
      <c r="I4" s="7" t="s">
        <v>575</v>
      </c>
      <c r="J4" s="7" t="s">
        <v>576</v>
      </c>
    </row>
    <row r="5" customFormat="false" ht="17.15" hidden="false" customHeight="false" outlineLevel="0" collapsed="false">
      <c r="A5" s="3" t="s">
        <v>577</v>
      </c>
      <c r="B5" s="14" t="n">
        <v>8.314</v>
      </c>
      <c r="C5" s="14" t="n">
        <v>2.349</v>
      </c>
      <c r="D5" s="14" t="n">
        <v>3.261</v>
      </c>
      <c r="E5" s="15" t="n">
        <f aca="false">E4*q3_gm</f>
        <v>4.5074</v>
      </c>
      <c r="F5" s="15" t="n">
        <f aca="false">F4*q4_gm</f>
        <v>5.211136</v>
      </c>
      <c r="G5" s="15" t="n">
        <f aca="false">SUM(C5:F5)</f>
        <v>15.328536</v>
      </c>
      <c r="H5" s="7" t="s">
        <v>578</v>
      </c>
      <c r="I5" s="7" t="s">
        <v>575</v>
      </c>
      <c r="J5" s="7" t="s">
        <v>579</v>
      </c>
    </row>
    <row r="6" customFormat="false" ht="17.15" hidden="false" customHeight="false" outlineLevel="0" collapsed="false">
      <c r="A6" s="3" t="s">
        <v>580</v>
      </c>
      <c r="B6" s="16" t="n">
        <f aca="false">B5/B4</f>
        <v>0.211277985311682</v>
      </c>
      <c r="C6" s="16" t="n">
        <f aca="false">C5/C4</f>
        <v>0.211526339486718</v>
      </c>
      <c r="D6" s="16" t="n">
        <f aca="false">D5/D4</f>
        <v>0.260963508322663</v>
      </c>
      <c r="E6" s="16" t="n">
        <f aca="false">E5/E4</f>
        <v>0.31</v>
      </c>
      <c r="F6" s="16" t="n">
        <f aca="false">F5/F4</f>
        <v>0.32</v>
      </c>
      <c r="G6" s="16" t="n">
        <f aca="false">G5/G4</f>
        <v>0.281640986443929</v>
      </c>
      <c r="H6" s="7" t="s">
        <v>32</v>
      </c>
      <c r="I6" s="7" t="s">
        <v>271</v>
      </c>
      <c r="J6" s="7" t="s">
        <v>581</v>
      </c>
    </row>
    <row r="7" customFormat="false" ht="17.15" hidden="false" customHeight="false" outlineLevel="0" collapsed="false">
      <c r="A7" s="3" t="s">
        <v>582</v>
      </c>
      <c r="B7" s="15" t="n">
        <f aca="false">B5-B8</f>
        <v>5.644</v>
      </c>
      <c r="C7" s="15" t="n">
        <f aca="false">C5-C8</f>
        <v>1.45836</v>
      </c>
      <c r="D7" s="15" t="n">
        <f aca="false">D5-D8</f>
        <v>1.582</v>
      </c>
      <c r="E7" s="15" t="n">
        <f aca="false">q3_opx</f>
        <v>1.7</v>
      </c>
      <c r="F7" s="15" t="n">
        <f aca="false">q4_opx</f>
        <v>1.8</v>
      </c>
      <c r="G7" s="15" t="n">
        <f aca="false">SUM(C7:F7)</f>
        <v>6.54036</v>
      </c>
      <c r="H7" s="7" t="s">
        <v>583</v>
      </c>
      <c r="I7" s="3" t="s">
        <v>584</v>
      </c>
      <c r="J7" s="7" t="s">
        <v>271</v>
      </c>
    </row>
    <row r="8" customFormat="false" ht="17.15" hidden="false" customHeight="false" outlineLevel="0" collapsed="false">
      <c r="A8" s="3" t="s">
        <v>585</v>
      </c>
      <c r="B8" s="14" t="n">
        <v>2.67</v>
      </c>
      <c r="C8" s="14" t="n">
        <v>0.89064</v>
      </c>
      <c r="D8" s="14" t="n">
        <v>1.679</v>
      </c>
      <c r="E8" s="15" t="n">
        <f aca="false">E5-E7</f>
        <v>2.8074</v>
      </c>
      <c r="F8" s="15" t="n">
        <f aca="false">F5-F7</f>
        <v>3.411136</v>
      </c>
      <c r="G8" s="15" t="n">
        <f aca="false">SUM(C8:F8)</f>
        <v>8.788176</v>
      </c>
      <c r="H8" s="7" t="s">
        <v>586</v>
      </c>
      <c r="I8" s="7" t="s">
        <v>575</v>
      </c>
      <c r="J8" s="7" t="s">
        <v>587</v>
      </c>
    </row>
    <row r="9" customFormat="false" ht="17.15" hidden="false" customHeight="false" outlineLevel="0" collapsed="false">
      <c r="A9" s="3" t="s">
        <v>588</v>
      </c>
      <c r="B9" s="15" t="n">
        <f aca="false">B10-B8</f>
        <v>0.417</v>
      </c>
      <c r="C9" s="15" t="n">
        <f aca="false">C10-C8</f>
        <v>0.07382</v>
      </c>
      <c r="D9" s="15" t="n">
        <f aca="false">D10-D8</f>
        <v>0.105</v>
      </c>
      <c r="E9" s="15" t="n">
        <f aca="false">q_nonop</f>
        <v>0.1</v>
      </c>
      <c r="F9" s="15" t="n">
        <f aca="false">q_nonop</f>
        <v>0.1</v>
      </c>
      <c r="G9" s="15" t="n">
        <f aca="false">SUM(C9:F9)</f>
        <v>0.37882</v>
      </c>
      <c r="H9" s="7" t="s">
        <v>583</v>
      </c>
      <c r="I9" s="3" t="s">
        <v>589</v>
      </c>
      <c r="J9" s="7" t="s">
        <v>271</v>
      </c>
    </row>
    <row r="10" customFormat="false" ht="17.15" hidden="false" customHeight="false" outlineLevel="0" collapsed="false">
      <c r="A10" s="3" t="s">
        <v>590</v>
      </c>
      <c r="B10" s="14" t="n">
        <v>3.087</v>
      </c>
      <c r="C10" s="14" t="n">
        <v>0.96446</v>
      </c>
      <c r="D10" s="14" t="n">
        <v>1.784</v>
      </c>
      <c r="E10" s="15" t="n">
        <f aca="false">E8+E9</f>
        <v>2.9074</v>
      </c>
      <c r="F10" s="15" t="n">
        <f aca="false">F8+F9</f>
        <v>3.511136</v>
      </c>
      <c r="G10" s="15" t="n">
        <f aca="false">SUM(C10:F10)</f>
        <v>9.166996</v>
      </c>
      <c r="H10" s="7" t="s">
        <v>586</v>
      </c>
      <c r="I10" s="7" t="s">
        <v>575</v>
      </c>
      <c r="J10" s="7" t="s">
        <v>271</v>
      </c>
    </row>
    <row r="11" customFormat="false" ht="17.15" hidden="false" customHeight="false" outlineLevel="0" collapsed="false">
      <c r="A11" s="3" t="s">
        <v>591</v>
      </c>
      <c r="B11" s="14" t="n">
        <v>0.36988</v>
      </c>
      <c r="C11" s="14" t="n">
        <v>0.08866</v>
      </c>
      <c r="D11" s="14" t="n">
        <v>0.10087</v>
      </c>
      <c r="E11" s="15" t="n">
        <f aca="false">E10*q_tax</f>
        <v>0.261666</v>
      </c>
      <c r="F11" s="15" t="n">
        <f aca="false">F10*q_tax</f>
        <v>0.31600224</v>
      </c>
      <c r="G11" s="15" t="n">
        <f aca="false">SUM(C11:F11)</f>
        <v>0.76719824</v>
      </c>
      <c r="H11" s="7" t="s">
        <v>578</v>
      </c>
      <c r="I11" s="7" t="s">
        <v>575</v>
      </c>
      <c r="J11" s="7" t="s">
        <v>271</v>
      </c>
    </row>
    <row r="12" customFormat="false" ht="17.15" hidden="false" customHeight="false" outlineLevel="0" collapsed="false">
      <c r="A12" s="3" t="s">
        <v>592</v>
      </c>
      <c r="B12" s="15" t="n">
        <f aca="false">B10-B11</f>
        <v>2.71712</v>
      </c>
      <c r="C12" s="15" t="n">
        <f aca="false">C10-C11</f>
        <v>0.8758</v>
      </c>
      <c r="D12" s="15" t="n">
        <f aca="false">D10-D11</f>
        <v>1.68313</v>
      </c>
      <c r="E12" s="15" t="n">
        <f aca="false">E10-E11</f>
        <v>2.645734</v>
      </c>
      <c r="F12" s="15" t="n">
        <f aca="false">F10-F11</f>
        <v>3.19513376</v>
      </c>
      <c r="G12" s="15" t="n">
        <f aca="false">SUM(C12:F12)</f>
        <v>8.39979776</v>
      </c>
      <c r="H12" s="7" t="s">
        <v>32</v>
      </c>
      <c r="I12" s="3" t="s">
        <v>593</v>
      </c>
      <c r="J12" s="7" t="s">
        <v>594</v>
      </c>
    </row>
    <row r="13" customFormat="false" ht="17.15" hidden="false" customHeight="false" outlineLevel="0" collapsed="false">
      <c r="A13" s="3" t="s">
        <v>595</v>
      </c>
      <c r="B13" s="15" t="n">
        <f aca="false">B12-B14</f>
        <v>1.12112</v>
      </c>
      <c r="C13" s="15" t="n">
        <f aca="false">C12-C14</f>
        <v>0.32657</v>
      </c>
      <c r="D13" s="15" t="n">
        <f aca="false">D12-D14</f>
        <v>0.37213</v>
      </c>
      <c r="E13" s="15" t="n">
        <f aca="false">E19*nm_lens*nci_sh</f>
        <v>0.378447266681751</v>
      </c>
      <c r="F13" s="15" t="n">
        <f aca="false">F19*nm_lens*nci_sh</f>
        <v>0.361245118196217</v>
      </c>
      <c r="G13" s="15" t="n">
        <f aca="false">SUM(C13:F13)</f>
        <v>1.43839238487797</v>
      </c>
      <c r="H13" s="7" t="s">
        <v>32</v>
      </c>
      <c r="I13" s="3" t="s">
        <v>596</v>
      </c>
      <c r="J13" s="7" t="s">
        <v>597</v>
      </c>
    </row>
    <row r="14" customFormat="false" ht="17.15" hidden="false" customHeight="false" outlineLevel="0" collapsed="false">
      <c r="A14" s="3" t="s">
        <v>598</v>
      </c>
      <c r="B14" s="14" t="n">
        <v>1.596</v>
      </c>
      <c r="C14" s="14" t="n">
        <v>0.54923</v>
      </c>
      <c r="D14" s="14" t="n">
        <v>1.311</v>
      </c>
      <c r="E14" s="15" t="n">
        <f aca="false">E12-E13</f>
        <v>2.26728673331825</v>
      </c>
      <c r="F14" s="15" t="n">
        <f aca="false">F12-F13</f>
        <v>2.83388864180378</v>
      </c>
      <c r="G14" s="15" t="n">
        <f aca="false">SUM(C14:F14)</f>
        <v>6.96140537512203</v>
      </c>
      <c r="H14" s="7" t="s">
        <v>586</v>
      </c>
      <c r="I14" s="7" t="s">
        <v>575</v>
      </c>
      <c r="J14" s="3" t="s">
        <v>599</v>
      </c>
    </row>
    <row r="15" customFormat="false" ht="17.15" hidden="false" customHeight="false" outlineLevel="0" collapsed="false">
      <c r="A15" s="3" t="s">
        <v>600</v>
      </c>
      <c r="B15" s="15" t="n">
        <f aca="false">B14/B16</f>
        <v>0.454700854700855</v>
      </c>
      <c r="C15" s="15" t="n">
        <f aca="false">C14/C16</f>
        <v>0.46942735042735</v>
      </c>
      <c r="D15" s="15" t="n">
        <f aca="false">D14/D16</f>
        <v>0.51011673151751</v>
      </c>
      <c r="E15" s="15" t="n">
        <f aca="false">q_sh</f>
        <v>0.52691</v>
      </c>
      <c r="F15" s="15" t="n">
        <f aca="false">q_sh</f>
        <v>0.52691</v>
      </c>
      <c r="G15" s="15" t="n">
        <f aca="false">AVERAGE(C15:F15)</f>
        <v>0.508341020486215</v>
      </c>
      <c r="H15" s="7" t="s">
        <v>32</v>
      </c>
      <c r="I15" s="3" t="s">
        <v>601</v>
      </c>
      <c r="J15" s="7" t="s">
        <v>602</v>
      </c>
    </row>
    <row r="16" customFormat="false" ht="17.15" hidden="false" customHeight="false" outlineLevel="0" collapsed="false">
      <c r="A16" s="0" t="s">
        <v>603</v>
      </c>
      <c r="B16" s="17" t="n">
        <v>3.51</v>
      </c>
      <c r="C16" s="17" t="n">
        <v>1.17</v>
      </c>
      <c r="D16" s="17" t="n">
        <v>2.57</v>
      </c>
      <c r="E16" s="18" t="n">
        <f aca="false">E14/E15</f>
        <v>4.30298672129633</v>
      </c>
      <c r="F16" s="18" t="n">
        <f aca="false">F14/F15</f>
        <v>5.37831630032412</v>
      </c>
      <c r="G16" s="18" t="n">
        <f aca="false">G14/G15</f>
        <v>13.6943608612652</v>
      </c>
      <c r="H16" s="7" t="s">
        <v>586</v>
      </c>
      <c r="I16" s="7" t="s">
        <v>575</v>
      </c>
      <c r="J16" s="7" t="s">
        <v>604</v>
      </c>
    </row>
    <row r="17" customFormat="false" ht="17.15" hidden="false" customHeight="false" outlineLevel="0" collapsed="false">
      <c r="A17" s="3" t="s">
        <v>605</v>
      </c>
      <c r="B17" s="15" t="n">
        <f aca="false">1.709+1.772+1.787+1.89</f>
        <v>7.158</v>
      </c>
      <c r="G17" s="15" t="n">
        <f aca="false">da26</f>
        <v>8.32</v>
      </c>
      <c r="H17" s="7" t="s">
        <v>586</v>
      </c>
      <c r="I17" s="7" t="s">
        <v>606</v>
      </c>
      <c r="J17" s="7" t="s">
        <v>607</v>
      </c>
    </row>
    <row r="18" customFormat="false" ht="17.15" hidden="false" customHeight="false" outlineLevel="0" collapsed="false">
      <c r="A18" s="3" t="s">
        <v>608</v>
      </c>
      <c r="B18" s="15" t="n">
        <f aca="false">2.368+1.277+1.08+1.391</f>
        <v>6.116</v>
      </c>
      <c r="G18" s="15" t="n">
        <f aca="false">capex26</f>
        <v>11</v>
      </c>
      <c r="H18" s="7" t="s">
        <v>578</v>
      </c>
      <c r="I18" s="7" t="s">
        <v>609</v>
      </c>
      <c r="J18" s="7" t="s">
        <v>271</v>
      </c>
    </row>
    <row r="19" customFormat="false" ht="17.15" hidden="false" customHeight="false" outlineLevel="0" collapsed="false">
      <c r="A19" s="3" t="s">
        <v>610</v>
      </c>
      <c r="B19" s="14" t="n">
        <v>7.039</v>
      </c>
      <c r="C19" s="14" t="n">
        <v>1.886</v>
      </c>
      <c r="D19" s="14" t="n">
        <v>2.115</v>
      </c>
      <c r="E19" s="15" t="n">
        <f aca="false">q3_lens</f>
        <v>2.2</v>
      </c>
      <c r="F19" s="15" t="n">
        <f aca="false">q4_lens</f>
        <v>2.1</v>
      </c>
      <c r="G19" s="15" t="n">
        <f aca="false">SUM(C19:F19)</f>
        <v>8.301</v>
      </c>
      <c r="H19" s="7" t="s">
        <v>578</v>
      </c>
      <c r="I19" s="7" t="s">
        <v>611</v>
      </c>
      <c r="J19" s="7" t="s">
        <v>612</v>
      </c>
    </row>
    <row r="21" customFormat="false" ht="17.15" hidden="false" customHeight="false" outlineLevel="0" collapsed="false">
      <c r="A21" s="5" t="s">
        <v>613</v>
      </c>
    </row>
    <row r="22" customFormat="false" ht="17.15" hidden="false" customHeight="false" outlineLevel="0" collapsed="false">
      <c r="A22" s="0" t="s">
        <v>614</v>
      </c>
      <c r="G22" s="15" t="n">
        <f aca="false">G4*mx_abf</f>
        <v>22.858836</v>
      </c>
      <c r="H22" s="7" t="s">
        <v>32</v>
      </c>
    </row>
    <row r="23" customFormat="false" ht="17.15" hidden="false" customHeight="false" outlineLevel="0" collapsed="false">
      <c r="A23" s="0" t="s">
        <v>615</v>
      </c>
      <c r="G23" s="15" t="n">
        <f aca="false">G4-G22-G24</f>
        <v>23.265964</v>
      </c>
      <c r="H23" s="7" t="s">
        <v>32</v>
      </c>
    </row>
    <row r="24" customFormat="false" ht="15" hidden="false" customHeight="false" outlineLevel="0" collapsed="false">
      <c r="A24" s="3" t="s">
        <v>616</v>
      </c>
      <c r="G24" s="15" t="n">
        <f aca="false">G19</f>
        <v>8.301</v>
      </c>
      <c r="H24" s="7" t="s">
        <v>32</v>
      </c>
    </row>
    <row r="26" customFormat="false" ht="15" hidden="false" customHeight="false" outlineLevel="0" collapsed="false">
      <c r="A26" s="1" t="s">
        <v>617</v>
      </c>
    </row>
    <row r="27" customFormat="false" ht="17.15" hidden="false" customHeight="false" outlineLevel="0" collapsed="false">
      <c r="A27" s="0" t="s">
        <v>618</v>
      </c>
      <c r="B27" s="19" t="n">
        <f aca="false">C4+D4-(38.141-q3_rev)</f>
        <v>0</v>
      </c>
    </row>
    <row r="28" customFormat="false" ht="17.15" hidden="false" customHeight="false" outlineLevel="0" collapsed="false">
      <c r="A28" s="0" t="s">
        <v>619</v>
      </c>
      <c r="B28" s="20" t="n">
        <f aca="false">G4/B4-1</f>
        <v>0.383085563263958</v>
      </c>
    </row>
    <row r="29" customFormat="false" ht="17.15" hidden="false" customHeight="false" outlineLevel="0" collapsed="false">
      <c r="A29" s="0" t="s">
        <v>620</v>
      </c>
      <c r="B29" s="20" t="n">
        <f aca="false">G14/G12</f>
        <v>0.828758688485618</v>
      </c>
    </row>
    <row r="30" customFormat="false" ht="17.15" hidden="false" customHeight="false" outlineLevel="0" collapsed="false">
      <c r="A30" s="0" t="s">
        <v>621</v>
      </c>
      <c r="B30" s="20" t="n">
        <f aca="false">G16/13.21-1</f>
        <v>0.0366662271964566</v>
      </c>
    </row>
    <row r="31" customFormat="false" ht="17.15" hidden="false" customHeight="false" outlineLevel="0" collapsed="false">
      <c r="A31" s="0" t="s">
        <v>622</v>
      </c>
      <c r="B31" s="20" t="n">
        <f aca="false">E16/4.29-1</f>
        <v>0.00302720776138155</v>
      </c>
    </row>
    <row r="32" customFormat="false" ht="17.15" hidden="false" customHeight="false" outlineLevel="0" collapsed="false">
      <c r="A32" s="0" t="s">
        <v>623</v>
      </c>
      <c r="B32" s="20" t="n">
        <f aca="false">F16/5.39-1</f>
        <v>-0.00216766227752852</v>
      </c>
    </row>
    <row r="33" customFormat="false" ht="17.15" hidden="false" customHeight="false" outlineLevel="0" collapsed="false">
      <c r="A33" s="0" t="s">
        <v>624</v>
      </c>
      <c r="B33" s="18" t="n">
        <f aca="false">F4*4/G4</f>
        <v>1.19684414377005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6" min="3" style="0" width="13"/>
    <col collapsed="false" customWidth="true" hidden="false" outlineLevel="0" max="7" min="7" style="0" width="66"/>
  </cols>
  <sheetData>
    <row r="1" customFormat="false" ht="17.15" hidden="false" customHeight="false" outlineLevel="0" collapsed="false">
      <c r="A1" s="0" t="s">
        <v>625</v>
      </c>
    </row>
    <row r="3" customFormat="false" ht="15" hidden="false" customHeight="false" outlineLevel="0" collapsed="false">
      <c r="A3" s="4" t="s">
        <v>20</v>
      </c>
      <c r="B3" s="4" t="s">
        <v>21</v>
      </c>
      <c r="C3" s="13" t="s">
        <v>626</v>
      </c>
      <c r="D3" s="13" t="s">
        <v>627</v>
      </c>
      <c r="E3" s="13" t="s">
        <v>628</v>
      </c>
      <c r="F3" s="13" t="s">
        <v>629</v>
      </c>
      <c r="G3" s="4" t="s">
        <v>630</v>
      </c>
    </row>
    <row r="4" customFormat="false" ht="17.15" hidden="false" customHeight="false" outlineLevel="0" collapsed="false">
      <c r="A4" s="0" t="s">
        <v>631</v>
      </c>
      <c r="B4" s="3" t="s">
        <v>31</v>
      </c>
      <c r="C4" s="21" t="n">
        <f aca="false">PL!D63</f>
        <v>7.6</v>
      </c>
      <c r="D4" s="21" t="n">
        <f aca="false">PL!E63</f>
        <v>9.7</v>
      </c>
      <c r="E4" s="21" t="n">
        <f aca="false">PL!F63</f>
        <v>9.5</v>
      </c>
      <c r="F4" s="21" t="n">
        <f aca="false">PL!G63</f>
        <v>10.6</v>
      </c>
      <c r="G4" s="7" t="s">
        <v>632</v>
      </c>
    </row>
    <row r="5" customFormat="false" ht="17.15" hidden="false" customHeight="false" outlineLevel="0" collapsed="false">
      <c r="A5" s="3" t="s">
        <v>633</v>
      </c>
      <c r="B5" s="3" t="s">
        <v>31</v>
      </c>
      <c r="C5" s="21" t="n">
        <f aca="false">PL!D64</f>
        <v>7.6</v>
      </c>
      <c r="D5" s="21" t="n">
        <f aca="false">PL!E64</f>
        <v>14</v>
      </c>
      <c r="E5" s="21" t="n">
        <f aca="false">PL!F64</f>
        <v>17</v>
      </c>
      <c r="F5" s="21" t="n">
        <f aca="false">PL!G64</f>
        <v>19.55</v>
      </c>
    </row>
    <row r="6" customFormat="false" ht="17.15" hidden="false" customHeight="false" outlineLevel="0" collapsed="false">
      <c r="A6" s="0" t="s">
        <v>634</v>
      </c>
      <c r="B6" s="3" t="s">
        <v>31</v>
      </c>
      <c r="C6" s="21" t="n">
        <f aca="false">PL!D65</f>
        <v>3.04</v>
      </c>
      <c r="D6" s="21" t="n">
        <f aca="false">PL!E65</f>
        <v>3.88</v>
      </c>
      <c r="E6" s="21" t="n">
        <f aca="false">PL!F65</f>
        <v>3.8</v>
      </c>
      <c r="F6" s="21" t="n">
        <f aca="false">PL!G65</f>
        <v>4.24</v>
      </c>
      <c r="G6" s="7" t="s">
        <v>635</v>
      </c>
    </row>
    <row r="7" customFormat="false" ht="17.15" hidden="false" customHeight="false" outlineLevel="0" collapsed="false">
      <c r="A7" s="3" t="s">
        <v>636</v>
      </c>
      <c r="B7" s="0" t="s">
        <v>175</v>
      </c>
      <c r="C7" s="22" t="n">
        <f aca="false">PL!D69</f>
        <v>215.308596</v>
      </c>
      <c r="D7" s="22" t="n">
        <f aca="false">PL!E69</f>
        <v>254.06414328</v>
      </c>
      <c r="E7" s="22" t="n">
        <f aca="false">PL!F69</f>
        <v>284.80590461688</v>
      </c>
      <c r="F7" s="22" t="n">
        <f aca="false">PL!G69</f>
        <v>318.383021792765</v>
      </c>
      <c r="G7" s="7" t="s">
        <v>637</v>
      </c>
    </row>
    <row r="8" customFormat="false" ht="17.15" hidden="false" customHeight="false" outlineLevel="0" collapsed="false">
      <c r="A8" s="3" t="s">
        <v>638</v>
      </c>
      <c r="B8" s="0" t="s">
        <v>43</v>
      </c>
      <c r="C8" s="20" t="n">
        <f aca="false">PL!D70</f>
        <v>0.02</v>
      </c>
      <c r="D8" s="20" t="n">
        <f aca="false">PL!E70</f>
        <v>0.03</v>
      </c>
      <c r="E8" s="20" t="n">
        <f aca="false">PL!F70</f>
        <v>0.05</v>
      </c>
      <c r="F8" s="20" t="n">
        <f aca="false">PL!G70</f>
        <v>0.06</v>
      </c>
      <c r="G8" s="7" t="s">
        <v>639</v>
      </c>
    </row>
    <row r="9" customFormat="false" ht="17.15" hidden="false" customHeight="false" outlineLevel="0" collapsed="false">
      <c r="A9" s="0" t="s">
        <v>640</v>
      </c>
      <c r="B9" s="0" t="s">
        <v>43</v>
      </c>
      <c r="C9" s="20" t="n">
        <f aca="false">ib_sh26*1</f>
        <v>0.7</v>
      </c>
      <c r="D9" s="20" t="n">
        <f aca="false">ib_sh26*ibrel_27</f>
        <v>0.665</v>
      </c>
      <c r="E9" s="20" t="n">
        <f aca="false">ib_sh26*ibrel_28</f>
        <v>0.616</v>
      </c>
      <c r="F9" s="20" t="n">
        <f aca="false">ib_sh26*ibrel_29</f>
        <v>0.595</v>
      </c>
      <c r="G9" s="7" t="s">
        <v>641</v>
      </c>
    </row>
    <row r="10" customFormat="false" ht="17.15" hidden="false" customHeight="false" outlineLevel="0" collapsed="false">
      <c r="A10" s="3" t="s">
        <v>642</v>
      </c>
      <c r="B10" s="0" t="s">
        <v>43</v>
      </c>
      <c r="C10" s="20" t="n">
        <f aca="false">un_nv_26</f>
        <v>0.25</v>
      </c>
      <c r="D10" s="20" t="n">
        <f aca="false">un_nv_27</f>
        <v>0.27</v>
      </c>
      <c r="E10" s="20" t="n">
        <f aca="false">un_nv_28</f>
        <v>0.29</v>
      </c>
      <c r="F10" s="20" t="n">
        <f aca="false">un_nv_29</f>
        <v>0.3</v>
      </c>
      <c r="G10" s="3" t="s">
        <v>643</v>
      </c>
    </row>
    <row r="11" customFormat="false" ht="17.15" hidden="false" customHeight="false" outlineLevel="0" collapsed="false">
      <c r="A11" s="3" t="s">
        <v>644</v>
      </c>
      <c r="B11" s="0" t="s">
        <v>43</v>
      </c>
      <c r="C11" s="20" t="n">
        <f aca="false">np_nv_26</f>
        <v>0.02</v>
      </c>
      <c r="D11" s="20" t="n">
        <f aca="false">np_nv_27</f>
        <v>0.03</v>
      </c>
      <c r="E11" s="20" t="n">
        <f aca="false">np_nv_28</f>
        <v>0.04</v>
      </c>
      <c r="F11" s="20" t="n">
        <f aca="false">np_nv_29</f>
        <v>0.04</v>
      </c>
      <c r="G11" s="3" t="s">
        <v>645</v>
      </c>
    </row>
    <row r="12" customFormat="false" ht="17.15" hidden="false" customHeight="false" outlineLevel="0" collapsed="false">
      <c r="A12" s="3" t="s">
        <v>646</v>
      </c>
      <c r="B12" s="0" t="s">
        <v>43</v>
      </c>
      <c r="C12" s="20" t="n">
        <f aca="false">C8+C9+C10+C11</f>
        <v>0.99</v>
      </c>
      <c r="D12" s="20" t="n">
        <f aca="false">D8+D9+D10+D11</f>
        <v>0.995</v>
      </c>
      <c r="E12" s="20" t="n">
        <f aca="false">E8+E9+E10+E11</f>
        <v>0.996</v>
      </c>
      <c r="F12" s="20" t="n">
        <f aca="false">F8+F9+F10+F11</f>
        <v>0.995</v>
      </c>
      <c r="G12" s="3" t="s">
        <v>647</v>
      </c>
    </row>
    <row r="13" customFormat="false" ht="17.15" hidden="false" customHeight="false" outlineLevel="0" collapsed="false">
      <c r="A13" s="3" t="s">
        <v>648</v>
      </c>
      <c r="B13" s="0" t="s">
        <v>43</v>
      </c>
      <c r="C13" s="20" t="n">
        <f aca="false">PL!D71</f>
        <v>0.03</v>
      </c>
      <c r="D13" s="20" t="n">
        <f aca="false">PL!E71</f>
        <v>0.05</v>
      </c>
      <c r="E13" s="20" t="n">
        <f aca="false">PL!F71</f>
        <v>0.06</v>
      </c>
      <c r="F13" s="20" t="n">
        <f aca="false">PL!G71</f>
        <v>0.06</v>
      </c>
      <c r="G13" s="7" t="s">
        <v>154</v>
      </c>
    </row>
    <row r="14" customFormat="false" ht="17.15" hidden="false" customHeight="false" outlineLevel="0" collapsed="false">
      <c r="A14" s="0" t="s">
        <v>649</v>
      </c>
      <c r="B14" s="0" t="s">
        <v>43</v>
      </c>
      <c r="C14" s="20" t="n">
        <f aca="false">ib_w_ot*1/v_ot</f>
        <v>0.5</v>
      </c>
      <c r="D14" s="20" t="n">
        <f aca="false">ib_w_ot*ibrel_27/v_ot</f>
        <v>0.475</v>
      </c>
      <c r="E14" s="20" t="n">
        <f aca="false">ib_w_ot*ibrel_28/v_ot</f>
        <v>0.44</v>
      </c>
      <c r="F14" s="20" t="n">
        <f aca="false">ib_w_ot*ibrel_29/v_ot</f>
        <v>0.425</v>
      </c>
      <c r="G14" s="3" t="s">
        <v>650</v>
      </c>
    </row>
    <row r="15" customFormat="false" ht="17.15" hidden="false" customHeight="false" outlineLevel="0" collapsed="false">
      <c r="A15" s="3" t="s">
        <v>651</v>
      </c>
      <c r="B15" s="0" t="s">
        <v>43</v>
      </c>
      <c r="C15" s="20" t="n">
        <f aca="false">un_ot_26</f>
        <v>0.3</v>
      </c>
      <c r="D15" s="20" t="n">
        <f aca="false">un_ot_27</f>
        <v>0.31</v>
      </c>
      <c r="E15" s="20" t="n">
        <f aca="false">un_ot_28</f>
        <v>0.32</v>
      </c>
      <c r="F15" s="20" t="n">
        <f aca="false">un_ot_29</f>
        <v>0.33</v>
      </c>
      <c r="G15" s="3" t="s">
        <v>643</v>
      </c>
    </row>
    <row r="16" customFormat="false" ht="17.15" hidden="false" customHeight="false" outlineLevel="0" collapsed="false">
      <c r="A16" s="3" t="s">
        <v>652</v>
      </c>
      <c r="B16" s="0" t="s">
        <v>43</v>
      </c>
      <c r="C16" s="20" t="n">
        <f aca="false">np_ot_26</f>
        <v>0.05</v>
      </c>
      <c r="D16" s="20" t="n">
        <f aca="false">np_ot_27</f>
        <v>0.06</v>
      </c>
      <c r="E16" s="20" t="n">
        <f aca="false">np_ot_28</f>
        <v>0.07</v>
      </c>
      <c r="F16" s="20" t="n">
        <f aca="false">np_ot_29</f>
        <v>0.07</v>
      </c>
      <c r="G16" s="3" t="s">
        <v>645</v>
      </c>
    </row>
    <row r="17" customFormat="false" ht="17.15" hidden="false" customHeight="false" outlineLevel="0" collapsed="false">
      <c r="A17" s="3" t="s">
        <v>653</v>
      </c>
      <c r="B17" s="0" t="s">
        <v>43</v>
      </c>
      <c r="C17" s="20" t="n">
        <f aca="false">C13+C14+C15+C16</f>
        <v>0.88</v>
      </c>
      <c r="D17" s="20" t="n">
        <f aca="false">D13+D14+D15+D16</f>
        <v>0.895</v>
      </c>
      <c r="E17" s="20" t="n">
        <f aca="false">E13+E14+E15+E16</f>
        <v>0.89</v>
      </c>
      <c r="F17" s="20" t="n">
        <f aca="false">F13+F14+F15+F16</f>
        <v>0.885</v>
      </c>
      <c r="G17" s="3" t="s">
        <v>654</v>
      </c>
    </row>
    <row r="18" customFormat="false" ht="17.15" hidden="false" customHeight="false" outlineLevel="0" collapsed="false">
      <c r="A18" s="3" t="s">
        <v>655</v>
      </c>
      <c r="B18" s="0" t="s">
        <v>43</v>
      </c>
      <c r="C18" s="20" t="n">
        <f aca="false">PL!D72</f>
        <v>0.35</v>
      </c>
      <c r="D18" s="20" t="n">
        <f aca="false">PL!E72</f>
        <v>0.7</v>
      </c>
      <c r="E18" s="20" t="n">
        <f aca="false">PL!F72</f>
        <v>0.75</v>
      </c>
      <c r="F18" s="20" t="n">
        <f aca="false">PL!G72</f>
        <v>0.7</v>
      </c>
      <c r="G18" s="3" t="s">
        <v>656</v>
      </c>
    </row>
    <row r="19" customFormat="false" ht="17.15" hidden="false" customHeight="false" outlineLevel="0" collapsed="false">
      <c r="A19" s="3" t="s">
        <v>657</v>
      </c>
      <c r="B19" s="0" t="s">
        <v>175</v>
      </c>
      <c r="C19" s="23" t="n">
        <f aca="false">PL!D69*(PL!D70+cpu_r*v_cpu*PL!D72)*PL!D68</f>
        <v>13.349132952</v>
      </c>
      <c r="D19" s="23" t="n">
        <f aca="false">PL!E69*(PL!E70+cpu_r*v_cpu*PL!E72)*PL!E68</f>
        <v>33.307809184008</v>
      </c>
      <c r="E19" s="23" t="n">
        <f aca="false">PL!F69*(PL!F70+cpu_r*v_cpu*PL!F72)*PL!F68</f>
        <v>45.8537506433177</v>
      </c>
      <c r="F19" s="23" t="n">
        <f aca="false">PL!G69*(PL!G70+cpu_r*v_cpu*PL!G72)*PL!G68</f>
        <v>52.7242284088818</v>
      </c>
      <c r="G19" s="7" t="s">
        <v>658</v>
      </c>
    </row>
    <row r="20" customFormat="false" ht="17.15" hidden="false" customHeight="false" outlineLevel="0" collapsed="false">
      <c r="A20" s="3" t="s">
        <v>659</v>
      </c>
      <c r="B20" s="0" t="s">
        <v>660</v>
      </c>
      <c r="C20" s="22" t="n">
        <f aca="false">PL!D73</f>
        <v>140.7256983456</v>
      </c>
      <c r="D20" s="22" t="n">
        <f aca="false">PL!E73</f>
        <v>486.703057357198</v>
      </c>
      <c r="E20" s="22" t="n">
        <f aca="false">PL!F73</f>
        <v>702.872492003998</v>
      </c>
      <c r="F20" s="22" t="n">
        <f aca="false">PL!G73</f>
        <v>902.463042932027</v>
      </c>
    </row>
    <row r="21" customFormat="false" ht="17.15" hidden="false" customHeight="false" outlineLevel="0" collapsed="false">
      <c r="A21" s="3" t="s">
        <v>661</v>
      </c>
      <c r="B21" s="0" t="s">
        <v>379</v>
      </c>
      <c r="C21" s="23" t="n">
        <f aca="false">PL!D83</f>
        <v>5.714709</v>
      </c>
      <c r="D21" s="23" t="n">
        <f aca="false">PL!E83</f>
        <v>15.1670988044522</v>
      </c>
      <c r="E21" s="23" t="n">
        <f aca="false">PL!F83</f>
        <v>21.7805062132212</v>
      </c>
      <c r="F21" s="23" t="n">
        <f aca="false">PL!G83</f>
        <v>28.9201605269717</v>
      </c>
    </row>
    <row r="22" customFormat="false" ht="17.15" hidden="false" customHeight="false" outlineLevel="0" collapsed="false">
      <c r="A22" s="3" t="s">
        <v>662</v>
      </c>
      <c r="B22" s="0" t="s">
        <v>43</v>
      </c>
      <c r="C22" s="24" t="n">
        <f aca="false">PL!D83/fx/itc_26</f>
        <v>0.000224892301871308</v>
      </c>
      <c r="D22" s="24" t="n">
        <f aca="false">PL!E83/fx/itc_27</f>
        <v>0.00029813138481101</v>
      </c>
      <c r="E22" s="24" t="n">
        <f aca="false">PL!F83/fx/itc_28</f>
        <v>0.000337742084456587</v>
      </c>
      <c r="F22" s="24" t="n">
        <f aca="false">PL!G83/fx/itc_29</f>
        <v>0.000393671438904089</v>
      </c>
      <c r="G22" s="7" t="s">
        <v>663</v>
      </c>
    </row>
    <row r="23" customFormat="false" ht="17.15" hidden="false" customHeight="false" outlineLevel="0" collapsed="false">
      <c r="A23" s="3" t="s">
        <v>664</v>
      </c>
      <c r="B23" s="0" t="s">
        <v>660</v>
      </c>
      <c r="C23" s="22" t="n">
        <f aca="false">PL!D83/fx/itc_26*37.59*1000</f>
        <v>8.45370162734247</v>
      </c>
      <c r="D23" s="22" t="n">
        <f aca="false">PL!E83/fx/itc_27*37.59*1000</f>
        <v>11.2067587550459</v>
      </c>
      <c r="E23" s="22" t="n">
        <f aca="false">PL!F83/fx/itc_28*37.59*1000</f>
        <v>12.6957249547231</v>
      </c>
      <c r="F23" s="22" t="n">
        <f aca="false">PL!G83/fx/itc_29*37.59*1000</f>
        <v>14.7981093884047</v>
      </c>
      <c r="G23" s="7" t="s">
        <v>665</v>
      </c>
    </row>
    <row r="25" customFormat="false" ht="17.15" hidden="false" customHeight="false" outlineLevel="0" collapsed="false">
      <c r="A25" s="1" t="s">
        <v>666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0"/>
    <col collapsed="false" customWidth="true" hidden="false" outlineLevel="0" max="10" min="3" style="0" width="13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667</v>
      </c>
    </row>
    <row r="2" customFormat="false" ht="17.15" hidden="false" customHeight="false" outlineLevel="0" collapsed="false">
      <c r="A2" s="3" t="s">
        <v>668</v>
      </c>
    </row>
    <row r="3" customFormat="false" ht="17.15" hidden="false" customHeight="false" outlineLevel="0" collapsed="false">
      <c r="A3" s="4" t="s">
        <v>669</v>
      </c>
      <c r="B3" s="4" t="s">
        <v>21</v>
      </c>
      <c r="C3" s="13" t="s">
        <v>566</v>
      </c>
      <c r="D3" s="13" t="s">
        <v>670</v>
      </c>
      <c r="E3" s="13" t="s">
        <v>671</v>
      </c>
      <c r="F3" s="13" t="s">
        <v>672</v>
      </c>
      <c r="G3" s="13" t="s">
        <v>673</v>
      </c>
      <c r="H3" s="13" t="s">
        <v>674</v>
      </c>
      <c r="I3" s="13" t="s">
        <v>675</v>
      </c>
      <c r="J3" s="13" t="s">
        <v>676</v>
      </c>
      <c r="K3" s="4" t="s">
        <v>630</v>
      </c>
    </row>
    <row r="4" customFormat="false" ht="17.15" hidden="false" customHeight="false" outlineLevel="0" collapsed="false">
      <c r="A4" s="1" t="s">
        <v>677</v>
      </c>
    </row>
    <row r="5" customFormat="false" ht="15" hidden="false" customHeight="false" outlineLevel="0" collapsed="false">
      <c r="A5" s="3" t="s">
        <v>573</v>
      </c>
      <c r="B5" s="0" t="s">
        <v>379</v>
      </c>
      <c r="C5" s="23" t="n">
        <f aca="false">C88</f>
        <v>39.351</v>
      </c>
      <c r="D5" s="23" t="n">
        <f aca="false">D88</f>
        <v>54.4258</v>
      </c>
      <c r="E5" s="23" t="n">
        <f aca="false">E88</f>
        <v>72.033987284</v>
      </c>
      <c r="F5" s="23" t="n">
        <f aca="false">F88</f>
        <v>84.1022463502375</v>
      </c>
      <c r="G5" s="23" t="n">
        <f aca="false">G88</f>
        <v>96.1130701345114</v>
      </c>
      <c r="H5" s="25" t="n">
        <f aca="false">H88</f>
        <v>107.186075216063</v>
      </c>
      <c r="I5" s="25" t="n">
        <f aca="false">I88</f>
        <v>116.576010002736</v>
      </c>
      <c r="J5" s="25" t="n">
        <f aca="false">J88</f>
        <v>123.5705706029</v>
      </c>
    </row>
    <row r="6" customFormat="false" ht="15" hidden="false" customHeight="false" outlineLevel="0" collapsed="false">
      <c r="A6" s="3" t="s">
        <v>678</v>
      </c>
      <c r="B6" s="0" t="s">
        <v>43</v>
      </c>
      <c r="D6" s="20" t="n">
        <f aca="false">D89</f>
        <v>0.383085563263958</v>
      </c>
      <c r="E6" s="20" t="n">
        <f aca="false">E89</f>
        <v>0.323526476119781</v>
      </c>
      <c r="F6" s="20" t="n">
        <f aca="false">F89</f>
        <v>0.167535624796909</v>
      </c>
      <c r="G6" s="20" t="n">
        <f aca="false">G89</f>
        <v>0.142812163830389</v>
      </c>
      <c r="H6" s="26" t="n">
        <f aca="false">H89</f>
        <v>0.115208109220259</v>
      </c>
      <c r="I6" s="26" t="n">
        <f aca="false">I89</f>
        <v>0.0876040546101297</v>
      </c>
      <c r="J6" s="26" t="n">
        <f aca="false">J89</f>
        <v>0.06</v>
      </c>
    </row>
    <row r="7" customFormat="false" ht="17.15" hidden="false" customHeight="false" outlineLevel="0" collapsed="false">
      <c r="A7" s="0" t="s">
        <v>679</v>
      </c>
      <c r="B7" s="0" t="s">
        <v>379</v>
      </c>
      <c r="D7" s="23" t="n">
        <f aca="false">D81</f>
        <v>22.858836</v>
      </c>
      <c r="E7" s="23" t="n">
        <f aca="false">E81</f>
        <v>33.122453364</v>
      </c>
      <c r="F7" s="23" t="n">
        <f aca="false">F81</f>
        <v>41.2995590382375</v>
      </c>
      <c r="G7" s="23" t="n">
        <f aca="false">G81</f>
        <v>50.6680379569114</v>
      </c>
    </row>
    <row r="8" customFormat="false" ht="17.15" hidden="false" customHeight="false" outlineLevel="0" collapsed="false">
      <c r="A8" s="0" t="s">
        <v>680</v>
      </c>
      <c r="B8" s="0" t="s">
        <v>379</v>
      </c>
      <c r="D8" s="23" t="n">
        <f aca="false">D83</f>
        <v>5.714709</v>
      </c>
      <c r="E8" s="23" t="n">
        <f aca="false">E83</f>
        <v>15.1670988044522</v>
      </c>
      <c r="F8" s="23" t="n">
        <f aca="false">F83</f>
        <v>21.7805062132212</v>
      </c>
      <c r="G8" s="23" t="n">
        <f aca="false">G83</f>
        <v>28.9201605269717</v>
      </c>
    </row>
    <row r="9" customFormat="false" ht="17.15" hidden="false" customHeight="false" outlineLevel="0" collapsed="false">
      <c r="A9" s="0" t="s">
        <v>681</v>
      </c>
      <c r="B9" s="0" t="s">
        <v>43</v>
      </c>
      <c r="D9" s="20" t="n">
        <f aca="false">D82</f>
        <v>1</v>
      </c>
      <c r="E9" s="20" t="n">
        <f aca="false">E82</f>
        <v>0.85916169200315</v>
      </c>
      <c r="F9" s="20" t="n">
        <f aca="false">F82</f>
        <v>0.881117431856676</v>
      </c>
      <c r="G9" s="20" t="n">
        <f aca="false">G82</f>
        <v>0.926160096041627</v>
      </c>
    </row>
    <row r="10" customFormat="false" ht="15" hidden="false" customHeight="false" outlineLevel="0" collapsed="false">
      <c r="A10" s="3" t="s">
        <v>580</v>
      </c>
      <c r="B10" s="0" t="s">
        <v>43</v>
      </c>
      <c r="C10" s="16" t="n">
        <f aca="false">C98</f>
        <v>0.211277985311682</v>
      </c>
      <c r="D10" s="16" t="n">
        <f aca="false">D98</f>
        <v>0.281640986443929</v>
      </c>
      <c r="E10" s="16" t="n">
        <f aca="false">E98</f>
        <v>0.3552567629931</v>
      </c>
      <c r="F10" s="16" t="n">
        <f aca="false">F98</f>
        <v>0.361725032077739</v>
      </c>
      <c r="G10" s="16" t="n">
        <f aca="false">G98</f>
        <v>0.366440654615893</v>
      </c>
    </row>
    <row r="11" customFormat="false" ht="15" hidden="false" customHeight="false" outlineLevel="0" collapsed="false">
      <c r="A11" s="3" t="s">
        <v>682</v>
      </c>
      <c r="B11" s="0" t="s">
        <v>379</v>
      </c>
      <c r="C11" s="23" t="n">
        <f aca="false">C94</f>
        <v>7.158</v>
      </c>
      <c r="D11" s="23" t="n">
        <f aca="false">D94</f>
        <v>8.32</v>
      </c>
      <c r="E11" s="23" t="n">
        <f aca="false">E94</f>
        <v>8.655</v>
      </c>
      <c r="F11" s="23" t="n">
        <f aca="false">F94</f>
        <v>9.698125</v>
      </c>
      <c r="G11" s="23" t="n">
        <f aca="false">G94</f>
        <v>10.485859375</v>
      </c>
      <c r="H11" s="25" t="n">
        <f aca="false">H94</f>
        <v>11.6939154071433</v>
      </c>
      <c r="I11" s="25" t="n">
        <f aca="false">I94</f>
        <v>12.7183498110769</v>
      </c>
      <c r="J11" s="25" t="n">
        <f aca="false">J94</f>
        <v>13.4814507997415</v>
      </c>
    </row>
    <row r="12" customFormat="false" ht="15" hidden="false" customHeight="false" outlineLevel="0" collapsed="false">
      <c r="A12" s="3" t="s">
        <v>683</v>
      </c>
      <c r="B12" s="0" t="s">
        <v>43</v>
      </c>
      <c r="C12" s="16" t="n">
        <f aca="false">C101</f>
        <v>0.0678508805367081</v>
      </c>
      <c r="D12" s="16" t="n">
        <f aca="false">D101</f>
        <v>0.161470773052486</v>
      </c>
      <c r="E12" s="16" t="n">
        <f aca="false">E101</f>
        <v>0.246836445466854</v>
      </c>
      <c r="F12" s="16" t="n">
        <f aca="false">F101</f>
        <v>0.259527827663128</v>
      </c>
      <c r="G12" s="16" t="n">
        <f aca="false">G101</f>
        <v>0.269351902617802</v>
      </c>
    </row>
    <row r="13" customFormat="false" ht="15" hidden="false" customHeight="false" outlineLevel="0" collapsed="false">
      <c r="A13" s="3" t="s">
        <v>598</v>
      </c>
      <c r="B13" s="0" t="s">
        <v>379</v>
      </c>
      <c r="C13" s="23" t="n">
        <f aca="false">C107</f>
        <v>1.596</v>
      </c>
      <c r="D13" s="23" t="n">
        <f aca="false">D107</f>
        <v>6.96140537512203</v>
      </c>
      <c r="E13" s="23" t="n">
        <f aca="false">E107</f>
        <v>14.4281943887461</v>
      </c>
      <c r="F13" s="23" t="n">
        <f aca="false">F107</f>
        <v>17.8318285828436</v>
      </c>
      <c r="G13" s="23" t="n">
        <f aca="false">G107</f>
        <v>21.2330478000698</v>
      </c>
      <c r="H13" s="25" t="n">
        <f aca="false">H107</f>
        <v>23.6792670900993</v>
      </c>
      <c r="I13" s="25" t="n">
        <f aca="false">I107</f>
        <v>25.7536668973882</v>
      </c>
      <c r="J13" s="25" t="n">
        <f aca="false">J107</f>
        <v>27.2988869112315</v>
      </c>
    </row>
    <row r="14" customFormat="false" ht="15" hidden="false" customHeight="false" outlineLevel="0" collapsed="false">
      <c r="A14" s="3" t="s">
        <v>684</v>
      </c>
      <c r="B14" s="0" t="s">
        <v>43</v>
      </c>
      <c r="C14" s="16" t="n">
        <f aca="false">C111</f>
        <v>0.0405580544331783</v>
      </c>
      <c r="D14" s="16" t="n">
        <f aca="false">D111</f>
        <v>0.127906349105057</v>
      </c>
      <c r="E14" s="16" t="n">
        <f aca="false">E111</f>
        <v>0.20029703939422</v>
      </c>
      <c r="F14" s="16" t="n">
        <f aca="false">F111</f>
        <v>0.212025592141549</v>
      </c>
      <c r="G14" s="16" t="n">
        <f aca="false">G111</f>
        <v>0.220917381687568</v>
      </c>
      <c r="H14" s="27" t="n">
        <f aca="false">H111</f>
        <v>0.220917381687568</v>
      </c>
      <c r="I14" s="27" t="n">
        <f aca="false">I111</f>
        <v>0.220917381687568</v>
      </c>
      <c r="J14" s="27" t="n">
        <f aca="false">J111</f>
        <v>0.220917381687568</v>
      </c>
    </row>
    <row r="15" customFormat="false" ht="15" hidden="false" customHeight="false" outlineLevel="0" collapsed="false">
      <c r="A15" s="0" t="s">
        <v>685</v>
      </c>
      <c r="B15" s="0" t="s">
        <v>471</v>
      </c>
      <c r="C15" s="18" t="n">
        <f aca="false">C109</f>
        <v>3.51</v>
      </c>
      <c r="D15" s="18" t="n">
        <f aca="false">D109</f>
        <v>13.6943608612652</v>
      </c>
      <c r="E15" s="18" t="n">
        <f aca="false">E109</f>
        <v>27.3826543218881</v>
      </c>
      <c r="F15" s="18" t="n">
        <f aca="false">F109</f>
        <v>33.84226638865</v>
      </c>
      <c r="G15" s="18" t="n">
        <f aca="false">G109</f>
        <v>40.2972951738814</v>
      </c>
      <c r="H15" s="28" t="n">
        <f aca="false">H109</f>
        <v>44.9398703575549</v>
      </c>
      <c r="I15" s="28" t="n">
        <f aca="false">I109</f>
        <v>48.8767852145303</v>
      </c>
      <c r="J15" s="28" t="n">
        <f aca="false">J109</f>
        <v>51.8093923274022</v>
      </c>
    </row>
    <row r="16" customFormat="false" ht="17.15" hidden="false" customHeight="false" outlineLevel="0" collapsed="false">
      <c r="A16" s="0" t="s">
        <v>686</v>
      </c>
      <c r="B16" s="0" t="s">
        <v>43</v>
      </c>
      <c r="D16" s="20" t="n">
        <f aca="false">D110</f>
        <v>2.90152731090177</v>
      </c>
      <c r="E16" s="20" t="n">
        <f aca="false">E110</f>
        <v>0.999556941670828</v>
      </c>
      <c r="F16" s="20" t="n">
        <f aca="false">F110</f>
        <v>0.235901603651273</v>
      </c>
      <c r="G16" s="20" t="n">
        <f aca="false">G110</f>
        <v>0.190738667177335</v>
      </c>
      <c r="H16" s="26" t="n">
        <f aca="false">H110</f>
        <v>0.115208109220259</v>
      </c>
      <c r="I16" s="26" t="n">
        <f aca="false">I110</f>
        <v>0.0876040546101298</v>
      </c>
      <c r="J16" s="26" t="n">
        <f aca="false">J110</f>
        <v>0.0600000000000001</v>
      </c>
    </row>
    <row r="18" customFormat="false" ht="17.15" hidden="false" customHeight="false" outlineLevel="0" collapsed="false">
      <c r="A18" s="1" t="s">
        <v>687</v>
      </c>
    </row>
    <row r="19" customFormat="false" ht="15" hidden="false" customHeight="false" outlineLevel="0" collapsed="false">
      <c r="A19" s="3" t="s">
        <v>573</v>
      </c>
      <c r="B19" s="0" t="s">
        <v>379</v>
      </c>
      <c r="C19" s="23" t="n">
        <f aca="false">C145</f>
        <v>39.351</v>
      </c>
      <c r="D19" s="23" t="n">
        <f aca="false">D145</f>
        <v>54.4258</v>
      </c>
      <c r="E19" s="23" t="n">
        <f aca="false">E145</f>
        <v>70.172710164</v>
      </c>
      <c r="F19" s="23" t="n">
        <f aca="false">F145</f>
        <v>80.6588836782375</v>
      </c>
      <c r="G19" s="23" t="n">
        <f aca="false">G145</f>
        <v>91.2669628710955</v>
      </c>
      <c r="H19" s="25" t="n">
        <f aca="false">H145</f>
        <v>100.486009352617</v>
      </c>
      <c r="I19" s="25" t="n">
        <f aca="false">I145</f>
        <v>107.570869337368</v>
      </c>
      <c r="J19" s="25" t="n">
        <f aca="false">J145</f>
        <v>111.873704110862</v>
      </c>
    </row>
    <row r="20" customFormat="false" ht="15" hidden="false" customHeight="false" outlineLevel="0" collapsed="false">
      <c r="A20" s="3" t="s">
        <v>678</v>
      </c>
      <c r="B20" s="0" t="s">
        <v>43</v>
      </c>
      <c r="D20" s="20" t="n">
        <f aca="false">D146</f>
        <v>0.383085563263958</v>
      </c>
      <c r="E20" s="20" t="n">
        <f aca="false">E146</f>
        <v>0.289328042288767</v>
      </c>
      <c r="F20" s="20" t="n">
        <f aca="false">F146</f>
        <v>0.149433782587709</v>
      </c>
      <c r="G20" s="20" t="n">
        <f aca="false">G146</f>
        <v>0.131517803236349</v>
      </c>
      <c r="H20" s="26" t="n">
        <f aca="false">H146</f>
        <v>0.101011868824233</v>
      </c>
      <c r="I20" s="26" t="n">
        <f aca="false">I146</f>
        <v>0.0705059344121164</v>
      </c>
      <c r="J20" s="26" t="n">
        <f aca="false">J146</f>
        <v>0.04</v>
      </c>
    </row>
    <row r="21" customFormat="false" ht="17.15" hidden="false" customHeight="false" outlineLevel="0" collapsed="false">
      <c r="A21" s="0" t="s">
        <v>679</v>
      </c>
      <c r="B21" s="0" t="s">
        <v>379</v>
      </c>
      <c r="D21" s="23" t="n">
        <f aca="false">D138</f>
        <v>22.858836</v>
      </c>
      <c r="E21" s="23" t="n">
        <f aca="false">E138</f>
        <v>33.122453364</v>
      </c>
      <c r="F21" s="23" t="n">
        <f aca="false">F138</f>
        <v>41.2995590382375</v>
      </c>
      <c r="G21" s="23" t="n">
        <f aca="false">G138</f>
        <v>50.0237637918955</v>
      </c>
    </row>
    <row r="22" customFormat="false" ht="17.15" hidden="false" customHeight="false" outlineLevel="0" collapsed="false">
      <c r="A22" s="0" t="s">
        <v>680</v>
      </c>
      <c r="B22" s="0" t="s">
        <v>379</v>
      </c>
      <c r="D22" s="23" t="n">
        <f aca="false">D140</f>
        <v>5.714709</v>
      </c>
      <c r="E22" s="23" t="n">
        <f aca="false">E140</f>
        <v>15.1670988044522</v>
      </c>
      <c r="F22" s="23" t="n">
        <f aca="false">F140</f>
        <v>19.478962845604</v>
      </c>
      <c r="G22" s="23" t="n">
        <f aca="false">G140</f>
        <v>26.5419947944087</v>
      </c>
    </row>
    <row r="23" customFormat="false" ht="17.15" hidden="false" customHeight="false" outlineLevel="0" collapsed="false">
      <c r="A23" s="0" t="s">
        <v>681</v>
      </c>
      <c r="B23" s="0" t="s">
        <v>43</v>
      </c>
      <c r="D23" s="20" t="n">
        <f aca="false">D139</f>
        <v>1</v>
      </c>
      <c r="E23" s="20" t="n">
        <f aca="false">E139</f>
        <v>0.85916169200315</v>
      </c>
      <c r="F23" s="20" t="n">
        <f aca="false">F139</f>
        <v>0.985012328784386</v>
      </c>
      <c r="G23" s="20" t="n">
        <f aca="false">G139</f>
        <v>1</v>
      </c>
    </row>
    <row r="24" customFormat="false" ht="15" hidden="false" customHeight="false" outlineLevel="0" collapsed="false">
      <c r="A24" s="3" t="s">
        <v>580</v>
      </c>
      <c r="B24" s="0" t="s">
        <v>43</v>
      </c>
      <c r="C24" s="16" t="n">
        <f aca="false">C155</f>
        <v>0.211277985311682</v>
      </c>
      <c r="D24" s="16" t="n">
        <f aca="false">D155</f>
        <v>0.281640986443929</v>
      </c>
      <c r="E24" s="16" t="n">
        <f aca="false">E155</f>
        <v>0.352743771562336</v>
      </c>
      <c r="F24" s="16" t="n">
        <f aca="false">F155</f>
        <v>0.358609493879444</v>
      </c>
      <c r="G24" s="16" t="n">
        <f aca="false">G155</f>
        <v>0.362449266119407</v>
      </c>
    </row>
    <row r="25" customFormat="false" ht="15" hidden="false" customHeight="false" outlineLevel="0" collapsed="false">
      <c r="A25" s="3" t="s">
        <v>682</v>
      </c>
      <c r="B25" s="0" t="s">
        <v>379</v>
      </c>
      <c r="C25" s="23" t="n">
        <f aca="false">C151</f>
        <v>7.158</v>
      </c>
      <c r="D25" s="23" t="n">
        <f aca="false">D151</f>
        <v>8.32</v>
      </c>
      <c r="E25" s="23" t="n">
        <f aca="false">E151</f>
        <v>8.655</v>
      </c>
      <c r="F25" s="23" t="n">
        <f aca="false">F151</f>
        <v>9.698125</v>
      </c>
      <c r="G25" s="23" t="n">
        <f aca="false">G151</f>
        <v>10.485859375</v>
      </c>
      <c r="H25" s="25" t="n">
        <f aca="false">H151</f>
        <v>11.5450556266969</v>
      </c>
      <c r="I25" s="25" t="n">
        <f aca="false">I151</f>
        <v>12.359050561497</v>
      </c>
      <c r="J25" s="25" t="n">
        <f aca="false">J151</f>
        <v>12.8534125839569</v>
      </c>
    </row>
    <row r="26" customFormat="false" ht="15" hidden="false" customHeight="false" outlineLevel="0" collapsed="false">
      <c r="A26" s="3" t="s">
        <v>683</v>
      </c>
      <c r="B26" s="0" t="s">
        <v>43</v>
      </c>
      <c r="C26" s="16" t="n">
        <f aca="false">C158</f>
        <v>0.0678508805367081</v>
      </c>
      <c r="D26" s="16" t="n">
        <f aca="false">D158</f>
        <v>0.161470773052486</v>
      </c>
      <c r="E26" s="16" t="n">
        <f aca="false">E158</f>
        <v>0.243360142016614</v>
      </c>
      <c r="F26" s="16" t="n">
        <f aca="false">F158</f>
        <v>0.254914094404494</v>
      </c>
      <c r="G26" s="16" t="n">
        <f aca="false">G158</f>
        <v>0.263574927738026</v>
      </c>
    </row>
    <row r="27" customFormat="false" ht="15" hidden="false" customHeight="false" outlineLevel="0" collapsed="false">
      <c r="A27" s="3" t="s">
        <v>598</v>
      </c>
      <c r="B27" s="0" t="s">
        <v>379</v>
      </c>
      <c r="C27" s="23" t="n">
        <f aca="false">C164</f>
        <v>1.596</v>
      </c>
      <c r="D27" s="23" t="n">
        <f aca="false">D164</f>
        <v>6.96140537512203</v>
      </c>
      <c r="E27" s="23" t="n">
        <f aca="false">E164</f>
        <v>13.8092264454949</v>
      </c>
      <c r="F27" s="23" t="n">
        <f aca="false">F164</f>
        <v>16.7179360154946</v>
      </c>
      <c r="G27" s="23" t="n">
        <f aca="false">G164</f>
        <v>19.6203992561452</v>
      </c>
      <c r="H27" s="25" t="n">
        <f aca="false">H164</f>
        <v>20.8822160370165</v>
      </c>
      <c r="I27" s="25" t="n">
        <f aca="false">I164</f>
        <v>21.5836901157399</v>
      </c>
      <c r="J27" s="25" t="n">
        <f aca="false">J164</f>
        <v>21.6453578017848</v>
      </c>
    </row>
    <row r="28" customFormat="false" ht="15" hidden="false" customHeight="false" outlineLevel="0" collapsed="false">
      <c r="A28" s="3" t="s">
        <v>684</v>
      </c>
      <c r="B28" s="0" t="s">
        <v>43</v>
      </c>
      <c r="C28" s="16" t="n">
        <f aca="false">C168</f>
        <v>0.0405580544331783</v>
      </c>
      <c r="D28" s="16" t="n">
        <f aca="false">D168</f>
        <v>0.127906349105057</v>
      </c>
      <c r="E28" s="16" t="n">
        <f aca="false">E168</f>
        <v>0.196789128041678</v>
      </c>
      <c r="F28" s="16" t="n">
        <f aca="false">F168</f>
        <v>0.207267138511183</v>
      </c>
      <c r="G28" s="16" t="n">
        <f aca="false">G168</f>
        <v>0.214978110796311</v>
      </c>
      <c r="H28" s="27" t="n">
        <f aca="false">H168</f>
        <v>0.207812173769768</v>
      </c>
      <c r="I28" s="27" t="n">
        <f aca="false">I168</f>
        <v>0.200646236743224</v>
      </c>
      <c r="J28" s="27" t="n">
        <f aca="false">J168</f>
        <v>0.19348029971668</v>
      </c>
    </row>
    <row r="29" customFormat="false" ht="15" hidden="false" customHeight="false" outlineLevel="0" collapsed="false">
      <c r="A29" s="0" t="s">
        <v>685</v>
      </c>
      <c r="B29" s="0" t="s">
        <v>471</v>
      </c>
      <c r="C29" s="18" t="n">
        <f aca="false">C166</f>
        <v>3.51</v>
      </c>
      <c r="D29" s="18" t="n">
        <f aca="false">D166</f>
        <v>13.6943608612652</v>
      </c>
      <c r="E29" s="18" t="n">
        <f aca="false">E166</f>
        <v>26.2079414805089</v>
      </c>
      <c r="F29" s="18" t="n">
        <f aca="false">F166</f>
        <v>31.7282572270304</v>
      </c>
      <c r="G29" s="18" t="n">
        <f aca="false">G166</f>
        <v>37.2367183316794</v>
      </c>
      <c r="H29" s="28" t="n">
        <f aca="false">H166</f>
        <v>39.6314665446025</v>
      </c>
      <c r="I29" s="28" t="n">
        <f aca="false">I166</f>
        <v>40.9627642590573</v>
      </c>
      <c r="J29" s="28" t="n">
        <f aca="false">J166</f>
        <v>41.0798007283689</v>
      </c>
    </row>
    <row r="30" customFormat="false" ht="17.15" hidden="false" customHeight="false" outlineLevel="0" collapsed="false">
      <c r="A30" s="0" t="s">
        <v>686</v>
      </c>
      <c r="B30" s="0" t="s">
        <v>43</v>
      </c>
      <c r="D30" s="20" t="n">
        <f aca="false">D167</f>
        <v>2.90152731090177</v>
      </c>
      <c r="E30" s="20" t="n">
        <f aca="false">E167</f>
        <v>0.913776170061255</v>
      </c>
      <c r="F30" s="20" t="n">
        <f aca="false">F167</f>
        <v>0.210635228662545</v>
      </c>
      <c r="G30" s="20" t="n">
        <f aca="false">G167</f>
        <v>0.173613730663912</v>
      </c>
      <c r="H30" s="26" t="n">
        <f aca="false">H167</f>
        <v>0.0643114731967582</v>
      </c>
      <c r="I30" s="26" t="n">
        <f aca="false">I167</f>
        <v>0.0335919366737674</v>
      </c>
      <c r="J30" s="26" t="n">
        <f aca="false">J167</f>
        <v>0.00285714285714289</v>
      </c>
    </row>
    <row r="32" customFormat="false" ht="17.15" hidden="false" customHeight="false" outlineLevel="0" collapsed="false">
      <c r="A32" s="1" t="s">
        <v>688</v>
      </c>
    </row>
    <row r="33" customFormat="false" ht="15" hidden="false" customHeight="false" outlineLevel="0" collapsed="false">
      <c r="A33" s="3" t="s">
        <v>573</v>
      </c>
      <c r="B33" s="0" t="s">
        <v>379</v>
      </c>
      <c r="C33" s="23" t="n">
        <f aca="false">C202</f>
        <v>39.351</v>
      </c>
      <c r="D33" s="23" t="n">
        <f aca="false">D202</f>
        <v>54.4258</v>
      </c>
      <c r="E33" s="23" t="n">
        <f aca="false">E202</f>
        <v>68.311433044</v>
      </c>
      <c r="F33" s="23" t="n">
        <f aca="false">F202</f>
        <v>73.0862139008561</v>
      </c>
      <c r="G33" s="23" t="n">
        <f aca="false">G202</f>
        <v>78.5420690243165</v>
      </c>
      <c r="H33" s="25" t="n">
        <f aca="false">H202</f>
        <v>82.9744377600667</v>
      </c>
      <c r="I33" s="25" t="n">
        <f aca="false">I202</f>
        <v>86.1454325552004</v>
      </c>
      <c r="J33" s="25" t="n">
        <f aca="false">J202</f>
        <v>87.8683412063044</v>
      </c>
    </row>
    <row r="34" customFormat="false" ht="15" hidden="false" customHeight="false" outlineLevel="0" collapsed="false">
      <c r="A34" s="3" t="s">
        <v>678</v>
      </c>
      <c r="B34" s="0" t="s">
        <v>43</v>
      </c>
      <c r="D34" s="20" t="n">
        <f aca="false">D203</f>
        <v>0.383085563263958</v>
      </c>
      <c r="E34" s="20" t="n">
        <f aca="false">E203</f>
        <v>0.255129608457753</v>
      </c>
      <c r="F34" s="20" t="n">
        <f aca="false">F203</f>
        <v>0.0698972433176837</v>
      </c>
      <c r="G34" s="20" t="n">
        <f aca="false">G203</f>
        <v>0.0746495793428486</v>
      </c>
      <c r="H34" s="26" t="n">
        <f aca="false">H203</f>
        <v>0.0564330528952324</v>
      </c>
      <c r="I34" s="26" t="n">
        <f aca="false">I203</f>
        <v>0.0382165264476162</v>
      </c>
      <c r="J34" s="26" t="n">
        <f aca="false">J203</f>
        <v>0.02</v>
      </c>
    </row>
    <row r="35" customFormat="false" ht="17.15" hidden="false" customHeight="false" outlineLevel="0" collapsed="false">
      <c r="A35" s="0" t="s">
        <v>679</v>
      </c>
      <c r="B35" s="0" t="s">
        <v>379</v>
      </c>
      <c r="D35" s="23" t="n">
        <f aca="false">D195</f>
        <v>22.858836</v>
      </c>
      <c r="E35" s="23" t="n">
        <f aca="false">E195</f>
        <v>33.122453364</v>
      </c>
      <c r="F35" s="23" t="n">
        <f aca="false">F195</f>
        <v>36.9841242208561</v>
      </c>
      <c r="G35" s="23" t="n">
        <f aca="false">G195</f>
        <v>42.2172947347165</v>
      </c>
    </row>
    <row r="36" customFormat="false" ht="17.15" hidden="false" customHeight="false" outlineLevel="0" collapsed="false">
      <c r="A36" s="0" t="s">
        <v>680</v>
      </c>
      <c r="B36" s="0" t="s">
        <v>379</v>
      </c>
      <c r="D36" s="23" t="n">
        <f aca="false">D197</f>
        <v>5.714709</v>
      </c>
      <c r="E36" s="23" t="n">
        <f aca="false">E197</f>
        <v>15.1670988044522</v>
      </c>
      <c r="F36" s="23" t="n">
        <f aca="false">F197</f>
        <v>14.8315119590761</v>
      </c>
      <c r="G36" s="23" t="n">
        <f aca="false">G197</f>
        <v>18.7355257372297</v>
      </c>
    </row>
    <row r="37" customFormat="false" ht="17.15" hidden="false" customHeight="false" outlineLevel="0" collapsed="false">
      <c r="A37" s="0" t="s">
        <v>681</v>
      </c>
      <c r="B37" s="0" t="s">
        <v>43</v>
      </c>
      <c r="D37" s="20" t="n">
        <f aca="false">D196</f>
        <v>1</v>
      </c>
      <c r="E37" s="20" t="n">
        <f aca="false">E196</f>
        <v>0.85916169200315</v>
      </c>
      <c r="F37" s="20" t="n">
        <f aca="false">F196</f>
        <v>1</v>
      </c>
      <c r="G37" s="20" t="n">
        <f aca="false">G196</f>
        <v>1</v>
      </c>
    </row>
    <row r="38" customFormat="false" ht="15" hidden="false" customHeight="false" outlineLevel="0" collapsed="false">
      <c r="A38" s="3" t="s">
        <v>580</v>
      </c>
      <c r="B38" s="0" t="s">
        <v>43</v>
      </c>
      <c r="C38" s="16" t="n">
        <f aca="false">C212</f>
        <v>0.211277985311682</v>
      </c>
      <c r="D38" s="16" t="n">
        <f aca="false">D212</f>
        <v>0.281640986443929</v>
      </c>
      <c r="E38" s="16" t="n">
        <f aca="false">E212</f>
        <v>0.350093837507345</v>
      </c>
      <c r="F38" s="16" t="n">
        <f aca="false">F212</f>
        <v>0.343792277098014</v>
      </c>
      <c r="G38" s="16" t="n">
        <f aca="false">G212</f>
        <v>0.341614690379425</v>
      </c>
    </row>
    <row r="39" customFormat="false" ht="15" hidden="false" customHeight="false" outlineLevel="0" collapsed="false">
      <c r="A39" s="3" t="s">
        <v>682</v>
      </c>
      <c r="B39" s="0" t="s">
        <v>379</v>
      </c>
      <c r="C39" s="23" t="n">
        <f aca="false">C208</f>
        <v>7.158</v>
      </c>
      <c r="D39" s="23" t="n">
        <f aca="false">D208</f>
        <v>8.32</v>
      </c>
      <c r="E39" s="23" t="n">
        <f aca="false">E208</f>
        <v>8.655</v>
      </c>
      <c r="F39" s="23" t="n">
        <f aca="false">F208</f>
        <v>9.698125</v>
      </c>
      <c r="G39" s="23" t="n">
        <f aca="false">G208</f>
        <v>10.485859375</v>
      </c>
      <c r="H39" s="25" t="n">
        <f aca="false">H208</f>
        <v>11.0776084317613</v>
      </c>
      <c r="I39" s="25" t="n">
        <f aca="false">I208</f>
        <v>11.5009561473701</v>
      </c>
      <c r="J39" s="25" t="n">
        <f aca="false">J208</f>
        <v>11.7309752703175</v>
      </c>
    </row>
    <row r="40" customFormat="false" ht="15" hidden="false" customHeight="false" outlineLevel="0" collapsed="false">
      <c r="A40" s="3" t="s">
        <v>683</v>
      </c>
      <c r="B40" s="0" t="s">
        <v>43</v>
      </c>
      <c r="C40" s="16" t="n">
        <f aca="false">C215</f>
        <v>0.0678508805367081</v>
      </c>
      <c r="D40" s="16" t="n">
        <f aca="false">D215</f>
        <v>0.161470773052486</v>
      </c>
      <c r="E40" s="16" t="n">
        <f aca="false">E215</f>
        <v>0.239694401343766</v>
      </c>
      <c r="F40" s="16" t="n">
        <f aca="false">F215</f>
        <v>0.236277834348469</v>
      </c>
      <c r="G40" s="16" t="n">
        <f aca="false">G215</f>
        <v>0.237087605771105</v>
      </c>
    </row>
    <row r="41" customFormat="false" ht="15" hidden="false" customHeight="false" outlineLevel="0" collapsed="false">
      <c r="A41" s="3" t="s">
        <v>598</v>
      </c>
      <c r="B41" s="0" t="s">
        <v>379</v>
      </c>
      <c r="C41" s="23" t="n">
        <f aca="false">C221</f>
        <v>1.596</v>
      </c>
      <c r="D41" s="23" t="n">
        <f aca="false">D221</f>
        <v>6.96140537512203</v>
      </c>
      <c r="E41" s="23" t="n">
        <f aca="false">E221</f>
        <v>13.1902585022438</v>
      </c>
      <c r="F41" s="23" t="n">
        <f aca="false">F221</f>
        <v>13.8205941418776</v>
      </c>
      <c r="G41" s="23" t="n">
        <f aca="false">G221</f>
        <v>14.8381870553712</v>
      </c>
      <c r="H41" s="25" t="n">
        <f aca="false">H221</f>
        <v>14.6305145003139</v>
      </c>
      <c r="I41" s="25" t="n">
        <f aca="false">I221</f>
        <v>14.104667520039</v>
      </c>
      <c r="J41" s="25" t="n">
        <f aca="false">J221</f>
        <v>13.280086957329</v>
      </c>
    </row>
    <row r="42" customFormat="false" ht="15" hidden="false" customHeight="false" outlineLevel="0" collapsed="false">
      <c r="A42" s="3" t="s">
        <v>684</v>
      </c>
      <c r="B42" s="0" t="s">
        <v>43</v>
      </c>
      <c r="C42" s="16" t="n">
        <f aca="false">C225</f>
        <v>0.0405580544331783</v>
      </c>
      <c r="D42" s="16" t="n">
        <f aca="false">D225</f>
        <v>0.127906349105057</v>
      </c>
      <c r="E42" s="16" t="n">
        <f aca="false">E225</f>
        <v>0.19309005702966</v>
      </c>
      <c r="F42" s="16" t="n">
        <f aca="false">F225</f>
        <v>0.189099878133319</v>
      </c>
      <c r="G42" s="16" t="n">
        <f aca="false">G225</f>
        <v>0.188920246686872</v>
      </c>
      <c r="H42" s="27" t="n">
        <f aca="false">H225</f>
        <v>0.176325563574414</v>
      </c>
      <c r="I42" s="27" t="n">
        <f aca="false">I225</f>
        <v>0.163730880461956</v>
      </c>
      <c r="J42" s="27" t="n">
        <f aca="false">J225</f>
        <v>0.151136197349498</v>
      </c>
    </row>
    <row r="43" customFormat="false" ht="15" hidden="false" customHeight="false" outlineLevel="0" collapsed="false">
      <c r="A43" s="0" t="s">
        <v>685</v>
      </c>
      <c r="B43" s="0" t="s">
        <v>471</v>
      </c>
      <c r="C43" s="18" t="n">
        <f aca="false">C223</f>
        <v>3.51</v>
      </c>
      <c r="D43" s="18" t="n">
        <f aca="false">D223</f>
        <v>13.6943608612652</v>
      </c>
      <c r="E43" s="18" t="n">
        <f aca="false">E223</f>
        <v>25.0332286391296</v>
      </c>
      <c r="F43" s="18" t="n">
        <f aca="false">F223</f>
        <v>26.2295157462898</v>
      </c>
      <c r="G43" s="18" t="n">
        <f aca="false">G223</f>
        <v>28.1607619050146</v>
      </c>
      <c r="H43" s="28" t="n">
        <f aca="false">H223</f>
        <v>27.7666290264256</v>
      </c>
      <c r="I43" s="28" t="n">
        <f aca="false">I223</f>
        <v>26.7686464861912</v>
      </c>
      <c r="J43" s="28" t="n">
        <f aca="false">J223</f>
        <v>25.2037102300754</v>
      </c>
    </row>
    <row r="44" customFormat="false" ht="17.15" hidden="false" customHeight="false" outlineLevel="0" collapsed="false">
      <c r="A44" s="0" t="s">
        <v>686</v>
      </c>
      <c r="B44" s="0" t="s">
        <v>43</v>
      </c>
      <c r="D44" s="20" t="n">
        <f aca="false">D224</f>
        <v>2.90152731090177</v>
      </c>
      <c r="E44" s="20" t="n">
        <f aca="false">E224</f>
        <v>0.827995398451683</v>
      </c>
      <c r="F44" s="20" t="n">
        <f aca="false">F224</f>
        <v>0.0477879671218409</v>
      </c>
      <c r="G44" s="20" t="n">
        <f aca="false">G224</f>
        <v>0.0736287386090193</v>
      </c>
      <c r="H44" s="26" t="n">
        <f aca="false">H224</f>
        <v>-0.0139958172977831</v>
      </c>
      <c r="I44" s="26" t="n">
        <f aca="false">I224</f>
        <v>-0.0359417968700706</v>
      </c>
      <c r="J44" s="26" t="n">
        <f aca="false">J224</f>
        <v>-0.0584615384615383</v>
      </c>
    </row>
    <row r="46" customFormat="false" ht="17.15" hidden="false" customHeight="false" outlineLevel="0" collapsed="false">
      <c r="A46" s="1" t="s">
        <v>689</v>
      </c>
    </row>
    <row r="47" customFormat="false" ht="17.15" hidden="false" customHeight="false" outlineLevel="0" collapsed="false">
      <c r="A47" s="3" t="s">
        <v>690</v>
      </c>
      <c r="D47" s="29" t="n">
        <f aca="false">ABS(D88-a26_rev)+ABS(D145-a26_rev)+ABS(D202-a26_rev)</f>
        <v>0</v>
      </c>
    </row>
    <row r="48" customFormat="false" ht="17.15" hidden="false" customHeight="false" outlineLevel="0" collapsed="false">
      <c r="A48" s="3" t="s">
        <v>691</v>
      </c>
      <c r="D48" s="29" t="n">
        <f aca="false">ABS(D109-a26_eps)+ABS(D166-a26_eps)+ABS(D223-a26_eps)</f>
        <v>0</v>
      </c>
    </row>
    <row r="49" customFormat="false" ht="17.15" hidden="false" customHeight="false" outlineLevel="0" collapsed="false">
      <c r="A49" s="3" t="s">
        <v>692</v>
      </c>
      <c r="D49" s="29" t="n">
        <f aca="false">IF(D77&gt;0,0,1)</f>
        <v>0</v>
      </c>
    </row>
    <row r="60" customFormat="false" ht="17.15" hidden="false" customHeight="false" outlineLevel="0" collapsed="false">
      <c r="A60" s="1" t="s">
        <v>693</v>
      </c>
    </row>
    <row r="61" customFormat="false" ht="17.15" hidden="false" customHeight="false" outlineLevel="0" collapsed="false">
      <c r="A61" s="4" t="s">
        <v>20</v>
      </c>
      <c r="B61" s="4" t="s">
        <v>21</v>
      </c>
      <c r="C61" s="13" t="s">
        <v>566</v>
      </c>
      <c r="D61" s="13" t="s">
        <v>670</v>
      </c>
      <c r="E61" s="13" t="s">
        <v>671</v>
      </c>
      <c r="F61" s="13" t="s">
        <v>672</v>
      </c>
      <c r="G61" s="13" t="s">
        <v>673</v>
      </c>
      <c r="H61" s="13" t="s">
        <v>674</v>
      </c>
      <c r="I61" s="13" t="s">
        <v>675</v>
      </c>
      <c r="J61" s="13" t="s">
        <v>676</v>
      </c>
      <c r="K61" s="4" t="s">
        <v>630</v>
      </c>
    </row>
    <row r="62" customFormat="false" ht="17.15" hidden="false" customHeight="false" outlineLevel="0" collapsed="false">
      <c r="A62" s="5" t="s">
        <v>694</v>
      </c>
    </row>
    <row r="63" customFormat="false" ht="17.15" hidden="false" customHeight="false" outlineLevel="0" collapsed="false">
      <c r="A63" s="0" t="s">
        <v>695</v>
      </c>
      <c r="B63" s="3" t="s">
        <v>31</v>
      </c>
      <c r="D63" s="21" t="n">
        <f aca="false">(u_bw_26+u_rb_26+u_ru_26+u_hp_26)*1</f>
        <v>7.6</v>
      </c>
      <c r="E63" s="21" t="n">
        <f aca="false">(u_bw_27+u_rb_27+u_ru_27+u_hp_27)*1*1</f>
        <v>9.7</v>
      </c>
      <c r="F63" s="21" t="n">
        <f aca="false">(u_bw_28+u_rb_28+u_ru_28+u_hp_28)*um28_A*1</f>
        <v>9.5</v>
      </c>
      <c r="G63" s="21" t="n">
        <f aca="false">(u_bw_28*(1+g29_bw)+u_rb_28*(1+g29_rb)+u_ru_28*(1+g29_ru)+u_hp_28*(1+g29_hp))*um29_A*1</f>
        <v>10.6</v>
      </c>
      <c r="K63" s="7" t="s">
        <v>696</v>
      </c>
    </row>
    <row r="64" customFormat="false" ht="17.15" hidden="false" customHeight="false" outlineLevel="0" collapsed="false">
      <c r="A64" s="3" t="s">
        <v>697</v>
      </c>
      <c r="B64" s="3" t="s">
        <v>31</v>
      </c>
      <c r="D64" s="21" t="n">
        <f aca="false">(u_amd_26+u_tpu_26+u_trn_26+u_oth_26)*1</f>
        <v>7.6</v>
      </c>
      <c r="E64" s="21" t="n">
        <f aca="false">(u_amd_27+u_tpu_27+u_trn_27+u_oth_27)*1*1</f>
        <v>14</v>
      </c>
      <c r="F64" s="21" t="n">
        <f aca="false">(u_amd_28+u_tpu_28+u_trn_28+u_oth_28)*um28_A*1</f>
        <v>17</v>
      </c>
      <c r="G64" s="21" t="n">
        <f aca="false">(u_amd_28*(1+g29_amd)+u_tpu_28*(1+g29_tpu)+u_trn_28*(1+g29_trn)+u_oth_28*(1+g29_oth))*um29_A*1</f>
        <v>19.55</v>
      </c>
      <c r="K64" s="7" t="s">
        <v>698</v>
      </c>
    </row>
    <row r="65" customFormat="false" ht="17.15" hidden="false" customHeight="false" outlineLevel="0" collapsed="false">
      <c r="A65" s="0" t="s">
        <v>699</v>
      </c>
      <c r="B65" s="3" t="s">
        <v>31</v>
      </c>
      <c r="D65" s="21" t="n">
        <f aca="false">D63*cpu_r</f>
        <v>3.04</v>
      </c>
      <c r="E65" s="21" t="n">
        <f aca="false">E63*cpu_r</f>
        <v>3.88</v>
      </c>
      <c r="F65" s="21" t="n">
        <f aca="false">F63*cpu_r</f>
        <v>3.8</v>
      </c>
      <c r="G65" s="21" t="n">
        <f aca="false">G63*cpu_r</f>
        <v>4.24</v>
      </c>
      <c r="K65" s="7" t="s">
        <v>700</v>
      </c>
    </row>
    <row r="66" customFormat="false" ht="17.15" hidden="false" customHeight="false" outlineLevel="0" collapsed="false">
      <c r="A66" s="3" t="s">
        <v>701</v>
      </c>
      <c r="B66" s="0" t="s">
        <v>153</v>
      </c>
      <c r="D66" s="19" t="n">
        <f aca="false">1</f>
        <v>1</v>
      </c>
      <c r="E66" s="19" t="n">
        <f aca="false">D66*(1+g_asp)</f>
        <v>1.18</v>
      </c>
      <c r="F66" s="19" t="n">
        <f aca="false">E66*(1+g_asp)</f>
        <v>1.3924</v>
      </c>
      <c r="G66" s="19" t="n">
        <f aca="false">F66*(1+g_asp)</f>
        <v>1.643032</v>
      </c>
      <c r="K66" s="7" t="s">
        <v>702</v>
      </c>
    </row>
    <row r="67" customFormat="false" ht="17.15" hidden="false" customHeight="false" outlineLevel="0" collapsed="false">
      <c r="A67" s="0" t="s">
        <v>703</v>
      </c>
      <c r="B67" s="0" t="s">
        <v>153</v>
      </c>
      <c r="D67" s="18" t="n">
        <f aca="false">1</f>
        <v>1</v>
      </c>
      <c r="E67" s="18" t="n">
        <f aca="false">ibpp_27</f>
        <v>1</v>
      </c>
      <c r="F67" s="18" t="n">
        <f aca="false">ibpp_28</f>
        <v>0.95</v>
      </c>
      <c r="G67" s="18" t="n">
        <f aca="false">ibpp_29</f>
        <v>0.9</v>
      </c>
      <c r="K67" s="7" t="s">
        <v>704</v>
      </c>
    </row>
    <row r="68" customFormat="false" ht="17.15" hidden="false" customHeight="false" outlineLevel="0" collapsed="false">
      <c r="A68" s="3" t="s">
        <v>705</v>
      </c>
      <c r="B68" s="0" t="s">
        <v>153</v>
      </c>
      <c r="D68" s="18" t="n">
        <f aca="false">1</f>
        <v>1</v>
      </c>
      <c r="E68" s="18" t="n">
        <f aca="false">1+carry</f>
        <v>1.15</v>
      </c>
      <c r="F68" s="18" t="n">
        <f aca="false">1+carry</f>
        <v>1.15</v>
      </c>
      <c r="G68" s="18" t="n">
        <f aca="false">1+carry</f>
        <v>1.15</v>
      </c>
      <c r="K68" s="7" t="s">
        <v>706</v>
      </c>
    </row>
    <row r="69" customFormat="false" ht="17.15" hidden="false" customHeight="false" outlineLevel="0" collapsed="false">
      <c r="A69" s="3" t="s">
        <v>707</v>
      </c>
      <c r="B69" s="0" t="s">
        <v>708</v>
      </c>
      <c r="D69" s="23" t="n">
        <f aca="false">v26*D66*D67</f>
        <v>215.308596</v>
      </c>
      <c r="E69" s="23" t="n">
        <f aca="false">v26*E66*E67</f>
        <v>254.06414328</v>
      </c>
      <c r="F69" s="23" t="n">
        <f aca="false">v26*F66*F67</f>
        <v>284.80590461688</v>
      </c>
      <c r="G69" s="23" t="n">
        <f aca="false">v26*G66*G67</f>
        <v>318.383021792765</v>
      </c>
      <c r="K69" s="7" t="s">
        <v>709</v>
      </c>
    </row>
    <row r="70" customFormat="false" ht="17.15" hidden="false" customHeight="false" outlineLevel="0" collapsed="false">
      <c r="A70" s="3" t="s">
        <v>710</v>
      </c>
      <c r="B70" s="0" t="s">
        <v>43</v>
      </c>
      <c r="D70" s="20" t="n">
        <f aca="false">sh_nv_26</f>
        <v>0.02</v>
      </c>
      <c r="E70" s="20" t="n">
        <f aca="false">sh_nv_27</f>
        <v>0.03</v>
      </c>
      <c r="F70" s="20" t="n">
        <f aca="false">sh_nv_28</f>
        <v>0.05</v>
      </c>
      <c r="G70" s="20" t="n">
        <f aca="false">sh_nv_29</f>
        <v>0.06</v>
      </c>
    </row>
    <row r="71" customFormat="false" ht="17.15" hidden="false" customHeight="false" outlineLevel="0" collapsed="false">
      <c r="A71" s="3" t="s">
        <v>711</v>
      </c>
      <c r="B71" s="0" t="s">
        <v>43</v>
      </c>
      <c r="D71" s="20" t="n">
        <f aca="false">sh_ot_26</f>
        <v>0.03</v>
      </c>
      <c r="E71" s="20" t="n">
        <f aca="false">sh_ot_27</f>
        <v>0.05</v>
      </c>
      <c r="F71" s="20" t="n">
        <f aca="false">sh_ot_28</f>
        <v>0.06</v>
      </c>
      <c r="G71" s="20" t="n">
        <f aca="false">sh_ot_29</f>
        <v>0.06</v>
      </c>
    </row>
    <row r="72" customFormat="false" ht="17.15" hidden="false" customHeight="false" outlineLevel="0" collapsed="false">
      <c r="A72" s="3" t="s">
        <v>712</v>
      </c>
      <c r="B72" s="0" t="s">
        <v>43</v>
      </c>
      <c r="D72" s="20" t="n">
        <f aca="false">sh_cpu_26</f>
        <v>0.35</v>
      </c>
      <c r="E72" s="20" t="n">
        <f aca="false">sh_cpu_27</f>
        <v>0.7</v>
      </c>
      <c r="F72" s="20" t="n">
        <f aca="false">sh_cpu_28</f>
        <v>0.75</v>
      </c>
      <c r="G72" s="20" t="n">
        <f aca="false">sh_cpu_29</f>
        <v>0.7</v>
      </c>
    </row>
    <row r="73" customFormat="false" ht="17.15" hidden="false" customHeight="false" outlineLevel="0" collapsed="false">
      <c r="A73" s="3" t="s">
        <v>713</v>
      </c>
      <c r="B73" s="0" t="s">
        <v>660</v>
      </c>
      <c r="D73" s="22" t="n">
        <f aca="false">(D63*D69*D70+D64*D69*v_ot*D71+D65*D69*v_cpu*D72)*D68</f>
        <v>140.7256983456</v>
      </c>
      <c r="E73" s="22" t="n">
        <f aca="false">(E63*E69*E70+E64*E69*v_ot*E71+E65*E69*v_cpu*E72)*E68</f>
        <v>486.703057357198</v>
      </c>
      <c r="F73" s="22" t="n">
        <f aca="false">(F63*F69*F70+F64*F69*v_ot*F71+F65*F69*v_cpu*F72)*F68</f>
        <v>702.872492003998</v>
      </c>
      <c r="G73" s="22" t="n">
        <f aca="false">(G63*G69*G70+G64*G69*v_ot*G71+G65*G69*v_cpu*G72)*G68</f>
        <v>902.463042932027</v>
      </c>
    </row>
    <row r="74" customFormat="false" ht="17.15" hidden="false" customHeight="false" outlineLevel="0" collapsed="false">
      <c r="A74" s="3" t="s">
        <v>714</v>
      </c>
      <c r="B74" s="0" t="s">
        <v>379</v>
      </c>
      <c r="D74" s="21" t="n">
        <f aca="false">D73*fx/1000</f>
        <v>4.573585196232</v>
      </c>
      <c r="E74" s="21" t="n">
        <f aca="false">E73*fx/1000</f>
        <v>15.8178493641089</v>
      </c>
      <c r="F74" s="21" t="n">
        <f aca="false">F73*fx/1000</f>
        <v>22.8433559901299</v>
      </c>
      <c r="G74" s="21" t="n">
        <f aca="false">G73*fx/1000</f>
        <v>29.3300488952909</v>
      </c>
    </row>
    <row r="75" customFormat="false" ht="17.15" hidden="false" customHeight="false" outlineLevel="0" collapsed="false">
      <c r="A75" s="5" t="s">
        <v>715</v>
      </c>
    </row>
    <row r="76" customFormat="false" ht="17.15" hidden="false" customHeight="false" outlineLevel="0" collapsed="false">
      <c r="A76" s="0" t="s">
        <v>716</v>
      </c>
      <c r="B76" s="0" t="s">
        <v>379</v>
      </c>
      <c r="D76" s="21" t="n">
        <f aca="false">a26_abf*ai_abf</f>
        <v>5.714709</v>
      </c>
      <c r="K76" s="3" t="s">
        <v>717</v>
      </c>
    </row>
    <row r="77" customFormat="false" ht="17.15" hidden="false" customHeight="false" outlineLevel="0" collapsed="false">
      <c r="A77" s="3" t="s">
        <v>718</v>
      </c>
      <c r="B77" s="0" t="s">
        <v>379</v>
      </c>
      <c r="D77" s="21" t="n">
        <f aca="false">D76-D74</f>
        <v>1.141123803768</v>
      </c>
      <c r="E77" s="21" t="n">
        <f aca="false">$D77*(swm_27/swm_26)^el_o*1*1*E67*E68</f>
        <v>1.83552013039205</v>
      </c>
      <c r="F77" s="21" t="n">
        <f aca="false">$D77*(swm_28/swm_26)^el_o*um28_A*1*F67*F68</f>
        <v>1.87583060833026</v>
      </c>
      <c r="G77" s="21" t="n">
        <f aca="false">$D77*(swm_29/swm_26)^el_o*um29_A*1*G67*G68</f>
        <v>1.89582733342525</v>
      </c>
      <c r="K77" s="7" t="s">
        <v>719</v>
      </c>
    </row>
    <row r="78" customFormat="false" ht="17.15" hidden="false" customHeight="false" outlineLevel="0" collapsed="false">
      <c r="A78" s="3" t="s">
        <v>720</v>
      </c>
      <c r="B78" s="0" t="s">
        <v>379</v>
      </c>
      <c r="D78" s="21" t="n">
        <f aca="false">a26_abf-D76</f>
        <v>17.144127</v>
      </c>
      <c r="E78" s="21" t="n">
        <f aca="false">$D78*(1+g_nai)^1*E68</f>
        <v>20.898690813</v>
      </c>
      <c r="F78" s="21" t="n">
        <f aca="false">$D78*(1+g_nai)^2*F68</f>
        <v>22.15261226178</v>
      </c>
      <c r="G78" s="21" t="n">
        <f aca="false">$D78*(1+g_nai)^3*G68</f>
        <v>23.4817689974868</v>
      </c>
      <c r="K78" s="3" t="s">
        <v>721</v>
      </c>
    </row>
    <row r="79" customFormat="false" ht="17.15" hidden="false" customHeight="false" outlineLevel="0" collapsed="false">
      <c r="A79" s="0" t="s">
        <v>722</v>
      </c>
      <c r="B79" s="0" t="s">
        <v>379</v>
      </c>
      <c r="D79" s="21" t="n">
        <f aca="false">D74+D77+D78</f>
        <v>22.858836</v>
      </c>
      <c r="E79" s="21" t="n">
        <f aca="false">E74+E77+E78</f>
        <v>38.552060307501</v>
      </c>
      <c r="F79" s="21" t="n">
        <f aca="false">F74+F77+F78</f>
        <v>46.8717988602402</v>
      </c>
      <c r="G79" s="21" t="n">
        <f aca="false">G74+G77+G78</f>
        <v>54.7076452262029</v>
      </c>
    </row>
    <row r="80" customFormat="false" ht="17.15" hidden="false" customHeight="false" outlineLevel="0" collapsed="false">
      <c r="A80" s="0" t="s">
        <v>723</v>
      </c>
      <c r="B80" s="0" t="s">
        <v>379</v>
      </c>
      <c r="D80" s="21" t="n">
        <f aca="false">a26_abf</f>
        <v>22.858836</v>
      </c>
      <c r="E80" s="21" t="n">
        <f aca="false">$D79*cap_27*(1+g_mix)^1*E67*E68</f>
        <v>33.122453364</v>
      </c>
      <c r="F80" s="21" t="n">
        <f aca="false">$D79*cap_28*(1+g_mix)^2*F67*F68</f>
        <v>41.2995590382375</v>
      </c>
      <c r="G80" s="21" t="n">
        <f aca="false">$D79*cap_29*(1+g_mix)^3*G67*G68</f>
        <v>50.6680379569114</v>
      </c>
      <c r="K80" s="7" t="s">
        <v>724</v>
      </c>
    </row>
    <row r="81" customFormat="false" ht="17.15" hidden="false" customHeight="false" outlineLevel="0" collapsed="false">
      <c r="A81" s="0" t="s">
        <v>725</v>
      </c>
      <c r="B81" s="0" t="s">
        <v>379</v>
      </c>
      <c r="D81" s="21" t="n">
        <f aca="false">a26_abf</f>
        <v>22.858836</v>
      </c>
      <c r="E81" s="21" t="n">
        <f aca="false">MIN(E79,E80)</f>
        <v>33.122453364</v>
      </c>
      <c r="F81" s="21" t="n">
        <f aca="false">MIN(F79,F80)</f>
        <v>41.2995590382375</v>
      </c>
      <c r="G81" s="21" t="n">
        <f aca="false">MIN(G79,G80)</f>
        <v>50.6680379569114</v>
      </c>
    </row>
    <row r="82" customFormat="false" ht="17.15" hidden="false" customHeight="false" outlineLevel="0" collapsed="false">
      <c r="A82" s="3" t="s">
        <v>726</v>
      </c>
      <c r="B82" s="0" t="s">
        <v>43</v>
      </c>
      <c r="D82" s="20" t="n">
        <f aca="false">D81/D79</f>
        <v>1</v>
      </c>
      <c r="E82" s="20" t="n">
        <f aca="false">E81/E79</f>
        <v>0.85916169200315</v>
      </c>
      <c r="F82" s="20" t="n">
        <f aca="false">F81/F79</f>
        <v>0.881117431856676</v>
      </c>
      <c r="G82" s="20" t="n">
        <f aca="false">G81/G79</f>
        <v>0.926160096041627</v>
      </c>
    </row>
    <row r="83" customFormat="false" ht="17.15" hidden="false" customHeight="false" outlineLevel="0" collapsed="false">
      <c r="A83" s="0" t="s">
        <v>727</v>
      </c>
      <c r="B83" s="0" t="s">
        <v>379</v>
      </c>
      <c r="D83" s="21" t="n">
        <f aca="false">(D74+D77)*D82</f>
        <v>5.714709</v>
      </c>
      <c r="E83" s="21" t="n">
        <f aca="false">(E74+E77)*E82</f>
        <v>15.1670988044522</v>
      </c>
      <c r="F83" s="21" t="n">
        <f aca="false">(F74+F77)*F82</f>
        <v>21.7805062132212</v>
      </c>
      <c r="G83" s="21" t="n">
        <f aca="false">(G74+G77)*G82</f>
        <v>28.9201605269717</v>
      </c>
    </row>
    <row r="84" customFormat="false" ht="17.15" hidden="false" customHeight="false" outlineLevel="0" collapsed="false">
      <c r="A84" s="3" t="s">
        <v>728</v>
      </c>
      <c r="B84" s="0" t="s">
        <v>43</v>
      </c>
      <c r="D84" s="20" t="n">
        <f aca="false">D74/(D74+D77)</f>
        <v>0.800318125775433</v>
      </c>
      <c r="E84" s="20" t="n">
        <f aca="false">E74/(E74+E77)</f>
        <v>0.896024374782173</v>
      </c>
      <c r="F84" s="20" t="n">
        <f aca="false">F74/(F74+F77)</f>
        <v>0.924114387791097</v>
      </c>
      <c r="G84" s="20" t="n">
        <f aca="false">G74/(G74+G77)</f>
        <v>0.939286657016792</v>
      </c>
    </row>
    <row r="85" customFormat="false" ht="17.15" hidden="false" customHeight="false" outlineLevel="0" collapsed="false">
      <c r="A85" s="5" t="s">
        <v>729</v>
      </c>
    </row>
    <row r="86" customFormat="false" ht="17.15" hidden="false" customHeight="false" outlineLevel="0" collapsed="false">
      <c r="A86" s="0" t="s">
        <v>730</v>
      </c>
      <c r="B86" s="0" t="s">
        <v>379</v>
      </c>
      <c r="D86" s="21" t="n">
        <f aca="false">a26_bt</f>
        <v>23.265964</v>
      </c>
      <c r="E86" s="21" t="n">
        <f aca="false">D86*(1+g_bt27_A)</f>
        <v>29.78043392</v>
      </c>
      <c r="F86" s="21" t="n">
        <f aca="false">E86*(1+g_bt28_A)</f>
        <v>32.758477312</v>
      </c>
      <c r="G86" s="21" t="n">
        <f aca="false">F86*(1+g_bt29_A)</f>
        <v>34.3964011776</v>
      </c>
      <c r="K86" s="7" t="s">
        <v>731</v>
      </c>
    </row>
    <row r="87" customFormat="false" ht="17.15" hidden="false" customHeight="false" outlineLevel="0" collapsed="false">
      <c r="A87" s="3" t="s">
        <v>616</v>
      </c>
      <c r="B87" s="0" t="s">
        <v>379</v>
      </c>
      <c r="C87" s="21" t="n">
        <f aca="false">a25_lens</f>
        <v>7.039</v>
      </c>
      <c r="D87" s="21" t="n">
        <f aca="false">a26_lens</f>
        <v>8.301</v>
      </c>
      <c r="E87" s="21" t="n">
        <f aca="false">D87*(1+g_lens)</f>
        <v>9.1311</v>
      </c>
      <c r="F87" s="21" t="n">
        <f aca="false">E87*(1+g_lens)</f>
        <v>10.04421</v>
      </c>
      <c r="G87" s="21" t="n">
        <f aca="false">F87*(1+g_lens)</f>
        <v>11.048631</v>
      </c>
      <c r="K87" s="3" t="s">
        <v>732</v>
      </c>
    </row>
    <row r="88" customFormat="false" ht="17.15" hidden="false" customHeight="false" outlineLevel="0" collapsed="false">
      <c r="A88" s="3" t="s">
        <v>573</v>
      </c>
      <c r="B88" s="0" t="s">
        <v>379</v>
      </c>
      <c r="C88" s="23" t="n">
        <f aca="false">a25_rev</f>
        <v>39.351</v>
      </c>
      <c r="D88" s="23" t="n">
        <f aca="false">D81+D86+D87</f>
        <v>54.4258</v>
      </c>
      <c r="E88" s="23" t="n">
        <f aca="false">E81+E86+E87</f>
        <v>72.033987284</v>
      </c>
      <c r="F88" s="23" t="n">
        <f aca="false">F81+F86+F87</f>
        <v>84.1022463502375</v>
      </c>
      <c r="G88" s="23" t="n">
        <f aca="false">G81+G86+G87</f>
        <v>96.1130701345114</v>
      </c>
      <c r="H88" s="25" t="n">
        <f aca="false">G88*(1+H89)</f>
        <v>107.186075216063</v>
      </c>
      <c r="I88" s="25" t="n">
        <f aca="false">H88*(1+I89)</f>
        <v>116.576010002736</v>
      </c>
      <c r="J88" s="25" t="n">
        <f aca="false">I88*(1+J89)</f>
        <v>123.5705706029</v>
      </c>
      <c r="K88" s="7" t="s">
        <v>733</v>
      </c>
    </row>
    <row r="89" customFormat="false" ht="15" hidden="false" customHeight="false" outlineLevel="0" collapsed="false">
      <c r="A89" s="3" t="s">
        <v>734</v>
      </c>
      <c r="B89" s="0" t="s">
        <v>43</v>
      </c>
      <c r="D89" s="20" t="n">
        <f aca="false">D88/C88-1</f>
        <v>0.383085563263958</v>
      </c>
      <c r="E89" s="20" t="n">
        <f aca="false">E88/D88-1</f>
        <v>0.323526476119781</v>
      </c>
      <c r="F89" s="20" t="n">
        <f aca="false">F88/E88-1</f>
        <v>0.167535624796909</v>
      </c>
      <c r="G89" s="20" t="n">
        <f aca="false">G88/F88-1</f>
        <v>0.142812163830389</v>
      </c>
      <c r="H89" s="26" t="n">
        <f aca="false">$G89+(fade_gA-$G89)*1/3</f>
        <v>0.115208109220259</v>
      </c>
      <c r="I89" s="26" t="n">
        <f aca="false">$G89+(fade_gA-$G89)*2/3</f>
        <v>0.0876040546101297</v>
      </c>
      <c r="J89" s="26" t="n">
        <f aca="false">$G89+(fade_gA-$G89)*3/3</f>
        <v>0.06</v>
      </c>
    </row>
    <row r="90" customFormat="false" ht="17.15" hidden="false" customHeight="false" outlineLevel="0" collapsed="false">
      <c r="A90" s="0" t="s">
        <v>735</v>
      </c>
      <c r="B90" s="0" t="s">
        <v>43</v>
      </c>
      <c r="D90" s="20" t="n">
        <f aca="false">D81/D88</f>
        <v>0.42</v>
      </c>
      <c r="E90" s="20" t="n">
        <f aca="false">E81/E88</f>
        <v>0.459817019893845</v>
      </c>
      <c r="F90" s="20" t="n">
        <f aca="false">F81/F88</f>
        <v>0.491063685341395</v>
      </c>
      <c r="G90" s="20" t="n">
        <f aca="false">G81/G88</f>
        <v>0.527171152539409</v>
      </c>
    </row>
    <row r="91" customFormat="false" ht="17.15" hidden="false" customHeight="false" outlineLevel="0" collapsed="false">
      <c r="A91" s="0" t="s">
        <v>736</v>
      </c>
      <c r="B91" s="0" t="s">
        <v>43</v>
      </c>
      <c r="D91" s="20" t="n">
        <f aca="false">D83/D88</f>
        <v>0.105</v>
      </c>
      <c r="E91" s="20" t="n">
        <f aca="false">E83/E88</f>
        <v>0.210554758612135</v>
      </c>
      <c r="F91" s="20" t="n">
        <f aca="false">F83/F88</f>
        <v>0.258976509646579</v>
      </c>
      <c r="G91" s="20" t="n">
        <f aca="false">G83/G88</f>
        <v>0.300897271167153</v>
      </c>
      <c r="K91" s="3" t="s">
        <v>737</v>
      </c>
    </row>
    <row r="92" customFormat="false" ht="17.15" hidden="false" customHeight="false" outlineLevel="0" collapsed="false">
      <c r="A92" s="5" t="s">
        <v>738</v>
      </c>
    </row>
    <row r="93" customFormat="false" ht="15" hidden="false" customHeight="false" outlineLevel="0" collapsed="false">
      <c r="A93" s="3" t="s">
        <v>739</v>
      </c>
      <c r="B93" s="0" t="s">
        <v>379</v>
      </c>
      <c r="C93" s="23" t="n">
        <f aca="false">a25_cx</f>
        <v>6.116</v>
      </c>
      <c r="D93" s="23" t="n">
        <f aca="false">capex26</f>
        <v>11</v>
      </c>
      <c r="E93" s="23" t="n">
        <f aca="false">cx27</f>
        <v>17</v>
      </c>
      <c r="F93" s="23" t="n">
        <f aca="false">cx28</f>
        <v>16</v>
      </c>
      <c r="G93" s="23" t="n">
        <f aca="false">cx29</f>
        <v>12</v>
      </c>
      <c r="H93" s="25" t="n">
        <f aca="false">H88*H112</f>
        <v>13.4817405534162</v>
      </c>
      <c r="I93" s="25" t="n">
        <f aca="false">I88*I112</f>
        <v>14.77073304233</v>
      </c>
      <c r="J93" s="25" t="n">
        <f aca="false">J88*J112</f>
        <v>15.7713906192965</v>
      </c>
    </row>
    <row r="94" customFormat="false" ht="17.15" hidden="false" customHeight="false" outlineLevel="0" collapsed="false">
      <c r="A94" s="3" t="s">
        <v>740</v>
      </c>
      <c r="B94" s="0" t="s">
        <v>379</v>
      </c>
      <c r="C94" s="23" t="n">
        <f aca="false">a25_da</f>
        <v>7.158</v>
      </c>
      <c r="D94" s="23" t="n">
        <f aca="false">da26</f>
        <v>8.32</v>
      </c>
      <c r="E94" s="23" t="n">
        <f aca="false">D94*(1-1/life)+D93/life</f>
        <v>8.655</v>
      </c>
      <c r="F94" s="23" t="n">
        <f aca="false">E94*(1-1/life)+E93/life</f>
        <v>9.698125</v>
      </c>
      <c r="G94" s="23" t="n">
        <f aca="false">F94*(1-1/life)+F93/life</f>
        <v>10.485859375</v>
      </c>
      <c r="H94" s="25" t="n">
        <f aca="false">H88*H95</f>
        <v>11.6939154071433</v>
      </c>
      <c r="I94" s="25" t="n">
        <f aca="false">I88*I95</f>
        <v>12.7183498110769</v>
      </c>
      <c r="J94" s="25" t="n">
        <f aca="false">J88*J95</f>
        <v>13.4814507997415</v>
      </c>
      <c r="K94" s="3" t="s">
        <v>741</v>
      </c>
    </row>
    <row r="95" customFormat="false" ht="17.15" hidden="false" customHeight="false" outlineLevel="0" collapsed="false">
      <c r="A95" s="3" t="s">
        <v>742</v>
      </c>
      <c r="B95" s="0" t="s">
        <v>43</v>
      </c>
      <c r="C95" s="20" t="n">
        <f aca="false">C94/C88</f>
        <v>0.181901349393916</v>
      </c>
      <c r="D95" s="20" t="n">
        <f aca="false">D94/D88</f>
        <v>0.152868676252807</v>
      </c>
      <c r="E95" s="20" t="n">
        <f aca="false">E94/E88</f>
        <v>0.120151616290196</v>
      </c>
      <c r="F95" s="20" t="n">
        <f aca="false">F94/F88</f>
        <v>0.115313507318376</v>
      </c>
      <c r="G95" s="20" t="n">
        <f aca="false">G94/G88</f>
        <v>0.109099203264706</v>
      </c>
      <c r="H95" s="26" t="n">
        <f aca="false">$G95</f>
        <v>0.109099203264706</v>
      </c>
      <c r="I95" s="26" t="n">
        <f aca="false">$G95</f>
        <v>0.109099203264706</v>
      </c>
      <c r="J95" s="26" t="n">
        <f aca="false">$G95</f>
        <v>0.109099203264706</v>
      </c>
    </row>
    <row r="96" customFormat="false" ht="17.15" hidden="false" customHeight="false" outlineLevel="0" collapsed="false">
      <c r="A96" s="0" t="s">
        <v>743</v>
      </c>
      <c r="B96" s="0" t="s">
        <v>379</v>
      </c>
      <c r="E96" s="21" t="n">
        <f aca="false">E82*((E74+E77)*(1-1/(E67*E68))+E78*(1-1/E68))</f>
        <v>4.320320004</v>
      </c>
      <c r="F96" s="21" t="n">
        <f aca="false">F82*((F74+F77)*(1-1/(F67*F68))+F78*(1-1/F68))</f>
        <v>4.39007949866158</v>
      </c>
      <c r="G96" s="21" t="n">
        <f aca="false">G82*((G74+G77)*(1-1/(G67*G68))+G78*(1-1/G68))</f>
        <v>3.81465610771581</v>
      </c>
      <c r="K96" s="7" t="s">
        <v>744</v>
      </c>
    </row>
    <row r="97" customFormat="false" ht="17.15" hidden="false" customHeight="false" outlineLevel="0" collapsed="false">
      <c r="A97" s="3" t="s">
        <v>745</v>
      </c>
      <c r="B97" s="0" t="s">
        <v>379</v>
      </c>
      <c r="C97" s="21" t="n">
        <f aca="false">a25_gp</f>
        <v>8.314</v>
      </c>
      <c r="D97" s="21" t="n">
        <f aca="false">a26_gp</f>
        <v>15.328536</v>
      </c>
      <c r="E97" s="21" t="n">
        <f aca="false">$D97+ft_abf*(E81-E96-$D81)+ft_bt*(E86-$D86)+ft_lens*(E87-$D87)+E96-(E94-$D94)</f>
        <v>25.590561148</v>
      </c>
      <c r="F97" s="21" t="n">
        <f aca="false">$D97+ft_abf*(F81-F96-$D81)+ft_bt*(F86-$D86)+ft_lens*(F87-$D87)+F96-(F94-$D94)</f>
        <v>30.4218877588495</v>
      </c>
      <c r="G97" s="21" t="n">
        <f aca="false">$D97+ft_abf*(G81-G96-$D81)+ft_bt*(G86-$D86)+ft_lens*(G87-$D87)+G96-(G94-$D94)</f>
        <v>35.2197363372336</v>
      </c>
      <c r="K97" s="3" t="s">
        <v>746</v>
      </c>
    </row>
    <row r="98" customFormat="false" ht="15" hidden="false" customHeight="false" outlineLevel="0" collapsed="false">
      <c r="A98" s="3" t="s">
        <v>580</v>
      </c>
      <c r="B98" s="0" t="s">
        <v>43</v>
      </c>
      <c r="C98" s="16" t="n">
        <f aca="false">C97/C88</f>
        <v>0.211277985311682</v>
      </c>
      <c r="D98" s="16" t="n">
        <f aca="false">D97/D88</f>
        <v>0.281640986443929</v>
      </c>
      <c r="E98" s="16" t="n">
        <f aca="false">E97/E88</f>
        <v>0.3552567629931</v>
      </c>
      <c r="F98" s="16" t="n">
        <f aca="false">F97/F88</f>
        <v>0.361725032077739</v>
      </c>
      <c r="G98" s="16" t="n">
        <f aca="false">G97/G88</f>
        <v>0.366440654615893</v>
      </c>
    </row>
    <row r="99" customFormat="false" ht="15" hidden="false" customHeight="false" outlineLevel="0" collapsed="false">
      <c r="A99" s="3" t="s">
        <v>582</v>
      </c>
      <c r="B99" s="0" t="s">
        <v>379</v>
      </c>
      <c r="C99" s="21" t="n">
        <f aca="false">a25_opx</f>
        <v>5.644</v>
      </c>
      <c r="D99" s="21" t="n">
        <f aca="false">a26_opx</f>
        <v>6.54036</v>
      </c>
      <c r="E99" s="21" t="n">
        <f aca="false">D99*(1+phi*E89)</f>
        <v>7.80994777401287</v>
      </c>
      <c r="F99" s="21" t="n">
        <f aca="false">E99*(1+phi*F89)</f>
        <v>8.59501446198315</v>
      </c>
      <c r="G99" s="21" t="n">
        <f aca="false">F99*(1+phi*G89)</f>
        <v>9.33149803006473</v>
      </c>
    </row>
    <row r="100" customFormat="false" ht="15" hidden="false" customHeight="false" outlineLevel="0" collapsed="false">
      <c r="A100" s="3" t="s">
        <v>585</v>
      </c>
      <c r="B100" s="0" t="s">
        <v>379</v>
      </c>
      <c r="C100" s="21" t="n">
        <f aca="false">C97-C99</f>
        <v>2.67</v>
      </c>
      <c r="D100" s="21" t="n">
        <f aca="false">D97-D99</f>
        <v>8.788176</v>
      </c>
      <c r="E100" s="21" t="n">
        <f aca="false">E97-E99</f>
        <v>17.7806133739871</v>
      </c>
      <c r="F100" s="21" t="n">
        <f aca="false">F97-F99</f>
        <v>21.8268732968664</v>
      </c>
      <c r="G100" s="21" t="n">
        <f aca="false">G97-G99</f>
        <v>25.8882383071689</v>
      </c>
    </row>
    <row r="101" customFormat="false" ht="15" hidden="false" customHeight="false" outlineLevel="0" collapsed="false">
      <c r="A101" s="3" t="s">
        <v>683</v>
      </c>
      <c r="B101" s="0" t="s">
        <v>43</v>
      </c>
      <c r="C101" s="16" t="n">
        <f aca="false">C100/C88</f>
        <v>0.0678508805367081</v>
      </c>
      <c r="D101" s="16" t="n">
        <f aca="false">D100/D88</f>
        <v>0.161470773052486</v>
      </c>
      <c r="E101" s="16" t="n">
        <f aca="false">E100/E88</f>
        <v>0.246836445466854</v>
      </c>
      <c r="F101" s="16" t="n">
        <f aca="false">F100/F88</f>
        <v>0.259527827663128</v>
      </c>
      <c r="G101" s="16" t="n">
        <f aca="false">G100/G88</f>
        <v>0.269351902617802</v>
      </c>
    </row>
    <row r="102" customFormat="false" ht="15" hidden="false" customHeight="false" outlineLevel="0" collapsed="false">
      <c r="A102" s="3" t="s">
        <v>588</v>
      </c>
      <c r="B102" s="0" t="s">
        <v>379</v>
      </c>
      <c r="C102" s="21" t="n">
        <f aca="false">a25_nonop</f>
        <v>0.417</v>
      </c>
      <c r="D102" s="21" t="n">
        <f aca="false">a26_nonop</f>
        <v>0.37882</v>
      </c>
      <c r="E102" s="21" t="n">
        <f aca="false">nonop27</f>
        <v>0.4</v>
      </c>
      <c r="F102" s="21" t="n">
        <f aca="false">nonop28</f>
        <v>0.4</v>
      </c>
      <c r="G102" s="21" t="n">
        <f aca="false">nonop29</f>
        <v>0.4</v>
      </c>
    </row>
    <row r="103" customFormat="false" ht="15" hidden="false" customHeight="false" outlineLevel="0" collapsed="false">
      <c r="A103" s="3" t="s">
        <v>590</v>
      </c>
      <c r="B103" s="0" t="s">
        <v>379</v>
      </c>
      <c r="C103" s="21" t="n">
        <f aca="false">C100+C102</f>
        <v>3.087</v>
      </c>
      <c r="D103" s="21" t="n">
        <f aca="false">D100+D102</f>
        <v>9.166996</v>
      </c>
      <c r="E103" s="21" t="n">
        <f aca="false">E100+E102</f>
        <v>18.1806133739871</v>
      </c>
      <c r="F103" s="21" t="n">
        <f aca="false">F100+F102</f>
        <v>22.2268732968664</v>
      </c>
      <c r="G103" s="21" t="n">
        <f aca="false">G100+G102</f>
        <v>26.2882383071689</v>
      </c>
    </row>
    <row r="104" customFormat="false" ht="15" hidden="false" customHeight="false" outlineLevel="0" collapsed="false">
      <c r="A104" s="3" t="s">
        <v>591</v>
      </c>
      <c r="B104" s="0" t="s">
        <v>379</v>
      </c>
      <c r="E104" s="21" t="n">
        <f aca="false">E103*tax</f>
        <v>2.18167360487846</v>
      </c>
      <c r="F104" s="21" t="n">
        <f aca="false">F103*tax</f>
        <v>2.66722479562397</v>
      </c>
      <c r="G104" s="21" t="n">
        <f aca="false">G103*tax</f>
        <v>3.15458859686026</v>
      </c>
    </row>
    <row r="105" customFormat="false" ht="15" hidden="false" customHeight="false" outlineLevel="0" collapsed="false">
      <c r="A105" s="3" t="s">
        <v>592</v>
      </c>
      <c r="B105" s="0" t="s">
        <v>379</v>
      </c>
      <c r="C105" s="21" t="n">
        <f aca="false">a25_nic</f>
        <v>2.71712</v>
      </c>
      <c r="D105" s="21" t="n">
        <f aca="false">a26_nic</f>
        <v>8.39979776</v>
      </c>
      <c r="E105" s="21" t="n">
        <f aca="false">E103-E104</f>
        <v>15.9989397691087</v>
      </c>
      <c r="F105" s="21" t="n">
        <f aca="false">F103-F104</f>
        <v>19.5596485012424</v>
      </c>
      <c r="G105" s="21" t="n">
        <f aca="false">G103-G104</f>
        <v>23.1336497103086</v>
      </c>
    </row>
    <row r="106" customFormat="false" ht="17.15" hidden="false" customHeight="false" outlineLevel="0" collapsed="false">
      <c r="A106" s="3" t="s">
        <v>747</v>
      </c>
      <c r="B106" s="0" t="s">
        <v>379</v>
      </c>
      <c r="C106" s="21" t="n">
        <f aca="false">a25_nci</f>
        <v>1.12112</v>
      </c>
      <c r="D106" s="21" t="n">
        <f aca="false">a26_nci</f>
        <v>1.43839238487797</v>
      </c>
      <c r="E106" s="21" t="n">
        <f aca="false">E87*nm_lens*nci_sh</f>
        <v>1.57074538036261</v>
      </c>
      <c r="F106" s="21" t="n">
        <f aca="false">F87*nm_lens*nci_sh</f>
        <v>1.72781991839887</v>
      </c>
      <c r="G106" s="21" t="n">
        <f aca="false">G87*nm_lens*nci_sh</f>
        <v>1.90060191023875</v>
      </c>
      <c r="K106" s="3" t="s">
        <v>748</v>
      </c>
    </row>
    <row r="107" customFormat="false" ht="15" hidden="false" customHeight="false" outlineLevel="0" collapsed="false">
      <c r="A107" s="3" t="s">
        <v>598</v>
      </c>
      <c r="B107" s="0" t="s">
        <v>379</v>
      </c>
      <c r="C107" s="21" t="n">
        <f aca="false">a25_ni</f>
        <v>1.596</v>
      </c>
      <c r="D107" s="21" t="n">
        <f aca="false">a26_ni</f>
        <v>6.96140537512203</v>
      </c>
      <c r="E107" s="21" t="n">
        <f aca="false">E105-E106</f>
        <v>14.4281943887461</v>
      </c>
      <c r="F107" s="21" t="n">
        <f aca="false">F105-F106</f>
        <v>17.8318285828436</v>
      </c>
      <c r="G107" s="21" t="n">
        <f aca="false">G105-G106</f>
        <v>21.2330478000698</v>
      </c>
      <c r="H107" s="30" t="n">
        <f aca="false">H88*H111</f>
        <v>23.6792670900993</v>
      </c>
      <c r="I107" s="30" t="n">
        <f aca="false">I88*I111</f>
        <v>25.7536668973882</v>
      </c>
      <c r="J107" s="30" t="n">
        <f aca="false">J88*J111</f>
        <v>27.2988869112315</v>
      </c>
    </row>
    <row r="108" customFormat="false" ht="15" hidden="false" customHeight="false" outlineLevel="0" collapsed="false">
      <c r="A108" s="3" t="s">
        <v>749</v>
      </c>
      <c r="B108" s="3" t="s">
        <v>465</v>
      </c>
      <c r="C108" s="29" t="n">
        <f aca="false">a25_sh</f>
        <v>0.454700854700855</v>
      </c>
      <c r="D108" s="29" t="n">
        <f aca="false">a26_sh</f>
        <v>0.508341020486215</v>
      </c>
      <c r="E108" s="29" t="n">
        <f aca="false">a26_shend*(1+sh_g)</f>
        <v>0.52691</v>
      </c>
      <c r="F108" s="29" t="n">
        <f aca="false">E108*(1+sh_g)</f>
        <v>0.52691</v>
      </c>
      <c r="G108" s="29" t="n">
        <f aca="false">F108*(1+sh_g)</f>
        <v>0.52691</v>
      </c>
      <c r="H108" s="31" t="n">
        <f aca="false">G108*(1+sh_g)</f>
        <v>0.52691</v>
      </c>
      <c r="I108" s="31" t="n">
        <f aca="false">H108*(1+sh_g)</f>
        <v>0.52691</v>
      </c>
      <c r="J108" s="31" t="n">
        <f aca="false">I108*(1+sh_g)</f>
        <v>0.52691</v>
      </c>
    </row>
    <row r="109" customFormat="false" ht="17.15" hidden="false" customHeight="false" outlineLevel="0" collapsed="false">
      <c r="A109" s="0" t="s">
        <v>603</v>
      </c>
      <c r="B109" s="0" t="s">
        <v>471</v>
      </c>
      <c r="C109" s="18" t="n">
        <f aca="false">C107/C108</f>
        <v>3.51</v>
      </c>
      <c r="D109" s="18" t="n">
        <f aca="false">D107/D108</f>
        <v>13.6943608612652</v>
      </c>
      <c r="E109" s="18" t="n">
        <f aca="false">E107/E108</f>
        <v>27.3826543218881</v>
      </c>
      <c r="F109" s="18" t="n">
        <f aca="false">F107/F108</f>
        <v>33.84226638865</v>
      </c>
      <c r="G109" s="18" t="n">
        <f aca="false">G107/G108</f>
        <v>40.2972951738814</v>
      </c>
      <c r="H109" s="28" t="n">
        <f aca="false">H107/H108</f>
        <v>44.9398703575549</v>
      </c>
      <c r="I109" s="28" t="n">
        <f aca="false">I107/I108</f>
        <v>48.8767852145303</v>
      </c>
      <c r="J109" s="28" t="n">
        <f aca="false">J107/J108</f>
        <v>51.8093923274022</v>
      </c>
    </row>
    <row r="110" customFormat="false" ht="17.15" hidden="false" customHeight="false" outlineLevel="0" collapsed="false">
      <c r="A110" s="0" t="s">
        <v>750</v>
      </c>
      <c r="B110" s="0" t="s">
        <v>43</v>
      </c>
      <c r="D110" s="20" t="n">
        <f aca="false">D109/C109-1</f>
        <v>2.90152731090177</v>
      </c>
      <c r="E110" s="20" t="n">
        <f aca="false">E109/D109-1</f>
        <v>0.999556941670828</v>
      </c>
      <c r="F110" s="20" t="n">
        <f aca="false">F109/E109-1</f>
        <v>0.235901603651273</v>
      </c>
      <c r="G110" s="20" t="n">
        <f aca="false">G109/F109-1</f>
        <v>0.190738667177335</v>
      </c>
      <c r="H110" s="26" t="n">
        <f aca="false">H109/G109-1</f>
        <v>0.115208109220259</v>
      </c>
      <c r="I110" s="26" t="n">
        <f aca="false">I109/H109-1</f>
        <v>0.0876040546101298</v>
      </c>
      <c r="J110" s="26" t="n">
        <f aca="false">J109/I109-1</f>
        <v>0.0600000000000001</v>
      </c>
    </row>
    <row r="111" customFormat="false" ht="17.15" hidden="false" customHeight="false" outlineLevel="0" collapsed="false">
      <c r="A111" s="3" t="s">
        <v>751</v>
      </c>
      <c r="B111" s="0" t="s">
        <v>43</v>
      </c>
      <c r="C111" s="16" t="n">
        <f aca="false">C107/C88</f>
        <v>0.0405580544331783</v>
      </c>
      <c r="D111" s="16" t="n">
        <f aca="false">D107/D88</f>
        <v>0.127906349105057</v>
      </c>
      <c r="E111" s="16" t="n">
        <f aca="false">E107/E88</f>
        <v>0.20029703939422</v>
      </c>
      <c r="F111" s="16" t="n">
        <f aca="false">F107/F88</f>
        <v>0.212025592141549</v>
      </c>
      <c r="G111" s="16" t="n">
        <f aca="false">G107/G88</f>
        <v>0.220917381687568</v>
      </c>
      <c r="H111" s="27" t="n">
        <f aca="false">$G111+(fade_mA-$G111)*1/3</f>
        <v>0.220917381687568</v>
      </c>
      <c r="I111" s="27" t="n">
        <f aca="false">$G111+(fade_mA-$G111)*2/3</f>
        <v>0.220917381687568</v>
      </c>
      <c r="J111" s="27" t="n">
        <f aca="false">$G111+(fade_mA-$G111)*3/3</f>
        <v>0.220917381687568</v>
      </c>
    </row>
    <row r="112" customFormat="false" ht="17.15" hidden="false" customHeight="false" outlineLevel="0" collapsed="false">
      <c r="A112" s="3" t="s">
        <v>752</v>
      </c>
      <c r="B112" s="0" t="s">
        <v>43</v>
      </c>
      <c r="C112" s="20" t="n">
        <f aca="false">C93/C88</f>
        <v>0.155421717364235</v>
      </c>
      <c r="D112" s="20" t="n">
        <f aca="false">D93/D88</f>
        <v>0.202110028699624</v>
      </c>
      <c r="E112" s="20" t="n">
        <f aca="false">E93/E88</f>
        <v>0.235999708484498</v>
      </c>
      <c r="F112" s="20" t="n">
        <f aca="false">F93/F88</f>
        <v>0.190244621212247</v>
      </c>
      <c r="G112" s="20" t="n">
        <f aca="false">G93/G88</f>
        <v>0.124852946464054</v>
      </c>
      <c r="H112" s="26" t="n">
        <f aca="false">$G112+($G95*(1+tp_g)^(life/2)-$G112)*1/3</f>
        <v>0.125778843252168</v>
      </c>
      <c r="I112" s="26" t="n">
        <f aca="false">$G112+($G95*(1+tp_g)^(life/2)-$G112)*2/3</f>
        <v>0.126704740040282</v>
      </c>
      <c r="J112" s="26" t="n">
        <f aca="false">$G112+($G95*(1+tp_g)^(life/2)-$G112)*3/3</f>
        <v>0.127630636828396</v>
      </c>
      <c r="K112" s="7" t="s">
        <v>753</v>
      </c>
    </row>
    <row r="113" customFormat="false" ht="15" hidden="false" customHeight="false" outlineLevel="0" collapsed="false">
      <c r="A113" s="3" t="s">
        <v>754</v>
      </c>
      <c r="B113" s="0" t="s">
        <v>379</v>
      </c>
      <c r="D113" s="21" t="n">
        <f aca="false">D107+D94-D93</f>
        <v>4.28140537512203</v>
      </c>
      <c r="E113" s="21" t="n">
        <f aca="false">E107+E94-E93</f>
        <v>6.08319438874607</v>
      </c>
      <c r="F113" s="21" t="n">
        <f aca="false">F107+F94-F93</f>
        <v>11.5299535828436</v>
      </c>
      <c r="G113" s="21" t="n">
        <f aca="false">G107+G94-G93</f>
        <v>19.7189071750698</v>
      </c>
      <c r="H113" s="30" t="n">
        <f aca="false">H107+H94-H93</f>
        <v>21.8914419438263</v>
      </c>
      <c r="I113" s="30" t="n">
        <f aca="false">I107+I94-I93</f>
        <v>23.7012836661351</v>
      </c>
      <c r="J113" s="30" t="n">
        <f aca="false">J107+J94-J93</f>
        <v>25.0089470916765</v>
      </c>
      <c r="K113" s="3" t="s">
        <v>755</v>
      </c>
    </row>
    <row r="114" customFormat="false" ht="15" hidden="false" customHeight="false" outlineLevel="0" collapsed="false">
      <c r="A114" s="3" t="s">
        <v>756</v>
      </c>
      <c r="B114" s="0" t="s">
        <v>471</v>
      </c>
      <c r="D114" s="18" t="n">
        <f aca="false">D113/D108</f>
        <v>8.42230943909854</v>
      </c>
      <c r="E114" s="18" t="n">
        <f aca="false">E113/E108</f>
        <v>11.5450349941092</v>
      </c>
      <c r="F114" s="18" t="n">
        <f aca="false">F113/F108</f>
        <v>21.8822067959302</v>
      </c>
      <c r="G114" s="18" t="n">
        <f aca="false">G113/G108</f>
        <v>37.4236723065985</v>
      </c>
      <c r="H114" s="28" t="n">
        <f aca="false">H113/H108</f>
        <v>41.5468333184535</v>
      </c>
      <c r="I114" s="28" t="n">
        <f aca="false">I113/I108</f>
        <v>44.9816546775257</v>
      </c>
      <c r="J114" s="28" t="n">
        <f aca="false">J113/J108</f>
        <v>47.4634132805916</v>
      </c>
    </row>
    <row r="117" customFormat="false" ht="17.15" hidden="false" customHeight="false" outlineLevel="0" collapsed="false">
      <c r="A117" s="1" t="s">
        <v>757</v>
      </c>
    </row>
    <row r="118" customFormat="false" ht="17.15" hidden="false" customHeight="false" outlineLevel="0" collapsed="false">
      <c r="A118" s="4" t="s">
        <v>20</v>
      </c>
      <c r="B118" s="4" t="s">
        <v>21</v>
      </c>
      <c r="C118" s="13" t="s">
        <v>566</v>
      </c>
      <c r="D118" s="13" t="s">
        <v>670</v>
      </c>
      <c r="E118" s="13" t="s">
        <v>671</v>
      </c>
      <c r="F118" s="13" t="s">
        <v>672</v>
      </c>
      <c r="G118" s="13" t="s">
        <v>673</v>
      </c>
      <c r="H118" s="13" t="s">
        <v>674</v>
      </c>
      <c r="I118" s="13" t="s">
        <v>675</v>
      </c>
      <c r="J118" s="13" t="s">
        <v>676</v>
      </c>
      <c r="K118" s="4" t="s">
        <v>630</v>
      </c>
    </row>
    <row r="119" customFormat="false" ht="17.15" hidden="false" customHeight="false" outlineLevel="0" collapsed="false">
      <c r="A119" s="5" t="s">
        <v>694</v>
      </c>
    </row>
    <row r="120" customFormat="false" ht="17.15" hidden="false" customHeight="false" outlineLevel="0" collapsed="false">
      <c r="A120" s="0" t="s">
        <v>695</v>
      </c>
      <c r="B120" s="3" t="s">
        <v>31</v>
      </c>
      <c r="D120" s="21" t="n">
        <f aca="false">(u_bw_26+u_rb_26+u_ru_26+u_hp_26)*1</f>
        <v>7.6</v>
      </c>
      <c r="E120" s="21" t="n">
        <f aca="false">(u_bw_27+u_rb_27+u_ru_27+u_hp_27)*1*1</f>
        <v>9.7</v>
      </c>
      <c r="F120" s="21" t="n">
        <f aca="false">(u_bw_28+u_rb_28+u_ru_28+u_hp_28)*um28_B*1</f>
        <v>7.6</v>
      </c>
      <c r="G120" s="21" t="n">
        <f aca="false">(u_bw_28*(1+g29_bw)+u_rb_28*(1+g29_rb)+u_ru_28*(1+g29_ru)+u_hp_28*(1+g29_hp))*um29_B*1</f>
        <v>9.01</v>
      </c>
      <c r="K120" s="7" t="s">
        <v>696</v>
      </c>
    </row>
    <row r="121" customFormat="false" ht="17.15" hidden="false" customHeight="false" outlineLevel="0" collapsed="false">
      <c r="A121" s="3" t="s">
        <v>697</v>
      </c>
      <c r="B121" s="3" t="s">
        <v>31</v>
      </c>
      <c r="D121" s="21" t="n">
        <f aca="false">(u_amd_26+u_tpu_26+u_trn_26+u_oth_26)*1</f>
        <v>7.6</v>
      </c>
      <c r="E121" s="21" t="n">
        <f aca="false">(u_amd_27+u_tpu_27+u_trn_27+u_oth_27)*1*1</f>
        <v>14</v>
      </c>
      <c r="F121" s="21" t="n">
        <f aca="false">(u_amd_28+u_tpu_28+u_trn_28+u_oth_28)*um28_B*1</f>
        <v>13.6</v>
      </c>
      <c r="G121" s="21" t="n">
        <f aca="false">(u_amd_28*(1+g29_amd)+u_tpu_28*(1+g29_tpu)+u_trn_28*(1+g29_trn)+u_oth_28*(1+g29_oth))*um29_B*1</f>
        <v>16.6175</v>
      </c>
      <c r="K121" s="7" t="s">
        <v>698</v>
      </c>
    </row>
    <row r="122" customFormat="false" ht="17.15" hidden="false" customHeight="false" outlineLevel="0" collapsed="false">
      <c r="A122" s="0" t="s">
        <v>699</v>
      </c>
      <c r="B122" s="3" t="s">
        <v>31</v>
      </c>
      <c r="D122" s="21" t="n">
        <f aca="false">D120*cpu_r</f>
        <v>3.04</v>
      </c>
      <c r="E122" s="21" t="n">
        <f aca="false">E120*cpu_r</f>
        <v>3.88</v>
      </c>
      <c r="F122" s="21" t="n">
        <f aca="false">F120*cpu_r</f>
        <v>3.04</v>
      </c>
      <c r="G122" s="21" t="n">
        <f aca="false">G120*cpu_r</f>
        <v>3.604</v>
      </c>
      <c r="K122" s="7" t="s">
        <v>700</v>
      </c>
    </row>
    <row r="123" customFormat="false" ht="17.15" hidden="false" customHeight="false" outlineLevel="0" collapsed="false">
      <c r="A123" s="3" t="s">
        <v>701</v>
      </c>
      <c r="B123" s="0" t="s">
        <v>153</v>
      </c>
      <c r="D123" s="19" t="n">
        <f aca="false">1</f>
        <v>1</v>
      </c>
      <c r="E123" s="19" t="n">
        <f aca="false">D123*(1+g_asp)</f>
        <v>1.18</v>
      </c>
      <c r="F123" s="19" t="n">
        <f aca="false">E123*(1+g_asp)</f>
        <v>1.3924</v>
      </c>
      <c r="G123" s="19" t="n">
        <f aca="false">F123*(1+g_asp)</f>
        <v>1.643032</v>
      </c>
      <c r="K123" s="7" t="s">
        <v>702</v>
      </c>
    </row>
    <row r="124" customFormat="false" ht="17.15" hidden="false" customHeight="false" outlineLevel="0" collapsed="false">
      <c r="A124" s="0" t="s">
        <v>703</v>
      </c>
      <c r="B124" s="0" t="s">
        <v>153</v>
      </c>
      <c r="D124" s="18" t="n">
        <f aca="false">1</f>
        <v>1</v>
      </c>
      <c r="E124" s="18" t="n">
        <f aca="false">ibpp_27</f>
        <v>1</v>
      </c>
      <c r="F124" s="18" t="n">
        <f aca="false">ibpp_28</f>
        <v>0.95</v>
      </c>
      <c r="G124" s="18" t="n">
        <f aca="false">ibpp_29</f>
        <v>0.9</v>
      </c>
      <c r="K124" s="7" t="s">
        <v>704</v>
      </c>
    </row>
    <row r="125" customFormat="false" ht="17.15" hidden="false" customHeight="false" outlineLevel="0" collapsed="false">
      <c r="A125" s="3" t="s">
        <v>705</v>
      </c>
      <c r="B125" s="0" t="s">
        <v>153</v>
      </c>
      <c r="D125" s="18" t="n">
        <f aca="false">1</f>
        <v>1</v>
      </c>
      <c r="E125" s="18" t="n">
        <f aca="false">1+carry</f>
        <v>1.15</v>
      </c>
      <c r="F125" s="18" t="n">
        <f aca="false">1+carry</f>
        <v>1.15</v>
      </c>
      <c r="G125" s="18" t="n">
        <f aca="false">1+carry</f>
        <v>1.15</v>
      </c>
      <c r="K125" s="7" t="s">
        <v>706</v>
      </c>
    </row>
    <row r="126" customFormat="false" ht="17.15" hidden="false" customHeight="false" outlineLevel="0" collapsed="false">
      <c r="A126" s="3" t="s">
        <v>707</v>
      </c>
      <c r="B126" s="0" t="s">
        <v>708</v>
      </c>
      <c r="D126" s="23" t="n">
        <f aca="false">v26*D123*D124</f>
        <v>215.308596</v>
      </c>
      <c r="E126" s="23" t="n">
        <f aca="false">v26*E123*E124</f>
        <v>254.06414328</v>
      </c>
      <c r="F126" s="23" t="n">
        <f aca="false">v26*F123*F124</f>
        <v>284.80590461688</v>
      </c>
      <c r="G126" s="23" t="n">
        <f aca="false">v26*G123*G124</f>
        <v>318.383021792765</v>
      </c>
      <c r="K126" s="7" t="s">
        <v>709</v>
      </c>
    </row>
    <row r="127" customFormat="false" ht="17.15" hidden="false" customHeight="false" outlineLevel="0" collapsed="false">
      <c r="A127" s="3" t="s">
        <v>710</v>
      </c>
      <c r="B127" s="0" t="s">
        <v>43</v>
      </c>
      <c r="D127" s="20" t="n">
        <f aca="false">sh_nv_26</f>
        <v>0.02</v>
      </c>
      <c r="E127" s="20" t="n">
        <f aca="false">sh_nv_27</f>
        <v>0.03</v>
      </c>
      <c r="F127" s="20" t="n">
        <f aca="false">sh_nv_28</f>
        <v>0.05</v>
      </c>
      <c r="G127" s="20" t="n">
        <f aca="false">sh_nv_29</f>
        <v>0.06</v>
      </c>
    </row>
    <row r="128" customFormat="false" ht="17.15" hidden="false" customHeight="false" outlineLevel="0" collapsed="false">
      <c r="A128" s="3" t="s">
        <v>711</v>
      </c>
      <c r="B128" s="0" t="s">
        <v>43</v>
      </c>
      <c r="D128" s="20" t="n">
        <f aca="false">sh_ot_26</f>
        <v>0.03</v>
      </c>
      <c r="E128" s="20" t="n">
        <f aca="false">sh_ot_27</f>
        <v>0.05</v>
      </c>
      <c r="F128" s="20" t="n">
        <f aca="false">sh_ot_28</f>
        <v>0.06</v>
      </c>
      <c r="G128" s="20" t="n">
        <f aca="false">sh_ot_29</f>
        <v>0.06</v>
      </c>
    </row>
    <row r="129" customFormat="false" ht="17.15" hidden="false" customHeight="false" outlineLevel="0" collapsed="false">
      <c r="A129" s="3" t="s">
        <v>712</v>
      </c>
      <c r="B129" s="0" t="s">
        <v>43</v>
      </c>
      <c r="D129" s="20" t="n">
        <f aca="false">sh_cpu_26</f>
        <v>0.35</v>
      </c>
      <c r="E129" s="20" t="n">
        <f aca="false">sh_cpu_27</f>
        <v>0.7</v>
      </c>
      <c r="F129" s="20" t="n">
        <f aca="false">sh_cpu_28</f>
        <v>0.75</v>
      </c>
      <c r="G129" s="20" t="n">
        <f aca="false">sh_cpu_29</f>
        <v>0.7</v>
      </c>
    </row>
    <row r="130" customFormat="false" ht="17.15" hidden="false" customHeight="false" outlineLevel="0" collapsed="false">
      <c r="A130" s="3" t="s">
        <v>713</v>
      </c>
      <c r="B130" s="0" t="s">
        <v>660</v>
      </c>
      <c r="D130" s="22" t="n">
        <f aca="false">(D120*D126*D127+D121*D126*v_ot*D128+D122*D126*v_cpu*D129)*D125</f>
        <v>140.7256983456</v>
      </c>
      <c r="E130" s="22" t="n">
        <f aca="false">(E120*E126*E127+E121*E126*v_ot*E128+E122*E126*v_cpu*E129)*E125</f>
        <v>486.703057357198</v>
      </c>
      <c r="F130" s="22" t="n">
        <f aca="false">(F120*F126*F127+F121*F126*v_ot*F128+F122*F126*v_cpu*F129)*F125</f>
        <v>562.297993603198</v>
      </c>
      <c r="G130" s="22" t="n">
        <f aca="false">(G120*G126*G127+G121*G126*v_ot*G128+G122*G126*v_cpu*G129)*G125</f>
        <v>767.093586492223</v>
      </c>
    </row>
    <row r="131" customFormat="false" ht="17.15" hidden="false" customHeight="false" outlineLevel="0" collapsed="false">
      <c r="A131" s="3" t="s">
        <v>714</v>
      </c>
      <c r="B131" s="0" t="s">
        <v>379</v>
      </c>
      <c r="D131" s="21" t="n">
        <f aca="false">D130*fx/1000</f>
        <v>4.573585196232</v>
      </c>
      <c r="E131" s="21" t="n">
        <f aca="false">E130*fx/1000</f>
        <v>15.8178493641089</v>
      </c>
      <c r="F131" s="21" t="n">
        <f aca="false">F130*fx/1000</f>
        <v>18.2746847921039</v>
      </c>
      <c r="G131" s="21" t="n">
        <f aca="false">G130*fx/1000</f>
        <v>24.9305415609973</v>
      </c>
    </row>
    <row r="132" customFormat="false" ht="17.15" hidden="false" customHeight="false" outlineLevel="0" collapsed="false">
      <c r="A132" s="5" t="s">
        <v>715</v>
      </c>
    </row>
    <row r="133" customFormat="false" ht="17.15" hidden="false" customHeight="false" outlineLevel="0" collapsed="false">
      <c r="A133" s="0" t="s">
        <v>716</v>
      </c>
      <c r="B133" s="0" t="s">
        <v>379</v>
      </c>
      <c r="D133" s="21" t="n">
        <f aca="false">a26_abf*ai_abf</f>
        <v>5.714709</v>
      </c>
      <c r="K133" s="3" t="s">
        <v>717</v>
      </c>
    </row>
    <row r="134" customFormat="false" ht="17.15" hidden="false" customHeight="false" outlineLevel="0" collapsed="false">
      <c r="A134" s="3" t="s">
        <v>718</v>
      </c>
      <c r="B134" s="0" t="s">
        <v>379</v>
      </c>
      <c r="D134" s="21" t="n">
        <f aca="false">D133-D131</f>
        <v>1.141123803768</v>
      </c>
      <c r="E134" s="21" t="n">
        <f aca="false">$D134*(swm_27/swm_26)^el_o*1*1*E124*E125</f>
        <v>1.83552013039205</v>
      </c>
      <c r="F134" s="21" t="n">
        <f aca="false">$D134*(swm_28/swm_26)^el_o*um28_B*1*F124*F125</f>
        <v>1.50066448666421</v>
      </c>
      <c r="G134" s="21" t="n">
        <f aca="false">$D134*(swm_29/swm_26)^el_o*um29_B*1*G124*G125</f>
        <v>1.61145323341147</v>
      </c>
      <c r="K134" s="7" t="s">
        <v>719</v>
      </c>
    </row>
    <row r="135" customFormat="false" ht="17.15" hidden="false" customHeight="false" outlineLevel="0" collapsed="false">
      <c r="A135" s="3" t="s">
        <v>720</v>
      </c>
      <c r="B135" s="0" t="s">
        <v>379</v>
      </c>
      <c r="D135" s="21" t="n">
        <f aca="false">a26_abf-D133</f>
        <v>17.144127</v>
      </c>
      <c r="E135" s="21" t="n">
        <f aca="false">$D135*(1+g_nai)^1*E125</f>
        <v>20.898690813</v>
      </c>
      <c r="F135" s="21" t="n">
        <f aca="false">$D135*(1+g_nai)^2*F125</f>
        <v>22.15261226178</v>
      </c>
      <c r="G135" s="21" t="n">
        <f aca="false">$D135*(1+g_nai)^3*G125</f>
        <v>23.4817689974868</v>
      </c>
      <c r="K135" s="3" t="s">
        <v>721</v>
      </c>
    </row>
    <row r="136" customFormat="false" ht="17.15" hidden="false" customHeight="false" outlineLevel="0" collapsed="false">
      <c r="A136" s="0" t="s">
        <v>722</v>
      </c>
      <c r="B136" s="0" t="s">
        <v>379</v>
      </c>
      <c r="D136" s="21" t="n">
        <f aca="false">D131+D134+D135</f>
        <v>22.858836</v>
      </c>
      <c r="E136" s="21" t="n">
        <f aca="false">E131+E134+E135</f>
        <v>38.552060307501</v>
      </c>
      <c r="F136" s="21" t="n">
        <f aca="false">F131+F134+F135</f>
        <v>41.9279615405482</v>
      </c>
      <c r="G136" s="21" t="n">
        <f aca="false">G131+G134+G135</f>
        <v>50.0237637918955</v>
      </c>
    </row>
    <row r="137" customFormat="false" ht="17.15" hidden="false" customHeight="false" outlineLevel="0" collapsed="false">
      <c r="A137" s="0" t="s">
        <v>723</v>
      </c>
      <c r="B137" s="0" t="s">
        <v>379</v>
      </c>
      <c r="D137" s="21" t="n">
        <f aca="false">a26_abf</f>
        <v>22.858836</v>
      </c>
      <c r="E137" s="21" t="n">
        <f aca="false">$D136*cap_27*(1+g_mix)^1*E124*E125</f>
        <v>33.122453364</v>
      </c>
      <c r="F137" s="21" t="n">
        <f aca="false">$D136*cap_28*(1+g_mix)^2*F124*F125</f>
        <v>41.2995590382375</v>
      </c>
      <c r="G137" s="21" t="n">
        <f aca="false">$D136*cap_29*(1+g_mix)^3*G124*G125</f>
        <v>50.6680379569114</v>
      </c>
      <c r="K137" s="7" t="s">
        <v>724</v>
      </c>
    </row>
    <row r="138" customFormat="false" ht="17.15" hidden="false" customHeight="false" outlineLevel="0" collapsed="false">
      <c r="A138" s="0" t="s">
        <v>725</v>
      </c>
      <c r="B138" s="0" t="s">
        <v>379</v>
      </c>
      <c r="D138" s="21" t="n">
        <f aca="false">a26_abf</f>
        <v>22.858836</v>
      </c>
      <c r="E138" s="21" t="n">
        <f aca="false">MIN(E136,E137)</f>
        <v>33.122453364</v>
      </c>
      <c r="F138" s="21" t="n">
        <f aca="false">MIN(F136,F137)</f>
        <v>41.2995590382375</v>
      </c>
      <c r="G138" s="21" t="n">
        <f aca="false">MIN(G136,G137)</f>
        <v>50.0237637918955</v>
      </c>
    </row>
    <row r="139" customFormat="false" ht="17.15" hidden="false" customHeight="false" outlineLevel="0" collapsed="false">
      <c r="A139" s="3" t="s">
        <v>726</v>
      </c>
      <c r="B139" s="0" t="s">
        <v>43</v>
      </c>
      <c r="D139" s="20" t="n">
        <f aca="false">D138/D136</f>
        <v>1</v>
      </c>
      <c r="E139" s="20" t="n">
        <f aca="false">E138/E136</f>
        <v>0.85916169200315</v>
      </c>
      <c r="F139" s="20" t="n">
        <f aca="false">F138/F136</f>
        <v>0.985012328784386</v>
      </c>
      <c r="G139" s="20" t="n">
        <f aca="false">G138/G136</f>
        <v>1</v>
      </c>
    </row>
    <row r="140" customFormat="false" ht="17.15" hidden="false" customHeight="false" outlineLevel="0" collapsed="false">
      <c r="A140" s="0" t="s">
        <v>727</v>
      </c>
      <c r="B140" s="0" t="s">
        <v>379</v>
      </c>
      <c r="D140" s="21" t="n">
        <f aca="false">(D131+D134)*D139</f>
        <v>5.714709</v>
      </c>
      <c r="E140" s="21" t="n">
        <f aca="false">(E131+E134)*E139</f>
        <v>15.1670988044522</v>
      </c>
      <c r="F140" s="21" t="n">
        <f aca="false">(F131+F134)*F139</f>
        <v>19.478962845604</v>
      </c>
      <c r="G140" s="21" t="n">
        <f aca="false">(G131+G134)*G139</f>
        <v>26.5419947944087</v>
      </c>
    </row>
    <row r="141" customFormat="false" ht="17.15" hidden="false" customHeight="false" outlineLevel="0" collapsed="false">
      <c r="A141" s="3" t="s">
        <v>728</v>
      </c>
      <c r="B141" s="0" t="s">
        <v>43</v>
      </c>
      <c r="D141" s="20" t="n">
        <f aca="false">D131/(D131+D134)</f>
        <v>0.800318125775433</v>
      </c>
      <c r="E141" s="20" t="n">
        <f aca="false">E131/(E131+E134)</f>
        <v>0.896024374782173</v>
      </c>
      <c r="F141" s="20" t="n">
        <f aca="false">F131/(F131+F134)</f>
        <v>0.924114387791097</v>
      </c>
      <c r="G141" s="20" t="n">
        <f aca="false">G131/(G131+G134)</f>
        <v>0.939286657016792</v>
      </c>
    </row>
    <row r="142" customFormat="false" ht="17.15" hidden="false" customHeight="false" outlineLevel="0" collapsed="false">
      <c r="A142" s="5" t="s">
        <v>729</v>
      </c>
    </row>
    <row r="143" customFormat="false" ht="17.15" hidden="false" customHeight="false" outlineLevel="0" collapsed="false">
      <c r="A143" s="0" t="s">
        <v>730</v>
      </c>
      <c r="B143" s="0" t="s">
        <v>379</v>
      </c>
      <c r="D143" s="21" t="n">
        <f aca="false">a26_bt</f>
        <v>23.265964</v>
      </c>
      <c r="E143" s="21" t="n">
        <f aca="false">D143*(1+g_bt27_B)</f>
        <v>27.9191568</v>
      </c>
      <c r="F143" s="21" t="n">
        <f aca="false">E143*(1+g_bt28_B)</f>
        <v>29.31511464</v>
      </c>
      <c r="G143" s="21" t="n">
        <f aca="false">F143*(1+g_bt29_B)</f>
        <v>30.1945680792</v>
      </c>
      <c r="K143" s="7" t="s">
        <v>731</v>
      </c>
    </row>
    <row r="144" customFormat="false" ht="17.15" hidden="false" customHeight="false" outlineLevel="0" collapsed="false">
      <c r="A144" s="3" t="s">
        <v>616</v>
      </c>
      <c r="B144" s="0" t="s">
        <v>379</v>
      </c>
      <c r="C144" s="21" t="n">
        <f aca="false">a25_lens</f>
        <v>7.039</v>
      </c>
      <c r="D144" s="21" t="n">
        <f aca="false">a26_lens</f>
        <v>8.301</v>
      </c>
      <c r="E144" s="21" t="n">
        <f aca="false">D144*(1+g_lens)</f>
        <v>9.1311</v>
      </c>
      <c r="F144" s="21" t="n">
        <f aca="false">E144*(1+g_lens)</f>
        <v>10.04421</v>
      </c>
      <c r="G144" s="21" t="n">
        <f aca="false">F144*(1+g_lens)</f>
        <v>11.048631</v>
      </c>
      <c r="K144" s="3" t="s">
        <v>732</v>
      </c>
    </row>
    <row r="145" customFormat="false" ht="17.15" hidden="false" customHeight="false" outlineLevel="0" collapsed="false">
      <c r="A145" s="3" t="s">
        <v>573</v>
      </c>
      <c r="B145" s="0" t="s">
        <v>379</v>
      </c>
      <c r="C145" s="23" t="n">
        <f aca="false">a25_rev</f>
        <v>39.351</v>
      </c>
      <c r="D145" s="23" t="n">
        <f aca="false">D138+D143+D144</f>
        <v>54.4258</v>
      </c>
      <c r="E145" s="23" t="n">
        <f aca="false">E138+E143+E144</f>
        <v>70.172710164</v>
      </c>
      <c r="F145" s="23" t="n">
        <f aca="false">F138+F143+F144</f>
        <v>80.6588836782375</v>
      </c>
      <c r="G145" s="23" t="n">
        <f aca="false">G138+G143+G144</f>
        <v>91.2669628710955</v>
      </c>
      <c r="H145" s="25" t="n">
        <f aca="false">G145*(1+H146)</f>
        <v>100.486009352617</v>
      </c>
      <c r="I145" s="25" t="n">
        <f aca="false">H145*(1+I146)</f>
        <v>107.570869337368</v>
      </c>
      <c r="J145" s="25" t="n">
        <f aca="false">I145*(1+J146)</f>
        <v>111.873704110862</v>
      </c>
      <c r="K145" s="7" t="s">
        <v>733</v>
      </c>
    </row>
    <row r="146" customFormat="false" ht="15" hidden="false" customHeight="false" outlineLevel="0" collapsed="false">
      <c r="A146" s="3" t="s">
        <v>734</v>
      </c>
      <c r="B146" s="0" t="s">
        <v>43</v>
      </c>
      <c r="D146" s="20" t="n">
        <f aca="false">D145/C145-1</f>
        <v>0.383085563263958</v>
      </c>
      <c r="E146" s="20" t="n">
        <f aca="false">E145/D145-1</f>
        <v>0.289328042288767</v>
      </c>
      <c r="F146" s="20" t="n">
        <f aca="false">F145/E145-1</f>
        <v>0.149433782587709</v>
      </c>
      <c r="G146" s="20" t="n">
        <f aca="false">G145/F145-1</f>
        <v>0.131517803236349</v>
      </c>
      <c r="H146" s="26" t="n">
        <f aca="false">$G146+(fade_gB-$G146)*1/3</f>
        <v>0.101011868824233</v>
      </c>
      <c r="I146" s="26" t="n">
        <f aca="false">$G146+(fade_gB-$G146)*2/3</f>
        <v>0.0705059344121164</v>
      </c>
      <c r="J146" s="26" t="n">
        <f aca="false">$G146+(fade_gB-$G146)*3/3</f>
        <v>0.04</v>
      </c>
    </row>
    <row r="147" customFormat="false" ht="17.15" hidden="false" customHeight="false" outlineLevel="0" collapsed="false">
      <c r="A147" s="0" t="s">
        <v>735</v>
      </c>
      <c r="B147" s="0" t="s">
        <v>43</v>
      </c>
      <c r="D147" s="20" t="n">
        <f aca="false">D138/D145</f>
        <v>0.42</v>
      </c>
      <c r="E147" s="20" t="n">
        <f aca="false">E138/E145</f>
        <v>0.472013312391524</v>
      </c>
      <c r="F147" s="20" t="n">
        <f aca="false">F138/F145</f>
        <v>0.51202740671429</v>
      </c>
      <c r="G147" s="20" t="n">
        <f aca="false">G138/G145</f>
        <v>0.548103741137399</v>
      </c>
    </row>
    <row r="148" customFormat="false" ht="17.15" hidden="false" customHeight="false" outlineLevel="0" collapsed="false">
      <c r="A148" s="0" t="s">
        <v>736</v>
      </c>
      <c r="B148" s="0" t="s">
        <v>43</v>
      </c>
      <c r="D148" s="20" t="n">
        <f aca="false">D140/D145</f>
        <v>0.105</v>
      </c>
      <c r="E148" s="20" t="n">
        <f aca="false">E140/E145</f>
        <v>0.216139561504826</v>
      </c>
      <c r="F148" s="20" t="n">
        <f aca="false">F140/F145</f>
        <v>0.241498046555034</v>
      </c>
      <c r="G148" s="20" t="n">
        <f aca="false">G140/G145</f>
        <v>0.290817114533507</v>
      </c>
      <c r="K148" s="3" t="s">
        <v>737</v>
      </c>
    </row>
    <row r="149" customFormat="false" ht="17.15" hidden="false" customHeight="false" outlineLevel="0" collapsed="false">
      <c r="A149" s="5" t="s">
        <v>738</v>
      </c>
    </row>
    <row r="150" customFormat="false" ht="15" hidden="false" customHeight="false" outlineLevel="0" collapsed="false">
      <c r="A150" s="3" t="s">
        <v>739</v>
      </c>
      <c r="B150" s="0" t="s">
        <v>379</v>
      </c>
      <c r="C150" s="23" t="n">
        <f aca="false">a25_cx</f>
        <v>6.116</v>
      </c>
      <c r="D150" s="23" t="n">
        <f aca="false">capex26</f>
        <v>11</v>
      </c>
      <c r="E150" s="23" t="n">
        <f aca="false">cx27</f>
        <v>17</v>
      </c>
      <c r="F150" s="23" t="n">
        <f aca="false">cx28</f>
        <v>16</v>
      </c>
      <c r="G150" s="23" t="n">
        <f aca="false">cx29</f>
        <v>12</v>
      </c>
      <c r="H150" s="25" t="n">
        <f aca="false">H145*H169</f>
        <v>13.3101223341164</v>
      </c>
      <c r="I150" s="25" t="n">
        <f aca="false">I145*I169</f>
        <v>14.3534530196314</v>
      </c>
      <c r="J150" s="25" t="n">
        <f aca="false">J145*J169</f>
        <v>15.0366747365536</v>
      </c>
    </row>
    <row r="151" customFormat="false" ht="17.15" hidden="false" customHeight="false" outlineLevel="0" collapsed="false">
      <c r="A151" s="3" t="s">
        <v>740</v>
      </c>
      <c r="B151" s="0" t="s">
        <v>379</v>
      </c>
      <c r="C151" s="23" t="n">
        <f aca="false">a25_da</f>
        <v>7.158</v>
      </c>
      <c r="D151" s="23" t="n">
        <f aca="false">da26</f>
        <v>8.32</v>
      </c>
      <c r="E151" s="23" t="n">
        <f aca="false">D151*(1-1/life)+D150/life</f>
        <v>8.655</v>
      </c>
      <c r="F151" s="23" t="n">
        <f aca="false">E151*(1-1/life)+E150/life</f>
        <v>9.698125</v>
      </c>
      <c r="G151" s="23" t="n">
        <f aca="false">F151*(1-1/life)+F150/life</f>
        <v>10.485859375</v>
      </c>
      <c r="H151" s="25" t="n">
        <f aca="false">H145*H152</f>
        <v>11.5450556266969</v>
      </c>
      <c r="I151" s="25" t="n">
        <f aca="false">I145*I152</f>
        <v>12.359050561497</v>
      </c>
      <c r="J151" s="25" t="n">
        <f aca="false">J145*J152</f>
        <v>12.8534125839569</v>
      </c>
      <c r="K151" s="3" t="s">
        <v>741</v>
      </c>
    </row>
    <row r="152" customFormat="false" ht="17.15" hidden="false" customHeight="false" outlineLevel="0" collapsed="false">
      <c r="A152" s="3" t="s">
        <v>742</v>
      </c>
      <c r="B152" s="0" t="s">
        <v>43</v>
      </c>
      <c r="C152" s="20" t="n">
        <f aca="false">C151/C145</f>
        <v>0.181901349393916</v>
      </c>
      <c r="D152" s="20" t="n">
        <f aca="false">D151/D145</f>
        <v>0.152868676252807</v>
      </c>
      <c r="E152" s="20" t="n">
        <f aca="false">E151/E145</f>
        <v>0.12333854542275</v>
      </c>
      <c r="F152" s="20" t="n">
        <f aca="false">F151/F145</f>
        <v>0.120236290880091</v>
      </c>
      <c r="G152" s="20" t="n">
        <f aca="false">G151/G145</f>
        <v>0.114892169577398</v>
      </c>
      <c r="H152" s="26" t="n">
        <f aca="false">$G152</f>
        <v>0.114892169577398</v>
      </c>
      <c r="I152" s="26" t="n">
        <f aca="false">$G152</f>
        <v>0.114892169577398</v>
      </c>
      <c r="J152" s="26" t="n">
        <f aca="false">$G152</f>
        <v>0.114892169577398</v>
      </c>
    </row>
    <row r="153" customFormat="false" ht="17.15" hidden="false" customHeight="false" outlineLevel="0" collapsed="false">
      <c r="A153" s="0" t="s">
        <v>743</v>
      </c>
      <c r="B153" s="0" t="s">
        <v>379</v>
      </c>
      <c r="E153" s="21" t="n">
        <f aca="false">E139*((E131+E134)*(1-1/(E124*E125))+E135*(1-1/E125))</f>
        <v>4.320320004</v>
      </c>
      <c r="F153" s="21" t="n">
        <f aca="false">F139*((F131+F134)*(1-1/(F124*F125))+F135*(1-1/F125))</f>
        <v>4.49541329122987</v>
      </c>
      <c r="G153" s="21" t="n">
        <f aca="false">G139*((G131+G134)*(1-1/(G124*G125))+G135*(1-1/G125))</f>
        <v>3.96039481397586</v>
      </c>
      <c r="K153" s="7" t="s">
        <v>744</v>
      </c>
    </row>
    <row r="154" customFormat="false" ht="17.15" hidden="false" customHeight="false" outlineLevel="0" collapsed="false">
      <c r="A154" s="3" t="s">
        <v>745</v>
      </c>
      <c r="B154" s="0" t="s">
        <v>379</v>
      </c>
      <c r="C154" s="21" t="n">
        <f aca="false">a25_gp</f>
        <v>8.314</v>
      </c>
      <c r="D154" s="21" t="n">
        <f aca="false">a26_gp</f>
        <v>15.328536</v>
      </c>
      <c r="E154" s="21" t="n">
        <f aca="false">$D154+ft_abf*(E138-E153-$D138)+ft_bt*(E143-$D143)+ft_lens*(E144-$D144)+E153-(E151-$D151)</f>
        <v>24.752986444</v>
      </c>
      <c r="F154" s="21" t="n">
        <f aca="false">$D154+ft_abf*(F138-F153-$D138)+ft_bt*(F143-$D143)+ft_lens*(F144-$D144)+F153-(F151-$D151)</f>
        <v>28.9250414527337</v>
      </c>
      <c r="G154" s="21" t="n">
        <f aca="false">$D154+ft_abf*(G138-G153-$D138)+ft_bt*(G143-$D143)+ft_lens*(G144-$D144)+G153-(G151-$D151)</f>
        <v>33.0796437135757</v>
      </c>
      <c r="K154" s="3" t="s">
        <v>746</v>
      </c>
    </row>
    <row r="155" customFormat="false" ht="15" hidden="false" customHeight="false" outlineLevel="0" collapsed="false">
      <c r="A155" s="3" t="s">
        <v>580</v>
      </c>
      <c r="B155" s="0" t="s">
        <v>43</v>
      </c>
      <c r="C155" s="16" t="n">
        <f aca="false">C154/C145</f>
        <v>0.211277985311682</v>
      </c>
      <c r="D155" s="16" t="n">
        <f aca="false">D154/D145</f>
        <v>0.281640986443929</v>
      </c>
      <c r="E155" s="16" t="n">
        <f aca="false">E154/E145</f>
        <v>0.352743771562336</v>
      </c>
      <c r="F155" s="16" t="n">
        <f aca="false">F154/F145</f>
        <v>0.358609493879444</v>
      </c>
      <c r="G155" s="16" t="n">
        <f aca="false">G154/G145</f>
        <v>0.362449266119407</v>
      </c>
    </row>
    <row r="156" customFormat="false" ht="15" hidden="false" customHeight="false" outlineLevel="0" collapsed="false">
      <c r="A156" s="3" t="s">
        <v>582</v>
      </c>
      <c r="B156" s="0" t="s">
        <v>379</v>
      </c>
      <c r="C156" s="21" t="n">
        <f aca="false">a25_opx</f>
        <v>5.644</v>
      </c>
      <c r="D156" s="21" t="n">
        <f aca="false">a26_opx</f>
        <v>6.54036</v>
      </c>
      <c r="E156" s="21" t="n">
        <f aca="false">D156*(1+phi*E146)</f>
        <v>7.67574573279826</v>
      </c>
      <c r="F156" s="21" t="n">
        <f aca="false">E156*(1+phi*F146)</f>
        <v>8.36395516421837</v>
      </c>
      <c r="G156" s="21" t="n">
        <f aca="false">F156*(1+phi*G146)</f>
        <v>9.02396056995756</v>
      </c>
    </row>
    <row r="157" customFormat="false" ht="15" hidden="false" customHeight="false" outlineLevel="0" collapsed="false">
      <c r="A157" s="3" t="s">
        <v>585</v>
      </c>
      <c r="B157" s="0" t="s">
        <v>379</v>
      </c>
      <c r="C157" s="21" t="n">
        <f aca="false">C154-C156</f>
        <v>2.67</v>
      </c>
      <c r="D157" s="21" t="n">
        <f aca="false">D154-D156</f>
        <v>8.788176</v>
      </c>
      <c r="E157" s="21" t="n">
        <f aca="false">E154-E156</f>
        <v>17.0772407112017</v>
      </c>
      <c r="F157" s="21" t="n">
        <f aca="false">F154-F156</f>
        <v>20.5610862885153</v>
      </c>
      <c r="G157" s="21" t="n">
        <f aca="false">G154-G156</f>
        <v>24.0556831436181</v>
      </c>
    </row>
    <row r="158" customFormat="false" ht="15" hidden="false" customHeight="false" outlineLevel="0" collapsed="false">
      <c r="A158" s="3" t="s">
        <v>683</v>
      </c>
      <c r="B158" s="0" t="s">
        <v>43</v>
      </c>
      <c r="C158" s="16" t="n">
        <f aca="false">C157/C145</f>
        <v>0.0678508805367081</v>
      </c>
      <c r="D158" s="16" t="n">
        <f aca="false">D157/D145</f>
        <v>0.161470773052486</v>
      </c>
      <c r="E158" s="16" t="n">
        <f aca="false">E157/E145</f>
        <v>0.243360142016614</v>
      </c>
      <c r="F158" s="16" t="n">
        <f aca="false">F157/F145</f>
        <v>0.254914094404494</v>
      </c>
      <c r="G158" s="16" t="n">
        <f aca="false">G157/G145</f>
        <v>0.263574927738026</v>
      </c>
    </row>
    <row r="159" customFormat="false" ht="15" hidden="false" customHeight="false" outlineLevel="0" collapsed="false">
      <c r="A159" s="3" t="s">
        <v>588</v>
      </c>
      <c r="B159" s="0" t="s">
        <v>379</v>
      </c>
      <c r="C159" s="21" t="n">
        <f aca="false">a25_nonop</f>
        <v>0.417</v>
      </c>
      <c r="D159" s="21" t="n">
        <f aca="false">a26_nonop</f>
        <v>0.37882</v>
      </c>
      <c r="E159" s="21" t="n">
        <f aca="false">nonop27</f>
        <v>0.4</v>
      </c>
      <c r="F159" s="21" t="n">
        <f aca="false">nonop28</f>
        <v>0.4</v>
      </c>
      <c r="G159" s="21" t="n">
        <f aca="false">nonop29</f>
        <v>0.4</v>
      </c>
    </row>
    <row r="160" customFormat="false" ht="15" hidden="false" customHeight="false" outlineLevel="0" collapsed="false">
      <c r="A160" s="3" t="s">
        <v>590</v>
      </c>
      <c r="B160" s="0" t="s">
        <v>379</v>
      </c>
      <c r="C160" s="21" t="n">
        <f aca="false">C157+C159</f>
        <v>3.087</v>
      </c>
      <c r="D160" s="21" t="n">
        <f aca="false">D157+D159</f>
        <v>9.166996</v>
      </c>
      <c r="E160" s="21" t="n">
        <f aca="false">E157+E159</f>
        <v>17.4772407112017</v>
      </c>
      <c r="F160" s="21" t="n">
        <f aca="false">F157+F159</f>
        <v>20.9610862885153</v>
      </c>
      <c r="G160" s="21" t="n">
        <f aca="false">G157+G159</f>
        <v>24.4556831436181</v>
      </c>
    </row>
    <row r="161" customFormat="false" ht="15" hidden="false" customHeight="false" outlineLevel="0" collapsed="false">
      <c r="A161" s="3" t="s">
        <v>591</v>
      </c>
      <c r="B161" s="0" t="s">
        <v>379</v>
      </c>
      <c r="E161" s="21" t="n">
        <f aca="false">E160*tax</f>
        <v>2.09726888534421</v>
      </c>
      <c r="F161" s="21" t="n">
        <f aca="false">F160*tax</f>
        <v>2.51533035462184</v>
      </c>
      <c r="G161" s="21" t="n">
        <f aca="false">G160*tax</f>
        <v>2.93468197723418</v>
      </c>
    </row>
    <row r="162" customFormat="false" ht="15" hidden="false" customHeight="false" outlineLevel="0" collapsed="false">
      <c r="A162" s="3" t="s">
        <v>592</v>
      </c>
      <c r="B162" s="0" t="s">
        <v>379</v>
      </c>
      <c r="C162" s="21" t="n">
        <f aca="false">a25_nic</f>
        <v>2.71712</v>
      </c>
      <c r="D162" s="21" t="n">
        <f aca="false">a26_nic</f>
        <v>8.39979776</v>
      </c>
      <c r="E162" s="21" t="n">
        <f aca="false">E160-E161</f>
        <v>15.3799718258575</v>
      </c>
      <c r="F162" s="21" t="n">
        <f aca="false">F160-F161</f>
        <v>18.4457559338935</v>
      </c>
      <c r="G162" s="21" t="n">
        <f aca="false">G160-G161</f>
        <v>21.521001166384</v>
      </c>
    </row>
    <row r="163" customFormat="false" ht="17.15" hidden="false" customHeight="false" outlineLevel="0" collapsed="false">
      <c r="A163" s="3" t="s">
        <v>747</v>
      </c>
      <c r="B163" s="0" t="s">
        <v>379</v>
      </c>
      <c r="C163" s="21" t="n">
        <f aca="false">a25_nci</f>
        <v>1.12112</v>
      </c>
      <c r="D163" s="21" t="n">
        <f aca="false">a26_nci</f>
        <v>1.43839238487797</v>
      </c>
      <c r="E163" s="21" t="n">
        <f aca="false">E144*nm_lens*nci_sh</f>
        <v>1.57074538036261</v>
      </c>
      <c r="F163" s="21" t="n">
        <f aca="false">F144*nm_lens*nci_sh</f>
        <v>1.72781991839887</v>
      </c>
      <c r="G163" s="21" t="n">
        <f aca="false">G144*nm_lens*nci_sh</f>
        <v>1.90060191023875</v>
      </c>
      <c r="K163" s="3" t="s">
        <v>748</v>
      </c>
    </row>
    <row r="164" customFormat="false" ht="15" hidden="false" customHeight="false" outlineLevel="0" collapsed="false">
      <c r="A164" s="3" t="s">
        <v>598</v>
      </c>
      <c r="B164" s="0" t="s">
        <v>379</v>
      </c>
      <c r="C164" s="21" t="n">
        <f aca="false">a25_ni</f>
        <v>1.596</v>
      </c>
      <c r="D164" s="21" t="n">
        <f aca="false">a26_ni</f>
        <v>6.96140537512203</v>
      </c>
      <c r="E164" s="21" t="n">
        <f aca="false">E162-E163</f>
        <v>13.8092264454949</v>
      </c>
      <c r="F164" s="21" t="n">
        <f aca="false">F162-F163</f>
        <v>16.7179360154946</v>
      </c>
      <c r="G164" s="21" t="n">
        <f aca="false">G162-G163</f>
        <v>19.6203992561452</v>
      </c>
      <c r="H164" s="30" t="n">
        <f aca="false">H145*H168</f>
        <v>20.8822160370165</v>
      </c>
      <c r="I164" s="30" t="n">
        <f aca="false">I145*I168</f>
        <v>21.5836901157399</v>
      </c>
      <c r="J164" s="30" t="n">
        <f aca="false">J145*J168</f>
        <v>21.6453578017848</v>
      </c>
    </row>
    <row r="165" customFormat="false" ht="15" hidden="false" customHeight="false" outlineLevel="0" collapsed="false">
      <c r="A165" s="3" t="s">
        <v>749</v>
      </c>
      <c r="B165" s="3" t="s">
        <v>465</v>
      </c>
      <c r="C165" s="29" t="n">
        <f aca="false">a25_sh</f>
        <v>0.454700854700855</v>
      </c>
      <c r="D165" s="29" t="n">
        <f aca="false">a26_sh</f>
        <v>0.508341020486215</v>
      </c>
      <c r="E165" s="29" t="n">
        <f aca="false">a26_shend*(1+sh_g)</f>
        <v>0.52691</v>
      </c>
      <c r="F165" s="29" t="n">
        <f aca="false">E165*(1+sh_g)</f>
        <v>0.52691</v>
      </c>
      <c r="G165" s="29" t="n">
        <f aca="false">F165*(1+sh_g)</f>
        <v>0.52691</v>
      </c>
      <c r="H165" s="31" t="n">
        <f aca="false">G165*(1+sh_g)</f>
        <v>0.52691</v>
      </c>
      <c r="I165" s="31" t="n">
        <f aca="false">H165*(1+sh_g)</f>
        <v>0.52691</v>
      </c>
      <c r="J165" s="31" t="n">
        <f aca="false">I165*(1+sh_g)</f>
        <v>0.52691</v>
      </c>
    </row>
    <row r="166" customFormat="false" ht="17.15" hidden="false" customHeight="false" outlineLevel="0" collapsed="false">
      <c r="A166" s="0" t="s">
        <v>603</v>
      </c>
      <c r="B166" s="0" t="s">
        <v>471</v>
      </c>
      <c r="C166" s="18" t="n">
        <f aca="false">C164/C165</f>
        <v>3.51</v>
      </c>
      <c r="D166" s="18" t="n">
        <f aca="false">D164/D165</f>
        <v>13.6943608612652</v>
      </c>
      <c r="E166" s="18" t="n">
        <f aca="false">E164/E165</f>
        <v>26.2079414805089</v>
      </c>
      <c r="F166" s="18" t="n">
        <f aca="false">F164/F165</f>
        <v>31.7282572270304</v>
      </c>
      <c r="G166" s="18" t="n">
        <f aca="false">G164/G165</f>
        <v>37.2367183316794</v>
      </c>
      <c r="H166" s="28" t="n">
        <f aca="false">H164/H165</f>
        <v>39.6314665446025</v>
      </c>
      <c r="I166" s="28" t="n">
        <f aca="false">I164/I165</f>
        <v>40.9627642590573</v>
      </c>
      <c r="J166" s="28" t="n">
        <f aca="false">J164/J165</f>
        <v>41.0798007283689</v>
      </c>
    </row>
    <row r="167" customFormat="false" ht="17.15" hidden="false" customHeight="false" outlineLevel="0" collapsed="false">
      <c r="A167" s="0" t="s">
        <v>750</v>
      </c>
      <c r="B167" s="0" t="s">
        <v>43</v>
      </c>
      <c r="D167" s="20" t="n">
        <f aca="false">D166/C166-1</f>
        <v>2.90152731090177</v>
      </c>
      <c r="E167" s="20" t="n">
        <f aca="false">E166/D166-1</f>
        <v>0.913776170061255</v>
      </c>
      <c r="F167" s="20" t="n">
        <f aca="false">F166/E166-1</f>
        <v>0.210635228662545</v>
      </c>
      <c r="G167" s="20" t="n">
        <f aca="false">G166/F166-1</f>
        <v>0.173613730663912</v>
      </c>
      <c r="H167" s="26" t="n">
        <f aca="false">H166/G166-1</f>
        <v>0.0643114731967582</v>
      </c>
      <c r="I167" s="26" t="n">
        <f aca="false">I166/H166-1</f>
        <v>0.0335919366737674</v>
      </c>
      <c r="J167" s="26" t="n">
        <f aca="false">J166/I166-1</f>
        <v>0.00285714285714289</v>
      </c>
    </row>
    <row r="168" customFormat="false" ht="17.15" hidden="false" customHeight="false" outlineLevel="0" collapsed="false">
      <c r="A168" s="3" t="s">
        <v>751</v>
      </c>
      <c r="B168" s="0" t="s">
        <v>43</v>
      </c>
      <c r="C168" s="16" t="n">
        <f aca="false">C164/C145</f>
        <v>0.0405580544331783</v>
      </c>
      <c r="D168" s="16" t="n">
        <f aca="false">D164/D145</f>
        <v>0.127906349105057</v>
      </c>
      <c r="E168" s="16" t="n">
        <f aca="false">E164/E145</f>
        <v>0.196789128041678</v>
      </c>
      <c r="F168" s="16" t="n">
        <f aca="false">F164/F145</f>
        <v>0.207267138511183</v>
      </c>
      <c r="G168" s="16" t="n">
        <f aca="false">G164/G145</f>
        <v>0.214978110796311</v>
      </c>
      <c r="H168" s="27" t="n">
        <f aca="false">$G168+(fade_mB-$G168)*1/3</f>
        <v>0.207812173769768</v>
      </c>
      <c r="I168" s="27" t="n">
        <f aca="false">$G168+(fade_mB-$G168)*2/3</f>
        <v>0.200646236743224</v>
      </c>
      <c r="J168" s="27" t="n">
        <f aca="false">$G168+(fade_mB-$G168)*3/3</f>
        <v>0.19348029971668</v>
      </c>
    </row>
    <row r="169" customFormat="false" ht="17.15" hidden="false" customHeight="false" outlineLevel="0" collapsed="false">
      <c r="A169" s="3" t="s">
        <v>752</v>
      </c>
      <c r="B169" s="0" t="s">
        <v>43</v>
      </c>
      <c r="C169" s="20" t="n">
        <f aca="false">C150/C145</f>
        <v>0.155421717364235</v>
      </c>
      <c r="D169" s="20" t="n">
        <f aca="false">D150/D145</f>
        <v>0.202110028699624</v>
      </c>
      <c r="E169" s="20" t="n">
        <f aca="false">E150/E145</f>
        <v>0.242259419085702</v>
      </c>
      <c r="F169" s="20" t="n">
        <f aca="false">F150/F145</f>
        <v>0.198366246473567</v>
      </c>
      <c r="G169" s="20" t="n">
        <f aca="false">G150/G145</f>
        <v>0.131482407461599</v>
      </c>
      <c r="H169" s="26" t="n">
        <f aca="false">$G169+($G152*(1+tp_g)^(life/2)-$G169)*1/3</f>
        <v>0.132457467660096</v>
      </c>
      <c r="I169" s="26" t="n">
        <f aca="false">$G169+($G152*(1+tp_g)^(life/2)-$G169)*2/3</f>
        <v>0.133432527858593</v>
      </c>
      <c r="J169" s="26" t="n">
        <f aca="false">$G169+($G152*(1+tp_g)^(life/2)-$G169)*3/3</f>
        <v>0.134407588057091</v>
      </c>
      <c r="K169" s="7" t="s">
        <v>753</v>
      </c>
    </row>
    <row r="170" customFormat="false" ht="15" hidden="false" customHeight="false" outlineLevel="0" collapsed="false">
      <c r="A170" s="3" t="s">
        <v>754</v>
      </c>
      <c r="B170" s="0" t="s">
        <v>379</v>
      </c>
      <c r="D170" s="21" t="n">
        <f aca="false">D164+D151-D150</f>
        <v>4.28140537512203</v>
      </c>
      <c r="E170" s="21" t="n">
        <f aca="false">E164+E151-E150</f>
        <v>5.46422644549492</v>
      </c>
      <c r="F170" s="21" t="n">
        <f aca="false">F164+F151-F150</f>
        <v>10.4160610154946</v>
      </c>
      <c r="G170" s="21" t="n">
        <f aca="false">G164+G151-G150</f>
        <v>18.1062586311452</v>
      </c>
      <c r="H170" s="30" t="n">
        <f aca="false">H164+H151-H150</f>
        <v>19.117149329597</v>
      </c>
      <c r="I170" s="30" t="n">
        <f aca="false">I164+I151-I150</f>
        <v>19.5892876576054</v>
      </c>
      <c r="J170" s="30" t="n">
        <f aca="false">J164+J151-J150</f>
        <v>19.462095649188</v>
      </c>
      <c r="K170" s="3" t="s">
        <v>755</v>
      </c>
    </row>
    <row r="171" customFormat="false" ht="15" hidden="false" customHeight="false" outlineLevel="0" collapsed="false">
      <c r="A171" s="3" t="s">
        <v>756</v>
      </c>
      <c r="B171" s="0" t="s">
        <v>471</v>
      </c>
      <c r="D171" s="18" t="n">
        <f aca="false">D170/D165</f>
        <v>8.42230943909854</v>
      </c>
      <c r="E171" s="18" t="n">
        <f aca="false">E170/E165</f>
        <v>10.3703221527299</v>
      </c>
      <c r="F171" s="18" t="n">
        <f aca="false">F170/F165</f>
        <v>19.7681976343106</v>
      </c>
      <c r="G171" s="18" t="n">
        <f aca="false">G170/G165</f>
        <v>34.3630954643966</v>
      </c>
      <c r="H171" s="28" t="n">
        <f aca="false">H170/H165</f>
        <v>36.28162177525</v>
      </c>
      <c r="I171" s="28" t="n">
        <f aca="false">I170/I165</f>
        <v>37.1776729566822</v>
      </c>
      <c r="J171" s="28" t="n">
        <f aca="false">J170/J165</f>
        <v>36.936280672578</v>
      </c>
    </row>
    <row r="174" customFormat="false" ht="17.15" hidden="false" customHeight="false" outlineLevel="0" collapsed="false">
      <c r="A174" s="1" t="s">
        <v>758</v>
      </c>
    </row>
    <row r="175" customFormat="false" ht="17.15" hidden="false" customHeight="false" outlineLevel="0" collapsed="false">
      <c r="A175" s="4" t="s">
        <v>20</v>
      </c>
      <c r="B175" s="4" t="s">
        <v>21</v>
      </c>
      <c r="C175" s="13" t="s">
        <v>566</v>
      </c>
      <c r="D175" s="13" t="s">
        <v>670</v>
      </c>
      <c r="E175" s="13" t="s">
        <v>671</v>
      </c>
      <c r="F175" s="13" t="s">
        <v>672</v>
      </c>
      <c r="G175" s="13" t="s">
        <v>673</v>
      </c>
      <c r="H175" s="13" t="s">
        <v>674</v>
      </c>
      <c r="I175" s="13" t="s">
        <v>675</v>
      </c>
      <c r="J175" s="13" t="s">
        <v>676</v>
      </c>
      <c r="K175" s="4" t="s">
        <v>630</v>
      </c>
    </row>
    <row r="176" customFormat="false" ht="17.15" hidden="false" customHeight="false" outlineLevel="0" collapsed="false">
      <c r="A176" s="5" t="s">
        <v>694</v>
      </c>
    </row>
    <row r="177" customFormat="false" ht="17.15" hidden="false" customHeight="false" outlineLevel="0" collapsed="false">
      <c r="A177" s="0" t="s">
        <v>695</v>
      </c>
      <c r="B177" s="3" t="s">
        <v>31</v>
      </c>
      <c r="D177" s="21" t="n">
        <f aca="false">(u_bw_26+u_rb_26+u_ru_26+u_hp_26)*1</f>
        <v>7.6</v>
      </c>
      <c r="E177" s="21" t="n">
        <f aca="false">(u_bw_27+u_rb_27+u_ru_27+u_hp_27)*1*1</f>
        <v>9.7</v>
      </c>
      <c r="F177" s="21" t="n">
        <f aca="false">(u_bw_28+u_rb_28+u_ru_28+u_hp_28)*um28_C*1</f>
        <v>5.7</v>
      </c>
      <c r="G177" s="21" t="n">
        <f aca="false">(u_bw_28*(1+g29_bw)+u_rb_28*(1+g29_rb)+u_ru_28*(1+g29_ru)+u_hp_28*(1+g29_hp))*um29_C*1</f>
        <v>6.36</v>
      </c>
      <c r="K177" s="7" t="s">
        <v>696</v>
      </c>
    </row>
    <row r="178" customFormat="false" ht="17.15" hidden="false" customHeight="false" outlineLevel="0" collapsed="false">
      <c r="A178" s="3" t="s">
        <v>697</v>
      </c>
      <c r="B178" s="3" t="s">
        <v>31</v>
      </c>
      <c r="D178" s="21" t="n">
        <f aca="false">(u_amd_26+u_tpu_26+u_trn_26+u_oth_26)*1</f>
        <v>7.6</v>
      </c>
      <c r="E178" s="21" t="n">
        <f aca="false">(u_amd_27+u_tpu_27+u_trn_27+u_oth_27)*1*1</f>
        <v>14</v>
      </c>
      <c r="F178" s="21" t="n">
        <f aca="false">(u_amd_28+u_tpu_28+u_trn_28+u_oth_28)*um28_C*1</f>
        <v>10.2</v>
      </c>
      <c r="G178" s="21" t="n">
        <f aca="false">(u_amd_28*(1+g29_amd)+u_tpu_28*(1+g29_tpu)+u_trn_28*(1+g29_trn)+u_oth_28*(1+g29_oth))*um29_C*1</f>
        <v>11.73</v>
      </c>
      <c r="K178" s="7" t="s">
        <v>698</v>
      </c>
    </row>
    <row r="179" customFormat="false" ht="17.15" hidden="false" customHeight="false" outlineLevel="0" collapsed="false">
      <c r="A179" s="0" t="s">
        <v>699</v>
      </c>
      <c r="B179" s="3" t="s">
        <v>31</v>
      </c>
      <c r="D179" s="21" t="n">
        <f aca="false">D177*cpu_r</f>
        <v>3.04</v>
      </c>
      <c r="E179" s="21" t="n">
        <f aca="false">E177*cpu_r</f>
        <v>3.88</v>
      </c>
      <c r="F179" s="21" t="n">
        <f aca="false">F177*cpu_r</f>
        <v>2.28</v>
      </c>
      <c r="G179" s="21" t="n">
        <f aca="false">G177*cpu_r</f>
        <v>2.544</v>
      </c>
      <c r="K179" s="7" t="s">
        <v>700</v>
      </c>
    </row>
    <row r="180" customFormat="false" ht="17.15" hidden="false" customHeight="false" outlineLevel="0" collapsed="false">
      <c r="A180" s="3" t="s">
        <v>701</v>
      </c>
      <c r="B180" s="0" t="s">
        <v>153</v>
      </c>
      <c r="D180" s="19" t="n">
        <f aca="false">1</f>
        <v>1</v>
      </c>
      <c r="E180" s="19" t="n">
        <f aca="false">D180*(1+g_asp)</f>
        <v>1.18</v>
      </c>
      <c r="F180" s="19" t="n">
        <f aca="false">E180*(1+g_asp)</f>
        <v>1.3924</v>
      </c>
      <c r="G180" s="19" t="n">
        <f aca="false">F180*(1+g_asp)</f>
        <v>1.643032</v>
      </c>
      <c r="K180" s="7" t="s">
        <v>702</v>
      </c>
    </row>
    <row r="181" customFormat="false" ht="17.15" hidden="false" customHeight="false" outlineLevel="0" collapsed="false">
      <c r="A181" s="0" t="s">
        <v>703</v>
      </c>
      <c r="B181" s="0" t="s">
        <v>153</v>
      </c>
      <c r="D181" s="18" t="n">
        <f aca="false">1</f>
        <v>1</v>
      </c>
      <c r="E181" s="18" t="n">
        <f aca="false">ibpp_27</f>
        <v>1</v>
      </c>
      <c r="F181" s="18" t="n">
        <f aca="false">ibpp_28</f>
        <v>0.95</v>
      </c>
      <c r="G181" s="18" t="n">
        <f aca="false">ibpp_29</f>
        <v>0.9</v>
      </c>
      <c r="K181" s="7" t="s">
        <v>704</v>
      </c>
    </row>
    <row r="182" customFormat="false" ht="17.15" hidden="false" customHeight="false" outlineLevel="0" collapsed="false">
      <c r="A182" s="3" t="s">
        <v>705</v>
      </c>
      <c r="B182" s="0" t="s">
        <v>153</v>
      </c>
      <c r="D182" s="18" t="n">
        <f aca="false">1</f>
        <v>1</v>
      </c>
      <c r="E182" s="18" t="n">
        <f aca="false">1+carry</f>
        <v>1.15</v>
      </c>
      <c r="F182" s="18" t="n">
        <f aca="false">1+carry</f>
        <v>1.15</v>
      </c>
      <c r="G182" s="18" t="n">
        <f aca="false">1+carry</f>
        <v>1.15</v>
      </c>
      <c r="K182" s="7" t="s">
        <v>706</v>
      </c>
    </row>
    <row r="183" customFormat="false" ht="17.15" hidden="false" customHeight="false" outlineLevel="0" collapsed="false">
      <c r="A183" s="3" t="s">
        <v>707</v>
      </c>
      <c r="B183" s="0" t="s">
        <v>708</v>
      </c>
      <c r="D183" s="23" t="n">
        <f aca="false">v26*D180*D181</f>
        <v>215.308596</v>
      </c>
      <c r="E183" s="23" t="n">
        <f aca="false">v26*E180*E181</f>
        <v>254.06414328</v>
      </c>
      <c r="F183" s="23" t="n">
        <f aca="false">v26*F180*F181</f>
        <v>284.80590461688</v>
      </c>
      <c r="G183" s="23" t="n">
        <f aca="false">v26*G180*G181</f>
        <v>318.383021792765</v>
      </c>
      <c r="K183" s="7" t="s">
        <v>709</v>
      </c>
    </row>
    <row r="184" customFormat="false" ht="17.15" hidden="false" customHeight="false" outlineLevel="0" collapsed="false">
      <c r="A184" s="3" t="s">
        <v>710</v>
      </c>
      <c r="B184" s="0" t="s">
        <v>43</v>
      </c>
      <c r="D184" s="20" t="n">
        <f aca="false">sh_nv_26</f>
        <v>0.02</v>
      </c>
      <c r="E184" s="20" t="n">
        <f aca="false">sh_nv_27</f>
        <v>0.03</v>
      </c>
      <c r="F184" s="20" t="n">
        <f aca="false">sh_nv_28</f>
        <v>0.05</v>
      </c>
      <c r="G184" s="20" t="n">
        <f aca="false">sh_nv_29</f>
        <v>0.06</v>
      </c>
    </row>
    <row r="185" customFormat="false" ht="17.15" hidden="false" customHeight="false" outlineLevel="0" collapsed="false">
      <c r="A185" s="3" t="s">
        <v>711</v>
      </c>
      <c r="B185" s="0" t="s">
        <v>43</v>
      </c>
      <c r="D185" s="20" t="n">
        <f aca="false">sh_ot_26</f>
        <v>0.03</v>
      </c>
      <c r="E185" s="20" t="n">
        <f aca="false">sh_ot_27</f>
        <v>0.05</v>
      </c>
      <c r="F185" s="20" t="n">
        <f aca="false">sh_ot_28</f>
        <v>0.06</v>
      </c>
      <c r="G185" s="20" t="n">
        <f aca="false">sh_ot_29</f>
        <v>0.06</v>
      </c>
    </row>
    <row r="186" customFormat="false" ht="17.15" hidden="false" customHeight="false" outlineLevel="0" collapsed="false">
      <c r="A186" s="3" t="s">
        <v>712</v>
      </c>
      <c r="B186" s="0" t="s">
        <v>43</v>
      </c>
      <c r="D186" s="20" t="n">
        <f aca="false">sh_cpu_26</f>
        <v>0.35</v>
      </c>
      <c r="E186" s="20" t="n">
        <f aca="false">sh_cpu_27</f>
        <v>0.7</v>
      </c>
      <c r="F186" s="20" t="n">
        <f aca="false">sh_cpu_28</f>
        <v>0.75</v>
      </c>
      <c r="G186" s="20" t="n">
        <f aca="false">sh_cpu_29</f>
        <v>0.7</v>
      </c>
    </row>
    <row r="187" customFormat="false" ht="17.15" hidden="false" customHeight="false" outlineLevel="0" collapsed="false">
      <c r="A187" s="3" t="s">
        <v>713</v>
      </c>
      <c r="B187" s="0" t="s">
        <v>660</v>
      </c>
      <c r="D187" s="22" t="n">
        <f aca="false">(D177*D183*D184+D178*D183*v_ot*D185+D179*D183*v_cpu*D186)*D182</f>
        <v>140.7256983456</v>
      </c>
      <c r="E187" s="22" t="n">
        <f aca="false">(E177*E183*E184+E178*E183*v_ot*E185+E179*E183*v_cpu*E186)*E182</f>
        <v>486.703057357198</v>
      </c>
      <c r="F187" s="22" t="n">
        <f aca="false">(F177*F183*F184+F178*F183*v_ot*F185+F179*F183*v_cpu*F186)*F182</f>
        <v>421.723495202399</v>
      </c>
      <c r="G187" s="22" t="n">
        <f aca="false">(G177*G183*G184+G178*G183*v_ot*G185+G179*G183*v_cpu*G186)*G182</f>
        <v>541.477825759216</v>
      </c>
    </row>
    <row r="188" customFormat="false" ht="17.15" hidden="false" customHeight="false" outlineLevel="0" collapsed="false">
      <c r="A188" s="3" t="s">
        <v>714</v>
      </c>
      <c r="B188" s="0" t="s">
        <v>379</v>
      </c>
      <c r="D188" s="21" t="n">
        <f aca="false">D187*fx/1000</f>
        <v>4.573585196232</v>
      </c>
      <c r="E188" s="21" t="n">
        <f aca="false">E187*fx/1000</f>
        <v>15.8178493641089</v>
      </c>
      <c r="F188" s="21" t="n">
        <f aca="false">F187*fx/1000</f>
        <v>13.706013594078</v>
      </c>
      <c r="G188" s="21" t="n">
        <f aca="false">G187*fx/1000</f>
        <v>17.5980293371745</v>
      </c>
    </row>
    <row r="189" customFormat="false" ht="17.15" hidden="false" customHeight="false" outlineLevel="0" collapsed="false">
      <c r="A189" s="5" t="s">
        <v>715</v>
      </c>
    </row>
    <row r="190" customFormat="false" ht="17.15" hidden="false" customHeight="false" outlineLevel="0" collapsed="false">
      <c r="A190" s="0" t="s">
        <v>716</v>
      </c>
      <c r="B190" s="0" t="s">
        <v>379</v>
      </c>
      <c r="D190" s="21" t="n">
        <f aca="false">a26_abf*ai_abf</f>
        <v>5.714709</v>
      </c>
      <c r="K190" s="3" t="s">
        <v>717</v>
      </c>
    </row>
    <row r="191" customFormat="false" ht="17.15" hidden="false" customHeight="false" outlineLevel="0" collapsed="false">
      <c r="A191" s="3" t="s">
        <v>718</v>
      </c>
      <c r="B191" s="0" t="s">
        <v>379</v>
      </c>
      <c r="D191" s="21" t="n">
        <f aca="false">D190-D188</f>
        <v>1.141123803768</v>
      </c>
      <c r="E191" s="21" t="n">
        <f aca="false">$D191*(swm_27/swm_26)^el_o*1*1*E181*E182</f>
        <v>1.83552013039205</v>
      </c>
      <c r="F191" s="21" t="n">
        <f aca="false">$D191*(swm_28/swm_26)^el_o*um28_C*1*F181*F182</f>
        <v>1.12549836499816</v>
      </c>
      <c r="G191" s="21" t="n">
        <f aca="false">$D191*(swm_29/swm_26)^el_o*um29_C*1*G181*G182</f>
        <v>1.13749640005515</v>
      </c>
      <c r="K191" s="7" t="s">
        <v>719</v>
      </c>
    </row>
    <row r="192" customFormat="false" ht="17.15" hidden="false" customHeight="false" outlineLevel="0" collapsed="false">
      <c r="A192" s="3" t="s">
        <v>720</v>
      </c>
      <c r="B192" s="0" t="s">
        <v>379</v>
      </c>
      <c r="D192" s="21" t="n">
        <f aca="false">a26_abf-D190</f>
        <v>17.144127</v>
      </c>
      <c r="E192" s="21" t="n">
        <f aca="false">$D192*(1+g_nai)^1*E182</f>
        <v>20.898690813</v>
      </c>
      <c r="F192" s="21" t="n">
        <f aca="false">$D192*(1+g_nai)^2*F182</f>
        <v>22.15261226178</v>
      </c>
      <c r="G192" s="21" t="n">
        <f aca="false">$D192*(1+g_nai)^3*G182</f>
        <v>23.4817689974868</v>
      </c>
      <c r="K192" s="3" t="s">
        <v>721</v>
      </c>
    </row>
    <row r="193" customFormat="false" ht="17.15" hidden="false" customHeight="false" outlineLevel="0" collapsed="false">
      <c r="A193" s="0" t="s">
        <v>722</v>
      </c>
      <c r="B193" s="0" t="s">
        <v>379</v>
      </c>
      <c r="D193" s="21" t="n">
        <f aca="false">D188+D191+D192</f>
        <v>22.858836</v>
      </c>
      <c r="E193" s="21" t="n">
        <f aca="false">E188+E191+E192</f>
        <v>38.552060307501</v>
      </c>
      <c r="F193" s="21" t="n">
        <f aca="false">F188+F191+F192</f>
        <v>36.9841242208561</v>
      </c>
      <c r="G193" s="21" t="n">
        <f aca="false">G188+G191+G192</f>
        <v>42.2172947347165</v>
      </c>
    </row>
    <row r="194" customFormat="false" ht="17.15" hidden="false" customHeight="false" outlineLevel="0" collapsed="false">
      <c r="A194" s="0" t="s">
        <v>723</v>
      </c>
      <c r="B194" s="0" t="s">
        <v>379</v>
      </c>
      <c r="D194" s="21" t="n">
        <f aca="false">a26_abf</f>
        <v>22.858836</v>
      </c>
      <c r="E194" s="21" t="n">
        <f aca="false">$D193*cap_27*(1+g_mix)^1*E181*E182</f>
        <v>33.122453364</v>
      </c>
      <c r="F194" s="21" t="n">
        <f aca="false">$D193*cap_28*(1+g_mix)^2*F181*F182</f>
        <v>41.2995590382375</v>
      </c>
      <c r="G194" s="21" t="n">
        <f aca="false">$D193*cap_29*(1+g_mix)^3*G181*G182</f>
        <v>50.6680379569114</v>
      </c>
      <c r="K194" s="7" t="s">
        <v>724</v>
      </c>
    </row>
    <row r="195" customFormat="false" ht="17.15" hidden="false" customHeight="false" outlineLevel="0" collapsed="false">
      <c r="A195" s="0" t="s">
        <v>725</v>
      </c>
      <c r="B195" s="0" t="s">
        <v>379</v>
      </c>
      <c r="D195" s="21" t="n">
        <f aca="false">a26_abf</f>
        <v>22.858836</v>
      </c>
      <c r="E195" s="21" t="n">
        <f aca="false">MIN(E193,E194)</f>
        <v>33.122453364</v>
      </c>
      <c r="F195" s="21" t="n">
        <f aca="false">MIN(F193,F194)</f>
        <v>36.9841242208561</v>
      </c>
      <c r="G195" s="21" t="n">
        <f aca="false">MIN(G193,G194)</f>
        <v>42.2172947347165</v>
      </c>
    </row>
    <row r="196" customFormat="false" ht="17.15" hidden="false" customHeight="false" outlineLevel="0" collapsed="false">
      <c r="A196" s="3" t="s">
        <v>726</v>
      </c>
      <c r="B196" s="0" t="s">
        <v>43</v>
      </c>
      <c r="D196" s="20" t="n">
        <f aca="false">D195/D193</f>
        <v>1</v>
      </c>
      <c r="E196" s="20" t="n">
        <f aca="false">E195/E193</f>
        <v>0.85916169200315</v>
      </c>
      <c r="F196" s="20" t="n">
        <f aca="false">F195/F193</f>
        <v>1</v>
      </c>
      <c r="G196" s="20" t="n">
        <f aca="false">G195/G193</f>
        <v>1</v>
      </c>
    </row>
    <row r="197" customFormat="false" ht="17.15" hidden="false" customHeight="false" outlineLevel="0" collapsed="false">
      <c r="A197" s="0" t="s">
        <v>727</v>
      </c>
      <c r="B197" s="0" t="s">
        <v>379</v>
      </c>
      <c r="D197" s="21" t="n">
        <f aca="false">(D188+D191)*D196</f>
        <v>5.714709</v>
      </c>
      <c r="E197" s="21" t="n">
        <f aca="false">(E188+E191)*E196</f>
        <v>15.1670988044522</v>
      </c>
      <c r="F197" s="21" t="n">
        <f aca="false">(F188+F191)*F196</f>
        <v>14.8315119590761</v>
      </c>
      <c r="G197" s="21" t="n">
        <f aca="false">(G188+G191)*G196</f>
        <v>18.7355257372297</v>
      </c>
    </row>
    <row r="198" customFormat="false" ht="17.15" hidden="false" customHeight="false" outlineLevel="0" collapsed="false">
      <c r="A198" s="3" t="s">
        <v>728</v>
      </c>
      <c r="B198" s="0" t="s">
        <v>43</v>
      </c>
      <c r="D198" s="20" t="n">
        <f aca="false">D188/(D188+D191)</f>
        <v>0.800318125775433</v>
      </c>
      <c r="E198" s="20" t="n">
        <f aca="false">E188/(E188+E191)</f>
        <v>0.896024374782173</v>
      </c>
      <c r="F198" s="20" t="n">
        <f aca="false">F188/(F188+F191)</f>
        <v>0.924114387791097</v>
      </c>
      <c r="G198" s="20" t="n">
        <f aca="false">G188/(G188+G191)</f>
        <v>0.939286657016792</v>
      </c>
    </row>
    <row r="199" customFormat="false" ht="17.15" hidden="false" customHeight="false" outlineLevel="0" collapsed="false">
      <c r="A199" s="5" t="s">
        <v>729</v>
      </c>
    </row>
    <row r="200" customFormat="false" ht="17.15" hidden="false" customHeight="false" outlineLevel="0" collapsed="false">
      <c r="A200" s="0" t="s">
        <v>730</v>
      </c>
      <c r="B200" s="0" t="s">
        <v>379</v>
      </c>
      <c r="D200" s="21" t="n">
        <f aca="false">a26_bt</f>
        <v>23.265964</v>
      </c>
      <c r="E200" s="21" t="n">
        <f aca="false">D200*(1+g_bt27_C)</f>
        <v>26.05787968</v>
      </c>
      <c r="F200" s="21" t="n">
        <f aca="false">E200*(1+g_bt28_C)</f>
        <v>26.05787968</v>
      </c>
      <c r="G200" s="21" t="n">
        <f aca="false">F200*(1+g_bt29_C)</f>
        <v>25.2761432896</v>
      </c>
      <c r="K200" s="7" t="s">
        <v>731</v>
      </c>
    </row>
    <row r="201" customFormat="false" ht="17.15" hidden="false" customHeight="false" outlineLevel="0" collapsed="false">
      <c r="A201" s="3" t="s">
        <v>616</v>
      </c>
      <c r="B201" s="0" t="s">
        <v>379</v>
      </c>
      <c r="C201" s="21" t="n">
        <f aca="false">a25_lens</f>
        <v>7.039</v>
      </c>
      <c r="D201" s="21" t="n">
        <f aca="false">a26_lens</f>
        <v>8.301</v>
      </c>
      <c r="E201" s="21" t="n">
        <f aca="false">D201*(1+g_lens)</f>
        <v>9.1311</v>
      </c>
      <c r="F201" s="21" t="n">
        <f aca="false">E201*(1+g_lens)</f>
        <v>10.04421</v>
      </c>
      <c r="G201" s="21" t="n">
        <f aca="false">F201*(1+g_lens)</f>
        <v>11.048631</v>
      </c>
      <c r="K201" s="3" t="s">
        <v>732</v>
      </c>
    </row>
    <row r="202" customFormat="false" ht="17.15" hidden="false" customHeight="false" outlineLevel="0" collapsed="false">
      <c r="A202" s="3" t="s">
        <v>573</v>
      </c>
      <c r="B202" s="0" t="s">
        <v>379</v>
      </c>
      <c r="C202" s="23" t="n">
        <f aca="false">a25_rev</f>
        <v>39.351</v>
      </c>
      <c r="D202" s="23" t="n">
        <f aca="false">D195+D200+D201</f>
        <v>54.4258</v>
      </c>
      <c r="E202" s="23" t="n">
        <f aca="false">E195+E200+E201</f>
        <v>68.311433044</v>
      </c>
      <c r="F202" s="23" t="n">
        <f aca="false">F195+F200+F201</f>
        <v>73.0862139008561</v>
      </c>
      <c r="G202" s="23" t="n">
        <f aca="false">G195+G200+G201</f>
        <v>78.5420690243165</v>
      </c>
      <c r="H202" s="25" t="n">
        <f aca="false">G202*(1+H203)</f>
        <v>82.9744377600667</v>
      </c>
      <c r="I202" s="25" t="n">
        <f aca="false">H202*(1+I203)</f>
        <v>86.1454325552004</v>
      </c>
      <c r="J202" s="25" t="n">
        <f aca="false">I202*(1+J203)</f>
        <v>87.8683412063044</v>
      </c>
      <c r="K202" s="7" t="s">
        <v>733</v>
      </c>
    </row>
    <row r="203" customFormat="false" ht="15" hidden="false" customHeight="false" outlineLevel="0" collapsed="false">
      <c r="A203" s="3" t="s">
        <v>734</v>
      </c>
      <c r="B203" s="0" t="s">
        <v>43</v>
      </c>
      <c r="D203" s="20" t="n">
        <f aca="false">D202/C202-1</f>
        <v>0.383085563263958</v>
      </c>
      <c r="E203" s="20" t="n">
        <f aca="false">E202/D202-1</f>
        <v>0.255129608457753</v>
      </c>
      <c r="F203" s="20" t="n">
        <f aca="false">F202/E202-1</f>
        <v>0.0698972433176837</v>
      </c>
      <c r="G203" s="20" t="n">
        <f aca="false">G202/F202-1</f>
        <v>0.0746495793428486</v>
      </c>
      <c r="H203" s="26" t="n">
        <f aca="false">$G203+(fade_gC-$G203)*1/3</f>
        <v>0.0564330528952324</v>
      </c>
      <c r="I203" s="26" t="n">
        <f aca="false">$G203+(fade_gC-$G203)*2/3</f>
        <v>0.0382165264476162</v>
      </c>
      <c r="J203" s="26" t="n">
        <f aca="false">$G203+(fade_gC-$G203)*3/3</f>
        <v>0.02</v>
      </c>
    </row>
    <row r="204" customFormat="false" ht="17.15" hidden="false" customHeight="false" outlineLevel="0" collapsed="false">
      <c r="A204" s="0" t="s">
        <v>735</v>
      </c>
      <c r="B204" s="0" t="s">
        <v>43</v>
      </c>
      <c r="D204" s="20" t="n">
        <f aca="false">D195/D202</f>
        <v>0.42</v>
      </c>
      <c r="E204" s="20" t="n">
        <f aca="false">E195/E202</f>
        <v>0.48487422804709</v>
      </c>
      <c r="F204" s="20" t="n">
        <f aca="false">F195/F202</f>
        <v>0.506034205999866</v>
      </c>
      <c r="G204" s="20" t="n">
        <f aca="false">G195/G202</f>
        <v>0.537511874326179</v>
      </c>
    </row>
    <row r="205" customFormat="false" ht="17.15" hidden="false" customHeight="false" outlineLevel="0" collapsed="false">
      <c r="A205" s="0" t="s">
        <v>736</v>
      </c>
      <c r="B205" s="0" t="s">
        <v>43</v>
      </c>
      <c r="D205" s="20" t="n">
        <f aca="false">D197/D202</f>
        <v>0.105</v>
      </c>
      <c r="E205" s="20" t="n">
        <f aca="false">E197/E202</f>
        <v>0.222028701911186</v>
      </c>
      <c r="F205" s="20" t="n">
        <f aca="false">F197/F202</f>
        <v>0.202931731820115</v>
      </c>
      <c r="G205" s="20" t="n">
        <f aca="false">G197/G202</f>
        <v>0.238541280742543</v>
      </c>
      <c r="K205" s="3" t="s">
        <v>737</v>
      </c>
    </row>
    <row r="206" customFormat="false" ht="17.15" hidden="false" customHeight="false" outlineLevel="0" collapsed="false">
      <c r="A206" s="5" t="s">
        <v>738</v>
      </c>
    </row>
    <row r="207" customFormat="false" ht="15" hidden="false" customHeight="false" outlineLevel="0" collapsed="false">
      <c r="A207" s="3" t="s">
        <v>739</v>
      </c>
      <c r="B207" s="0" t="s">
        <v>379</v>
      </c>
      <c r="C207" s="23" t="n">
        <f aca="false">a25_cx</f>
        <v>6.116</v>
      </c>
      <c r="D207" s="23" t="n">
        <f aca="false">capex26</f>
        <v>11</v>
      </c>
      <c r="E207" s="23" t="n">
        <f aca="false">cx27</f>
        <v>17</v>
      </c>
      <c r="F207" s="23" t="n">
        <f aca="false">cx28</f>
        <v>16</v>
      </c>
      <c r="G207" s="23" t="n">
        <f aca="false">cx29</f>
        <v>12</v>
      </c>
      <c r="H207" s="25" t="n">
        <f aca="false">H202*H226</f>
        <v>12.7712094392366</v>
      </c>
      <c r="I207" s="25" t="n">
        <f aca="false">I202*I226</f>
        <v>13.3568863498624</v>
      </c>
      <c r="J207" s="25" t="n">
        <f aca="false">J202*J226</f>
        <v>13.7235818371292</v>
      </c>
    </row>
    <row r="208" customFormat="false" ht="17.15" hidden="false" customHeight="false" outlineLevel="0" collapsed="false">
      <c r="A208" s="3" t="s">
        <v>740</v>
      </c>
      <c r="B208" s="0" t="s">
        <v>379</v>
      </c>
      <c r="C208" s="23" t="n">
        <f aca="false">a25_da</f>
        <v>7.158</v>
      </c>
      <c r="D208" s="23" t="n">
        <f aca="false">da26</f>
        <v>8.32</v>
      </c>
      <c r="E208" s="23" t="n">
        <f aca="false">D208*(1-1/life)+D207/life</f>
        <v>8.655</v>
      </c>
      <c r="F208" s="23" t="n">
        <f aca="false">E208*(1-1/life)+E207/life</f>
        <v>9.698125</v>
      </c>
      <c r="G208" s="23" t="n">
        <f aca="false">F208*(1-1/life)+F207/life</f>
        <v>10.485859375</v>
      </c>
      <c r="H208" s="25" t="n">
        <f aca="false">H202*H209</f>
        <v>11.0776084317613</v>
      </c>
      <c r="I208" s="25" t="n">
        <f aca="false">I202*I209</f>
        <v>11.5009561473701</v>
      </c>
      <c r="J208" s="25" t="n">
        <f aca="false">J202*J209</f>
        <v>11.7309752703175</v>
      </c>
      <c r="K208" s="3" t="s">
        <v>741</v>
      </c>
    </row>
    <row r="209" customFormat="false" ht="17.15" hidden="false" customHeight="false" outlineLevel="0" collapsed="false">
      <c r="A209" s="3" t="s">
        <v>742</v>
      </c>
      <c r="B209" s="0" t="s">
        <v>43</v>
      </c>
      <c r="C209" s="20" t="n">
        <f aca="false">C208/C202</f>
        <v>0.181901349393916</v>
      </c>
      <c r="D209" s="20" t="n">
        <f aca="false">D208/D202</f>
        <v>0.152868676252807</v>
      </c>
      <c r="E209" s="20" t="n">
        <f aca="false">E208/E202</f>
        <v>0.126699142651937</v>
      </c>
      <c r="F209" s="20" t="n">
        <f aca="false">F208/F202</f>
        <v>0.132694313775178</v>
      </c>
      <c r="G209" s="20" t="n">
        <f aca="false">G208/G202</f>
        <v>0.133506278931277</v>
      </c>
      <c r="H209" s="26" t="n">
        <f aca="false">$G209</f>
        <v>0.133506278931277</v>
      </c>
      <c r="I209" s="26" t="n">
        <f aca="false">$G209</f>
        <v>0.133506278931277</v>
      </c>
      <c r="J209" s="26" t="n">
        <f aca="false">$G209</f>
        <v>0.133506278931277</v>
      </c>
    </row>
    <row r="210" customFormat="false" ht="17.15" hidden="false" customHeight="false" outlineLevel="0" collapsed="false">
      <c r="A210" s="0" t="s">
        <v>743</v>
      </c>
      <c r="B210" s="0" t="s">
        <v>379</v>
      </c>
      <c r="E210" s="21" t="n">
        <f aca="false">E196*((E188+E191)*(1-1/(E181*E182))+E192*(1-1/E182))</f>
        <v>4.320320004</v>
      </c>
      <c r="F210" s="21" t="n">
        <f aca="false">F196*((F188+F191)*(1-1/(F181*F182))+F192*(1-1/F182))</f>
        <v>4.14522847003953</v>
      </c>
      <c r="G210" s="21" t="n">
        <f aca="false">G196*((G188+G191)*(1-1/(G181*G182))+G192*(1-1/G182))</f>
        <v>3.69640793764614</v>
      </c>
      <c r="K210" s="7" t="s">
        <v>744</v>
      </c>
    </row>
    <row r="211" customFormat="false" ht="17.15" hidden="false" customHeight="false" outlineLevel="0" collapsed="false">
      <c r="A211" s="3" t="s">
        <v>745</v>
      </c>
      <c r="B211" s="0" t="s">
        <v>379</v>
      </c>
      <c r="C211" s="21" t="n">
        <f aca="false">a25_gp</f>
        <v>8.314</v>
      </c>
      <c r="D211" s="21" t="n">
        <f aca="false">a26_gp</f>
        <v>15.328536</v>
      </c>
      <c r="E211" s="21" t="n">
        <f aca="false">$D211+ft_abf*(E195-E210-$D195)+ft_bt*(E200-$D200)+ft_lens*(E201-$D201)+E210-(E208-$D208)</f>
        <v>23.91541174</v>
      </c>
      <c r="F211" s="21" t="n">
        <f aca="false">$D211+ft_abf*(F195-F210-$D195)+ft_bt*(F200-$D200)+ft_lens*(F201-$D201)+F210-(F208-$D208)</f>
        <v>25.1264759014478</v>
      </c>
      <c r="G211" s="21" t="n">
        <f aca="false">$D211+ft_abf*(G195-G210-$D195)+ft_bt*(G200-$D200)+ft_lens*(G201-$D201)+G210-(G208-$D208)</f>
        <v>26.8311245915013</v>
      </c>
      <c r="K211" s="3" t="s">
        <v>746</v>
      </c>
    </row>
    <row r="212" customFormat="false" ht="15" hidden="false" customHeight="false" outlineLevel="0" collapsed="false">
      <c r="A212" s="3" t="s">
        <v>580</v>
      </c>
      <c r="B212" s="0" t="s">
        <v>43</v>
      </c>
      <c r="C212" s="16" t="n">
        <f aca="false">C211/C202</f>
        <v>0.211277985311682</v>
      </c>
      <c r="D212" s="16" t="n">
        <f aca="false">D211/D202</f>
        <v>0.281640986443929</v>
      </c>
      <c r="E212" s="16" t="n">
        <f aca="false">E211/E202</f>
        <v>0.350093837507345</v>
      </c>
      <c r="F212" s="16" t="n">
        <f aca="false">F211/F202</f>
        <v>0.343792277098014</v>
      </c>
      <c r="G212" s="16" t="n">
        <f aca="false">G211/G202</f>
        <v>0.341614690379425</v>
      </c>
    </row>
    <row r="213" customFormat="false" ht="15" hidden="false" customHeight="false" outlineLevel="0" collapsed="false">
      <c r="A213" s="3" t="s">
        <v>582</v>
      </c>
      <c r="B213" s="0" t="s">
        <v>379</v>
      </c>
      <c r="C213" s="21" t="n">
        <f aca="false">a25_opx</f>
        <v>5.644</v>
      </c>
      <c r="D213" s="21" t="n">
        <f aca="false">a26_opx</f>
        <v>6.54036</v>
      </c>
      <c r="E213" s="21" t="n">
        <f aca="false">D213*(1+phi*E203)</f>
        <v>7.54154369158365</v>
      </c>
      <c r="F213" s="21" t="n">
        <f aca="false">E213*(1+phi*F203)</f>
        <v>7.85782356022459</v>
      </c>
      <c r="G213" s="21" t="n">
        <f aca="false">F213*(1+phi*G203)</f>
        <v>8.20977349421724</v>
      </c>
    </row>
    <row r="214" customFormat="false" ht="15" hidden="false" customHeight="false" outlineLevel="0" collapsed="false">
      <c r="A214" s="3" t="s">
        <v>585</v>
      </c>
      <c r="B214" s="0" t="s">
        <v>379</v>
      </c>
      <c r="C214" s="21" t="n">
        <f aca="false">C211-C213</f>
        <v>2.67</v>
      </c>
      <c r="D214" s="21" t="n">
        <f aca="false">D211-D213</f>
        <v>8.788176</v>
      </c>
      <c r="E214" s="21" t="n">
        <f aca="false">E211-E213</f>
        <v>16.3738680484163</v>
      </c>
      <c r="F214" s="21" t="n">
        <f aca="false">F211-F213</f>
        <v>17.2686523412232</v>
      </c>
      <c r="G214" s="21" t="n">
        <f aca="false">G211-G213</f>
        <v>18.6213510972841</v>
      </c>
    </row>
    <row r="215" customFormat="false" ht="15" hidden="false" customHeight="false" outlineLevel="0" collapsed="false">
      <c r="A215" s="3" t="s">
        <v>683</v>
      </c>
      <c r="B215" s="0" t="s">
        <v>43</v>
      </c>
      <c r="C215" s="16" t="n">
        <f aca="false">C214/C202</f>
        <v>0.0678508805367081</v>
      </c>
      <c r="D215" s="16" t="n">
        <f aca="false">D214/D202</f>
        <v>0.161470773052486</v>
      </c>
      <c r="E215" s="16" t="n">
        <f aca="false">E214/E202</f>
        <v>0.239694401343766</v>
      </c>
      <c r="F215" s="16" t="n">
        <f aca="false">F214/F202</f>
        <v>0.236277834348469</v>
      </c>
      <c r="G215" s="16" t="n">
        <f aca="false">G214/G202</f>
        <v>0.237087605771105</v>
      </c>
    </row>
    <row r="216" customFormat="false" ht="15" hidden="false" customHeight="false" outlineLevel="0" collapsed="false">
      <c r="A216" s="3" t="s">
        <v>588</v>
      </c>
      <c r="B216" s="0" t="s">
        <v>379</v>
      </c>
      <c r="C216" s="21" t="n">
        <f aca="false">a25_nonop</f>
        <v>0.417</v>
      </c>
      <c r="D216" s="21" t="n">
        <f aca="false">a26_nonop</f>
        <v>0.37882</v>
      </c>
      <c r="E216" s="21" t="n">
        <f aca="false">nonop27</f>
        <v>0.4</v>
      </c>
      <c r="F216" s="21" t="n">
        <f aca="false">nonop28</f>
        <v>0.4</v>
      </c>
      <c r="G216" s="21" t="n">
        <f aca="false">nonop29</f>
        <v>0.4</v>
      </c>
    </row>
    <row r="217" customFormat="false" ht="15" hidden="false" customHeight="false" outlineLevel="0" collapsed="false">
      <c r="A217" s="3" t="s">
        <v>590</v>
      </c>
      <c r="B217" s="0" t="s">
        <v>379</v>
      </c>
      <c r="C217" s="21" t="n">
        <f aca="false">C214+C216</f>
        <v>3.087</v>
      </c>
      <c r="D217" s="21" t="n">
        <f aca="false">D214+D216</f>
        <v>9.166996</v>
      </c>
      <c r="E217" s="21" t="n">
        <f aca="false">E214+E216</f>
        <v>16.7738680484163</v>
      </c>
      <c r="F217" s="21" t="n">
        <f aca="false">F214+F216</f>
        <v>17.6686523412232</v>
      </c>
      <c r="G217" s="21" t="n">
        <f aca="false">G214+G216</f>
        <v>19.0213510972841</v>
      </c>
    </row>
    <row r="218" customFormat="false" ht="15" hidden="false" customHeight="false" outlineLevel="0" collapsed="false">
      <c r="A218" s="3" t="s">
        <v>591</v>
      </c>
      <c r="B218" s="0" t="s">
        <v>379</v>
      </c>
      <c r="E218" s="21" t="n">
        <f aca="false">E217*tax</f>
        <v>2.01286416580996</v>
      </c>
      <c r="F218" s="21" t="n">
        <f aca="false">F217*tax</f>
        <v>2.12023828094679</v>
      </c>
      <c r="G218" s="21" t="n">
        <f aca="false">G217*tax</f>
        <v>2.28256213167409</v>
      </c>
    </row>
    <row r="219" customFormat="false" ht="15" hidden="false" customHeight="false" outlineLevel="0" collapsed="false">
      <c r="A219" s="3" t="s">
        <v>592</v>
      </c>
      <c r="B219" s="0" t="s">
        <v>379</v>
      </c>
      <c r="C219" s="21" t="n">
        <f aca="false">a25_nic</f>
        <v>2.71712</v>
      </c>
      <c r="D219" s="21" t="n">
        <f aca="false">a26_nic</f>
        <v>8.39979776</v>
      </c>
      <c r="E219" s="21" t="n">
        <f aca="false">E217-E218</f>
        <v>14.7610038826064</v>
      </c>
      <c r="F219" s="21" t="n">
        <f aca="false">F217-F218</f>
        <v>15.5484140602764</v>
      </c>
      <c r="G219" s="21" t="n">
        <f aca="false">G217-G218</f>
        <v>16.73878896561</v>
      </c>
    </row>
    <row r="220" customFormat="false" ht="17.15" hidden="false" customHeight="false" outlineLevel="0" collapsed="false">
      <c r="A220" s="3" t="s">
        <v>747</v>
      </c>
      <c r="B220" s="0" t="s">
        <v>379</v>
      </c>
      <c r="C220" s="21" t="n">
        <f aca="false">a25_nci</f>
        <v>1.12112</v>
      </c>
      <c r="D220" s="21" t="n">
        <f aca="false">a26_nci</f>
        <v>1.43839238487797</v>
      </c>
      <c r="E220" s="21" t="n">
        <f aca="false">E201*nm_lens*nci_sh</f>
        <v>1.57074538036261</v>
      </c>
      <c r="F220" s="21" t="n">
        <f aca="false">F201*nm_lens*nci_sh</f>
        <v>1.72781991839887</v>
      </c>
      <c r="G220" s="21" t="n">
        <f aca="false">G201*nm_lens*nci_sh</f>
        <v>1.90060191023875</v>
      </c>
      <c r="K220" s="3" t="s">
        <v>748</v>
      </c>
    </row>
    <row r="221" customFormat="false" ht="15" hidden="false" customHeight="false" outlineLevel="0" collapsed="false">
      <c r="A221" s="3" t="s">
        <v>598</v>
      </c>
      <c r="B221" s="0" t="s">
        <v>379</v>
      </c>
      <c r="C221" s="21" t="n">
        <f aca="false">a25_ni</f>
        <v>1.596</v>
      </c>
      <c r="D221" s="21" t="n">
        <f aca="false">a26_ni</f>
        <v>6.96140537512203</v>
      </c>
      <c r="E221" s="21" t="n">
        <f aca="false">E219-E220</f>
        <v>13.1902585022438</v>
      </c>
      <c r="F221" s="21" t="n">
        <f aca="false">F219-F220</f>
        <v>13.8205941418776</v>
      </c>
      <c r="G221" s="21" t="n">
        <f aca="false">G219-G220</f>
        <v>14.8381870553712</v>
      </c>
      <c r="H221" s="30" t="n">
        <f aca="false">H202*H225</f>
        <v>14.6305145003139</v>
      </c>
      <c r="I221" s="30" t="n">
        <f aca="false">I202*I225</f>
        <v>14.104667520039</v>
      </c>
      <c r="J221" s="30" t="n">
        <f aca="false">J202*J225</f>
        <v>13.280086957329</v>
      </c>
    </row>
    <row r="222" customFormat="false" ht="15" hidden="false" customHeight="false" outlineLevel="0" collapsed="false">
      <c r="A222" s="3" t="s">
        <v>749</v>
      </c>
      <c r="B222" s="3" t="s">
        <v>465</v>
      </c>
      <c r="C222" s="29" t="n">
        <f aca="false">a25_sh</f>
        <v>0.454700854700855</v>
      </c>
      <c r="D222" s="29" t="n">
        <f aca="false">a26_sh</f>
        <v>0.508341020486215</v>
      </c>
      <c r="E222" s="29" t="n">
        <f aca="false">a26_shend*(1+sh_g)</f>
        <v>0.52691</v>
      </c>
      <c r="F222" s="29" t="n">
        <f aca="false">E222*(1+sh_g)</f>
        <v>0.52691</v>
      </c>
      <c r="G222" s="29" t="n">
        <f aca="false">F222*(1+sh_g)</f>
        <v>0.52691</v>
      </c>
      <c r="H222" s="31" t="n">
        <f aca="false">G222*(1+sh_g)</f>
        <v>0.52691</v>
      </c>
      <c r="I222" s="31" t="n">
        <f aca="false">H222*(1+sh_g)</f>
        <v>0.52691</v>
      </c>
      <c r="J222" s="31" t="n">
        <f aca="false">I222*(1+sh_g)</f>
        <v>0.52691</v>
      </c>
    </row>
    <row r="223" customFormat="false" ht="17.15" hidden="false" customHeight="false" outlineLevel="0" collapsed="false">
      <c r="A223" s="0" t="s">
        <v>603</v>
      </c>
      <c r="B223" s="0" t="s">
        <v>471</v>
      </c>
      <c r="C223" s="18" t="n">
        <f aca="false">C221/C222</f>
        <v>3.51</v>
      </c>
      <c r="D223" s="18" t="n">
        <f aca="false">D221/D222</f>
        <v>13.6943608612652</v>
      </c>
      <c r="E223" s="18" t="n">
        <f aca="false">E221/E222</f>
        <v>25.0332286391296</v>
      </c>
      <c r="F223" s="18" t="n">
        <f aca="false">F221/F222</f>
        <v>26.2295157462898</v>
      </c>
      <c r="G223" s="18" t="n">
        <f aca="false">G221/G222</f>
        <v>28.1607619050146</v>
      </c>
      <c r="H223" s="28" t="n">
        <f aca="false">H221/H222</f>
        <v>27.7666290264256</v>
      </c>
      <c r="I223" s="28" t="n">
        <f aca="false">I221/I222</f>
        <v>26.7686464861912</v>
      </c>
      <c r="J223" s="28" t="n">
        <f aca="false">J221/J222</f>
        <v>25.2037102300754</v>
      </c>
    </row>
    <row r="224" customFormat="false" ht="17.15" hidden="false" customHeight="false" outlineLevel="0" collapsed="false">
      <c r="A224" s="0" t="s">
        <v>750</v>
      </c>
      <c r="B224" s="0" t="s">
        <v>43</v>
      </c>
      <c r="D224" s="20" t="n">
        <f aca="false">D223/C223-1</f>
        <v>2.90152731090177</v>
      </c>
      <c r="E224" s="20" t="n">
        <f aca="false">E223/D223-1</f>
        <v>0.827995398451683</v>
      </c>
      <c r="F224" s="20" t="n">
        <f aca="false">F223/E223-1</f>
        <v>0.0477879671218409</v>
      </c>
      <c r="G224" s="20" t="n">
        <f aca="false">G223/F223-1</f>
        <v>0.0736287386090193</v>
      </c>
      <c r="H224" s="26" t="n">
        <f aca="false">H223/G223-1</f>
        <v>-0.0139958172977831</v>
      </c>
      <c r="I224" s="26" t="n">
        <f aca="false">I223/H223-1</f>
        <v>-0.0359417968700706</v>
      </c>
      <c r="J224" s="26" t="n">
        <f aca="false">J223/I223-1</f>
        <v>-0.0584615384615383</v>
      </c>
    </row>
    <row r="225" customFormat="false" ht="17.15" hidden="false" customHeight="false" outlineLevel="0" collapsed="false">
      <c r="A225" s="3" t="s">
        <v>751</v>
      </c>
      <c r="B225" s="0" t="s">
        <v>43</v>
      </c>
      <c r="C225" s="16" t="n">
        <f aca="false">C221/C202</f>
        <v>0.0405580544331783</v>
      </c>
      <c r="D225" s="16" t="n">
        <f aca="false">D221/D202</f>
        <v>0.127906349105057</v>
      </c>
      <c r="E225" s="16" t="n">
        <f aca="false">E221/E202</f>
        <v>0.19309005702966</v>
      </c>
      <c r="F225" s="16" t="n">
        <f aca="false">F221/F202</f>
        <v>0.189099878133319</v>
      </c>
      <c r="G225" s="16" t="n">
        <f aca="false">G221/G202</f>
        <v>0.188920246686872</v>
      </c>
      <c r="H225" s="27" t="n">
        <f aca="false">$G225+(fade_mC-$G225)*1/3</f>
        <v>0.176325563574414</v>
      </c>
      <c r="I225" s="27" t="n">
        <f aca="false">$G225+(fade_mC-$G225)*2/3</f>
        <v>0.163730880461956</v>
      </c>
      <c r="J225" s="27" t="n">
        <f aca="false">$G225+(fade_mC-$G225)*3/3</f>
        <v>0.151136197349498</v>
      </c>
    </row>
    <row r="226" customFormat="false" ht="17.15" hidden="false" customHeight="false" outlineLevel="0" collapsed="false">
      <c r="A226" s="3" t="s">
        <v>752</v>
      </c>
      <c r="B226" s="0" t="s">
        <v>43</v>
      </c>
      <c r="C226" s="20" t="n">
        <f aca="false">C207/C202</f>
        <v>0.155421717364235</v>
      </c>
      <c r="D226" s="20" t="n">
        <f aca="false">D207/D202</f>
        <v>0.202110028699624</v>
      </c>
      <c r="E226" s="20" t="n">
        <f aca="false">E207/E202</f>
        <v>0.248860245532401</v>
      </c>
      <c r="F226" s="20" t="n">
        <f aca="false">F207/F202</f>
        <v>0.218919535518758</v>
      </c>
      <c r="G226" s="20" t="n">
        <f aca="false">G207/G202</f>
        <v>0.1527843631963</v>
      </c>
      <c r="H226" s="26" t="n">
        <f aca="false">$G226+($G209*(1+tp_g)^(life/2)-$G226)*1/3</f>
        <v>0.153917396538034</v>
      </c>
      <c r="I226" s="26" t="n">
        <f aca="false">$G226+($G209*(1+tp_g)^(life/2)-$G226)*2/3</f>
        <v>0.155050429879768</v>
      </c>
      <c r="J226" s="26" t="n">
        <f aca="false">$G226+($G209*(1+tp_g)^(life/2)-$G226)*3/3</f>
        <v>0.156183463221502</v>
      </c>
      <c r="K226" s="7" t="s">
        <v>753</v>
      </c>
    </row>
    <row r="227" customFormat="false" ht="15" hidden="false" customHeight="false" outlineLevel="0" collapsed="false">
      <c r="A227" s="3" t="s">
        <v>754</v>
      </c>
      <c r="B227" s="0" t="s">
        <v>379</v>
      </c>
      <c r="D227" s="21" t="n">
        <f aca="false">D221+D208-D207</f>
        <v>4.28140537512203</v>
      </c>
      <c r="E227" s="21" t="n">
        <f aca="false">E221+E208-E207</f>
        <v>4.84525850224378</v>
      </c>
      <c r="F227" s="21" t="n">
        <f aca="false">F221+F208-F207</f>
        <v>7.51871914187758</v>
      </c>
      <c r="G227" s="21" t="n">
        <f aca="false">G221+G208-G207</f>
        <v>13.3240464303712</v>
      </c>
      <c r="H227" s="30" t="n">
        <f aca="false">H221+H208-H207</f>
        <v>12.9369134928387</v>
      </c>
      <c r="I227" s="30" t="n">
        <f aca="false">I221+I208-I207</f>
        <v>12.2487373175467</v>
      </c>
      <c r="J227" s="30" t="n">
        <f aca="false">J221+J208-J207</f>
        <v>11.2874803905173</v>
      </c>
      <c r="K227" s="3" t="s">
        <v>755</v>
      </c>
    </row>
    <row r="228" customFormat="false" ht="15" hidden="false" customHeight="false" outlineLevel="0" collapsed="false">
      <c r="A228" s="3" t="s">
        <v>756</v>
      </c>
      <c r="B228" s="0" t="s">
        <v>471</v>
      </c>
      <c r="D228" s="18" t="n">
        <f aca="false">D227/D222</f>
        <v>8.42230943909854</v>
      </c>
      <c r="E228" s="18" t="n">
        <f aca="false">E227/E222</f>
        <v>9.19560931135066</v>
      </c>
      <c r="F228" s="18" t="n">
        <f aca="false">F227/F222</f>
        <v>14.26945615357</v>
      </c>
      <c r="G228" s="18" t="n">
        <f aca="false">G227/G222</f>
        <v>25.2871390377317</v>
      </c>
      <c r="H228" s="28" t="n">
        <f aca="false">H227/H222</f>
        <v>24.552415958776</v>
      </c>
      <c r="I228" s="28" t="n">
        <f aca="false">I227/I222</f>
        <v>23.2463557676771</v>
      </c>
      <c r="J228" s="28" t="n">
        <f aca="false">J227/J222</f>
        <v>21.4220272731915</v>
      </c>
    </row>
    <row r="231" customFormat="false" ht="17.15" hidden="false" customHeight="false" outlineLevel="0" collapsed="false">
      <c r="A231" s="1" t="s">
        <v>759</v>
      </c>
      <c r="B231" s="1" t="s">
        <v>21</v>
      </c>
      <c r="C231" s="5" t="s">
        <v>760</v>
      </c>
      <c r="D231" s="5" t="s">
        <v>761</v>
      </c>
      <c r="E231" s="5" t="s">
        <v>762</v>
      </c>
      <c r="F231" s="5" t="s">
        <v>763</v>
      </c>
      <c r="G231" s="5" t="s">
        <v>764</v>
      </c>
      <c r="H231" s="5" t="s">
        <v>765</v>
      </c>
      <c r="I231" s="5" t="s">
        <v>766</v>
      </c>
      <c r="J231" s="5" t="s">
        <v>767</v>
      </c>
      <c r="K231" s="5" t="s">
        <v>768</v>
      </c>
      <c r="L231" s="5" t="s">
        <v>769</v>
      </c>
      <c r="M231" s="5" t="s">
        <v>770</v>
      </c>
      <c r="N231" s="5" t="s">
        <v>771</v>
      </c>
      <c r="O231" s="5" t="s">
        <v>772</v>
      </c>
      <c r="P231" s="5" t="s">
        <v>773</v>
      </c>
      <c r="Q231" s="5" t="s">
        <v>774</v>
      </c>
      <c r="R231" s="5" t="s">
        <v>775</v>
      </c>
      <c r="S231" s="5" t="s">
        <v>776</v>
      </c>
      <c r="T231" s="5" t="s">
        <v>777</v>
      </c>
      <c r="U231" s="5" t="s">
        <v>778</v>
      </c>
      <c r="V231" s="5" t="s">
        <v>779</v>
      </c>
      <c r="W231" s="5" t="s">
        <v>780</v>
      </c>
      <c r="X231" s="1" t="s">
        <v>630</v>
      </c>
    </row>
    <row r="232" customFormat="false" ht="17.15" hidden="false" customHeight="false" outlineLevel="0" collapsed="false">
      <c r="A232" s="3" t="s">
        <v>781</v>
      </c>
      <c r="B232" s="0" t="s">
        <v>379</v>
      </c>
      <c r="C232" s="23" t="n">
        <f aca="false">D113</f>
        <v>4.28140537512203</v>
      </c>
      <c r="D232" s="23" t="n">
        <f aca="false">E113</f>
        <v>6.08319438874607</v>
      </c>
      <c r="E232" s="23" t="n">
        <f aca="false">F113</f>
        <v>11.5299535828436</v>
      </c>
      <c r="F232" s="23" t="n">
        <f aca="false">G113</f>
        <v>19.7189071750698</v>
      </c>
      <c r="G232" s="25" t="n">
        <f aca="false">H113</f>
        <v>21.8914419438263</v>
      </c>
      <c r="H232" s="25" t="n">
        <f aca="false">I113</f>
        <v>23.7012836661351</v>
      </c>
      <c r="I232" s="25" t="n">
        <f aca="false">J113</f>
        <v>25.0089470916765</v>
      </c>
      <c r="J232" s="23" t="n">
        <f aca="false">D170</f>
        <v>4.28140537512203</v>
      </c>
      <c r="K232" s="23" t="n">
        <f aca="false">E170</f>
        <v>5.46422644549492</v>
      </c>
      <c r="L232" s="23" t="n">
        <f aca="false">F170</f>
        <v>10.4160610154946</v>
      </c>
      <c r="M232" s="23" t="n">
        <f aca="false">G170</f>
        <v>18.1062586311452</v>
      </c>
      <c r="N232" s="25" t="n">
        <f aca="false">H170</f>
        <v>19.117149329597</v>
      </c>
      <c r="O232" s="25" t="n">
        <f aca="false">I170</f>
        <v>19.5892876576054</v>
      </c>
      <c r="P232" s="25" t="n">
        <f aca="false">J170</f>
        <v>19.462095649188</v>
      </c>
      <c r="Q232" s="23" t="n">
        <f aca="false">D227</f>
        <v>4.28140537512203</v>
      </c>
      <c r="R232" s="23" t="n">
        <f aca="false">E227</f>
        <v>4.84525850224378</v>
      </c>
      <c r="S232" s="23" t="n">
        <f aca="false">F227</f>
        <v>7.51871914187758</v>
      </c>
      <c r="T232" s="23" t="n">
        <f aca="false">G227</f>
        <v>13.3240464303712</v>
      </c>
      <c r="U232" s="25" t="n">
        <f aca="false">H227</f>
        <v>12.9369134928387</v>
      </c>
      <c r="V232" s="25" t="n">
        <f aca="false">I227</f>
        <v>12.2487373175467</v>
      </c>
      <c r="W232" s="25" t="n">
        <f aca="false">J227</f>
        <v>11.2874803905173</v>
      </c>
      <c r="X232" s="3" t="s">
        <v>782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0" t="s">
        <v>783</v>
      </c>
    </row>
    <row r="2" customFormat="false" ht="17.15" hidden="false" customHeight="false" outlineLevel="0" collapsed="false">
      <c r="A2" s="3" t="s">
        <v>784</v>
      </c>
    </row>
    <row r="4" customFormat="false" ht="17.15" hidden="false" customHeight="false" outlineLevel="0" collapsed="false">
      <c r="A4" s="5" t="s">
        <v>785</v>
      </c>
    </row>
    <row r="5" customFormat="false" ht="17.15" hidden="false" customHeight="false" outlineLevel="0" collapsed="false">
      <c r="A5" s="5" t="s">
        <v>786</v>
      </c>
    </row>
    <row r="6" customFormat="false" ht="17.15" hidden="false" customHeight="false" outlineLevel="0" collapsed="false">
      <c r="A6" s="4" t="s">
        <v>20</v>
      </c>
      <c r="B6" s="13" t="s">
        <v>787</v>
      </c>
      <c r="C6" s="13" t="s">
        <v>788</v>
      </c>
      <c r="D6" s="13" t="s">
        <v>789</v>
      </c>
      <c r="E6" s="4" t="s">
        <v>630</v>
      </c>
    </row>
    <row r="7" customFormat="false" ht="17.15" hidden="false" customHeight="false" outlineLevel="0" collapsed="false">
      <c r="A7" s="3" t="s">
        <v>790</v>
      </c>
      <c r="E7" s="0" t="s">
        <v>791</v>
      </c>
    </row>
    <row r="8" customFormat="false" ht="15" hidden="false" customHeight="false" outlineLevel="0" collapsed="false">
      <c r="A8" s="0" t="s">
        <v>792</v>
      </c>
      <c r="B8" s="18" t="n">
        <f aca="false">PL!E15</f>
        <v>27.3826543218881</v>
      </c>
      <c r="C8" s="18" t="n">
        <f aca="false">PL!E29</f>
        <v>26.2079414805089</v>
      </c>
      <c r="D8" s="18" t="n">
        <f aca="false">PL!E43</f>
        <v>25.0332286391296</v>
      </c>
    </row>
    <row r="9" customFormat="false" ht="15" hidden="false" customHeight="false" outlineLevel="0" collapsed="false">
      <c r="A9" s="0" t="s">
        <v>793</v>
      </c>
      <c r="B9" s="18" t="n">
        <f aca="false">PL!F15</f>
        <v>33.84226638865</v>
      </c>
      <c r="C9" s="18" t="n">
        <f aca="false">PL!F29</f>
        <v>31.7282572270304</v>
      </c>
      <c r="D9" s="18" t="n">
        <f aca="false">PL!F43</f>
        <v>26.2295157462898</v>
      </c>
    </row>
    <row r="10" customFormat="false" ht="15" hidden="false" customHeight="false" outlineLevel="0" collapsed="false">
      <c r="A10" s="0" t="s">
        <v>794</v>
      </c>
      <c r="B10" s="18" t="n">
        <f aca="false">PL!G15</f>
        <v>40.2972951738814</v>
      </c>
      <c r="C10" s="18" t="n">
        <f aca="false">PL!G29</f>
        <v>37.2367183316794</v>
      </c>
      <c r="D10" s="18" t="n">
        <f aca="false">PL!G43</f>
        <v>28.1607619050146</v>
      </c>
    </row>
    <row r="11" customFormat="false" ht="15" hidden="false" customHeight="false" outlineLevel="0" collapsed="false">
      <c r="A11" s="0" t="s">
        <v>795</v>
      </c>
      <c r="B11" s="18" t="n">
        <f aca="false">PL!H15</f>
        <v>44.9398703575549</v>
      </c>
      <c r="C11" s="18" t="n">
        <f aca="false">PL!H29</f>
        <v>39.6314665446025</v>
      </c>
      <c r="D11" s="18" t="n">
        <f aca="false">PL!H43</f>
        <v>27.7666290264256</v>
      </c>
    </row>
    <row r="12" customFormat="false" ht="15" hidden="false" customHeight="false" outlineLevel="0" collapsed="false">
      <c r="A12" s="0" t="s">
        <v>796</v>
      </c>
      <c r="B12" s="18" t="n">
        <f aca="false">PL!I15</f>
        <v>48.8767852145303</v>
      </c>
      <c r="C12" s="18" t="n">
        <f aca="false">PL!I29</f>
        <v>40.9627642590573</v>
      </c>
      <c r="D12" s="18" t="n">
        <f aca="false">PL!I43</f>
        <v>26.7686464861912</v>
      </c>
    </row>
    <row r="13" customFormat="false" ht="15" hidden="false" customHeight="false" outlineLevel="0" collapsed="false">
      <c r="A13" s="0" t="s">
        <v>797</v>
      </c>
      <c r="B13" s="18" t="n">
        <f aca="false">PL!J15</f>
        <v>51.8093923274022</v>
      </c>
      <c r="C13" s="18" t="n">
        <f aca="false">PL!J29</f>
        <v>41.0798007283689</v>
      </c>
      <c r="D13" s="18" t="n">
        <f aca="false">PL!J43</f>
        <v>25.2037102300754</v>
      </c>
    </row>
    <row r="14" customFormat="false" ht="17.15" hidden="false" customHeight="false" outlineLevel="0" collapsed="false">
      <c r="A14" s="3" t="s">
        <v>798</v>
      </c>
      <c r="E14" s="3" t="s">
        <v>799</v>
      </c>
    </row>
    <row r="15" customFormat="false" ht="17.15" hidden="false" customHeight="false" outlineLevel="0" collapsed="false">
      <c r="A15" s="3" t="s">
        <v>800</v>
      </c>
      <c r="B15" s="20" t="n">
        <f aca="false">MIN(tp_g/tp_roe,0.8)</f>
        <v>0.8</v>
      </c>
      <c r="E15" s="7" t="s">
        <v>801</v>
      </c>
    </row>
    <row r="16" customFormat="false" ht="15" hidden="false" customHeight="false" outlineLevel="0" collapsed="false">
      <c r="A16" s="0" t="s">
        <v>792</v>
      </c>
      <c r="B16" s="18" t="n">
        <f aca="false">PL!E114</f>
        <v>11.5450349941092</v>
      </c>
      <c r="C16" s="18" t="n">
        <f aca="false">PL!E171</f>
        <v>10.3703221527299</v>
      </c>
      <c r="D16" s="18" t="n">
        <f aca="false">PL!E228</f>
        <v>9.19560931135066</v>
      </c>
    </row>
    <row r="17" customFormat="false" ht="15" hidden="false" customHeight="false" outlineLevel="0" collapsed="false">
      <c r="A17" s="0" t="s">
        <v>793</v>
      </c>
      <c r="B17" s="18" t="n">
        <f aca="false">PL!F114</f>
        <v>21.8822067959302</v>
      </c>
      <c r="C17" s="18" t="n">
        <f aca="false">PL!F171</f>
        <v>19.7681976343106</v>
      </c>
      <c r="D17" s="18" t="n">
        <f aca="false">PL!F228</f>
        <v>14.26945615357</v>
      </c>
    </row>
    <row r="18" customFormat="false" ht="15" hidden="false" customHeight="false" outlineLevel="0" collapsed="false">
      <c r="A18" s="0" t="s">
        <v>794</v>
      </c>
      <c r="B18" s="18" t="n">
        <f aca="false">PL!G114</f>
        <v>37.4236723065985</v>
      </c>
      <c r="C18" s="18" t="n">
        <f aca="false">PL!G171</f>
        <v>34.3630954643966</v>
      </c>
      <c r="D18" s="18" t="n">
        <f aca="false">PL!G228</f>
        <v>25.2871390377317</v>
      </c>
    </row>
    <row r="19" customFormat="false" ht="15" hidden="false" customHeight="false" outlineLevel="0" collapsed="false">
      <c r="A19" s="0" t="s">
        <v>795</v>
      </c>
      <c r="B19" s="18" t="n">
        <f aca="false">PL!H114</f>
        <v>41.5468333184535</v>
      </c>
      <c r="C19" s="18" t="n">
        <f aca="false">PL!H171</f>
        <v>36.28162177525</v>
      </c>
      <c r="D19" s="18" t="n">
        <f aca="false">PL!H228</f>
        <v>24.552415958776</v>
      </c>
    </row>
    <row r="20" customFormat="false" ht="15" hidden="false" customHeight="false" outlineLevel="0" collapsed="false">
      <c r="A20" s="0" t="s">
        <v>796</v>
      </c>
      <c r="B20" s="18" t="n">
        <f aca="false">PL!I114</f>
        <v>44.9816546775257</v>
      </c>
      <c r="C20" s="18" t="n">
        <f aca="false">PL!I171</f>
        <v>37.1776729566822</v>
      </c>
      <c r="D20" s="18" t="n">
        <f aca="false">PL!I228</f>
        <v>23.2463557676771</v>
      </c>
    </row>
    <row r="21" customFormat="false" ht="15" hidden="false" customHeight="false" outlineLevel="0" collapsed="false">
      <c r="A21" s="0" t="s">
        <v>797</v>
      </c>
      <c r="B21" s="18" t="n">
        <f aca="false">PL!J114</f>
        <v>47.4634132805916</v>
      </c>
      <c r="C21" s="18" t="n">
        <f aca="false">PL!J171</f>
        <v>36.936280672578</v>
      </c>
      <c r="D21" s="18" t="n">
        <f aca="false">PL!J228</f>
        <v>21.4220272731915</v>
      </c>
    </row>
    <row r="22" customFormat="false" ht="17.15" hidden="false" customHeight="false" outlineLevel="0" collapsed="false">
      <c r="A22" s="0" t="s">
        <v>802</v>
      </c>
      <c r="B22" s="18" t="n">
        <f aca="false">MAX(0,SUMPRODUCT(B16:B21,1/(1+tp_r)^{1;2;3;4;5;6})+B21*(1+tp_g)/(tp_r-tp_g)/(1+tp_r)^6)</f>
        <v>604.18811793092</v>
      </c>
      <c r="C22" s="18" t="n">
        <f aca="false">MAX(0,SUMPRODUCT(C16:C21,1/(1+tp_r)^{1;2;3;4;5;6})+C21*(1+tp_g)/(tp_r-tp_g)/(1+tp_r)^6)</f>
        <v>481.689738041214</v>
      </c>
      <c r="D22" s="18" t="n">
        <f aca="false">MAX(0,SUMPRODUCT(D16:D21,1/(1+tp_r)^{1;2;3;4;5;6})+D21*(1+tp_g)/(tp_r-tp_g)/(1+tp_r)^6)</f>
        <v>292.044866022353</v>
      </c>
      <c r="E22" s="7" t="s">
        <v>803</v>
      </c>
    </row>
    <row r="23" customFormat="false" ht="17.15" hidden="false" customHeight="false" outlineLevel="0" collapsed="false">
      <c r="A23" s="0" t="s">
        <v>804</v>
      </c>
      <c r="B23" s="18" t="n">
        <f aca="false">B22*(1+tp_r)</f>
        <v>664.606929724013</v>
      </c>
      <c r="C23" s="18" t="n">
        <f aca="false">C22*(1+tp_r)</f>
        <v>529.858711845335</v>
      </c>
      <c r="D23" s="18" t="n">
        <f aca="false">D22*(1+tp_r)</f>
        <v>321.249352624589</v>
      </c>
    </row>
    <row r="24" customFormat="false" ht="17.15" hidden="false" customHeight="false" outlineLevel="0" collapsed="false">
      <c r="A24" s="0" t="s">
        <v>805</v>
      </c>
      <c r="B24" s="32" t="n">
        <f aca="false">tp_wA*B23+tp_wB*C23+tp_wC*D23</f>
        <v>528.561305364789</v>
      </c>
      <c r="E24" s="7" t="s">
        <v>806</v>
      </c>
    </row>
    <row r="25" customFormat="false" ht="17.15" hidden="false" customHeight="false" outlineLevel="0" collapsed="false">
      <c r="A25" s="3" t="s">
        <v>807</v>
      </c>
      <c r="B25" s="18" t="n">
        <f aca="false">(tp_wA*MAX(0,SUMPRODUCT(B8:B13,1/(1+tp_r)^{1;2;3;4;5;6})+B13*(1+tp_g)/(tp_r-tp_g)/(1+tp_r)^6)+tp_wB*MAX(0,SUMPRODUCT(C8:C13,1/(1+tp_r)^{1;2;3;4;5;6})+C13*(1+tp_g)/(tp_r-tp_g)/(1+tp_r)^6)+tp_wC*MAX(0,SUMPRODUCT(D8:D13,1/(1+tp_r)^{1;2;3;4;5;6})+D13*(1+tp_g)/(tp_r-tp_g)/(1+tp_r)^6))*(1-B15)*(1+tp_r)</f>
        <v>121.952054394539</v>
      </c>
      <c r="E25" s="3" t="s">
        <v>808</v>
      </c>
    </row>
    <row r="26" customFormat="false" ht="17.15" hidden="false" customHeight="false" outlineLevel="0" collapsed="false">
      <c r="A26" s="5" t="s">
        <v>809</v>
      </c>
    </row>
    <row r="27" customFormat="false" ht="17.15" hidden="false" customHeight="false" outlineLevel="0" collapsed="false">
      <c r="A27" s="4" t="s">
        <v>810</v>
      </c>
      <c r="B27" s="4" t="s">
        <v>811</v>
      </c>
      <c r="C27" s="4" t="s">
        <v>812</v>
      </c>
      <c r="D27" s="4" t="s">
        <v>813</v>
      </c>
      <c r="E27" s="4" t="s">
        <v>814</v>
      </c>
      <c r="F27" s="4" t="s">
        <v>25</v>
      </c>
    </row>
    <row r="28" customFormat="false" ht="17.15" hidden="false" customHeight="false" outlineLevel="0" collapsed="false">
      <c r="A28" s="3" t="s">
        <v>815</v>
      </c>
      <c r="B28" s="0" t="s">
        <v>816</v>
      </c>
      <c r="C28" s="33" t="n">
        <v>42.28</v>
      </c>
      <c r="D28" s="7" t="s">
        <v>817</v>
      </c>
      <c r="E28" s="7" t="s">
        <v>818</v>
      </c>
      <c r="F28" s="7" t="s">
        <v>205</v>
      </c>
    </row>
    <row r="29" customFormat="false" ht="17.15" hidden="false" customHeight="false" outlineLevel="0" collapsed="false">
      <c r="A29" s="3" t="s">
        <v>819</v>
      </c>
      <c r="B29" s="0" t="s">
        <v>820</v>
      </c>
      <c r="C29" s="33" t="n">
        <v>33.73</v>
      </c>
      <c r="D29" s="7" t="s">
        <v>821</v>
      </c>
      <c r="E29" s="7" t="s">
        <v>818</v>
      </c>
      <c r="F29" s="7" t="s">
        <v>205</v>
      </c>
    </row>
    <row r="30" customFormat="false" ht="17.15" hidden="false" customHeight="false" outlineLevel="0" collapsed="false">
      <c r="A30" s="0" t="s">
        <v>822</v>
      </c>
      <c r="B30" s="0" t="s">
        <v>823</v>
      </c>
      <c r="C30" s="33" t="n">
        <v>53.97</v>
      </c>
      <c r="D30" s="7" t="s">
        <v>824</v>
      </c>
      <c r="E30" s="7" t="s">
        <v>818</v>
      </c>
      <c r="F30" s="7" t="s">
        <v>205</v>
      </c>
    </row>
    <row r="31" customFormat="false" ht="17.15" hidden="false" customHeight="false" outlineLevel="0" collapsed="false">
      <c r="A31" s="3" t="s">
        <v>825</v>
      </c>
      <c r="B31" s="0" t="s">
        <v>826</v>
      </c>
      <c r="C31" s="33" t="n">
        <v>43.4</v>
      </c>
      <c r="D31" s="7" t="s">
        <v>827</v>
      </c>
      <c r="E31" s="7" t="s">
        <v>818</v>
      </c>
      <c r="F31" s="7" t="s">
        <v>205</v>
      </c>
    </row>
    <row r="32" customFormat="false" ht="17.15" hidden="false" customHeight="false" outlineLevel="0" collapsed="false">
      <c r="A32" s="0" t="s">
        <v>828</v>
      </c>
      <c r="B32" s="0" t="s">
        <v>829</v>
      </c>
      <c r="C32" s="33" t="n">
        <v>14.91</v>
      </c>
      <c r="D32" s="7" t="s">
        <v>830</v>
      </c>
      <c r="E32" s="7" t="s">
        <v>818</v>
      </c>
      <c r="F32" s="7" t="s">
        <v>205</v>
      </c>
    </row>
    <row r="33" customFormat="false" ht="17.15" hidden="false" customHeight="false" outlineLevel="0" collapsed="false">
      <c r="A33" s="3" t="s">
        <v>831</v>
      </c>
      <c r="B33" s="34" t="n">
        <f aca="false">MEDIAN(C28:C32)</f>
        <v>42.28</v>
      </c>
      <c r="E33" s="7" t="s">
        <v>832</v>
      </c>
    </row>
    <row r="34" customFormat="false" ht="17.15" hidden="false" customHeight="false" outlineLevel="0" collapsed="false">
      <c r="A34" s="0" t="s">
        <v>833</v>
      </c>
      <c r="B34" s="18" t="n">
        <f aca="false">tp_wA*(2/12*B8+10/12*B9)+tp_wB*(2/12*C8+10/12*C9)+tp_wC*(2/12*D8+10/12*D9)</f>
        <v>30.4398285269146</v>
      </c>
      <c r="E34" s="3" t="s">
        <v>834</v>
      </c>
    </row>
    <row r="35" customFormat="false" ht="17.15" hidden="false" customHeight="false" outlineLevel="0" collapsed="false">
      <c r="A35" s="0" t="s">
        <v>835</v>
      </c>
      <c r="B35" s="32" t="n">
        <f aca="false">B33*B34</f>
        <v>1286.99595011795</v>
      </c>
      <c r="E35" s="3" t="s">
        <v>836</v>
      </c>
    </row>
    <row r="37" customFormat="false" ht="17.15" hidden="false" customHeight="false" outlineLevel="0" collapsed="false">
      <c r="A37" s="5" t="s">
        <v>837</v>
      </c>
    </row>
    <row r="38" customFormat="false" ht="15" hidden="false" customHeight="false" outlineLevel="0" collapsed="false">
      <c r="A38" s="4" t="s">
        <v>20</v>
      </c>
      <c r="B38" s="4" t="s">
        <v>838</v>
      </c>
      <c r="C38" s="4"/>
      <c r="D38" s="4"/>
      <c r="E38" s="4" t="s">
        <v>630</v>
      </c>
    </row>
    <row r="39" customFormat="false" ht="17.15" hidden="false" customHeight="false" outlineLevel="0" collapsed="false">
      <c r="A39" s="3" t="s">
        <v>839</v>
      </c>
      <c r="B39" s="32" t="n">
        <f aca="false">tp_w_dcf*B24+(1-tp_w_dcf)*B35</f>
        <v>907.77862774137</v>
      </c>
      <c r="E39" s="7" t="s">
        <v>840</v>
      </c>
    </row>
    <row r="40" customFormat="false" ht="17.15" hidden="false" customHeight="false" outlineLevel="0" collapsed="false">
      <c r="A40" s="0" t="s">
        <v>841</v>
      </c>
      <c r="B40" s="18" t="n">
        <f aca="false">B35</f>
        <v>1286.99595011795</v>
      </c>
    </row>
    <row r="41" customFormat="false" ht="17.15" hidden="false" customHeight="false" outlineLevel="0" collapsed="false">
      <c r="A41" s="3" t="s">
        <v>842</v>
      </c>
      <c r="B41" s="18" t="n">
        <f aca="false">cons_tp</f>
        <v>1092.15</v>
      </c>
      <c r="E41" s="7" t="s">
        <v>843</v>
      </c>
    </row>
    <row r="42" customFormat="false" ht="17.15" hidden="false" customHeight="false" outlineLevel="0" collapsed="false">
      <c r="A42" s="3" t="s">
        <v>844</v>
      </c>
      <c r="B42" s="20" t="n">
        <f aca="false">B39/px-1</f>
        <v>-0.0793320205462784</v>
      </c>
      <c r="E42" s="3" t="s">
        <v>845</v>
      </c>
    </row>
    <row r="43" customFormat="false" ht="17.15" hidden="false" customHeight="false" outlineLevel="0" collapsed="false">
      <c r="A43" s="3" t="s">
        <v>846</v>
      </c>
      <c r="B43" s="20" t="n">
        <f aca="false">B40/px-1</f>
        <v>0.305269726285953</v>
      </c>
    </row>
    <row r="44" customFormat="false" ht="17.15" hidden="false" customHeight="false" outlineLevel="0" collapsed="false">
      <c r="A44" s="3" t="s">
        <v>847</v>
      </c>
      <c r="B44" s="20" t="n">
        <f aca="false">B34/cons_feps-1</f>
        <v>0.37998005593619</v>
      </c>
      <c r="E44" s="3" t="s">
        <v>848</v>
      </c>
    </row>
    <row r="45" customFormat="false" ht="17.15" hidden="false" customHeight="false" outlineLevel="0" collapsed="false">
      <c r="A45" s="3" t="s">
        <v>849</v>
      </c>
      <c r="B45" s="20" t="n">
        <f aca="false">(cons_tp/cons_feps)/B33-1</f>
        <v>0.171056690545595</v>
      </c>
      <c r="E45" s="0" t="str">
        <f aca="false">"共識目標價隱含 "&amp;TEXT(cons_tp/cons_feps,"0.0")&amp;"x，同業中位數 "&amp;TEXT(B33,"0.0")&amp;"x"</f>
        <v>共識目標價隱含 49.5x，同業中位數 42.3x</v>
      </c>
    </row>
    <row r="46" customFormat="false" ht="17.15" hidden="false" customHeight="false" outlineLevel="0" collapsed="false">
      <c r="A46" s="3" t="s">
        <v>850</v>
      </c>
      <c r="B46" s="35" t="str">
        <f aca="false">TEXT(D23,"#,##0")&amp;"～"&amp;TEXT(B23,"#,##0")</f>
        <v>321～665</v>
      </c>
      <c r="E46" s="7" t="s">
        <v>851</v>
      </c>
    </row>
    <row r="47" customFormat="false" ht="17.15" hidden="false" customHeight="false" outlineLevel="0" collapsed="false">
      <c r="A47" s="3" t="s">
        <v>852</v>
      </c>
      <c r="B47" s="36" t="n">
        <f aca="false">IF(px/B9&gt;=MAX($B$88:$B$97),1,IF(px/B9&lt;=MIN($B$88:$B$97),0,PERCENTRANK($B$88:$B$97,px/B9)))</f>
        <v>0.263</v>
      </c>
      <c r="C47" s="36" t="n">
        <f aca="false">IF(px/C9&gt;=MAX($B$88:$B$97),1,IF(px/C9&lt;=MIN($B$88:$B$97),0,PERCENTRANK($B$88:$B$97,px/C9)))</f>
        <v>0.277</v>
      </c>
      <c r="D47" s="36" t="n">
        <f aca="false">IF(px/D9&gt;=MAX($B$88:$B$97),1,IF(px/D9&lt;=MIN($B$88:$B$97),0,PERCENTRANK($B$88:$B$97,px/D9)))</f>
        <v>0.321</v>
      </c>
      <c r="E47" s="3" t="s">
        <v>853</v>
      </c>
    </row>
    <row r="48" customFormat="false" ht="17.15" hidden="false" customHeight="false" outlineLevel="0" collapsed="false">
      <c r="A48" s="3" t="s">
        <v>854</v>
      </c>
      <c r="B48" s="35" t="str">
        <f aca="false">IF(B42&gt;0.5,"大於 50%",IF(B42&gt;0.25,"25%–50%",IF(B42&gt;=0,"0%–25%",IF(B42&gt;=-0.25,"0%～−25%",IF(B42&gt;=-0.5,"−25%～−50%","小於 −50%")))))</f>
        <v>0%～−25%</v>
      </c>
      <c r="E48" s="3" t="s">
        <v>855</v>
      </c>
    </row>
    <row r="49" customFormat="false" ht="17.15" hidden="false" customHeight="false" outlineLevel="0" collapsed="false">
      <c r="A49" s="3" t="s">
        <v>856</v>
      </c>
      <c r="B49" s="35" t="str">
        <f aca="false">IF(B42&gt;0.5,"強力買進",IF(B42&gt;0.25,"買進",IF(B42&gt;=-0.25,"中立",IF(B42&gt;=-0.5,"放空","強力放空"))))</f>
        <v>中立</v>
      </c>
      <c r="E49" s="3" t="s">
        <v>857</v>
      </c>
    </row>
    <row r="50" customFormat="false" ht="17.15" hidden="false" customHeight="false" outlineLevel="0" collapsed="false">
      <c r="A50" s="3" t="s">
        <v>858</v>
      </c>
      <c r="B50" s="0" t="s">
        <v>859</v>
      </c>
    </row>
    <row r="53" customFormat="false" ht="17.15" hidden="false" customHeight="false" outlineLevel="0" collapsed="false">
      <c r="A53" s="5" t="s">
        <v>860</v>
      </c>
    </row>
    <row r="54" customFormat="false" ht="15" hidden="false" customHeight="false" outlineLevel="0" collapsed="false">
      <c r="A54" s="4" t="s">
        <v>20</v>
      </c>
      <c r="B54" s="13" t="s">
        <v>861</v>
      </c>
      <c r="C54" s="13" t="s">
        <v>862</v>
      </c>
      <c r="D54" s="13" t="s">
        <v>863</v>
      </c>
      <c r="E54" s="4" t="s">
        <v>630</v>
      </c>
    </row>
    <row r="55" customFormat="false" ht="17.15" hidden="false" customHeight="false" outlineLevel="0" collapsed="false">
      <c r="A55" s="3" t="s">
        <v>864</v>
      </c>
      <c r="B55" s="22" t="n">
        <f aca="false">px</f>
        <v>986</v>
      </c>
    </row>
    <row r="56" customFormat="false" ht="17.15" hidden="false" customHeight="false" outlineLevel="0" collapsed="false">
      <c r="A56" s="3" t="s">
        <v>865</v>
      </c>
      <c r="B56" s="34" t="n">
        <f aca="false">px/PL!D15</f>
        <v>72.0004394501479</v>
      </c>
      <c r="C56" s="34" t="n">
        <f aca="false">px/PL!D29</f>
        <v>72.0004394501479</v>
      </c>
      <c r="D56" s="34" t="n">
        <f aca="false">px/PL!D43</f>
        <v>72.0004394501479</v>
      </c>
      <c r="E56" s="7" t="s">
        <v>866</v>
      </c>
    </row>
    <row r="57" customFormat="false" ht="17.15" hidden="false" customHeight="false" outlineLevel="0" collapsed="false">
      <c r="A57" s="3" t="s">
        <v>867</v>
      </c>
      <c r="B57" s="34" t="n">
        <f aca="false">px/PL!E15</f>
        <v>36.008196590783</v>
      </c>
      <c r="C57" s="34" t="n">
        <f aca="false">px/PL!E29</f>
        <v>37.6221841281697</v>
      </c>
      <c r="D57" s="34" t="n">
        <f aca="false">px/PL!E43</f>
        <v>39.3876480822285</v>
      </c>
      <c r="E57" s="7" t="s">
        <v>868</v>
      </c>
    </row>
    <row r="58" customFormat="false" ht="17.15" hidden="false" customHeight="false" outlineLevel="0" collapsed="false">
      <c r="A58" s="3" t="s">
        <v>869</v>
      </c>
      <c r="B58" s="34" t="n">
        <f aca="false">px/PL!F15</f>
        <v>29.1351645506427</v>
      </c>
      <c r="C58" s="34" t="n">
        <f aca="false">px/PL!F29</f>
        <v>31.0763995937347</v>
      </c>
      <c r="D58" s="34" t="n">
        <f aca="false">px/PL!F43</f>
        <v>37.5912391802151</v>
      </c>
    </row>
    <row r="59" customFormat="false" ht="17.15" hidden="false" customHeight="false" outlineLevel="0" collapsed="false">
      <c r="A59" s="3" t="s">
        <v>870</v>
      </c>
      <c r="B59" s="34" t="n">
        <f aca="false">px/PL!G15</f>
        <v>24.4681434757704</v>
      </c>
      <c r="C59" s="34" t="n">
        <f aca="false">px/PL!G29</f>
        <v>26.4792399592623</v>
      </c>
      <c r="D59" s="34" t="n">
        <f aca="false">px/PL!G43</f>
        <v>35.0132572167525</v>
      </c>
    </row>
    <row r="60" customFormat="false" ht="17.15" hidden="false" customHeight="false" outlineLevel="0" collapsed="false">
      <c r="A60" s="3" t="s">
        <v>871</v>
      </c>
      <c r="B60" s="18" t="n">
        <f aca="false">0.2*PL!D29+0.8*PL!E29</f>
        <v>23.7052253566601</v>
      </c>
    </row>
    <row r="61" customFormat="false" ht="17.15" hidden="false" customHeight="false" outlineLevel="0" collapsed="false">
      <c r="A61" s="3" t="s">
        <v>872</v>
      </c>
      <c r="B61" s="34" t="n">
        <f aca="false">px/B60</f>
        <v>41.5942048710783</v>
      </c>
    </row>
    <row r="62" customFormat="false" ht="17.15" hidden="false" customHeight="false" outlineLevel="0" collapsed="false">
      <c r="A62" s="3" t="s">
        <v>507</v>
      </c>
      <c r="B62" s="34" t="n">
        <f aca="false">pe_ttm</f>
        <v>166.14</v>
      </c>
    </row>
    <row r="63" customFormat="false" ht="17.15" hidden="false" customHeight="false" outlineLevel="0" collapsed="false">
      <c r="A63" s="3" t="s">
        <v>873</v>
      </c>
      <c r="B63" s="34" t="n">
        <f aca="false">fpe</f>
        <v>44.7</v>
      </c>
    </row>
    <row r="65" customFormat="false" ht="17.15" hidden="false" customHeight="false" outlineLevel="0" collapsed="false">
      <c r="A65" s="5" t="s">
        <v>874</v>
      </c>
    </row>
    <row r="66" customFormat="false" ht="17.15" hidden="false" customHeight="false" outlineLevel="0" collapsed="false">
      <c r="A66" s="4" t="s">
        <v>875</v>
      </c>
      <c r="B66" s="4" t="s">
        <v>876</v>
      </c>
      <c r="C66" s="13" t="s">
        <v>877</v>
      </c>
      <c r="D66" s="4" t="s">
        <v>878</v>
      </c>
      <c r="E66" s="4" t="s">
        <v>879</v>
      </c>
      <c r="F66" s="4" t="s">
        <v>630</v>
      </c>
    </row>
    <row r="67" customFormat="false" ht="17.15" hidden="false" customHeight="false" outlineLevel="0" collapsed="false">
      <c r="A67" s="0" t="s">
        <v>861</v>
      </c>
      <c r="B67" s="0" t="n">
        <f aca="false">INDEX({2026,2027,2028,2029},MATCH(MAX(PL!D88:G88),PL!D88:G88,0))</f>
        <v>2029</v>
      </c>
      <c r="C67" s="0" t="str">
        <f aca="false">IF(B67=2029,"中段",IF(2027&lt;B67,"中段",IF(2027=B67,"見頂","谷底")))</f>
        <v>中段</v>
      </c>
      <c r="D67" s="34" t="n">
        <f aca="false">IF(C67="見頂",pe_peak,IF(C67="谷底",pe_trough,pe_mid))</f>
        <v>47.39</v>
      </c>
      <c r="E67" s="0" t="str">
        <f aca="false">IF(B67=2029,"是：營收到觀測期末仍在增加","否")</f>
        <v>是：營收到觀測期末仍在增加</v>
      </c>
      <c r="F67" s="7" t="s">
        <v>880</v>
      </c>
    </row>
    <row r="68" customFormat="false" ht="15" hidden="false" customHeight="false" outlineLevel="0" collapsed="false">
      <c r="A68" s="0" t="s">
        <v>862</v>
      </c>
      <c r="B68" s="0" t="n">
        <f aca="false">INDEX({2026,2027,2028,2029},MATCH(MAX(PL!D145:G145),PL!D145:G145,0))</f>
        <v>2029</v>
      </c>
      <c r="C68" s="0" t="str">
        <f aca="false">IF(B68=2029,"中段",IF(2027&lt;B68,"中段",IF(2027=B68,"見頂","谷底")))</f>
        <v>中段</v>
      </c>
      <c r="D68" s="34" t="n">
        <f aca="false">IF(C68="見頂",pe_peak,IF(C68="谷底",pe_trough,pe_mid))</f>
        <v>47.39</v>
      </c>
      <c r="E68" s="0" t="str">
        <f aca="false">IF(B68=2029,"是：營收到觀測期末仍在增加","否")</f>
        <v>是：營收到觀測期末仍在增加</v>
      </c>
      <c r="F68" s="3" t="s">
        <v>45</v>
      </c>
    </row>
    <row r="69" customFormat="false" ht="15" hidden="false" customHeight="false" outlineLevel="0" collapsed="false">
      <c r="A69" s="0" t="s">
        <v>863</v>
      </c>
      <c r="B69" s="0" t="n">
        <f aca="false">INDEX({2026,2027,2028,2029},MATCH(MAX(PL!D202:G202),PL!D202:G202,0))</f>
        <v>2029</v>
      </c>
      <c r="C69" s="0" t="str">
        <f aca="false">IF(B69=2029,"中段",IF(2027&lt;B69,"中段",IF(2027=B69,"見頂","谷底")))</f>
        <v>中段</v>
      </c>
      <c r="D69" s="34" t="n">
        <f aca="false">IF(C69="見頂",pe_peak,IF(C69="谷底",pe_trough,pe_mid))</f>
        <v>47.39</v>
      </c>
      <c r="E69" s="0" t="str">
        <f aca="false">IF(B69=2029,"是：營收到觀測期末仍在增加","否")</f>
        <v>是：營收到觀測期末仍在增加</v>
      </c>
      <c r="F69" s="3" t="s">
        <v>45</v>
      </c>
    </row>
    <row r="71" customFormat="false" ht="17.15" hidden="false" customHeight="false" outlineLevel="0" collapsed="false">
      <c r="A71" s="5" t="s">
        <v>881</v>
      </c>
    </row>
    <row r="72" customFormat="false" ht="17.15" hidden="false" customHeight="false" outlineLevel="0" collapsed="false">
      <c r="A72" s="4" t="s">
        <v>875</v>
      </c>
      <c r="B72" s="13" t="s">
        <v>882</v>
      </c>
      <c r="C72" s="4" t="s">
        <v>883</v>
      </c>
      <c r="D72" s="4" t="s">
        <v>884</v>
      </c>
      <c r="E72" s="4" t="s">
        <v>885</v>
      </c>
      <c r="F72" s="4" t="s">
        <v>886</v>
      </c>
      <c r="G72" s="4" t="s">
        <v>887</v>
      </c>
    </row>
    <row r="73" customFormat="false" ht="15" hidden="false" customHeight="false" outlineLevel="0" collapsed="false">
      <c r="A73" s="8" t="s">
        <v>861</v>
      </c>
      <c r="B73" s="32" t="n">
        <f aca="false">PL!E15</f>
        <v>27.3826543218881</v>
      </c>
      <c r="C73" s="32" t="n">
        <f aca="false">B73</f>
        <v>27.3826543218881</v>
      </c>
      <c r="D73" s="37" t="n">
        <f aca="false">D67</f>
        <v>47.39</v>
      </c>
      <c r="E73" s="38" t="n">
        <f aca="false">C73*D73</f>
        <v>1297.66398831428</v>
      </c>
      <c r="F73" s="39" t="n">
        <f aca="false">E73/px-1</f>
        <v>0.316089237641256</v>
      </c>
      <c r="G73" s="37" t="n">
        <f aca="false">px/C73</f>
        <v>36.008196590783</v>
      </c>
    </row>
    <row r="74" customFormat="false" ht="15" hidden="false" customHeight="false" outlineLevel="0" collapsed="false">
      <c r="A74" s="8" t="s">
        <v>862</v>
      </c>
      <c r="B74" s="32" t="n">
        <f aca="false">PL!E29</f>
        <v>26.2079414805089</v>
      </c>
      <c r="C74" s="32" t="n">
        <f aca="false">B74</f>
        <v>26.2079414805089</v>
      </c>
      <c r="D74" s="37" t="n">
        <f aca="false">D68</f>
        <v>47.39</v>
      </c>
      <c r="E74" s="38" t="n">
        <f aca="false">C74*D74</f>
        <v>1241.99434676131</v>
      </c>
      <c r="F74" s="39" t="n">
        <f aca="false">E74/px-1</f>
        <v>0.259629154930339</v>
      </c>
      <c r="G74" s="37" t="n">
        <f aca="false">px/C74</f>
        <v>37.6221841281697</v>
      </c>
    </row>
    <row r="75" customFormat="false" ht="15" hidden="false" customHeight="false" outlineLevel="0" collapsed="false">
      <c r="A75" s="8" t="s">
        <v>863</v>
      </c>
      <c r="B75" s="32" t="n">
        <f aca="false">PL!E43</f>
        <v>25.0332286391296</v>
      </c>
      <c r="C75" s="32" t="n">
        <f aca="false">B75</f>
        <v>25.0332286391296</v>
      </c>
      <c r="D75" s="37" t="n">
        <f aca="false">D69</f>
        <v>47.39</v>
      </c>
      <c r="E75" s="38" t="n">
        <f aca="false">C75*D75</f>
        <v>1186.32470520835</v>
      </c>
      <c r="F75" s="39" t="n">
        <f aca="false">E75/px-1</f>
        <v>0.203169072219423</v>
      </c>
      <c r="G75" s="37" t="n">
        <f aca="false">px/C75</f>
        <v>39.3876480822285</v>
      </c>
    </row>
    <row r="77" customFormat="false" ht="17.15" hidden="false" customHeight="false" outlineLevel="0" collapsed="false">
      <c r="A77" s="5" t="s">
        <v>888</v>
      </c>
    </row>
    <row r="78" customFormat="false" ht="17.15" hidden="false" customHeight="false" outlineLevel="0" collapsed="false">
      <c r="A78" s="13" t="s">
        <v>889</v>
      </c>
      <c r="B78" s="4" t="s">
        <v>890</v>
      </c>
      <c r="C78" s="4" t="s">
        <v>891</v>
      </c>
      <c r="D78" s="4" t="s">
        <v>892</v>
      </c>
      <c r="E78" s="4" t="s">
        <v>893</v>
      </c>
    </row>
    <row r="79" customFormat="false" ht="15" hidden="false" customHeight="false" outlineLevel="0" collapsed="false">
      <c r="A79" s="17" t="n">
        <v>0.75</v>
      </c>
      <c r="B79" s="34" t="n">
        <f aca="false">px*A79/PL!F15</f>
        <v>21.851373412982</v>
      </c>
      <c r="C79" s="34" t="n">
        <f aca="false">px*A79/PL!F29</f>
        <v>23.307299695301</v>
      </c>
      <c r="D79" s="34" t="n">
        <f aca="false">px*A79/PL!F43</f>
        <v>28.1934293851613</v>
      </c>
      <c r="E79" s="34" t="n">
        <f aca="false">pe_mid</f>
        <v>47.39</v>
      </c>
    </row>
    <row r="80" customFormat="false" ht="15" hidden="false" customHeight="false" outlineLevel="0" collapsed="false">
      <c r="A80" s="17" t="n">
        <v>1</v>
      </c>
      <c r="B80" s="34" t="n">
        <f aca="false">px*A80/PL!F15</f>
        <v>29.1351645506427</v>
      </c>
      <c r="C80" s="34" t="n">
        <f aca="false">px*A80/PL!F29</f>
        <v>31.0763995937347</v>
      </c>
      <c r="D80" s="34" t="n">
        <f aca="false">px*A80/PL!F43</f>
        <v>37.5912391802151</v>
      </c>
      <c r="E80" s="34" t="n">
        <f aca="false">pe_mid</f>
        <v>47.39</v>
      </c>
    </row>
    <row r="81" customFormat="false" ht="15" hidden="false" customHeight="false" outlineLevel="0" collapsed="false">
      <c r="A81" s="17" t="n">
        <v>1.1</v>
      </c>
      <c r="B81" s="34" t="n">
        <f aca="false">px*A81/PL!F15</f>
        <v>32.0486810057069</v>
      </c>
      <c r="C81" s="34" t="n">
        <f aca="false">px*A81/PL!F29</f>
        <v>34.1840395531082</v>
      </c>
      <c r="D81" s="34" t="n">
        <f aca="false">px*A81/PL!F43</f>
        <v>41.3503630982366</v>
      </c>
      <c r="E81" s="34" t="n">
        <f aca="false">pe_mid</f>
        <v>47.39</v>
      </c>
    </row>
    <row r="82" customFormat="false" ht="15" hidden="false" customHeight="false" outlineLevel="0" collapsed="false">
      <c r="A82" s="17" t="n">
        <v>1.21</v>
      </c>
      <c r="B82" s="34" t="n">
        <f aca="false">px*A82/PL!F15</f>
        <v>35.2535491062776</v>
      </c>
      <c r="C82" s="34" t="n">
        <f aca="false">px*A82/PL!F29</f>
        <v>37.602443508419</v>
      </c>
      <c r="D82" s="34" t="n">
        <f aca="false">px*A82/PL!F43</f>
        <v>45.4853994080603</v>
      </c>
      <c r="E82" s="34" t="n">
        <f aca="false">pe_mid</f>
        <v>47.39</v>
      </c>
    </row>
    <row r="83" customFormat="false" ht="15" hidden="false" customHeight="false" outlineLevel="0" collapsed="false">
      <c r="A83" s="17" t="n">
        <v>1.5</v>
      </c>
      <c r="B83" s="34" t="n">
        <f aca="false">px*A83/PL!F15</f>
        <v>43.702746825964</v>
      </c>
      <c r="C83" s="34" t="n">
        <f aca="false">px*A83/PL!F29</f>
        <v>46.6145993906021</v>
      </c>
      <c r="D83" s="34" t="n">
        <f aca="false">px*A83/PL!F43</f>
        <v>56.3868587703227</v>
      </c>
      <c r="E83" s="34" t="n">
        <f aca="false">pe_mid</f>
        <v>47.39</v>
      </c>
    </row>
    <row r="84" customFormat="false" ht="17.15" hidden="false" customHeight="false" outlineLevel="0" collapsed="false">
      <c r="A84" s="3" t="s">
        <v>894</v>
      </c>
    </row>
    <row r="86" customFormat="false" ht="17.15" hidden="false" customHeight="false" outlineLevel="0" collapsed="false">
      <c r="A86" s="5" t="s">
        <v>895</v>
      </c>
    </row>
    <row r="87" customFormat="false" ht="17.15" hidden="false" customHeight="false" outlineLevel="0" collapsed="false">
      <c r="A87" s="4" t="s">
        <v>896</v>
      </c>
      <c r="B87" s="4" t="s">
        <v>897</v>
      </c>
      <c r="C87" s="13" t="s">
        <v>898</v>
      </c>
      <c r="D87" s="4" t="s">
        <v>899</v>
      </c>
    </row>
    <row r="88" customFormat="false" ht="15" hidden="false" customHeight="false" outlineLevel="0" collapsed="false">
      <c r="A88" s="0" t="s">
        <v>900</v>
      </c>
      <c r="B88" s="18" t="n">
        <f aca="false">AVERAGE(C88:D88)</f>
        <v>14.2115768463074</v>
      </c>
      <c r="C88" s="18" t="str">
        <f aca="false">IF(ISNUMBER(B107),B107,"")</f>
        <v/>
      </c>
      <c r="D88" s="18" t="n">
        <f aca="false">IF(ISNUMBER(C107),C107,"")</f>
        <v>14.2115768463074</v>
      </c>
    </row>
    <row r="89" customFormat="false" ht="15" hidden="false" customHeight="false" outlineLevel="0" collapsed="false">
      <c r="A89" s="0" t="s">
        <v>901</v>
      </c>
      <c r="B89" s="18" t="n">
        <f aca="false">AVERAGE(C89:D89)</f>
        <v>49.2727272727273</v>
      </c>
      <c r="C89" s="18" t="str">
        <f aca="false">IF(ISNUMBER(B108),B108,"")</f>
        <v/>
      </c>
      <c r="D89" s="18" t="n">
        <f aca="false">IF(ISNUMBER(C108),C108,"")</f>
        <v>49.2727272727273</v>
      </c>
    </row>
    <row r="90" customFormat="false" ht="15" hidden="false" customHeight="false" outlineLevel="0" collapsed="false">
      <c r="A90" s="0" t="s">
        <v>902</v>
      </c>
      <c r="B90" s="18" t="n">
        <f aca="false">AVERAGE(C90:D90)</f>
        <v>55.8974358974359</v>
      </c>
      <c r="C90" s="18" t="str">
        <f aca="false">IF(ISNUMBER(B109),B109,"")</f>
        <v/>
      </c>
      <c r="D90" s="18" t="n">
        <f aca="false">IF(ISNUMBER(C109),C109,"")</f>
        <v>55.8974358974359</v>
      </c>
    </row>
    <row r="91" customFormat="false" ht="17.15" hidden="false" customHeight="false" outlineLevel="0" collapsed="false">
      <c r="A91" s="0" t="s">
        <v>903</v>
      </c>
      <c r="E91" s="3" t="s">
        <v>904</v>
      </c>
    </row>
    <row r="92" customFormat="false" ht="15" hidden="false" customHeight="false" outlineLevel="0" collapsed="false">
      <c r="A92" s="0" t="s">
        <v>905</v>
      </c>
      <c r="B92" s="18" t="n">
        <f aca="false">AVERAGE(C92:D92)</f>
        <v>66.8595041322314</v>
      </c>
      <c r="C92" s="18" t="str">
        <f aca="false">IF(ISNUMBER(B111),B111,"")</f>
        <v/>
      </c>
      <c r="D92" s="18" t="n">
        <f aca="false">IF(ISNUMBER(C111),C111,"")</f>
        <v>66.8595041322314</v>
      </c>
    </row>
    <row r="93" customFormat="false" ht="15" hidden="false" customHeight="false" outlineLevel="0" collapsed="false">
      <c r="A93" s="0" t="s">
        <v>906</v>
      </c>
      <c r="B93" s="18" t="n">
        <f aca="false">AVERAGE(C93:D93)</f>
        <v>27.2198130841121</v>
      </c>
      <c r="C93" s="18" t="n">
        <f aca="false">IF(ISNUMBER(B112),B112,"")</f>
        <v>27.22</v>
      </c>
      <c r="D93" s="18" t="n">
        <f aca="false">IF(ISNUMBER(C112),C112,"")</f>
        <v>27.2196261682243</v>
      </c>
    </row>
    <row r="94" customFormat="false" ht="15" hidden="false" customHeight="false" outlineLevel="0" collapsed="false">
      <c r="A94" s="0" t="s">
        <v>907</v>
      </c>
      <c r="B94" s="18" t="n">
        <f aca="false">AVERAGE(C94:D94)</f>
        <v>6.76750484809308</v>
      </c>
      <c r="C94" s="18" t="n">
        <f aca="false">IF(ISNUMBER(B113),B113,"")</f>
        <v>6.78</v>
      </c>
      <c r="D94" s="18" t="n">
        <f aca="false">IF(ISNUMBER(C113),C113,"")</f>
        <v>6.75500969618617</v>
      </c>
    </row>
    <row r="95" customFormat="false" ht="15" hidden="false" customHeight="false" outlineLevel="0" collapsed="false">
      <c r="A95" s="0" t="s">
        <v>908</v>
      </c>
      <c r="B95" s="18" t="n">
        <f aca="false">AVERAGE(C95:D95)</f>
        <v>929.971818181818</v>
      </c>
      <c r="C95" s="18" t="n">
        <f aca="false">IF(ISNUMBER(B114),B114,"")</f>
        <v>953.58</v>
      </c>
      <c r="D95" s="18" t="n">
        <f aca="false">IF(ISNUMBER(C114),C114,"")</f>
        <v>906.363636363636</v>
      </c>
    </row>
    <row r="96" customFormat="false" ht="15" hidden="false" customHeight="false" outlineLevel="0" collapsed="false">
      <c r="A96" s="0" t="s">
        <v>909</v>
      </c>
      <c r="B96" s="18" t="n">
        <f aca="false">AVERAGE(C96:D96)</f>
        <v>930.795909090909</v>
      </c>
      <c r="C96" s="18" t="n">
        <f aca="false">IF(ISNUMBER(B115),B115,"")</f>
        <v>943.41</v>
      </c>
      <c r="D96" s="18" t="n">
        <f aca="false">IF(ISNUMBER(C115),C115,"")</f>
        <v>918.181818181818</v>
      </c>
    </row>
    <row r="97" customFormat="false" ht="15" hidden="false" customHeight="false" outlineLevel="0" collapsed="false">
      <c r="A97" s="0" t="s">
        <v>910</v>
      </c>
      <c r="B97" s="18" t="n">
        <f aca="false">AVERAGE(C97:D97)</f>
        <v>45.4045726495727</v>
      </c>
      <c r="C97" s="18" t="n">
        <f aca="false">IF(ISNUMBER(B116),B116,"")</f>
        <v>45.51</v>
      </c>
      <c r="D97" s="18" t="n">
        <f aca="false">IF(ISNUMBER(C116),C116,"")</f>
        <v>45.2991452991453</v>
      </c>
    </row>
    <row r="98" customFormat="false" ht="15" hidden="false" customHeight="false" outlineLevel="0" collapsed="false">
      <c r="A98" s="3" t="s">
        <v>911</v>
      </c>
      <c r="B98" s="0" t="n">
        <f aca="false">COUNT($B$88:$B$97)</f>
        <v>9</v>
      </c>
    </row>
    <row r="102" customFormat="false" ht="17.15" hidden="false" customHeight="false" outlineLevel="0" collapsed="false">
      <c r="A102" s="5" t="s">
        <v>912</v>
      </c>
    </row>
    <row r="103" customFormat="false" ht="17.15" hidden="false" customHeight="false" outlineLevel="0" collapsed="false">
      <c r="A103" s="3" t="s">
        <v>913</v>
      </c>
    </row>
    <row r="105" customFormat="false" ht="17.15" hidden="false" customHeight="false" outlineLevel="0" collapsed="false">
      <c r="A105" s="5" t="s">
        <v>914</v>
      </c>
    </row>
    <row r="106" customFormat="false" ht="17.15" hidden="false" customHeight="false" outlineLevel="0" collapsed="false">
      <c r="A106" s="4" t="s">
        <v>896</v>
      </c>
      <c r="B106" s="13" t="s">
        <v>915</v>
      </c>
      <c r="C106" s="4" t="s">
        <v>916</v>
      </c>
      <c r="D106" s="4" t="s">
        <v>917</v>
      </c>
    </row>
    <row r="107" customFormat="false" ht="17.15" hidden="false" customHeight="false" outlineLevel="0" collapsed="false">
      <c r="A107" s="0" t="s">
        <v>900</v>
      </c>
      <c r="C107" s="18" t="n">
        <f aca="false">71.2/5.01</f>
        <v>14.2115768463074</v>
      </c>
      <c r="D107" s="7" t="s">
        <v>918</v>
      </c>
    </row>
    <row r="108" customFormat="false" ht="15" hidden="false" customHeight="false" outlineLevel="0" collapsed="false">
      <c r="A108" s="0" t="s">
        <v>901</v>
      </c>
      <c r="C108" s="18" t="n">
        <f aca="false">54.2/1.1</f>
        <v>49.2727272727273</v>
      </c>
    </row>
    <row r="109" customFormat="false" ht="15" hidden="false" customHeight="false" outlineLevel="0" collapsed="false">
      <c r="A109" s="0" t="s">
        <v>902</v>
      </c>
      <c r="C109" s="18" t="n">
        <f aca="false">43.6/0.78</f>
        <v>55.8974358974359</v>
      </c>
    </row>
    <row r="110" customFormat="false" ht="15" hidden="false" customHeight="false" outlineLevel="0" collapsed="false">
      <c r="A110" s="0" t="s">
        <v>903</v>
      </c>
    </row>
    <row r="111" customFormat="false" ht="15" hidden="false" customHeight="false" outlineLevel="0" collapsed="false">
      <c r="A111" s="0" t="s">
        <v>905</v>
      </c>
      <c r="C111" s="18" t="n">
        <f aca="false">80.9/1.21</f>
        <v>66.8595041322314</v>
      </c>
    </row>
    <row r="112" customFormat="false" ht="15" hidden="false" customHeight="false" outlineLevel="0" collapsed="false">
      <c r="A112" s="0" t="s">
        <v>906</v>
      </c>
      <c r="B112" s="17" t="n">
        <v>27.22</v>
      </c>
      <c r="C112" s="18" t="n">
        <f aca="false">233/8.56</f>
        <v>27.2196261682243</v>
      </c>
    </row>
    <row r="113" customFormat="false" ht="15" hidden="false" customHeight="false" outlineLevel="0" collapsed="false">
      <c r="A113" s="0" t="s">
        <v>907</v>
      </c>
      <c r="B113" s="17" t="n">
        <v>6.78</v>
      </c>
      <c r="C113" s="18" t="n">
        <f aca="false">104.5/15.47</f>
        <v>6.75500969618617</v>
      </c>
    </row>
    <row r="114" customFormat="false" ht="15" hidden="false" customHeight="false" outlineLevel="0" collapsed="false">
      <c r="A114" s="0" t="s">
        <v>908</v>
      </c>
      <c r="B114" s="17" t="n">
        <v>953.58</v>
      </c>
      <c r="C114" s="18" t="n">
        <f aca="false">99.7/0.11</f>
        <v>906.363636363636</v>
      </c>
    </row>
    <row r="115" customFormat="false" ht="15" hidden="false" customHeight="false" outlineLevel="0" collapsed="false">
      <c r="A115" s="0" t="s">
        <v>909</v>
      </c>
      <c r="B115" s="17" t="n">
        <v>943.41</v>
      </c>
      <c r="C115" s="18" t="n">
        <f aca="false">101/0.11</f>
        <v>918.181818181818</v>
      </c>
    </row>
    <row r="116" customFormat="false" ht="15" hidden="false" customHeight="false" outlineLevel="0" collapsed="false">
      <c r="A116" s="0" t="s">
        <v>910</v>
      </c>
      <c r="B116" s="17" t="n">
        <v>45.51</v>
      </c>
      <c r="C116" s="18" t="n">
        <f aca="false">159/3.51</f>
        <v>45.2991452991453</v>
      </c>
    </row>
    <row r="117" customFormat="false" ht="17.15" hidden="false" customHeight="false" outlineLevel="0" collapsed="false">
      <c r="A117" s="0" t="s">
        <v>919</v>
      </c>
      <c r="B117" s="18" t="n">
        <f aca="false">PERCENTILE(B107:B116,0.25)</f>
        <v>27.22</v>
      </c>
      <c r="C117" s="18" t="n">
        <f aca="false">PERCENTILE(C107:C116,0.25)</f>
        <v>27.2196261682243</v>
      </c>
    </row>
    <row r="118" customFormat="false" ht="15" hidden="false" customHeight="false" outlineLevel="0" collapsed="false">
      <c r="A118" s="3" t="s">
        <v>920</v>
      </c>
      <c r="B118" s="18" t="n">
        <f aca="false">MEDIAN(B107:B116)</f>
        <v>45.51</v>
      </c>
      <c r="C118" s="18" t="n">
        <f aca="false">MEDIAN(C107:C116)</f>
        <v>49.2727272727273</v>
      </c>
    </row>
    <row r="119" customFormat="false" ht="17.15" hidden="false" customHeight="false" outlineLevel="0" collapsed="false">
      <c r="A119" s="0" t="s">
        <v>921</v>
      </c>
      <c r="B119" s="18" t="n">
        <f aca="false">PERCENTILE(B107:B116,0.75)</f>
        <v>943.41</v>
      </c>
      <c r="C119" s="18" t="n">
        <f aca="false">PERCENTILE(C107:C116,0.75)</f>
        <v>66.8595041322314</v>
      </c>
    </row>
    <row r="120" customFormat="false" ht="15" hidden="false" customHeight="false" outlineLevel="0" collapsed="false">
      <c r="A120" s="3" t="s">
        <v>922</v>
      </c>
      <c r="B120" s="18" t="n">
        <f aca="false">MIN(B107:B116)</f>
        <v>6.78</v>
      </c>
      <c r="C120" s="18" t="n">
        <f aca="false">MIN(C107:C116)</f>
        <v>6.75500969618617</v>
      </c>
    </row>
    <row r="121" customFormat="false" ht="15" hidden="false" customHeight="false" outlineLevel="0" collapsed="false">
      <c r="A121" s="3" t="s">
        <v>923</v>
      </c>
      <c r="B121" s="18" t="n">
        <f aca="false">MAX(B107:B116)</f>
        <v>953.58</v>
      </c>
      <c r="C121" s="18" t="n">
        <f aca="false">MAX(C107:C116)</f>
        <v>918.181818181818</v>
      </c>
    </row>
    <row r="122" customFormat="false" ht="17.15" hidden="false" customHeight="false" outlineLevel="0" collapsed="false">
      <c r="A122" s="1" t="s">
        <v>924</v>
      </c>
      <c r="B122" s="18" t="n">
        <f aca="false">ROUND(AVERAGE(B117,C117),2)</f>
        <v>27.22</v>
      </c>
    </row>
    <row r="123" customFormat="false" ht="17.15" hidden="false" customHeight="false" outlineLevel="0" collapsed="false">
      <c r="A123" s="1" t="s">
        <v>925</v>
      </c>
      <c r="B123" s="18" t="n">
        <f aca="false">ROUND(AVERAGE(B118,C118),2)</f>
        <v>47.39</v>
      </c>
    </row>
    <row r="124" customFormat="false" ht="17.15" hidden="false" customHeight="false" outlineLevel="0" collapsed="false">
      <c r="A124" s="1" t="s">
        <v>926</v>
      </c>
      <c r="B124" s="18" t="n">
        <f aca="false">ROUND(AVERAGE(B119,C119),2)</f>
        <v>505.13</v>
      </c>
    </row>
    <row r="125" customFormat="false" ht="17.15" hidden="false" customHeight="false" outlineLevel="0" collapsed="false">
      <c r="A125" s="1" t="s">
        <v>927</v>
      </c>
      <c r="B125" s="18" t="n">
        <f aca="false">ROUND(MIN(B120,C120),2)</f>
        <v>6.76</v>
      </c>
    </row>
    <row r="126" customFormat="false" ht="17.15" hidden="false" customHeight="false" outlineLevel="0" collapsed="false">
      <c r="A126" s="1" t="s">
        <v>928</v>
      </c>
      <c r="B126" s="18" t="n">
        <f aca="false">ROUND(MAX(B121,C121),2)</f>
        <v>953.58</v>
      </c>
    </row>
    <row r="128" customFormat="false" ht="17.15" hidden="false" customHeight="false" outlineLevel="0" collapsed="false">
      <c r="A128" s="5" t="s">
        <v>929</v>
      </c>
    </row>
    <row r="129" customFormat="false" ht="17.15" hidden="false" customHeight="false" outlineLevel="0" collapsed="false">
      <c r="A129" s="4" t="s">
        <v>930</v>
      </c>
      <c r="B129" s="4" t="s">
        <v>931</v>
      </c>
      <c r="C129" s="4" t="s">
        <v>932</v>
      </c>
      <c r="D129" s="4" t="s">
        <v>23</v>
      </c>
      <c r="E129" s="4" t="s">
        <v>933</v>
      </c>
      <c r="F129" s="4" t="s">
        <v>885</v>
      </c>
      <c r="G129" s="4" t="s">
        <v>934</v>
      </c>
      <c r="H129" s="4" t="s">
        <v>935</v>
      </c>
    </row>
    <row r="130" customFormat="false" ht="17.15" hidden="false" customHeight="false" outlineLevel="0" collapsed="false">
      <c r="A130" s="3" t="s">
        <v>936</v>
      </c>
      <c r="B130" s="0" t="s">
        <v>937</v>
      </c>
      <c r="C130" s="18" t="n">
        <f aca="false">B122</f>
        <v>27.22</v>
      </c>
      <c r="D130" s="7" t="s">
        <v>938</v>
      </c>
      <c r="E130" s="18" t="n">
        <f aca="false">C74</f>
        <v>26.2079414805089</v>
      </c>
      <c r="F130" s="23" t="n">
        <f aca="false">C130*E130</f>
        <v>713.380167099451</v>
      </c>
      <c r="G130" s="20" t="n">
        <f aca="false">F130/px-1</f>
        <v>-0.276490702738894</v>
      </c>
      <c r="H130" s="18" t="n">
        <f aca="false">px/E130</f>
        <v>37.6221841281697</v>
      </c>
    </row>
    <row r="131" customFormat="false" ht="17.15" hidden="false" customHeight="false" outlineLevel="0" collapsed="false">
      <c r="A131" s="3" t="s">
        <v>939</v>
      </c>
      <c r="B131" s="3" t="s">
        <v>940</v>
      </c>
      <c r="C131" s="18" t="n">
        <f aca="false">B123</f>
        <v>47.39</v>
      </c>
      <c r="D131" s="7" t="s">
        <v>938</v>
      </c>
      <c r="E131" s="18" t="n">
        <f aca="false">C74</f>
        <v>26.2079414805089</v>
      </c>
      <c r="F131" s="23" t="n">
        <f aca="false">C131*E131</f>
        <v>1241.99434676131</v>
      </c>
      <c r="G131" s="20" t="n">
        <f aca="false">F131/px-1</f>
        <v>0.259629154930339</v>
      </c>
      <c r="H131" s="18" t="n">
        <f aca="false">px/E131</f>
        <v>37.6221841281697</v>
      </c>
    </row>
    <row r="132" customFormat="false" ht="17.15" hidden="false" customHeight="false" outlineLevel="0" collapsed="false">
      <c r="A132" s="3" t="s">
        <v>941</v>
      </c>
      <c r="B132" s="0" t="s">
        <v>942</v>
      </c>
      <c r="C132" s="18" t="n">
        <f aca="false">B124</f>
        <v>505.13</v>
      </c>
      <c r="D132" s="7" t="s">
        <v>938</v>
      </c>
      <c r="E132" s="18" t="n">
        <f aca="false">C74</f>
        <v>26.2079414805089</v>
      </c>
      <c r="F132" s="23" t="n">
        <f aca="false">C132*E132</f>
        <v>13238.4174800494</v>
      </c>
      <c r="G132" s="20" t="n">
        <f aca="false">F132/px-1</f>
        <v>12.4263868966019</v>
      </c>
      <c r="H132" s="18" t="n">
        <f aca="false">px/E132</f>
        <v>37.6221841281697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2"/>
    <col collapsed="false" customWidth="true" hidden="false" outlineLevel="0" max="8" min="2" style="0" width="11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943</v>
      </c>
    </row>
    <row r="3" customFormat="false" ht="17.15" hidden="false" customHeight="false" outlineLevel="0" collapsed="false">
      <c r="A3" s="4" t="s">
        <v>20</v>
      </c>
      <c r="B3" s="4" t="s">
        <v>944</v>
      </c>
      <c r="C3" s="4" t="s">
        <v>945</v>
      </c>
      <c r="D3" s="4" t="s">
        <v>946</v>
      </c>
      <c r="E3" s="4" t="s">
        <v>947</v>
      </c>
      <c r="F3" s="4" t="s">
        <v>948</v>
      </c>
      <c r="G3" s="4" t="s">
        <v>949</v>
      </c>
      <c r="H3" s="4" t="s">
        <v>950</v>
      </c>
      <c r="I3" s="4" t="s">
        <v>951</v>
      </c>
      <c r="J3" s="4" t="s">
        <v>630</v>
      </c>
    </row>
    <row r="4" customFormat="false" ht="17.15" hidden="false" customHeight="false" outlineLevel="0" collapsed="false">
      <c r="A4" s="5" t="s">
        <v>952</v>
      </c>
    </row>
    <row r="5" customFormat="false" ht="17.15" hidden="false" customHeight="false" outlineLevel="0" collapsed="false">
      <c r="A5" s="0" t="s">
        <v>953</v>
      </c>
      <c r="B5" s="21" t="n">
        <f aca="false">cons_eps26</f>
        <v>10.42</v>
      </c>
      <c r="C5" s="21" t="n">
        <f aca="false">PL!D109</f>
        <v>13.6943608612652</v>
      </c>
      <c r="D5" s="20" t="n">
        <f aca="false">C5/B5-1</f>
        <v>0.314238086493781</v>
      </c>
      <c r="E5" s="21" t="n">
        <f aca="false">PL!D166</f>
        <v>13.6943608612652</v>
      </c>
      <c r="F5" s="20" t="n">
        <f aca="false">E5/B5-1</f>
        <v>0.314238086493781</v>
      </c>
      <c r="G5" s="21" t="n">
        <f aca="false">PL!D223</f>
        <v>13.6943608612652</v>
      </c>
      <c r="H5" s="20" t="n">
        <f aca="false">G5/B5-1</f>
        <v>0.314238086493781</v>
      </c>
      <c r="I5" s="3" t="s">
        <v>954</v>
      </c>
      <c r="J5" s="3" t="s">
        <v>955</v>
      </c>
    </row>
    <row r="6" customFormat="false" ht="17.15" hidden="false" customHeight="false" outlineLevel="0" collapsed="false">
      <c r="A6" s="0" t="s">
        <v>956</v>
      </c>
      <c r="B6" s="21" t="n">
        <v>13.21</v>
      </c>
      <c r="C6" s="21" t="n">
        <f aca="false">PL!D109</f>
        <v>13.6943608612652</v>
      </c>
      <c r="D6" s="20" t="n">
        <f aca="false">C6/B6-1</f>
        <v>0.0366662271964566</v>
      </c>
      <c r="E6" s="21" t="n">
        <f aca="false">PL!D166</f>
        <v>13.6943608612652</v>
      </c>
      <c r="F6" s="20" t="n">
        <f aca="false">E6/B6-1</f>
        <v>0.0366662271964566</v>
      </c>
      <c r="G6" s="21" t="n">
        <f aca="false">PL!D223</f>
        <v>13.6943608612652</v>
      </c>
      <c r="H6" s="20" t="n">
        <f aca="false">G6/B6-1</f>
        <v>0.0366662271964566</v>
      </c>
      <c r="I6" s="3" t="s">
        <v>957</v>
      </c>
    </row>
    <row r="7" customFormat="false" ht="17.15" hidden="false" customHeight="false" outlineLevel="0" collapsed="false">
      <c r="A7" s="0" t="s">
        <v>958</v>
      </c>
      <c r="B7" s="21" t="n">
        <f aca="false">cons_eps27</f>
        <v>26.47</v>
      </c>
      <c r="C7" s="21" t="n">
        <f aca="false">PL!E109</f>
        <v>27.3826543218881</v>
      </c>
      <c r="D7" s="20" t="n">
        <f aca="false">C7/B7-1</f>
        <v>0.0344788183561813</v>
      </c>
      <c r="E7" s="21" t="n">
        <f aca="false">PL!E166</f>
        <v>26.2079414805089</v>
      </c>
      <c r="F7" s="20" t="n">
        <f aca="false">E7/B7-1</f>
        <v>-0.00990020851874363</v>
      </c>
      <c r="G7" s="21" t="n">
        <f aca="false">PL!E223</f>
        <v>25.0332286391296</v>
      </c>
      <c r="H7" s="20" t="n">
        <f aca="false">G7/B7-1</f>
        <v>-0.0542792353936684</v>
      </c>
      <c r="I7" s="3" t="s">
        <v>954</v>
      </c>
    </row>
    <row r="8" customFormat="false" ht="17.15" hidden="false" customHeight="false" outlineLevel="0" collapsed="false">
      <c r="A8" s="0" t="s">
        <v>959</v>
      </c>
      <c r="B8" s="21" t="n">
        <f aca="false">bk_eps27</f>
        <v>35.2466666666667</v>
      </c>
      <c r="C8" s="21" t="n">
        <f aca="false">PL!E109</f>
        <v>27.3826543218881</v>
      </c>
      <c r="D8" s="20" t="n">
        <f aca="false">C8/B8-1</f>
        <v>-0.223113647005255</v>
      </c>
      <c r="E8" s="21" t="n">
        <f aca="false">PL!E166</f>
        <v>26.2079414805089</v>
      </c>
      <c r="F8" s="20" t="n">
        <f aca="false">E8/B8-1</f>
        <v>-0.256441985610681</v>
      </c>
      <c r="G8" s="21" t="n">
        <f aca="false">PL!E223</f>
        <v>25.0332286391296</v>
      </c>
      <c r="H8" s="20" t="n">
        <f aca="false">G8/B8-1</f>
        <v>-0.289770324216108</v>
      </c>
      <c r="I8" s="3" t="s">
        <v>960</v>
      </c>
      <c r="J8" s="3" t="s">
        <v>961</v>
      </c>
    </row>
    <row r="9" customFormat="false" ht="17.15" hidden="false" customHeight="false" outlineLevel="0" collapsed="false">
      <c r="A9" s="0" t="s">
        <v>962</v>
      </c>
      <c r="B9" s="21" t="n">
        <f aca="false">fs_eps27</f>
        <v>19.93</v>
      </c>
      <c r="C9" s="21" t="n">
        <f aca="false">PL!E109</f>
        <v>27.3826543218881</v>
      </c>
      <c r="D9" s="20" t="n">
        <f aca="false">C9/B9-1</f>
        <v>0.373941511384251</v>
      </c>
      <c r="E9" s="21" t="n">
        <f aca="false">PL!E166</f>
        <v>26.2079414805089</v>
      </c>
      <c r="F9" s="20" t="n">
        <f aca="false">E9/B9-1</f>
        <v>0.314999572529295</v>
      </c>
      <c r="G9" s="21" t="n">
        <f aca="false">PL!E223</f>
        <v>25.0332286391296</v>
      </c>
      <c r="H9" s="20" t="n">
        <f aca="false">G9/B9-1</f>
        <v>0.25605763367434</v>
      </c>
      <c r="I9" s="3" t="s">
        <v>963</v>
      </c>
    </row>
    <row r="10" customFormat="false" ht="17.15" hidden="false" customHeight="false" outlineLevel="0" collapsed="false">
      <c r="A10" s="0" t="s">
        <v>964</v>
      </c>
      <c r="B10" s="21" t="n">
        <f aca="false">fs_eps28</f>
        <v>34.39</v>
      </c>
      <c r="C10" s="21" t="n">
        <f aca="false">PL!F109</f>
        <v>33.84226638865</v>
      </c>
      <c r="D10" s="20" t="n">
        <f aca="false">C10/B10-1</f>
        <v>-0.0159271186783956</v>
      </c>
      <c r="E10" s="21" t="n">
        <f aca="false">PL!F166</f>
        <v>31.7282572270304</v>
      </c>
      <c r="F10" s="20" t="n">
        <f aca="false">E10/B10-1</f>
        <v>-0.0773987430348809</v>
      </c>
      <c r="G10" s="21" t="n">
        <f aca="false">PL!F223</f>
        <v>26.2295157462898</v>
      </c>
      <c r="H10" s="20" t="n">
        <f aca="false">G10/B10-1</f>
        <v>-0.237292359805471</v>
      </c>
      <c r="I10" s="3" t="s">
        <v>965</v>
      </c>
    </row>
    <row r="11" customFormat="false" ht="17.15" hidden="false" customHeight="false" outlineLevel="0" collapsed="false">
      <c r="A11" s="0" t="s">
        <v>966</v>
      </c>
      <c r="B11" s="21" t="n">
        <f aca="false">bk_eps28</f>
        <v>67.8233333333333</v>
      </c>
      <c r="C11" s="21" t="n">
        <f aca="false">PL!F109</f>
        <v>33.84226638865</v>
      </c>
      <c r="D11" s="20" t="n">
        <f aca="false">C11/B11-1</f>
        <v>-0.501023250769401</v>
      </c>
      <c r="E11" s="21" t="n">
        <f aca="false">PL!F166</f>
        <v>31.7282572270304</v>
      </c>
      <c r="F11" s="20" t="n">
        <f aca="false">E11/B11-1</f>
        <v>-0.532192599984807</v>
      </c>
      <c r="G11" s="21" t="n">
        <f aca="false">PL!F223</f>
        <v>26.2295157462898</v>
      </c>
      <c r="H11" s="20" t="n">
        <f aca="false">G11/B11-1</f>
        <v>-0.613267079968204</v>
      </c>
      <c r="I11" s="3" t="s">
        <v>960</v>
      </c>
    </row>
    <row r="12" customFormat="false" ht="17.15" hidden="false" customHeight="false" outlineLevel="0" collapsed="false">
      <c r="A12" s="0" t="s">
        <v>967</v>
      </c>
      <c r="B12" s="23" t="n">
        <f aca="false">fs_rev27</f>
        <v>70.348</v>
      </c>
      <c r="C12" s="23" t="n">
        <f aca="false">PL!E88</f>
        <v>72.033987284</v>
      </c>
      <c r="D12" s="20" t="n">
        <f aca="false">C12/B12-1</f>
        <v>0.0239663854551657</v>
      </c>
      <c r="E12" s="23" t="n">
        <f aca="false">PL!E145</f>
        <v>70.172710164</v>
      </c>
      <c r="F12" s="20" t="n">
        <f aca="false">E12/B12-1</f>
        <v>-0.00249175294251447</v>
      </c>
      <c r="G12" s="23" t="n">
        <f aca="false">PL!E202</f>
        <v>68.311433044</v>
      </c>
      <c r="H12" s="20" t="n">
        <f aca="false">G12/B12-1</f>
        <v>-0.0289498913401944</v>
      </c>
      <c r="I12" s="3" t="s">
        <v>965</v>
      </c>
    </row>
    <row r="13" customFormat="false" ht="17.15" hidden="false" customHeight="false" outlineLevel="0" collapsed="false">
      <c r="A13" s="0" t="s">
        <v>968</v>
      </c>
      <c r="B13" s="23" t="n">
        <f aca="false">fs_rev28</f>
        <v>93.549</v>
      </c>
      <c r="C13" s="23" t="n">
        <f aca="false">PL!F88</f>
        <v>84.1022463502375</v>
      </c>
      <c r="D13" s="20" t="n">
        <f aca="false">C13/B13-1</f>
        <v>-0.100981877409299</v>
      </c>
      <c r="E13" s="23" t="n">
        <f aca="false">PL!F145</f>
        <v>80.6588836782375</v>
      </c>
      <c r="F13" s="20" t="n">
        <f aca="false">E13/B13-1</f>
        <v>-0.137789995849902</v>
      </c>
      <c r="G13" s="23" t="n">
        <f aca="false">PL!F202</f>
        <v>73.0862139008561</v>
      </c>
      <c r="H13" s="20" t="n">
        <f aca="false">G13/B13-1</f>
        <v>-0.218738694151128</v>
      </c>
      <c r="I13" s="3" t="s">
        <v>965</v>
      </c>
    </row>
    <row r="14" customFormat="false" ht="17.15" hidden="false" customHeight="false" outlineLevel="0" collapsed="false">
      <c r="A14" s="3" t="s">
        <v>969</v>
      </c>
      <c r="B14" s="21" t="n">
        <f aca="false">cons_feps</f>
        <v>22.0581655480984</v>
      </c>
      <c r="C14" s="21" t="n">
        <f aca="false">0.2*PL!D109+0.8*PL!E109</f>
        <v>24.6449956297635</v>
      </c>
      <c r="D14" s="20" t="n">
        <f aca="false">C14/B14-1</f>
        <v>0.117273128448712</v>
      </c>
      <c r="E14" s="21" t="n">
        <f aca="false">0.2*PL!D166+0.8*PL!E166</f>
        <v>23.7052253566601</v>
      </c>
      <c r="F14" s="20" t="n">
        <f aca="false">E14/B14-1</f>
        <v>0.0746689385828676</v>
      </c>
      <c r="G14" s="21" t="n">
        <f aca="false">0.2*PL!D223+0.8*PL!E223</f>
        <v>22.7654550835567</v>
      </c>
      <c r="H14" s="20" t="n">
        <f aca="false">G14/B14-1</f>
        <v>0.0320647487170236</v>
      </c>
      <c r="I14" s="7" t="s">
        <v>970</v>
      </c>
      <c r="J14" s="3" t="s">
        <v>971</v>
      </c>
    </row>
    <row r="15" customFormat="false" ht="17.15" hidden="false" customHeight="false" outlineLevel="0" collapsed="false">
      <c r="A15" s="5" t="s">
        <v>972</v>
      </c>
    </row>
    <row r="16" customFormat="false" ht="17.15" hidden="false" customHeight="false" outlineLevel="0" collapsed="false">
      <c r="A16" s="0" t="s">
        <v>973</v>
      </c>
      <c r="B16" s="20" t="n">
        <v>0.278</v>
      </c>
      <c r="C16" s="20" t="n">
        <f aca="false">Q!E6</f>
        <v>0.31</v>
      </c>
      <c r="D16" s="20" t="n">
        <f aca="false">C16-B16</f>
        <v>0.0319999999999999</v>
      </c>
      <c r="E16" s="20" t="n">
        <f aca="false">Q!E6</f>
        <v>0.31</v>
      </c>
      <c r="F16" s="20" t="n">
        <f aca="false">E16-B16</f>
        <v>0.0319999999999999</v>
      </c>
      <c r="G16" s="20" t="n">
        <f aca="false">Q!E6</f>
        <v>0.31</v>
      </c>
      <c r="H16" s="20" t="n">
        <f aca="false">G16-B16</f>
        <v>0.0319999999999999</v>
      </c>
      <c r="I16" s="3" t="s">
        <v>974</v>
      </c>
      <c r="J16" s="7" t="s">
        <v>975</v>
      </c>
    </row>
    <row r="17" customFormat="false" ht="17.15" hidden="false" customHeight="false" outlineLevel="0" collapsed="false">
      <c r="A17" s="0" t="s">
        <v>976</v>
      </c>
      <c r="B17" s="18" t="n">
        <v>4.29</v>
      </c>
      <c r="C17" s="18" t="n">
        <f aca="false">Q!E16</f>
        <v>4.30298672129633</v>
      </c>
      <c r="D17" s="20" t="n">
        <f aca="false">C17/B17-1</f>
        <v>0.00302720776138155</v>
      </c>
      <c r="E17" s="18" t="n">
        <f aca="false">Q!E16</f>
        <v>4.30298672129633</v>
      </c>
      <c r="F17" s="20" t="n">
        <f aca="false">E17/B17-1</f>
        <v>0.00302720776138155</v>
      </c>
      <c r="G17" s="18" t="n">
        <f aca="false">Q!E16</f>
        <v>4.30298672129633</v>
      </c>
      <c r="H17" s="20" t="n">
        <f aca="false">G17/B17-1</f>
        <v>0.00302720776138155</v>
      </c>
      <c r="I17" s="3" t="s">
        <v>957</v>
      </c>
    </row>
    <row r="18" customFormat="false" ht="17.15" hidden="false" customHeight="false" outlineLevel="0" collapsed="false">
      <c r="A18" s="0" t="s">
        <v>977</v>
      </c>
      <c r="B18" s="21" t="n">
        <v>17.314</v>
      </c>
      <c r="C18" s="21" t="n">
        <f aca="false">Q!F4</f>
        <v>16.2848</v>
      </c>
      <c r="D18" s="20" t="n">
        <f aca="false">C18/B18-1</f>
        <v>-0.0594432251357285</v>
      </c>
      <c r="E18" s="21" t="n">
        <f aca="false">Q!F4</f>
        <v>16.2848</v>
      </c>
      <c r="F18" s="20" t="n">
        <f aca="false">E18/B18-1</f>
        <v>-0.0594432251357285</v>
      </c>
      <c r="G18" s="21" t="n">
        <f aca="false">Q!F4</f>
        <v>16.2848</v>
      </c>
      <c r="H18" s="20" t="n">
        <f aca="false">G18/B18-1</f>
        <v>-0.0594432251357285</v>
      </c>
      <c r="I18" s="3" t="s">
        <v>957</v>
      </c>
    </row>
    <row r="19" customFormat="false" ht="17.15" hidden="false" customHeight="false" outlineLevel="0" collapsed="false">
      <c r="A19" s="0" t="s">
        <v>978</v>
      </c>
      <c r="B19" s="20" t="n">
        <v>0.33</v>
      </c>
      <c r="C19" s="20" t="n">
        <f aca="false">Q!F6</f>
        <v>0.32</v>
      </c>
      <c r="D19" s="20" t="n">
        <f aca="false">C19-B19</f>
        <v>-0.01</v>
      </c>
      <c r="E19" s="20" t="n">
        <f aca="false">Q!F6</f>
        <v>0.32</v>
      </c>
      <c r="F19" s="20" t="n">
        <f aca="false">E19-B19</f>
        <v>-0.01</v>
      </c>
      <c r="G19" s="20" t="n">
        <f aca="false">Q!F6</f>
        <v>0.32</v>
      </c>
      <c r="H19" s="20" t="n">
        <f aca="false">G19-B19</f>
        <v>-0.01</v>
      </c>
      <c r="I19" s="3" t="s">
        <v>957</v>
      </c>
      <c r="J19" s="3" t="s">
        <v>979</v>
      </c>
    </row>
    <row r="20" customFormat="false" ht="17.15" hidden="false" customHeight="false" outlineLevel="0" collapsed="false">
      <c r="A20" s="0" t="s">
        <v>980</v>
      </c>
      <c r="B20" s="20" t="n">
        <f aca="false">Q!G6+0.05</f>
        <v>0.331640986443929</v>
      </c>
      <c r="C20" s="20" t="n">
        <f aca="false">PL!E98</f>
        <v>0.3552567629931</v>
      </c>
      <c r="D20" s="20" t="n">
        <f aca="false">C20-B20</f>
        <v>0.0236157765491712</v>
      </c>
      <c r="E20" s="20" t="n">
        <f aca="false">PL!E155</f>
        <v>0.352743771562336</v>
      </c>
      <c r="F20" s="20" t="n">
        <f aca="false">E20-B20</f>
        <v>0.0211027851184063</v>
      </c>
      <c r="G20" s="20" t="n">
        <f aca="false">PL!E212</f>
        <v>0.350093837507345</v>
      </c>
      <c r="H20" s="20" t="n">
        <f aca="false">G20-B20</f>
        <v>0.0184528510634155</v>
      </c>
      <c r="I20" s="7" t="s">
        <v>981</v>
      </c>
    </row>
    <row r="21" customFormat="false" ht="17.15" hidden="false" customHeight="false" outlineLevel="0" collapsed="false">
      <c r="A21" s="0" t="s">
        <v>982</v>
      </c>
      <c r="B21" s="20" t="n">
        <f aca="false">Q!G6+0.1</f>
        <v>0.381640986443929</v>
      </c>
      <c r="C21" s="20" t="n">
        <f aca="false">PL!F98</f>
        <v>0.361725032077739</v>
      </c>
      <c r="D21" s="20" t="n">
        <f aca="false">C21-B21</f>
        <v>-0.0199159543661905</v>
      </c>
      <c r="E21" s="20" t="n">
        <f aca="false">PL!F155</f>
        <v>0.358609493879444</v>
      </c>
      <c r="F21" s="20" t="n">
        <f aca="false">E21-B21</f>
        <v>-0.0230314925644853</v>
      </c>
      <c r="G21" s="20" t="n">
        <f aca="false">PL!F212</f>
        <v>0.343792277098014</v>
      </c>
      <c r="H21" s="20" t="n">
        <f aca="false">G21-B21</f>
        <v>-0.0378487093459155</v>
      </c>
      <c r="I21" s="7" t="s">
        <v>981</v>
      </c>
    </row>
    <row r="22" customFormat="false" ht="17.15" hidden="false" customHeight="false" outlineLevel="0" collapsed="false">
      <c r="A22" s="5" t="s">
        <v>983</v>
      </c>
    </row>
    <row r="23" customFormat="false" ht="17.15" hidden="false" customHeight="false" outlineLevel="0" collapsed="false">
      <c r="A23" s="0" t="s">
        <v>984</v>
      </c>
      <c r="C23" s="20" t="n">
        <f aca="false">PL!E82</f>
        <v>0.85916169200315</v>
      </c>
      <c r="E23" s="20" t="n">
        <f aca="false">PL!E139</f>
        <v>0.85916169200315</v>
      </c>
      <c r="G23" s="20" t="n">
        <f aca="false">PL!E196</f>
        <v>0.85916169200315</v>
      </c>
      <c r="I23" s="7" t="s">
        <v>985</v>
      </c>
      <c r="J23" s="3" t="s">
        <v>986</v>
      </c>
    </row>
    <row r="24" customFormat="false" ht="17.15" hidden="false" customHeight="false" outlineLevel="0" collapsed="false">
      <c r="A24" s="0" t="s">
        <v>987</v>
      </c>
      <c r="C24" s="20" t="n">
        <f aca="false">PL!F82</f>
        <v>0.881117431856676</v>
      </c>
      <c r="E24" s="20" t="n">
        <f aca="false">PL!F139</f>
        <v>0.985012328784386</v>
      </c>
      <c r="G24" s="20" t="n">
        <f aca="false">PL!F196</f>
        <v>1</v>
      </c>
      <c r="I24" s="7" t="s">
        <v>985</v>
      </c>
    </row>
    <row r="25" customFormat="false" ht="17.15" hidden="false" customHeight="false" outlineLevel="0" collapsed="false">
      <c r="A25" s="0" t="s">
        <v>988</v>
      </c>
      <c r="B25" s="20" t="n">
        <v>0.1</v>
      </c>
      <c r="C25" s="20" t="n">
        <f aca="false">PL!D91</f>
        <v>0.105</v>
      </c>
      <c r="D25" s="20" t="n">
        <f aca="false">C25-B25</f>
        <v>0.00499999999999999</v>
      </c>
      <c r="E25" s="20" t="n">
        <f aca="false">PL!D148</f>
        <v>0.105</v>
      </c>
      <c r="F25" s="20" t="n">
        <f aca="false">E25-B25</f>
        <v>0.00499999999999999</v>
      </c>
      <c r="G25" s="20" t="n">
        <f aca="false">PL!D205</f>
        <v>0.105</v>
      </c>
      <c r="H25" s="20" t="n">
        <f aca="false">G25-B25</f>
        <v>0.00499999999999999</v>
      </c>
      <c r="I25" s="7" t="s">
        <v>981</v>
      </c>
    </row>
    <row r="26" customFormat="false" ht="17.15" hidden="false" customHeight="false" outlineLevel="0" collapsed="false">
      <c r="A26" s="0" t="s">
        <v>989</v>
      </c>
      <c r="B26" s="20" t="n">
        <v>0.175</v>
      </c>
      <c r="C26" s="20" t="n">
        <f aca="false">PL!E91</f>
        <v>0.210554758612135</v>
      </c>
      <c r="D26" s="20" t="n">
        <f aca="false">C26-B26</f>
        <v>0.0355547586121353</v>
      </c>
      <c r="E26" s="20" t="n">
        <f aca="false">PL!E148</f>
        <v>0.216139561504826</v>
      </c>
      <c r="F26" s="20" t="n">
        <f aca="false">E26-B26</f>
        <v>0.0411395615048265</v>
      </c>
      <c r="G26" s="20" t="n">
        <f aca="false">PL!E205</f>
        <v>0.222028701911186</v>
      </c>
      <c r="H26" s="20" t="n">
        <f aca="false">G26-B26</f>
        <v>0.0470287019111863</v>
      </c>
      <c r="I26" s="7" t="s">
        <v>981</v>
      </c>
    </row>
    <row r="27" customFormat="false" ht="17.15" hidden="false" customHeight="false" outlineLevel="0" collapsed="false">
      <c r="A27" s="0" t="s">
        <v>990</v>
      </c>
      <c r="C27" s="20" t="n">
        <f aca="false">Units!D12</f>
        <v>0.995</v>
      </c>
      <c r="E27" s="20" t="n">
        <f aca="false">Units!D12</f>
        <v>0.995</v>
      </c>
      <c r="G27" s="20" t="n">
        <f aca="false">Units!D12</f>
        <v>0.995</v>
      </c>
      <c r="I27" s="7" t="s">
        <v>991</v>
      </c>
      <c r="J27" s="3" t="s">
        <v>992</v>
      </c>
    </row>
    <row r="28" customFormat="false" ht="17.15" hidden="false" customHeight="false" outlineLevel="0" collapsed="false">
      <c r="A28" s="0" t="s">
        <v>993</v>
      </c>
      <c r="C28" s="20" t="n">
        <f aca="false">Units!D17</f>
        <v>0.895</v>
      </c>
      <c r="E28" s="20" t="n">
        <f aca="false">Units!D17</f>
        <v>0.895</v>
      </c>
      <c r="G28" s="20" t="n">
        <f aca="false">Units!D17</f>
        <v>0.895</v>
      </c>
      <c r="I28" s="7" t="s">
        <v>991</v>
      </c>
      <c r="J28" s="3" t="s">
        <v>992</v>
      </c>
    </row>
    <row r="29" customFormat="false" ht="17.15" hidden="false" customHeight="false" outlineLevel="0" collapsed="false">
      <c r="A29" s="0" t="s">
        <v>994</v>
      </c>
      <c r="C29" s="23" t="n">
        <f aca="false">Units!D19</f>
        <v>33.307809184008</v>
      </c>
      <c r="E29" s="23" t="n">
        <f aca="false">Units!D19</f>
        <v>33.307809184008</v>
      </c>
      <c r="G29" s="23" t="n">
        <f aca="false">Units!D19</f>
        <v>33.307809184008</v>
      </c>
      <c r="I29" s="7" t="s">
        <v>991</v>
      </c>
      <c r="J29" s="7" t="s">
        <v>995</v>
      </c>
    </row>
    <row r="30" customFormat="false" ht="17.15" hidden="false" customHeight="false" outlineLevel="0" collapsed="false">
      <c r="A30" s="0" t="s">
        <v>996</v>
      </c>
      <c r="C30" s="22" t="n">
        <f aca="false">Units!D23</f>
        <v>11.2067587550459</v>
      </c>
      <c r="E30" s="22" t="n">
        <f aca="false">Units!D23</f>
        <v>11.2067587550459</v>
      </c>
      <c r="G30" s="22" t="n">
        <f aca="false">Units!D23</f>
        <v>11.2067587550459</v>
      </c>
      <c r="I30" s="7" t="s">
        <v>991</v>
      </c>
    </row>
    <row r="31" customFormat="false" ht="17.15" hidden="false" customHeight="false" outlineLevel="0" collapsed="false">
      <c r="A31" s="5" t="s">
        <v>997</v>
      </c>
    </row>
    <row r="32" customFormat="false" ht="17.15" hidden="false" customHeight="false" outlineLevel="0" collapsed="false">
      <c r="A32" s="0" t="s">
        <v>998</v>
      </c>
      <c r="B32" s="23" t="n">
        <v>43.1</v>
      </c>
      <c r="C32" s="23" t="n">
        <f aca="false">PL!D93+PL!E93+PL!F93</f>
        <v>44</v>
      </c>
      <c r="D32" s="20" t="n">
        <f aca="false">C32/B32-1</f>
        <v>0.0208816705336428</v>
      </c>
      <c r="E32" s="23" t="n">
        <f aca="false">PL!D150+PL!E150+PL!F150</f>
        <v>44</v>
      </c>
      <c r="F32" s="20" t="n">
        <f aca="false">E32/B32-1</f>
        <v>0.0208816705336428</v>
      </c>
      <c r="G32" s="23" t="n">
        <f aca="false">PL!D207+PL!E207+PL!F207</f>
        <v>44</v>
      </c>
      <c r="H32" s="20" t="n">
        <f aca="false">G32/B32-1</f>
        <v>0.0208816705336428</v>
      </c>
      <c r="I32" s="3" t="s">
        <v>999</v>
      </c>
      <c r="J32" s="3" t="s">
        <v>1000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  <col collapsed="false" customWidth="true" hidden="false" outlineLevel="0" max="10" min="3" style="0" width="14"/>
  </cols>
  <sheetData>
    <row r="1" customFormat="false" ht="17.15" hidden="false" customHeight="false" outlineLevel="0" collapsed="false">
      <c r="A1" s="0" t="s">
        <v>1001</v>
      </c>
    </row>
    <row r="3" customFormat="false" ht="17.15" hidden="false" customHeight="false" outlineLevel="0" collapsed="false">
      <c r="A3" s="4" t="s">
        <v>1002</v>
      </c>
      <c r="B3" s="4" t="s">
        <v>1003</v>
      </c>
      <c r="C3" s="13" t="s">
        <v>1004</v>
      </c>
      <c r="D3" s="13" t="s">
        <v>1005</v>
      </c>
      <c r="E3" s="13" t="s">
        <v>882</v>
      </c>
      <c r="F3" s="13" t="s">
        <v>1006</v>
      </c>
      <c r="G3" s="13" t="s">
        <v>1007</v>
      </c>
      <c r="H3" s="13" t="s">
        <v>1008</v>
      </c>
      <c r="I3" s="13" t="s">
        <v>1009</v>
      </c>
      <c r="J3" s="13" t="s">
        <v>1010</v>
      </c>
    </row>
    <row r="4" customFormat="false" ht="17.15" hidden="false" customHeight="false" outlineLevel="0" collapsed="false">
      <c r="A4" s="3" t="s">
        <v>1011</v>
      </c>
      <c r="B4" s="0" t="s">
        <v>1012</v>
      </c>
      <c r="C4" s="23" t="n">
        <f aca="false">PL!E88</f>
        <v>72.033987284</v>
      </c>
      <c r="D4" s="16" t="n">
        <f aca="false">PL!E98</f>
        <v>0.3552567629931</v>
      </c>
      <c r="E4" s="18" t="n">
        <f aca="false">PL!E109</f>
        <v>27.3826543218881</v>
      </c>
      <c r="F4" s="20" t="n">
        <f aca="false">ROUND(E4/E$4-1,8)</f>
        <v>0</v>
      </c>
      <c r="G4" s="23" t="n">
        <f aca="false">PL!F88</f>
        <v>84.1022463502375</v>
      </c>
      <c r="H4" s="16" t="n">
        <f aca="false">PL!F98</f>
        <v>0.361725032077739</v>
      </c>
      <c r="I4" s="18" t="n">
        <f aca="false">PL!F109</f>
        <v>33.84226638865</v>
      </c>
      <c r="J4" s="20" t="n">
        <f aca="false">ROUND(I4/I$4-1,8)</f>
        <v>0</v>
      </c>
    </row>
    <row r="5" customFormat="false" ht="17.15" hidden="false" customHeight="false" outlineLevel="0" collapsed="false">
      <c r="A5" s="0" t="s">
        <v>1013</v>
      </c>
      <c r="B5" s="0" t="s">
        <v>1014</v>
      </c>
      <c r="C5" s="23" t="n">
        <f aca="false">E88</f>
        <v>72.033987284</v>
      </c>
      <c r="D5" s="16" t="n">
        <f aca="false">E98</f>
        <v>0.3552567629931</v>
      </c>
      <c r="E5" s="18" t="n">
        <f aca="false">E109</f>
        <v>27.3826543218881</v>
      </c>
      <c r="F5" s="20" t="n">
        <f aca="false">ROUND(E5/E$4-1,8)</f>
        <v>0</v>
      </c>
      <c r="G5" s="23" t="n">
        <f aca="false">F88</f>
        <v>84.1022463502375</v>
      </c>
      <c r="H5" s="16" t="n">
        <f aca="false">F98</f>
        <v>0.362351256686114</v>
      </c>
      <c r="I5" s="18" t="n">
        <f aca="false">F109</f>
        <v>33.930226132686</v>
      </c>
      <c r="J5" s="20" t="n">
        <f aca="false">ROUND(I5/I$4-1,8)</f>
        <v>0.00259911</v>
      </c>
    </row>
    <row r="6" customFormat="false" ht="17.15" hidden="false" customHeight="false" outlineLevel="0" collapsed="false">
      <c r="A6" s="0" t="s">
        <v>1015</v>
      </c>
      <c r="B6" s="0" t="s">
        <v>1016</v>
      </c>
      <c r="C6" s="23" t="n">
        <f aca="false">E145</f>
        <v>72.033987284</v>
      </c>
      <c r="D6" s="16" t="n">
        <f aca="false">E155</f>
        <v>0.3552567629931</v>
      </c>
      <c r="E6" s="18" t="n">
        <f aca="false">E166</f>
        <v>27.3826543218881</v>
      </c>
      <c r="F6" s="20" t="n">
        <f aca="false">ROUND(E6/E$4-1,8)</f>
        <v>0</v>
      </c>
      <c r="G6" s="23" t="n">
        <f aca="false">F145</f>
        <v>84.1022463502375</v>
      </c>
      <c r="H6" s="16" t="n">
        <f aca="false">F155</f>
        <v>0.361218306246862</v>
      </c>
      <c r="I6" s="18" t="n">
        <f aca="false">F166</f>
        <v>33.7710914878487</v>
      </c>
      <c r="J6" s="20" t="n">
        <f aca="false">ROUND(I6/I$4-1,8)</f>
        <v>-0.00210314</v>
      </c>
    </row>
    <row r="7" customFormat="false" ht="17.15" hidden="false" customHeight="false" outlineLevel="0" collapsed="false">
      <c r="A7" s="0" t="s">
        <v>1017</v>
      </c>
      <c r="B7" s="3" t="s">
        <v>1018</v>
      </c>
      <c r="C7" s="23" t="n">
        <f aca="false">E202</f>
        <v>69.273782837</v>
      </c>
      <c r="D7" s="16" t="n">
        <f aca="false">E212</f>
        <v>0.346890910339677</v>
      </c>
      <c r="E7" s="18" t="n">
        <f aca="false">E223</f>
        <v>25.109463322566</v>
      </c>
      <c r="F7" s="20" t="n">
        <f aca="false">ROUND(E7/E$4-1,8)</f>
        <v>-0.08301573</v>
      </c>
      <c r="G7" s="23" t="n">
        <f aca="false">F202</f>
        <v>78.5956384784725</v>
      </c>
      <c r="H7" s="16" t="n">
        <f aca="false">F212</f>
        <v>0.348313371916788</v>
      </c>
      <c r="I7" s="18" t="n">
        <f aca="false">F223</f>
        <v>29.372382978101</v>
      </c>
      <c r="J7" s="20" t="n">
        <f aca="false">ROUND(I7/I$4-1,8)</f>
        <v>-0.13207991</v>
      </c>
    </row>
    <row r="8" customFormat="false" ht="17.15" hidden="false" customHeight="false" outlineLevel="0" collapsed="false">
      <c r="A8" s="0" t="s">
        <v>1019</v>
      </c>
      <c r="B8" s="0" t="s">
        <v>1020</v>
      </c>
      <c r="C8" s="23" t="n">
        <f aca="false">E259</f>
        <v>73.4140895075</v>
      </c>
      <c r="D8" s="16" t="n">
        <f aca="false">E269</f>
        <v>0.359203786404052</v>
      </c>
      <c r="E8" s="18" t="n">
        <f aca="false">E280</f>
        <v>28.5192498215492</v>
      </c>
      <c r="F8" s="20" t="n">
        <f aca="false">ROUND(E8/E$4-1,8)</f>
        <v>0.04150786</v>
      </c>
      <c r="G8" s="23" t="n">
        <f aca="false">F259</f>
        <v>87.4062110732965</v>
      </c>
      <c r="H8" s="16" t="n">
        <f aca="false">F269</f>
        <v>0.368960888526354</v>
      </c>
      <c r="I8" s="18" t="n">
        <f aca="false">F280</f>
        <v>36.5289086133152</v>
      </c>
      <c r="J8" s="20" t="n">
        <f aca="false">ROUND(I8/I$4-1,8)</f>
        <v>0.07938718</v>
      </c>
    </row>
    <row r="9" customFormat="false" ht="17.15" hidden="false" customHeight="false" outlineLevel="0" collapsed="false">
      <c r="A9" s="0" t="s">
        <v>1021</v>
      </c>
      <c r="B9" s="0" t="s">
        <v>1022</v>
      </c>
      <c r="C9" s="23" t="n">
        <f aca="false">E316</f>
        <v>70.3778646158</v>
      </c>
      <c r="D9" s="16" t="n">
        <f aca="false">E326</f>
        <v>0.34576096762082</v>
      </c>
      <c r="E9" s="18" t="n">
        <f aca="false">E337</f>
        <v>25.4833457162304</v>
      </c>
      <c r="F9" s="20" t="n">
        <f aca="false">ROUND(E9/E$4-1,8)</f>
        <v>-0.06936174</v>
      </c>
      <c r="G9" s="23" t="n">
        <f aca="false">F316</f>
        <v>79.7549243462125</v>
      </c>
      <c r="H9" s="16" t="n">
        <f aca="false">F326</f>
        <v>0.33912195087899</v>
      </c>
      <c r="I9" s="18" t="n">
        <f aca="false">F337</f>
        <v>28.6890076674234</v>
      </c>
      <c r="J9" s="20" t="n">
        <f aca="false">ROUND(I9/I$4-1,8)</f>
        <v>-0.15227286</v>
      </c>
    </row>
    <row r="10" customFormat="false" ht="17.15" hidden="false" customHeight="false" outlineLevel="0" collapsed="false">
      <c r="A10" s="0" t="s">
        <v>1023</v>
      </c>
      <c r="B10" s="0" t="s">
        <v>1024</v>
      </c>
      <c r="C10" s="23" t="n">
        <f aca="false">E373</f>
        <v>73.6901099522</v>
      </c>
      <c r="D10" s="16" t="n">
        <f aca="false">E383</f>
        <v>0.364568418875887</v>
      </c>
      <c r="E10" s="18" t="n">
        <f aca="false">E394</f>
        <v>29.3118298257728</v>
      </c>
      <c r="F10" s="20" t="n">
        <f aca="false">ROUND(E10/E$4-1,8)</f>
        <v>0.07045247</v>
      </c>
      <c r="G10" s="23" t="n">
        <f aca="false">F373</f>
        <v>88.4495683542625</v>
      </c>
      <c r="H10" s="16" t="n">
        <f aca="false">F383</f>
        <v>0.383262253166101</v>
      </c>
      <c r="I10" s="18" t="n">
        <f aca="false">F394</f>
        <v>39.1703371304802</v>
      </c>
      <c r="J10" s="20" t="n">
        <f aca="false">ROUND(I10/I$4-1,8)</f>
        <v>0.15743835</v>
      </c>
    </row>
    <row r="11" customFormat="false" ht="17.15" hidden="false" customHeight="false" outlineLevel="0" collapsed="false">
      <c r="A11" s="3" t="s">
        <v>1025</v>
      </c>
      <c r="B11" s="3" t="s">
        <v>1026</v>
      </c>
      <c r="C11" s="23" t="n">
        <f aca="false">E430</f>
        <v>70.0178379488</v>
      </c>
      <c r="D11" s="16" t="n">
        <f aca="false">E440</f>
        <v>0.336691513240363</v>
      </c>
      <c r="E11" s="18" t="n">
        <f aca="false">E451</f>
        <v>24.2582364965053</v>
      </c>
      <c r="F11" s="20" t="n">
        <f aca="false">ROUND(E11/E$4-1,8)</f>
        <v>-0.11410208</v>
      </c>
      <c r="G11" s="23" t="n">
        <f aca="false">F430</f>
        <v>81.58836014791</v>
      </c>
      <c r="H11" s="16" t="n">
        <f aca="false">F440</f>
        <v>0.342058616032093</v>
      </c>
      <c r="I11" s="18" t="n">
        <f aca="false">F451</f>
        <v>29.9285222657538</v>
      </c>
      <c r="J11" s="20" t="n">
        <f aca="false">ROUND(I11/I$4-1,8)</f>
        <v>-0.11564663</v>
      </c>
    </row>
    <row r="12" customFormat="false" ht="17.15" hidden="false" customHeight="false" outlineLevel="0" collapsed="false">
      <c r="A12" s="3" t="s">
        <v>1027</v>
      </c>
      <c r="C12" s="23" t="n">
        <f aca="false">E487</f>
        <v>74.0501366192</v>
      </c>
      <c r="D12" s="16" t="n">
        <f aca="false">E497</f>
        <v>0.372811067522623</v>
      </c>
      <c r="E12" s="18" t="n">
        <f aca="false">E508</f>
        <v>30.507072147271</v>
      </c>
      <c r="F12" s="20" t="n">
        <f aca="false">ROUND(E12/E$4-1,8)</f>
        <v>0.11410208</v>
      </c>
      <c r="G12" s="23" t="n">
        <f aca="false">F487</f>
        <v>86.616132552565</v>
      </c>
      <c r="H12" s="16" t="n">
        <f aca="false">F497</f>
        <v>0.380249879445832</v>
      </c>
      <c r="I12" s="18" t="n">
        <f aca="false">F508</f>
        <v>37.7563366400304</v>
      </c>
      <c r="J12" s="20" t="n">
        <f aca="false">ROUND(I12/I$4-1,8)</f>
        <v>0.11565627</v>
      </c>
    </row>
    <row r="13" customFormat="false" ht="17.15" hidden="false" customHeight="false" outlineLevel="0" collapsed="false">
      <c r="A13" s="0" t="s">
        <v>1028</v>
      </c>
      <c r="B13" s="3" t="s">
        <v>1029</v>
      </c>
      <c r="C13" s="23" t="n">
        <f aca="false">E544</f>
        <v>72.033987284</v>
      </c>
      <c r="D13" s="16" t="n">
        <f aca="false">E554</f>
        <v>0.347006078026061</v>
      </c>
      <c r="E13" s="18" t="n">
        <f aca="false">E565</f>
        <v>26.3900556471998</v>
      </c>
      <c r="F13" s="20" t="n">
        <f aca="false">ROUND(E13/E$4-1,8)</f>
        <v>-0.03624918</v>
      </c>
      <c r="G13" s="23" t="n">
        <f aca="false">F544</f>
        <v>84.1022463502375</v>
      </c>
      <c r="H13" s="16" t="n">
        <f aca="false">F554</f>
        <v>0.345018411090395</v>
      </c>
      <c r="I13" s="18" t="n">
        <f aca="false">F565</f>
        <v>31.4956481208572</v>
      </c>
      <c r="J13" s="20" t="n">
        <f aca="false">ROUND(I13/I$4-1,8)</f>
        <v>-0.06933987</v>
      </c>
    </row>
    <row r="14" customFormat="false" ht="17.15" hidden="false" customHeight="false" outlineLevel="0" collapsed="false">
      <c r="A14" s="0" t="s">
        <v>1030</v>
      </c>
      <c r="C14" s="23" t="n">
        <f aca="false">E601</f>
        <v>72.033987284</v>
      </c>
      <c r="D14" s="16" t="n">
        <f aca="false">E611</f>
        <v>0.36350744796014</v>
      </c>
      <c r="E14" s="18" t="n">
        <f aca="false">E622</f>
        <v>28.3752529965764</v>
      </c>
      <c r="F14" s="20" t="n">
        <f aca="false">ROUND(E14/E$4-1,8)</f>
        <v>0.03624918</v>
      </c>
      <c r="G14" s="23" t="n">
        <f aca="false">F601</f>
        <v>84.1022463502375</v>
      </c>
      <c r="H14" s="16" t="n">
        <f aca="false">F611</f>
        <v>0.378431653065082</v>
      </c>
      <c r="I14" s="18" t="n">
        <f aca="false">F622</f>
        <v>36.1888846564427</v>
      </c>
      <c r="J14" s="20" t="n">
        <f aca="false">ROUND(I14/I$4-1,8)</f>
        <v>0.06933987</v>
      </c>
    </row>
    <row r="15" customFormat="false" ht="17.15" hidden="false" customHeight="false" outlineLevel="0" collapsed="false">
      <c r="A15" s="0" t="s">
        <v>1031</v>
      </c>
      <c r="B15" s="3" t="s">
        <v>1032</v>
      </c>
      <c r="C15" s="23" t="n">
        <f aca="false">E658</f>
        <v>72.033987284</v>
      </c>
      <c r="D15" s="16" t="n">
        <f aca="false">E668</f>
        <v>0.341691354151474</v>
      </c>
      <c r="E15" s="18" t="n">
        <f aca="false">E679</f>
        <v>25.7506677787593</v>
      </c>
      <c r="F15" s="20" t="n">
        <f aca="false">ROUND(E15/E$4-1,8)</f>
        <v>-0.05959928</v>
      </c>
      <c r="G15" s="23" t="n">
        <f aca="false">F658</f>
        <v>84.1022463502375</v>
      </c>
      <c r="H15" s="16" t="n">
        <f aca="false">F668</f>
        <v>0.344794723333423</v>
      </c>
      <c r="I15" s="18" t="n">
        <f aca="false">F679</f>
        <v>31.4642288543766</v>
      </c>
      <c r="J15" s="20" t="n">
        <f aca="false">ROUND(I15/I$4-1,8)</f>
        <v>-0.07026827</v>
      </c>
    </row>
    <row r="16" customFormat="false" ht="17.15" hidden="false" customHeight="false" outlineLevel="0" collapsed="false">
      <c r="A16" s="0" t="s">
        <v>1033</v>
      </c>
      <c r="C16" s="23" t="n">
        <f aca="false">E715</f>
        <v>72.033987284</v>
      </c>
      <c r="D16" s="16" t="n">
        <f aca="false">E725</f>
        <v>0.368822171834727</v>
      </c>
      <c r="E16" s="18" t="n">
        <f aca="false">E736</f>
        <v>29.0146408650169</v>
      </c>
      <c r="F16" s="20" t="n">
        <f aca="false">ROUND(E16/E$4-1,8)</f>
        <v>0.05959928</v>
      </c>
      <c r="G16" s="23" t="n">
        <f aca="false">F715</f>
        <v>84.1022463502375</v>
      </c>
      <c r="H16" s="16" t="n">
        <f aca="false">F725</f>
        <v>0.378655340822054</v>
      </c>
      <c r="I16" s="18" t="n">
        <f aca="false">F736</f>
        <v>36.2203039229234</v>
      </c>
      <c r="J16" s="20" t="n">
        <f aca="false">ROUND(I16/I$4-1,8)</f>
        <v>0.07026827</v>
      </c>
    </row>
    <row r="17" customFormat="false" ht="17.15" hidden="false" customHeight="false" outlineLevel="0" collapsed="false">
      <c r="A17" s="0" t="s">
        <v>1034</v>
      </c>
      <c r="B17" s="0" t="s">
        <v>1035</v>
      </c>
      <c r="C17" s="23" t="n">
        <f aca="false">E772</f>
        <v>68.311433044</v>
      </c>
      <c r="D17" s="16" t="n">
        <f aca="false">E782</f>
        <v>0.350093837507345</v>
      </c>
      <c r="E17" s="18" t="n">
        <f aca="false">E793</f>
        <v>25.0332286391296</v>
      </c>
      <c r="F17" s="20" t="n">
        <f aca="false">ROUND(E17/E$4-1,8)</f>
        <v>-0.08579978</v>
      </c>
      <c r="G17" s="23" t="n">
        <f aca="false">F772</f>
        <v>77.4016487182375</v>
      </c>
      <c r="H17" s="16" t="n">
        <f aca="false">F782</f>
        <v>0.354083140066136</v>
      </c>
      <c r="I17" s="18" t="n">
        <f aca="false">F793</f>
        <v>29.5602082420554</v>
      </c>
      <c r="J17" s="20" t="n">
        <f aca="false">ROUND(I17/I$4-1,8)</f>
        <v>-0.12652989</v>
      </c>
    </row>
    <row r="18" customFormat="false" ht="17.15" hidden="false" customHeight="false" outlineLevel="0" collapsed="false">
      <c r="A18" s="3" t="s">
        <v>1036</v>
      </c>
      <c r="B18" s="3" t="s">
        <v>1037</v>
      </c>
      <c r="C18" s="23" t="n">
        <f aca="false">E829</f>
        <v>72.033987284</v>
      </c>
      <c r="D18" s="16" t="n">
        <f aca="false">E839</f>
        <v>0.355256762993101</v>
      </c>
      <c r="E18" s="18" t="n">
        <f aca="false">E850</f>
        <v>27.3826543218881</v>
      </c>
      <c r="F18" s="20" t="n">
        <f aca="false">ROUND(E18/E$4-1,8)</f>
        <v>0</v>
      </c>
      <c r="G18" s="23" t="n">
        <f aca="false">F829</f>
        <v>84.1022463502375</v>
      </c>
      <c r="H18" s="16" t="n">
        <f aca="false">F839</f>
        <v>0.361510112994393</v>
      </c>
      <c r="I18" s="18" t="n">
        <f aca="false">F850</f>
        <v>33.8120787733651</v>
      </c>
      <c r="J18" s="20" t="n">
        <f aca="false">ROUND(I18/I$4-1,8)</f>
        <v>-0.00089201</v>
      </c>
    </row>
    <row r="19" customFormat="false" ht="17.15" hidden="false" customHeight="false" outlineLevel="0" collapsed="false">
      <c r="A19" s="3" t="s">
        <v>1038</v>
      </c>
      <c r="C19" s="23" t="n">
        <f aca="false">E886</f>
        <v>72.033987284</v>
      </c>
      <c r="D19" s="16" t="n">
        <f aca="false">E896</f>
        <v>0.3552567629931</v>
      </c>
      <c r="E19" s="18" t="n">
        <f aca="false">E907</f>
        <v>27.3826543218881</v>
      </c>
      <c r="F19" s="20" t="n">
        <f aca="false">ROUND(E19/E$4-1,8)</f>
        <v>0</v>
      </c>
      <c r="G19" s="23" t="n">
        <f aca="false">F886</f>
        <v>84.1022463502375</v>
      </c>
      <c r="H19" s="16" t="n">
        <f aca="false">F896</f>
        <v>0.361932853802826</v>
      </c>
      <c r="I19" s="18" t="n">
        <f aca="false">F907</f>
        <v>33.8714571063244</v>
      </c>
      <c r="J19" s="20" t="n">
        <f aca="false">ROUND(I19/I$4-1,8)</f>
        <v>0.00086255</v>
      </c>
    </row>
    <row r="20" customFormat="false" ht="17.15" hidden="false" customHeight="false" outlineLevel="0" collapsed="false">
      <c r="A20" s="3" t="s">
        <v>1039</v>
      </c>
      <c r="B20" s="3" t="s">
        <v>1040</v>
      </c>
      <c r="C20" s="23" t="n">
        <f aca="false">E943</f>
        <v>72.033987284</v>
      </c>
      <c r="D20" s="16" t="n">
        <f aca="false">E953</f>
        <v>0.353706568829526</v>
      </c>
      <c r="E20" s="18" t="n">
        <f aca="false">E964</f>
        <v>27.1961582093325</v>
      </c>
      <c r="F20" s="20" t="n">
        <f aca="false">ROUND(E20/E$4-1,8)</f>
        <v>-0.00681074</v>
      </c>
      <c r="G20" s="23" t="n">
        <f aca="false">F943</f>
        <v>84.1022463502375</v>
      </c>
      <c r="H20" s="16" t="n">
        <f aca="false">F953</f>
        <v>0.356484222134882</v>
      </c>
      <c r="I20" s="18" t="n">
        <f aca="false">F964</f>
        <v>33.1061402528351</v>
      </c>
      <c r="J20" s="20" t="n">
        <f aca="false">ROUND(I20/I$4-1,8)</f>
        <v>-0.02175168</v>
      </c>
    </row>
    <row r="21" customFormat="false" ht="17.15" hidden="false" customHeight="false" outlineLevel="0" collapsed="false">
      <c r="A21" s="3" t="s">
        <v>1041</v>
      </c>
      <c r="C21" s="23" t="n">
        <f aca="false">E1000</f>
        <v>72.033987284</v>
      </c>
      <c r="D21" s="16" t="n">
        <f aca="false">E1010</f>
        <v>0.356186879491245</v>
      </c>
      <c r="E21" s="18" t="n">
        <f aca="false">E1021</f>
        <v>27.4945519894215</v>
      </c>
      <c r="F21" s="20" t="n">
        <f aca="false">ROUND(E21/E$4-1,8)</f>
        <v>0.00408644</v>
      </c>
      <c r="G21" s="23" t="n">
        <f aca="false">F1000</f>
        <v>84.1022463502375</v>
      </c>
      <c r="H21" s="16" t="n">
        <f aca="false">F1010</f>
        <v>0.364922628000208</v>
      </c>
      <c r="I21" s="18" t="n">
        <f aca="false">F1021</f>
        <v>34.2914019146411</v>
      </c>
      <c r="J21" s="20" t="n">
        <f aca="false">ROUND(I21/I$4-1,8)</f>
        <v>0.01327144</v>
      </c>
    </row>
    <row r="22" customFormat="false" ht="17.15" hidden="false" customHeight="false" outlineLevel="0" collapsed="false">
      <c r="A22" s="3" t="s">
        <v>1042</v>
      </c>
      <c r="B22" s="0" t="s">
        <v>1043</v>
      </c>
      <c r="C22" s="23" t="n">
        <f aca="false">E1057</f>
        <v>72.033987284</v>
      </c>
      <c r="D22" s="16" t="n">
        <f aca="false">E1067</f>
        <v>0.3552567629931</v>
      </c>
      <c r="E22" s="18" t="n">
        <f aca="false">E1078</f>
        <v>27.3826543218881</v>
      </c>
      <c r="F22" s="20" t="n">
        <f aca="false">ROUND(E22/E$4-1,8)</f>
        <v>0</v>
      </c>
      <c r="G22" s="23" t="n">
        <f aca="false">F1057</f>
        <v>84.1022463502375</v>
      </c>
      <c r="H22" s="16" t="n">
        <f aca="false">F1067</f>
        <v>0.372129034800283</v>
      </c>
      <c r="I22" s="18" t="n">
        <f aca="false">F1078</f>
        <v>35.3036165243468</v>
      </c>
      <c r="J22" s="20" t="n">
        <f aca="false">ROUND(I22/I$4-1,8)</f>
        <v>0.04318121</v>
      </c>
    </row>
    <row r="23" customFormat="false" ht="17.15" hidden="false" customHeight="false" outlineLevel="0" collapsed="false">
      <c r="A23" s="3" t="s">
        <v>1044</v>
      </c>
      <c r="B23" s="0" t="s">
        <v>1045</v>
      </c>
      <c r="C23" s="23" t="n">
        <f aca="false">E1114</f>
        <v>72.033987284</v>
      </c>
      <c r="D23" s="16" t="n">
        <f aca="false">E1124</f>
        <v>0.3552567629931</v>
      </c>
      <c r="E23" s="18" t="n">
        <f aca="false">E1135</f>
        <v>27.3826543218881</v>
      </c>
      <c r="F23" s="20" t="n">
        <f aca="false">ROUND(E23/E$4-1,8)</f>
        <v>0</v>
      </c>
      <c r="G23" s="23" t="n">
        <f aca="false">F1114</f>
        <v>84.1022463502375</v>
      </c>
      <c r="H23" s="16" t="n">
        <f aca="false">F1124</f>
        <v>0.354293601561635</v>
      </c>
      <c r="I23" s="18" t="n">
        <f aca="false">F1135</f>
        <v>32.7984448631523</v>
      </c>
      <c r="J23" s="20" t="n">
        <f aca="false">ROUND(I23/I$4-1,8)</f>
        <v>-0.03084372</v>
      </c>
    </row>
    <row r="24" customFormat="false" ht="17.15" hidden="false" customHeight="false" outlineLevel="0" collapsed="false">
      <c r="A24" s="3" t="s">
        <v>1046</v>
      </c>
      <c r="B24" s="0" t="s">
        <v>1047</v>
      </c>
      <c r="C24" s="23" t="n">
        <f aca="false">E1171</f>
        <v>72.033987284</v>
      </c>
      <c r="D24" s="16" t="n">
        <f aca="false">E1181</f>
        <v>0.3552567629931</v>
      </c>
      <c r="E24" s="18" t="n">
        <f aca="false">E1192</f>
        <v>27.3826543218881</v>
      </c>
      <c r="F24" s="20" t="n">
        <f aca="false">ROUND(E24/E$4-1,8)</f>
        <v>0</v>
      </c>
      <c r="G24" s="23" t="n">
        <f aca="false">F1171</f>
        <v>84.1022463502375</v>
      </c>
      <c r="H24" s="16" t="n">
        <f aca="false">F1181</f>
        <v>0.361981537130211</v>
      </c>
      <c r="I24" s="18" t="n">
        <f aca="false">F1192</f>
        <v>33.8782951848002</v>
      </c>
      <c r="J24" s="20" t="n">
        <f aca="false">ROUND(I24/I$4-1,8)</f>
        <v>0.00106461</v>
      </c>
    </row>
    <row r="25" customFormat="false" ht="17.15" hidden="false" customHeight="false" outlineLevel="0" collapsed="false">
      <c r="A25" s="3" t="s">
        <v>1048</v>
      </c>
      <c r="B25" s="0" t="s">
        <v>1049</v>
      </c>
      <c r="C25" s="23" t="n">
        <f aca="false">E1228</f>
        <v>72.033987284</v>
      </c>
      <c r="D25" s="16" t="n">
        <f aca="false">E1238</f>
        <v>0.3552567629931</v>
      </c>
      <c r="E25" s="18" t="n">
        <f aca="false">E1249</f>
        <v>27.3826543218881</v>
      </c>
      <c r="F25" s="20" t="n">
        <f aca="false">ROUND(E25/E$4-1,8)</f>
        <v>0</v>
      </c>
      <c r="G25" s="23" t="n">
        <f aca="false">F1228</f>
        <v>84.1022463502375</v>
      </c>
      <c r="H25" s="16" t="n">
        <f aca="false">F1238</f>
        <v>0.36099331252459</v>
      </c>
      <c r="I25" s="18" t="n">
        <f aca="false">F1249</f>
        <v>33.7394887849909</v>
      </c>
      <c r="J25" s="20" t="n">
        <f aca="false">ROUND(I25/I$4-1,8)</f>
        <v>-0.00303696</v>
      </c>
    </row>
    <row r="26" customFormat="false" ht="17.15" hidden="false" customHeight="false" outlineLevel="0" collapsed="false">
      <c r="A26" s="3" t="s">
        <v>1050</v>
      </c>
      <c r="B26" s="0" t="s">
        <v>1051</v>
      </c>
      <c r="C26" s="23" t="n">
        <f aca="false">E1285</f>
        <v>72.033987284</v>
      </c>
      <c r="D26" s="16" t="n">
        <f aca="false">E1295</f>
        <v>0.3552567629931</v>
      </c>
      <c r="E26" s="18" t="n">
        <f aca="false">E1306</f>
        <v>27.3826543218881</v>
      </c>
      <c r="F26" s="20" t="n">
        <f aca="false">ROUND(E26/E$4-1,8)</f>
        <v>0</v>
      </c>
      <c r="G26" s="23" t="n">
        <f aca="false">F1285</f>
        <v>84.1022463502375</v>
      </c>
      <c r="H26" s="16" t="n">
        <f aca="false">F1295</f>
        <v>0.361959851025834</v>
      </c>
      <c r="I26" s="18" t="n">
        <f aca="false">F1306</f>
        <v>33.8752491464227</v>
      </c>
      <c r="J26" s="20" t="n">
        <f aca="false">ROUND(I26/I$4-1,8)</f>
        <v>0.0009746</v>
      </c>
    </row>
    <row r="27" customFormat="false" ht="17.15" hidden="false" customHeight="false" outlineLevel="0" collapsed="false">
      <c r="A27" s="3" t="s">
        <v>1052</v>
      </c>
      <c r="B27" s="0" t="s">
        <v>1053</v>
      </c>
      <c r="C27" s="23" t="n">
        <f aca="false">E1342</f>
        <v>72.033987284</v>
      </c>
      <c r="D27" s="16" t="n">
        <f aca="false">E1352</f>
        <v>0.3552567629931</v>
      </c>
      <c r="E27" s="18" t="n">
        <f aca="false">E1363</f>
        <v>27.3826543218881</v>
      </c>
      <c r="F27" s="20" t="n">
        <f aca="false">ROUND(E27/E$4-1,8)</f>
        <v>0</v>
      </c>
      <c r="G27" s="23" t="n">
        <f aca="false">F1342</f>
        <v>84.1022463502375</v>
      </c>
      <c r="H27" s="16" t="n">
        <f aca="false">F1352</f>
        <v>0.36156458710648</v>
      </c>
      <c r="I27" s="18" t="n">
        <f aca="false">F1363</f>
        <v>33.8197302276383</v>
      </c>
      <c r="J27" s="20" t="n">
        <f aca="false">ROUND(I27/I$4-1,8)</f>
        <v>-0.00066592</v>
      </c>
    </row>
    <row r="28" customFormat="false" ht="17.15" hidden="false" customHeight="false" outlineLevel="0" collapsed="false">
      <c r="A28" s="3" t="s">
        <v>1054</v>
      </c>
      <c r="B28" s="0" t="s">
        <v>1055</v>
      </c>
      <c r="C28" s="23" t="n">
        <f aca="false">E1399</f>
        <v>72.033987284</v>
      </c>
      <c r="D28" s="16" t="n">
        <f aca="false">E1409</f>
        <v>0.355256762993101</v>
      </c>
      <c r="E28" s="18" t="n">
        <f aca="false">E1420</f>
        <v>27.3826543218881</v>
      </c>
      <c r="F28" s="20" t="n">
        <f aca="false">ROUND(E28/E$4-1,8)</f>
        <v>0</v>
      </c>
      <c r="G28" s="23" t="n">
        <f aca="false">F1399</f>
        <v>84.1022463502375</v>
      </c>
      <c r="H28" s="16" t="n">
        <f aca="false">F1409</f>
        <v>0.362172680814638</v>
      </c>
      <c r="I28" s="18" t="n">
        <f aca="false">F1420</f>
        <v>33.9051432986103</v>
      </c>
      <c r="J28" s="20" t="n">
        <f aca="false">ROUND(I28/I$4-1,8)</f>
        <v>0.00185794</v>
      </c>
    </row>
    <row r="29" customFormat="false" ht="17.15" hidden="false" customHeight="false" outlineLevel="0" collapsed="false">
      <c r="A29" s="3" t="s">
        <v>1056</v>
      </c>
      <c r="B29" s="0" t="s">
        <v>1057</v>
      </c>
      <c r="C29" s="23" t="n">
        <f aca="false">E1456</f>
        <v>72.033987284</v>
      </c>
      <c r="D29" s="16" t="n">
        <f aca="false">E1466</f>
        <v>0.3552567629931</v>
      </c>
      <c r="E29" s="18" t="n">
        <f aca="false">E1477</f>
        <v>27.3826543218881</v>
      </c>
      <c r="F29" s="20" t="n">
        <f aca="false">ROUND(E29/E$4-1,8)</f>
        <v>0</v>
      </c>
      <c r="G29" s="23" t="n">
        <f aca="false">F1456</f>
        <v>84.1022463502375</v>
      </c>
      <c r="H29" s="16" t="n">
        <f aca="false">F1466</f>
        <v>0.361270028697171</v>
      </c>
      <c r="I29" s="18" t="n">
        <f aca="false">F1477</f>
        <v>33.7783564426737</v>
      </c>
      <c r="J29" s="20" t="n">
        <f aca="false">ROUND(I29/I$4-1,8)</f>
        <v>-0.00188847</v>
      </c>
    </row>
    <row r="30" customFormat="false" ht="17.15" hidden="false" customHeight="false" outlineLevel="0" collapsed="false">
      <c r="A30" s="0" t="s">
        <v>1058</v>
      </c>
      <c r="B30" s="3" t="s">
        <v>1059</v>
      </c>
      <c r="C30" s="23" t="n">
        <f aca="false">E1513</f>
        <v>72.033987284</v>
      </c>
      <c r="D30" s="16" t="n">
        <f aca="false">E1523</f>
        <v>0.3552567629931</v>
      </c>
      <c r="E30" s="18" t="n">
        <f aca="false">E1534</f>
        <v>27.3826543218881</v>
      </c>
      <c r="F30" s="20" t="n">
        <f aca="false">ROUND(E30/E$4-1,8)</f>
        <v>0</v>
      </c>
      <c r="G30" s="23" t="n">
        <f aca="false">F1513</f>
        <v>84.1022463502375</v>
      </c>
      <c r="H30" s="16" t="n">
        <f aca="false">F1523</f>
        <v>0.361938333208388</v>
      </c>
      <c r="I30" s="18" t="n">
        <f aca="false">F1534</f>
        <v>33.8722267456905</v>
      </c>
      <c r="J30" s="20" t="n">
        <f aca="false">ROUND(I30/I$4-1,8)</f>
        <v>0.00088529</v>
      </c>
    </row>
    <row r="31" customFormat="false" ht="17.15" hidden="false" customHeight="false" outlineLevel="0" collapsed="false">
      <c r="A31" s="0" t="s">
        <v>1060</v>
      </c>
      <c r="C31" s="23" t="n">
        <f aca="false">E1570</f>
        <v>72.033987284</v>
      </c>
      <c r="D31" s="16" t="n">
        <f aca="false">E1580</f>
        <v>0.355256762993101</v>
      </c>
      <c r="E31" s="18" t="n">
        <f aca="false">E1591</f>
        <v>27.3826543218881</v>
      </c>
      <c r="F31" s="20" t="n">
        <f aca="false">ROUND(E31/E$4-1,8)</f>
        <v>0</v>
      </c>
      <c r="G31" s="23" t="n">
        <f aca="false">F1570</f>
        <v>84.1022463502375</v>
      </c>
      <c r="H31" s="16" t="n">
        <f aca="false">F1580</f>
        <v>0.361434274447415</v>
      </c>
      <c r="I31" s="18" t="n">
        <f aca="false">F1591</f>
        <v>33.8014264625312</v>
      </c>
      <c r="J31" s="20" t="n">
        <f aca="false">ROUND(I31/I$4-1,8)</f>
        <v>-0.00120677</v>
      </c>
    </row>
    <row r="32" customFormat="false" ht="17.15" hidden="false" customHeight="false" outlineLevel="0" collapsed="false">
      <c r="A32" s="3" t="s">
        <v>1061</v>
      </c>
      <c r="B32" s="3" t="s">
        <v>1062</v>
      </c>
      <c r="C32" s="23" t="n">
        <f aca="false">E1627</f>
        <v>72.033987284</v>
      </c>
      <c r="D32" s="16" t="n">
        <f aca="false">E1637</f>
        <v>0.3552567629931</v>
      </c>
      <c r="E32" s="18" t="n">
        <f aca="false">E1648</f>
        <v>25.9690830717299</v>
      </c>
      <c r="F32" s="20" t="n">
        <f aca="false">ROUND(E32/E$4-1,8)</f>
        <v>-0.05162287</v>
      </c>
      <c r="G32" s="23" t="n">
        <f aca="false">F1627</f>
        <v>84.1022463502375</v>
      </c>
      <c r="H32" s="16" t="n">
        <f aca="false">F1637</f>
        <v>0.361725032077739</v>
      </c>
      <c r="I32" s="18" t="n">
        <f aca="false">F1648</f>
        <v>31.3177707875233</v>
      </c>
      <c r="J32" s="20" t="n">
        <f aca="false">ROUND(I32/I$4-1,8)</f>
        <v>-0.07459594</v>
      </c>
    </row>
    <row r="33" customFormat="false" ht="17.15" hidden="false" customHeight="false" outlineLevel="0" collapsed="false">
      <c r="A33" s="3" t="s">
        <v>1063</v>
      </c>
      <c r="B33" s="3" t="s">
        <v>1064</v>
      </c>
      <c r="C33" s="23" t="n">
        <f aca="false">E1684</f>
        <v>72.033987284</v>
      </c>
      <c r="D33" s="16" t="n">
        <f aca="false">E1694</f>
        <v>0.3552567629931</v>
      </c>
      <c r="E33" s="18" t="n">
        <f aca="false">E1705</f>
        <v>24.6223175093035</v>
      </c>
      <c r="F33" s="20" t="n">
        <f aca="false">ROUND(E33/E$4-1,8)</f>
        <v>-0.10080604</v>
      </c>
      <c r="G33" s="23" t="n">
        <f aca="false">F1684</f>
        <v>84.1022463502375</v>
      </c>
      <c r="H33" s="16" t="n">
        <f aca="false">F1694</f>
        <v>0.361725032077739</v>
      </c>
      <c r="I33" s="18" t="n">
        <f aca="false">F1705</f>
        <v>30.4675916553002</v>
      </c>
      <c r="J33" s="20" t="n">
        <f aca="false">ROUND(I33/I$4-1,8)</f>
        <v>-0.09971775</v>
      </c>
    </row>
    <row r="34" customFormat="false" ht="17.15" hidden="false" customHeight="false" outlineLevel="0" collapsed="false">
      <c r="A34" s="3" t="s">
        <v>1065</v>
      </c>
      <c r="B34" s="3" t="s">
        <v>1066</v>
      </c>
      <c r="C34" s="23" t="n">
        <f aca="false">E1741</f>
        <v>72.033987284</v>
      </c>
      <c r="D34" s="16" t="n">
        <f aca="false">E1751</f>
        <v>0.3552567629931</v>
      </c>
      <c r="E34" s="18" t="n">
        <f aca="false">E1762</f>
        <v>26.7146085455696</v>
      </c>
      <c r="F34" s="20" t="n">
        <f aca="false">ROUND(E34/E$4-1,8)</f>
        <v>-0.02439668</v>
      </c>
      <c r="G34" s="23" t="n">
        <f aca="false">F1741</f>
        <v>84.1022463502375</v>
      </c>
      <c r="H34" s="16" t="n">
        <f aca="false">F1751</f>
        <v>0.361725032077739</v>
      </c>
      <c r="I34" s="18" t="n">
        <f aca="false">F1762</f>
        <v>33.1742206123314</v>
      </c>
      <c r="J34" s="20" t="n">
        <f aca="false">ROUND(I34/I$4-1,8)</f>
        <v>-0.01973998</v>
      </c>
    </row>
    <row r="35" customFormat="false" ht="17.15" hidden="false" customHeight="false" outlineLevel="0" collapsed="false">
      <c r="A35" s="3" t="s">
        <v>1067</v>
      </c>
      <c r="B35" s="3" t="s">
        <v>1068</v>
      </c>
      <c r="C35" s="23" t="n">
        <f aca="false">E1798</f>
        <v>71.452917284</v>
      </c>
      <c r="D35" s="16" t="n">
        <f aca="false">E1808</f>
        <v>0.354486291264021</v>
      </c>
      <c r="E35" s="18" t="n">
        <f aca="false">E1819</f>
        <v>27.2056252689524</v>
      </c>
      <c r="F35" s="20" t="n">
        <f aca="false">ROUND(E35/E$4-1,8)</f>
        <v>-0.00646501</v>
      </c>
      <c r="G35" s="23" t="n">
        <f aca="false">F1798</f>
        <v>82.8645672502375</v>
      </c>
      <c r="H35" s="16" t="n">
        <f aca="false">F1808</f>
        <v>0.360406542324204</v>
      </c>
      <c r="I35" s="18" t="n">
        <f aca="false">F1819</f>
        <v>33.4540860877186</v>
      </c>
      <c r="J35" s="20" t="n">
        <f aca="false">ROUND(I35/I$4-1,8)</f>
        <v>-0.01147028</v>
      </c>
    </row>
    <row r="36" customFormat="false" ht="17.15" hidden="false" customHeight="false" outlineLevel="0" collapsed="false">
      <c r="A36" s="3" t="s">
        <v>1069</v>
      </c>
      <c r="B36" s="0" t="s">
        <v>1070</v>
      </c>
      <c r="C36" s="23" t="n">
        <f aca="false">PL!E145</f>
        <v>70.172710164</v>
      </c>
      <c r="D36" s="16" t="n">
        <f aca="false">PL!E155</f>
        <v>0.352743771562336</v>
      </c>
      <c r="E36" s="18" t="n">
        <f aca="false">PL!E166</f>
        <v>26.2079414805089</v>
      </c>
      <c r="F36" s="20" t="n">
        <f aca="false">ROUND(E36/E$4-1,8)</f>
        <v>-0.04289989</v>
      </c>
      <c r="G36" s="23" t="n">
        <f aca="false">PL!F145</f>
        <v>80.6588836782375</v>
      </c>
      <c r="H36" s="16" t="n">
        <f aca="false">PL!F155</f>
        <v>0.358609493879444</v>
      </c>
      <c r="I36" s="18" t="n">
        <f aca="false">PL!F166</f>
        <v>31.7282572270304</v>
      </c>
      <c r="J36" s="20" t="n">
        <f aca="false">ROUND(I36/I$4-1,8)</f>
        <v>-0.06246654</v>
      </c>
    </row>
    <row r="37" customFormat="false" ht="17.15" hidden="false" customHeight="false" outlineLevel="0" collapsed="false">
      <c r="A37" s="3" t="s">
        <v>1071</v>
      </c>
      <c r="B37" s="0" t="s">
        <v>1072</v>
      </c>
      <c r="C37" s="23" t="n">
        <f aca="false">PL!E202</f>
        <v>68.311433044</v>
      </c>
      <c r="D37" s="16" t="n">
        <f aca="false">PL!E212</f>
        <v>0.350093837507345</v>
      </c>
      <c r="E37" s="18" t="n">
        <f aca="false">PL!E223</f>
        <v>25.0332286391296</v>
      </c>
      <c r="F37" s="20" t="n">
        <f aca="false">ROUND(E37/E$4-1,8)</f>
        <v>-0.08579978</v>
      </c>
      <c r="G37" s="23" t="n">
        <f aca="false">PL!F202</f>
        <v>73.0862139008561</v>
      </c>
      <c r="H37" s="16" t="n">
        <f aca="false">PL!F212</f>
        <v>0.343792277098014</v>
      </c>
      <c r="I37" s="18" t="n">
        <f aca="false">PL!F223</f>
        <v>26.2295157462898</v>
      </c>
      <c r="J37" s="20" t="n">
        <f aca="false">ROUND(I37/I$4-1,8)</f>
        <v>-0.22494801</v>
      </c>
    </row>
    <row r="39" customFormat="false" ht="17.15" hidden="false" customHeight="false" outlineLevel="0" collapsed="false">
      <c r="A39" s="3" t="s">
        <v>1073</v>
      </c>
    </row>
    <row r="41" customFormat="false" ht="17.15" hidden="false" customHeight="false" outlineLevel="0" collapsed="false">
      <c r="A41" s="1" t="s">
        <v>1074</v>
      </c>
    </row>
    <row r="42" customFormat="false" ht="17.15" hidden="false" customHeight="false" outlineLevel="0" collapsed="false">
      <c r="A42" s="4" t="s">
        <v>1002</v>
      </c>
      <c r="B42" s="4" t="s">
        <v>1003</v>
      </c>
      <c r="C42" s="13" t="s">
        <v>1075</v>
      </c>
      <c r="D42" s="13" t="s">
        <v>1076</v>
      </c>
      <c r="E42" s="4" t="s">
        <v>1077</v>
      </c>
      <c r="F42" s="4" t="s">
        <v>1078</v>
      </c>
    </row>
    <row r="43" customFormat="false" ht="17.15" hidden="false" customHeight="false" outlineLevel="0" collapsed="false">
      <c r="A43" s="3" t="s">
        <v>23</v>
      </c>
      <c r="B43" s="0" t="s">
        <v>1079</v>
      </c>
      <c r="C43" s="23" t="n">
        <f aca="false">(tp_wA*MAX(0,SUMPRODUCT(Val!B16:B21,1/(1+tp_r)^{1;2;3;4;5;6})+Val!B21*(1+tp_g)/(tp_r-tp_g)/(1+tp_r)^6)+tp_wB*MAX(0,SUMPRODUCT(Val!C16:C21,1/(1+tp_r)^{1;2;3;4;5;6})+Val!C21*(1+tp_g)/(tp_r-tp_g)/(1+tp_r)^6)+tp_wC*MAX(0,SUMPRODUCT(Val!D16:D21,1/(1+tp_r)^{1;2;3;4;5;6})+Val!D21*(1+tp_g)/(tp_r-tp_g)/(1+tp_r)^6))*(1+tp_r)</f>
        <v>528.561305364789</v>
      </c>
      <c r="D43" s="23" t="n">
        <f aca="false">Val!B35</f>
        <v>1286.99595011795</v>
      </c>
      <c r="E43" s="23" t="n">
        <f aca="false">tp_w_dcf*C43+(1-tp_w_dcf)*D43</f>
        <v>907.77862774137</v>
      </c>
      <c r="F43" s="20" t="n">
        <f aca="false">E43/E$43-1</f>
        <v>0</v>
      </c>
    </row>
    <row r="44" customFormat="false" ht="17.15" hidden="false" customHeight="false" outlineLevel="0" collapsed="false">
      <c r="A44" s="3" t="s">
        <v>1080</v>
      </c>
      <c r="B44" s="0" t="s">
        <v>1081</v>
      </c>
      <c r="C44" s="23" t="n">
        <f aca="false">(tp_wA*MAX(0,SUMPRODUCT(Val!B16:B21,1/(1+(tp_r+0.01))^{1;2;3;4;5;6})+Val!B21*(1+tp_g)/((tp_r+0.01)-tp_g)/(1+(tp_r+0.01))^6)+tp_wB*MAX(0,SUMPRODUCT(Val!C16:C21,1/(1+(tp_r+0.01))^{1;2;3;4;5;6})+Val!C21*(1+tp_g)/((tp_r+0.01)-tp_g)/(1+(tp_r+0.01))^6)+tp_wC*MAX(0,SUMPRODUCT(Val!D16:D21,1/(1+(tp_r+0.01))^{1;2;3;4;5;6})+Val!D21*(1+tp_g)/((tp_r+0.01)-tp_g)/(1+(tp_r+0.01))^6))*(1+(tp_r+0.01))</f>
        <v>453.31184655745</v>
      </c>
      <c r="D44" s="23" t="n">
        <f aca="false">Val!B35</f>
        <v>1286.99595011795</v>
      </c>
      <c r="E44" s="23" t="n">
        <f aca="false">tp_w_dcf*C44+(1-tp_w_dcf)*D44</f>
        <v>870.1538983377</v>
      </c>
      <c r="F44" s="20" t="n">
        <f aca="false">E44/E$43-1</f>
        <v>-0.0414470315271499</v>
      </c>
    </row>
    <row r="45" customFormat="false" ht="17.15" hidden="false" customHeight="false" outlineLevel="0" collapsed="false">
      <c r="A45" s="3" t="s">
        <v>1082</v>
      </c>
      <c r="B45" s="0" t="s">
        <v>1083</v>
      </c>
      <c r="C45" s="23" t="n">
        <f aca="false">(tp_wA*MAX(0,SUMPRODUCT(Val!B16:B21,1/(1+(tp_r-0.01))^{1;2;3;4;5;6})+Val!B21*(1+tp_g)/((tp_r-0.01)-tp_g)/(1+(tp_r-0.01))^6)+tp_wB*MAX(0,SUMPRODUCT(Val!C16:C21,1/(1+(tp_r-0.01))^{1;2;3;4;5;6})+Val!C21*(1+tp_g)/((tp_r-0.01)-tp_g)/(1+(tp_r-0.01))^6)+tp_wC*MAX(0,SUMPRODUCT(Val!D16:D21,1/(1+(tp_r-0.01))^{1;2;3;4;5;6})+Val!D21*(1+tp_g)/((tp_r-0.01)-tp_g)/(1+(tp_r-0.01))^6))*(1+(tp_r-0.01))</f>
        <v>633.926253482419</v>
      </c>
      <c r="D45" s="23" t="n">
        <f aca="false">Val!B35</f>
        <v>1286.99595011795</v>
      </c>
      <c r="E45" s="23" t="n">
        <f aca="false">tp_w_dcf*C45+(1-tp_w_dcf)*D45</f>
        <v>960.461101800184</v>
      </c>
      <c r="F45" s="20" t="n">
        <f aca="false">E45/E$43-1</f>
        <v>0.05803449480838</v>
      </c>
    </row>
    <row r="46" customFormat="false" ht="17.15" hidden="false" customHeight="false" outlineLevel="0" collapsed="false">
      <c r="A46" s="3" t="s">
        <v>1084</v>
      </c>
      <c r="B46" s="0" t="s">
        <v>1085</v>
      </c>
      <c r="C46" s="23" t="n">
        <f aca="false">(tp_wA*MAX(0,SUMPRODUCT(Val!B16:B21,1/(1+tp_r)^{1;2;3;4;5;6})+Val!B21*(1+(tp_g+0.01))/(tp_r-(tp_g+0.01))/(1+tp_r)^6)+tp_wB*MAX(0,SUMPRODUCT(Val!C16:C21,1/(1+tp_r)^{1;2;3;4;5;6})+Val!C21*(1+(tp_g+0.01))/(tp_r-(tp_g+0.01))/(1+tp_r)^6)+tp_wC*MAX(0,SUMPRODUCT(Val!D16:D21,1/(1+tp_r)^{1;2;3;4;5;6})+Val!D21*(1+(tp_g+0.01))/(tp_r-(tp_g+0.01))/(1+tp_r)^6))*(1+tp_r)</f>
        <v>612.780438336364</v>
      </c>
      <c r="D46" s="23" t="n">
        <f aca="false">Val!B35</f>
        <v>1286.99595011795</v>
      </c>
      <c r="E46" s="23" t="n">
        <f aca="false">tp_w_dcf*C46+(1-tp_w_dcf)*D46</f>
        <v>949.888194227157</v>
      </c>
      <c r="F46" s="20" t="n">
        <f aca="false">E46/E$43-1</f>
        <v>0.0463874839073482</v>
      </c>
    </row>
    <row r="47" customFormat="false" ht="17.15" hidden="false" customHeight="false" outlineLevel="0" collapsed="false">
      <c r="A47" s="3" t="s">
        <v>1086</v>
      </c>
      <c r="B47" s="0" t="s">
        <v>1087</v>
      </c>
      <c r="C47" s="23" t="n">
        <f aca="false">(tp_wA*MAX(0,SUMPRODUCT(Val!B16:B21,1/(1+tp_r)^{1;2;3;4;5;6})+Val!B21*(1+(tp_g-0.01))/(tp_r-(tp_g-0.01))/(1+tp_r)^6)+tp_wB*MAX(0,SUMPRODUCT(Val!C16:C21,1/(1+tp_r)^{1;2;3;4;5;6})+Val!C21*(1+(tp_g-0.01))/(tp_r-(tp_g-0.01))/(1+tp_r)^6)+tp_wC*MAX(0,SUMPRODUCT(Val!D16:D21,1/(1+tp_r)^{1;2;3;4;5;6})+Val!D21*(1+(tp_g-0.01))/(tp_r-(tp_g-0.01))/(1+tp_r)^6))*(1+tp_r)</f>
        <v>468.404781813664</v>
      </c>
      <c r="D47" s="23" t="n">
        <f aca="false">Val!B35</f>
        <v>1286.99595011795</v>
      </c>
      <c r="E47" s="23" t="n">
        <f aca="false">tp_w_dcf*C47+(1-tp_w_dcf)*D47</f>
        <v>877.700365965807</v>
      </c>
      <c r="F47" s="20" t="n">
        <f aca="false">E47/E$43-1</f>
        <v>-0.0331339170766771</v>
      </c>
    </row>
    <row r="48" customFormat="false" ht="17.15" hidden="false" customHeight="false" outlineLevel="0" collapsed="false">
      <c r="A48" s="0" t="s">
        <v>1088</v>
      </c>
      <c r="C48" s="23" t="n">
        <f aca="false">(tp_wA*MAX(0,SUMPRODUCT(Val!B16:B21,1/(1+tp_r)^{1;2;3;4;5;6})+Val!B21*(1+tp_g)/(tp_r-tp_g)/(1+tp_r)^6)+tp_wB*MAX(0,SUMPRODUCT(Val!C16:C21,1/(1+tp_r)^{1;2;3;4;5;6})+Val!C21*(1+tp_g)/(tp_r-tp_g)/(1+tp_r)^6)+tp_wC*MAX(0,SUMPRODUCT(Val!D16:D21,1/(1+tp_r)^{1;2;3;4;5;6})+Val!D21*(1+tp_g)/(tp_r-tp_g)/(1+tp_r)^6))*(1+tp_r)</f>
        <v>528.561305364789</v>
      </c>
      <c r="D48" s="23" t="n">
        <f aca="false">Val!B35</f>
        <v>1286.99595011795</v>
      </c>
      <c r="E48" s="23" t="n">
        <f aca="false">0.3*C48+(1-0.3)*D48</f>
        <v>1059.465556692</v>
      </c>
      <c r="F48" s="20" t="n">
        <f aca="false">E48/E$43-1</f>
        <v>0.167096827701311</v>
      </c>
    </row>
    <row r="49" customFormat="false" ht="17.15" hidden="false" customHeight="false" outlineLevel="0" collapsed="false">
      <c r="A49" s="0" t="s">
        <v>1089</v>
      </c>
      <c r="C49" s="23" t="n">
        <f aca="false">(tp_wA*MAX(0,SUMPRODUCT(Val!B16:B21,1/(1+tp_r)^{1;2;3;4;5;6})+Val!B21*(1+tp_g)/(tp_r-tp_g)/(1+tp_r)^6)+tp_wB*MAX(0,SUMPRODUCT(Val!C16:C21,1/(1+tp_r)^{1;2;3;4;5;6})+Val!C21*(1+tp_g)/(tp_r-tp_g)/(1+tp_r)^6)+tp_wC*MAX(0,SUMPRODUCT(Val!D16:D21,1/(1+tp_r)^{1;2;3;4;5;6})+Val!D21*(1+tp_g)/(tp_r-tp_g)/(1+tp_r)^6))*(1+tp_r)</f>
        <v>528.561305364789</v>
      </c>
      <c r="D49" s="23" t="n">
        <f aca="false">Val!B35</f>
        <v>1286.99595011795</v>
      </c>
      <c r="E49" s="23" t="n">
        <f aca="false">0.7*C49+(1-0.7)*D49</f>
        <v>756.091698790737</v>
      </c>
      <c r="F49" s="20" t="n">
        <f aca="false">E49/E$43-1</f>
        <v>-0.167096827701311</v>
      </c>
    </row>
    <row r="60" customFormat="false" ht="17.15" hidden="false" customHeight="false" outlineLevel="0" collapsed="false">
      <c r="A60" s="1" t="s">
        <v>1090</v>
      </c>
    </row>
    <row r="61" customFormat="false" ht="17.15" hidden="false" customHeight="false" outlineLevel="0" collapsed="false">
      <c r="A61" s="4" t="s">
        <v>20</v>
      </c>
      <c r="B61" s="4" t="s">
        <v>21</v>
      </c>
      <c r="C61" s="13" t="s">
        <v>566</v>
      </c>
      <c r="D61" s="13" t="s">
        <v>670</v>
      </c>
      <c r="E61" s="13" t="s">
        <v>671</v>
      </c>
      <c r="F61" s="13" t="s">
        <v>672</v>
      </c>
      <c r="G61" s="13" t="s">
        <v>673</v>
      </c>
      <c r="H61" s="13" t="s">
        <v>674</v>
      </c>
      <c r="I61" s="13" t="s">
        <v>675</v>
      </c>
      <c r="J61" s="13" t="s">
        <v>676</v>
      </c>
      <c r="K61" s="4" t="s">
        <v>630</v>
      </c>
    </row>
    <row r="62" customFormat="false" ht="17.15" hidden="false" customHeight="false" outlineLevel="0" collapsed="false">
      <c r="A62" s="5" t="s">
        <v>694</v>
      </c>
    </row>
    <row r="63" customFormat="false" ht="17.15" hidden="false" customHeight="false" outlineLevel="0" collapsed="false">
      <c r="A63" s="0" t="s">
        <v>695</v>
      </c>
      <c r="B63" s="3" t="s">
        <v>31</v>
      </c>
      <c r="D63" s="21" t="n">
        <f aca="false">(u_bw_26+u_rb_26+u_ru_26+u_hp_26)*1</f>
        <v>7.6</v>
      </c>
      <c r="E63" s="21" t="n">
        <f aca="false">(u_bw_27+u_rb_27+u_ru_27+u_hp_27)*1*0.8</f>
        <v>7.76</v>
      </c>
      <c r="F63" s="21" t="n">
        <f aca="false">(u_bw_28+u_rb_28+u_ru_28+u_hp_28)*um28_A*0.8</f>
        <v>7.6</v>
      </c>
      <c r="G63" s="21" t="n">
        <f aca="false">(u_bw_28*(1+g29_bw)+u_rb_28*(1+g29_rb)+u_ru_28*(1+g29_ru)+u_hp_28*(1+g29_hp))*um29_A*0.8</f>
        <v>8.48</v>
      </c>
      <c r="K63" s="7" t="s">
        <v>696</v>
      </c>
    </row>
    <row r="64" customFormat="false" ht="17.15" hidden="false" customHeight="false" outlineLevel="0" collapsed="false">
      <c r="A64" s="3" t="s">
        <v>697</v>
      </c>
      <c r="B64" s="3" t="s">
        <v>31</v>
      </c>
      <c r="D64" s="21" t="n">
        <f aca="false">(u_amd_26+u_tpu_26+u_trn_26+u_oth_26)*1</f>
        <v>7.6</v>
      </c>
      <c r="E64" s="21" t="n">
        <f aca="false">(u_amd_27+u_tpu_27+u_trn_27+u_oth_27)*1*0.8</f>
        <v>11.2</v>
      </c>
      <c r="F64" s="21" t="n">
        <f aca="false">(u_amd_28+u_tpu_28+u_trn_28+u_oth_28)*um28_A*0.8</f>
        <v>13.6</v>
      </c>
      <c r="G64" s="21" t="n">
        <f aca="false">(u_amd_28*(1+g29_amd)+u_tpu_28*(1+g29_tpu)+u_trn_28*(1+g29_trn)+u_oth_28*(1+g29_oth))*um29_A*0.8</f>
        <v>15.64</v>
      </c>
      <c r="K64" s="7" t="s">
        <v>698</v>
      </c>
    </row>
    <row r="65" customFormat="false" ht="17.15" hidden="false" customHeight="false" outlineLevel="0" collapsed="false">
      <c r="A65" s="0" t="s">
        <v>699</v>
      </c>
      <c r="B65" s="3" t="s">
        <v>31</v>
      </c>
      <c r="D65" s="21" t="n">
        <f aca="false">D63*cpu_r</f>
        <v>3.04</v>
      </c>
      <c r="E65" s="21" t="n">
        <f aca="false">E63*cpu_r</f>
        <v>3.104</v>
      </c>
      <c r="F65" s="21" t="n">
        <f aca="false">F63*cpu_r</f>
        <v>3.04</v>
      </c>
      <c r="G65" s="21" t="n">
        <f aca="false">G63*cpu_r</f>
        <v>3.392</v>
      </c>
      <c r="K65" s="7" t="s">
        <v>700</v>
      </c>
    </row>
    <row r="66" customFormat="false" ht="17.15" hidden="false" customHeight="false" outlineLevel="0" collapsed="false">
      <c r="A66" s="3" t="s">
        <v>701</v>
      </c>
      <c r="B66" s="0" t="s">
        <v>153</v>
      </c>
      <c r="D66" s="19" t="n">
        <f aca="false">1</f>
        <v>1</v>
      </c>
      <c r="E66" s="19" t="n">
        <f aca="false">D66*(1+g_asp)</f>
        <v>1.18</v>
      </c>
      <c r="F66" s="19" t="n">
        <f aca="false">E66*(1+g_asp)</f>
        <v>1.3924</v>
      </c>
      <c r="G66" s="19" t="n">
        <f aca="false">F66*(1+g_asp)</f>
        <v>1.643032</v>
      </c>
      <c r="K66" s="7" t="s">
        <v>702</v>
      </c>
    </row>
    <row r="67" customFormat="false" ht="17.15" hidden="false" customHeight="false" outlineLevel="0" collapsed="false">
      <c r="A67" s="0" t="s">
        <v>703</v>
      </c>
      <c r="B67" s="0" t="s">
        <v>153</v>
      </c>
      <c r="D67" s="18" t="n">
        <f aca="false">1</f>
        <v>1</v>
      </c>
      <c r="E67" s="18" t="n">
        <f aca="false">ibpp_27</f>
        <v>1</v>
      </c>
      <c r="F67" s="18" t="n">
        <f aca="false">ibpp_28</f>
        <v>0.95</v>
      </c>
      <c r="G67" s="18" t="n">
        <f aca="false">ibpp_29</f>
        <v>0.9</v>
      </c>
      <c r="K67" s="7" t="s">
        <v>704</v>
      </c>
    </row>
    <row r="68" customFormat="false" ht="17.15" hidden="false" customHeight="false" outlineLevel="0" collapsed="false">
      <c r="A68" s="3" t="s">
        <v>705</v>
      </c>
      <c r="B68" s="0" t="s">
        <v>153</v>
      </c>
      <c r="D68" s="18" t="n">
        <f aca="false">1</f>
        <v>1</v>
      </c>
      <c r="E68" s="18" t="n">
        <f aca="false">1+carry</f>
        <v>1.15</v>
      </c>
      <c r="F68" s="18" t="n">
        <f aca="false">1+carry</f>
        <v>1.15</v>
      </c>
      <c r="G68" s="18" t="n">
        <f aca="false">1+carry</f>
        <v>1.15</v>
      </c>
      <c r="K68" s="7" t="s">
        <v>706</v>
      </c>
    </row>
    <row r="69" customFormat="false" ht="17.15" hidden="false" customHeight="false" outlineLevel="0" collapsed="false">
      <c r="A69" s="3" t="s">
        <v>707</v>
      </c>
      <c r="B69" s="0" t="s">
        <v>708</v>
      </c>
      <c r="D69" s="23" t="n">
        <f aca="false">v26*D66*D67</f>
        <v>215.308596</v>
      </c>
      <c r="E69" s="23" t="n">
        <f aca="false">v26*E66*E67</f>
        <v>254.06414328</v>
      </c>
      <c r="F69" s="23" t="n">
        <f aca="false">v26*F66*F67</f>
        <v>284.80590461688</v>
      </c>
      <c r="G69" s="23" t="n">
        <f aca="false">v26*G66*G67</f>
        <v>318.383021792765</v>
      </c>
      <c r="K69" s="7" t="s">
        <v>709</v>
      </c>
    </row>
    <row r="70" customFormat="false" ht="17.15" hidden="false" customHeight="false" outlineLevel="0" collapsed="false">
      <c r="A70" s="3" t="s">
        <v>710</v>
      </c>
      <c r="B70" s="0" t="s">
        <v>43</v>
      </c>
      <c r="D70" s="20" t="n">
        <f aca="false">sh_nv_26</f>
        <v>0.02</v>
      </c>
      <c r="E70" s="20" t="n">
        <f aca="false">sh_nv_27</f>
        <v>0.03</v>
      </c>
      <c r="F70" s="20" t="n">
        <f aca="false">sh_nv_28</f>
        <v>0.05</v>
      </c>
      <c r="G70" s="20" t="n">
        <f aca="false">sh_nv_29</f>
        <v>0.06</v>
      </c>
    </row>
    <row r="71" customFormat="false" ht="17.15" hidden="false" customHeight="false" outlineLevel="0" collapsed="false">
      <c r="A71" s="3" t="s">
        <v>711</v>
      </c>
      <c r="B71" s="0" t="s">
        <v>43</v>
      </c>
      <c r="D71" s="20" t="n">
        <f aca="false">sh_ot_26</f>
        <v>0.03</v>
      </c>
      <c r="E71" s="20" t="n">
        <f aca="false">sh_ot_27</f>
        <v>0.05</v>
      </c>
      <c r="F71" s="20" t="n">
        <f aca="false">sh_ot_28</f>
        <v>0.06</v>
      </c>
      <c r="G71" s="20" t="n">
        <f aca="false">sh_ot_29</f>
        <v>0.06</v>
      </c>
    </row>
    <row r="72" customFormat="false" ht="17.15" hidden="false" customHeight="false" outlineLevel="0" collapsed="false">
      <c r="A72" s="3" t="s">
        <v>712</v>
      </c>
      <c r="B72" s="0" t="s">
        <v>43</v>
      </c>
      <c r="D72" s="20" t="n">
        <f aca="false">sh_cpu_26</f>
        <v>0.35</v>
      </c>
      <c r="E72" s="20" t="n">
        <f aca="false">sh_cpu_27</f>
        <v>0.7</v>
      </c>
      <c r="F72" s="20" t="n">
        <f aca="false">sh_cpu_28</f>
        <v>0.75</v>
      </c>
      <c r="G72" s="20" t="n">
        <f aca="false">sh_cpu_29</f>
        <v>0.7</v>
      </c>
    </row>
    <row r="73" customFormat="false" ht="17.15" hidden="false" customHeight="false" outlineLevel="0" collapsed="false">
      <c r="A73" s="3" t="s">
        <v>713</v>
      </c>
      <c r="B73" s="0" t="s">
        <v>660</v>
      </c>
      <c r="D73" s="22" t="n">
        <f aca="false">(D63*D69*D70+D64*D69*v_ot*D71+D65*D69*v_cpu*D72)*D68</f>
        <v>140.7256983456</v>
      </c>
      <c r="E73" s="22" t="n">
        <f aca="false">(E63*E69*E70+E64*E69*v_ot*E71+E65*E69*v_cpu*E72)*E68</f>
        <v>389.362445885758</v>
      </c>
      <c r="F73" s="22" t="n">
        <f aca="false">(F63*F69*F70+F64*F69*v_ot*F71+F65*F69*v_cpu*F72)*F68</f>
        <v>562.297993603198</v>
      </c>
      <c r="G73" s="22" t="n">
        <f aca="false">(G63*G69*G70+G64*G69*v_ot*G71+G65*G69*v_cpu*G72)*G68</f>
        <v>721.970434345622</v>
      </c>
    </row>
    <row r="74" customFormat="false" ht="17.15" hidden="false" customHeight="false" outlineLevel="0" collapsed="false">
      <c r="A74" s="3" t="s">
        <v>714</v>
      </c>
      <c r="B74" s="0" t="s">
        <v>379</v>
      </c>
      <c r="D74" s="21" t="n">
        <f aca="false">D73*fx/1000</f>
        <v>4.573585196232</v>
      </c>
      <c r="E74" s="21" t="n">
        <f aca="false">E73*fx/1000</f>
        <v>12.6542794912871</v>
      </c>
      <c r="F74" s="21" t="n">
        <f aca="false">F73*fx/1000</f>
        <v>18.2746847921039</v>
      </c>
      <c r="G74" s="21" t="n">
        <f aca="false">G73*fx/1000</f>
        <v>23.4640391162327</v>
      </c>
    </row>
    <row r="75" customFormat="false" ht="17.15" hidden="false" customHeight="false" outlineLevel="0" collapsed="false">
      <c r="A75" s="5" t="s">
        <v>715</v>
      </c>
    </row>
    <row r="76" customFormat="false" ht="17.15" hidden="false" customHeight="false" outlineLevel="0" collapsed="false">
      <c r="A76" s="0" t="s">
        <v>716</v>
      </c>
      <c r="B76" s="0" t="s">
        <v>379</v>
      </c>
      <c r="D76" s="21" t="n">
        <f aca="false">a26_abf*ai_abf</f>
        <v>5.714709</v>
      </c>
      <c r="K76" s="3" t="s">
        <v>717</v>
      </c>
    </row>
    <row r="77" customFormat="false" ht="17.15" hidden="false" customHeight="false" outlineLevel="0" collapsed="false">
      <c r="A77" s="3" t="s">
        <v>718</v>
      </c>
      <c r="B77" s="0" t="s">
        <v>379</v>
      </c>
      <c r="D77" s="21" t="n">
        <f aca="false">D76-D74</f>
        <v>1.141123803768</v>
      </c>
      <c r="E77" s="21" t="n">
        <f aca="false">$D77*(swm_27/swm_26)^el_o*1*0.8*E67*E68</f>
        <v>1.46841610431364</v>
      </c>
      <c r="F77" s="21" t="n">
        <f aca="false">$D77*(swm_28/swm_26)^el_o*um28_A*0.8*F67*F68</f>
        <v>1.50066448666421</v>
      </c>
      <c r="G77" s="21" t="n">
        <f aca="false">$D77*(swm_29/swm_26)^el_o*um29_A*0.8*G67*G68</f>
        <v>1.5166618667402</v>
      </c>
      <c r="K77" s="7" t="s">
        <v>719</v>
      </c>
    </row>
    <row r="78" customFormat="false" ht="17.15" hidden="false" customHeight="false" outlineLevel="0" collapsed="false">
      <c r="A78" s="3" t="s">
        <v>720</v>
      </c>
      <c r="B78" s="0" t="s">
        <v>379</v>
      </c>
      <c r="D78" s="21" t="n">
        <f aca="false">a26_abf-D76</f>
        <v>17.144127</v>
      </c>
      <c r="E78" s="21" t="n">
        <f aca="false">$D78*(1+g_nai)^1*E68</f>
        <v>20.898690813</v>
      </c>
      <c r="F78" s="21" t="n">
        <f aca="false">$D78*(1+g_nai)^2*F68</f>
        <v>22.15261226178</v>
      </c>
      <c r="G78" s="21" t="n">
        <f aca="false">$D78*(1+g_nai)^3*G68</f>
        <v>23.4817689974868</v>
      </c>
      <c r="K78" s="3" t="s">
        <v>721</v>
      </c>
    </row>
    <row r="79" customFormat="false" ht="17.15" hidden="false" customHeight="false" outlineLevel="0" collapsed="false">
      <c r="A79" s="0" t="s">
        <v>722</v>
      </c>
      <c r="B79" s="0" t="s">
        <v>379</v>
      </c>
      <c r="D79" s="21" t="n">
        <f aca="false">D74+D77+D78</f>
        <v>22.858836</v>
      </c>
      <c r="E79" s="21" t="n">
        <f aca="false">E74+E77+E78</f>
        <v>35.0213864086008</v>
      </c>
      <c r="F79" s="21" t="n">
        <f aca="false">F74+F77+F78</f>
        <v>41.9279615405482</v>
      </c>
      <c r="G79" s="21" t="n">
        <f aca="false">G74+G77+G78</f>
        <v>48.4624699804597</v>
      </c>
    </row>
    <row r="80" customFormat="false" ht="17.15" hidden="false" customHeight="false" outlineLevel="0" collapsed="false">
      <c r="A80" s="0" t="s">
        <v>723</v>
      </c>
      <c r="B80" s="0" t="s">
        <v>379</v>
      </c>
      <c r="D80" s="21" t="n">
        <f aca="false">a26_abf</f>
        <v>22.858836</v>
      </c>
      <c r="E80" s="21" t="n">
        <f aca="false">$D79*cap_27*(1+g_mix)^1*E67*E68</f>
        <v>33.122453364</v>
      </c>
      <c r="F80" s="21" t="n">
        <f aca="false">$D79*cap_28*(1+g_mix)^2*F67*F68</f>
        <v>41.2995590382375</v>
      </c>
      <c r="G80" s="21" t="n">
        <f aca="false">$D79*cap_29*(1+g_mix)^3*G67*G68</f>
        <v>50.6680379569114</v>
      </c>
      <c r="K80" s="7" t="s">
        <v>724</v>
      </c>
    </row>
    <row r="81" customFormat="false" ht="17.15" hidden="false" customHeight="false" outlineLevel="0" collapsed="false">
      <c r="A81" s="0" t="s">
        <v>725</v>
      </c>
      <c r="B81" s="0" t="s">
        <v>379</v>
      </c>
      <c r="D81" s="21" t="n">
        <f aca="false">a26_abf</f>
        <v>22.858836</v>
      </c>
      <c r="E81" s="21" t="n">
        <f aca="false">MIN(E79,E80)</f>
        <v>33.122453364</v>
      </c>
      <c r="F81" s="21" t="n">
        <f aca="false">MIN(F79,F80)</f>
        <v>41.2995590382375</v>
      </c>
      <c r="G81" s="21" t="n">
        <f aca="false">MIN(G79,G80)</f>
        <v>48.4624699804597</v>
      </c>
    </row>
    <row r="82" customFormat="false" ht="17.15" hidden="false" customHeight="false" outlineLevel="0" collapsed="false">
      <c r="A82" s="3" t="s">
        <v>726</v>
      </c>
      <c r="B82" s="0" t="s">
        <v>43</v>
      </c>
      <c r="D82" s="20" t="n">
        <f aca="false">D81/D79</f>
        <v>1</v>
      </c>
      <c r="E82" s="20" t="n">
        <f aca="false">E81/E79</f>
        <v>0.945777902038326</v>
      </c>
      <c r="F82" s="20" t="n">
        <f aca="false">F81/F79</f>
        <v>0.985012328784386</v>
      </c>
      <c r="G82" s="20" t="n">
        <f aca="false">G81/G79</f>
        <v>1</v>
      </c>
    </row>
    <row r="83" customFormat="false" ht="17.15" hidden="false" customHeight="false" outlineLevel="0" collapsed="false">
      <c r="A83" s="0" t="s">
        <v>727</v>
      </c>
      <c r="B83" s="0" t="s">
        <v>379</v>
      </c>
      <c r="D83" s="21" t="n">
        <f aca="false">(D74+D77)*D82</f>
        <v>5.714709</v>
      </c>
      <c r="E83" s="21" t="n">
        <f aca="false">(E74+E77)*E82</f>
        <v>13.3569334115332</v>
      </c>
      <c r="F83" s="21" t="n">
        <f aca="false">(F74+F77)*F82</f>
        <v>19.478962845604</v>
      </c>
      <c r="G83" s="21" t="n">
        <f aca="false">(G74+G77)*G82</f>
        <v>24.9807009829729</v>
      </c>
    </row>
    <row r="84" customFormat="false" ht="17.15" hidden="false" customHeight="false" outlineLevel="0" collapsed="false">
      <c r="A84" s="3" t="s">
        <v>728</v>
      </c>
      <c r="B84" s="0" t="s">
        <v>43</v>
      </c>
      <c r="D84" s="20" t="n">
        <f aca="false">D74/(D74+D77)</f>
        <v>0.800318125775433</v>
      </c>
      <c r="E84" s="20" t="n">
        <f aca="false">E74/(E74+E77)</f>
        <v>0.896024374782173</v>
      </c>
      <c r="F84" s="20" t="n">
        <f aca="false">F74/(F74+F77)</f>
        <v>0.924114387791097</v>
      </c>
      <c r="G84" s="20" t="n">
        <f aca="false">G74/(G74+G77)</f>
        <v>0.939286657016792</v>
      </c>
    </row>
    <row r="85" customFormat="false" ht="17.15" hidden="false" customHeight="false" outlineLevel="0" collapsed="false">
      <c r="A85" s="5" t="s">
        <v>729</v>
      </c>
    </row>
    <row r="86" customFormat="false" ht="17.15" hidden="false" customHeight="false" outlineLevel="0" collapsed="false">
      <c r="A86" s="0" t="s">
        <v>730</v>
      </c>
      <c r="B86" s="0" t="s">
        <v>379</v>
      </c>
      <c r="D86" s="21" t="n">
        <f aca="false">a26_bt</f>
        <v>23.265964</v>
      </c>
      <c r="E86" s="21" t="n">
        <f aca="false">D86*(1+g_bt27_A)</f>
        <v>29.78043392</v>
      </c>
      <c r="F86" s="21" t="n">
        <f aca="false">E86*(1+g_bt28_A)</f>
        <v>32.758477312</v>
      </c>
      <c r="G86" s="21" t="n">
        <f aca="false">F86*(1+g_bt29_A)</f>
        <v>34.3964011776</v>
      </c>
      <c r="K86" s="7" t="s">
        <v>731</v>
      </c>
    </row>
    <row r="87" customFormat="false" ht="17.15" hidden="false" customHeight="false" outlineLevel="0" collapsed="false">
      <c r="A87" s="3" t="s">
        <v>616</v>
      </c>
      <c r="B87" s="0" t="s">
        <v>379</v>
      </c>
      <c r="C87" s="21" t="n">
        <f aca="false">a25_lens</f>
        <v>7.039</v>
      </c>
      <c r="D87" s="21" t="n">
        <f aca="false">a26_lens</f>
        <v>8.301</v>
      </c>
      <c r="E87" s="21" t="n">
        <f aca="false">D87*(1+g_lens)</f>
        <v>9.1311</v>
      </c>
      <c r="F87" s="21" t="n">
        <f aca="false">E87*(1+g_lens)</f>
        <v>10.04421</v>
      </c>
      <c r="G87" s="21" t="n">
        <f aca="false">F87*(1+g_lens)</f>
        <v>11.048631</v>
      </c>
      <c r="K87" s="3" t="s">
        <v>732</v>
      </c>
    </row>
    <row r="88" customFormat="false" ht="17.15" hidden="false" customHeight="false" outlineLevel="0" collapsed="false">
      <c r="A88" s="3" t="s">
        <v>573</v>
      </c>
      <c r="B88" s="0" t="s">
        <v>379</v>
      </c>
      <c r="C88" s="23" t="n">
        <f aca="false">a25_rev</f>
        <v>39.351</v>
      </c>
      <c r="D88" s="23" t="n">
        <f aca="false">D81+D86+D87</f>
        <v>54.4258</v>
      </c>
      <c r="E88" s="23" t="n">
        <f aca="false">E81+E86+E87</f>
        <v>72.033987284</v>
      </c>
      <c r="F88" s="23" t="n">
        <f aca="false">F81+F86+F87</f>
        <v>84.1022463502375</v>
      </c>
      <c r="G88" s="23" t="n">
        <f aca="false">G81+G86+G87</f>
        <v>93.9075021580597</v>
      </c>
      <c r="H88" s="25" t="n">
        <f aca="false">G88*(1+H89)</f>
        <v>103.084601760775</v>
      </c>
      <c r="I88" s="25" t="n">
        <f aca="false">H88*(1+I89)</f>
        <v>111.214105104575</v>
      </c>
      <c r="J88" s="25" t="n">
        <f aca="false">I88*(1+J89)</f>
        <v>117.886951410849</v>
      </c>
      <c r="K88" s="7" t="s">
        <v>733</v>
      </c>
    </row>
    <row r="89" customFormat="false" ht="15" hidden="false" customHeight="false" outlineLevel="0" collapsed="false">
      <c r="A89" s="3" t="s">
        <v>734</v>
      </c>
      <c r="B89" s="0" t="s">
        <v>43</v>
      </c>
      <c r="D89" s="20" t="n">
        <f aca="false">D88/C88-1</f>
        <v>0.383085563263958</v>
      </c>
      <c r="E89" s="20" t="n">
        <f aca="false">E88/D88-1</f>
        <v>0.323526476119781</v>
      </c>
      <c r="F89" s="20" t="n">
        <f aca="false">F88/E88-1</f>
        <v>0.167535624796909</v>
      </c>
      <c r="G89" s="20" t="n">
        <f aca="false">G88/F88-1</f>
        <v>0.11658732356552</v>
      </c>
      <c r="H89" s="26" t="n">
        <f aca="false">$G89+(fade_gA-$G89)*1/3</f>
        <v>0.0977248823770133</v>
      </c>
      <c r="I89" s="26" t="n">
        <f aca="false">$G89+(fade_gA-$G89)*2/3</f>
        <v>0.0788624411885066</v>
      </c>
      <c r="J89" s="26" t="n">
        <f aca="false">$G89+(fade_gA-$G89)*3/3</f>
        <v>0.06</v>
      </c>
    </row>
    <row r="90" customFormat="false" ht="17.15" hidden="false" customHeight="false" outlineLevel="0" collapsed="false">
      <c r="A90" s="0" t="s">
        <v>735</v>
      </c>
      <c r="B90" s="0" t="s">
        <v>43</v>
      </c>
      <c r="D90" s="20" t="n">
        <f aca="false">D81/D88</f>
        <v>0.42</v>
      </c>
      <c r="E90" s="20" t="n">
        <f aca="false">E81/E88</f>
        <v>0.459817019893845</v>
      </c>
      <c r="F90" s="20" t="n">
        <f aca="false">F81/F88</f>
        <v>0.491063685341395</v>
      </c>
      <c r="G90" s="20" t="n">
        <f aca="false">G81/G88</f>
        <v>0.516066010348039</v>
      </c>
    </row>
    <row r="91" customFormat="false" ht="17.15" hidden="false" customHeight="false" outlineLevel="0" collapsed="false">
      <c r="A91" s="0" t="s">
        <v>736</v>
      </c>
      <c r="B91" s="0" t="s">
        <v>43</v>
      </c>
      <c r="D91" s="20" t="n">
        <f aca="false">D83/D88</f>
        <v>0.105</v>
      </c>
      <c r="E91" s="20" t="n">
        <f aca="false">E83/E88</f>
        <v>0.185425434786393</v>
      </c>
      <c r="F91" s="20" t="n">
        <f aca="false">F83/F88</f>
        <v>0.231610494260586</v>
      </c>
      <c r="G91" s="20" t="n">
        <f aca="false">G83/G88</f>
        <v>0.266013901007896</v>
      </c>
      <c r="K91" s="3" t="s">
        <v>737</v>
      </c>
    </row>
    <row r="92" customFormat="false" ht="17.15" hidden="false" customHeight="false" outlineLevel="0" collapsed="false">
      <c r="A92" s="5" t="s">
        <v>738</v>
      </c>
    </row>
    <row r="93" customFormat="false" ht="15" hidden="false" customHeight="false" outlineLevel="0" collapsed="false">
      <c r="A93" s="3" t="s">
        <v>739</v>
      </c>
      <c r="B93" s="0" t="s">
        <v>379</v>
      </c>
      <c r="C93" s="23" t="n">
        <f aca="false">a25_cx</f>
        <v>6.116</v>
      </c>
      <c r="D93" s="23" t="n">
        <f aca="false">capex26</f>
        <v>11</v>
      </c>
      <c r="E93" s="23" t="n">
        <f aca="false">cx27</f>
        <v>17</v>
      </c>
      <c r="F93" s="23" t="n">
        <f aca="false">cx28</f>
        <v>16</v>
      </c>
      <c r="G93" s="23" t="n">
        <f aca="false">cx29</f>
        <v>12</v>
      </c>
      <c r="H93" s="25" t="n">
        <f aca="false">H88*H112</f>
        <v>13.2703859852523</v>
      </c>
      <c r="I93" s="25" t="n">
        <f aca="false">I88*I112</f>
        <v>14.4223122828705</v>
      </c>
      <c r="J93" s="25" t="n">
        <f aca="false">J88*J112</f>
        <v>15.3993657589486</v>
      </c>
    </row>
    <row r="94" customFormat="false" ht="17.15" hidden="false" customHeight="false" outlineLevel="0" collapsed="false">
      <c r="A94" s="3" t="s">
        <v>740</v>
      </c>
      <c r="B94" s="0" t="s">
        <v>379</v>
      </c>
      <c r="C94" s="23" t="n">
        <f aca="false">a25_da</f>
        <v>7.158</v>
      </c>
      <c r="D94" s="23" t="n">
        <f aca="false">da26</f>
        <v>8.32</v>
      </c>
      <c r="E94" s="23" t="n">
        <f aca="false">D94*(1-1/life)+D93/life</f>
        <v>8.655</v>
      </c>
      <c r="F94" s="23" t="n">
        <f aca="false">E94*(1-1/life)+E93/life</f>
        <v>9.698125</v>
      </c>
      <c r="G94" s="23" t="n">
        <f aca="false">F94*(1-1/life)+F93/life</f>
        <v>10.485859375</v>
      </c>
      <c r="H94" s="25" t="n">
        <f aca="false">H88*H95</f>
        <v>11.5105887490438</v>
      </c>
      <c r="I94" s="25" t="n">
        <f aca="false">I88*I95</f>
        <v>12.4183418773103</v>
      </c>
      <c r="J94" s="25" t="n">
        <f aca="false">J88*J95</f>
        <v>13.163442389949</v>
      </c>
      <c r="K94" s="3" t="s">
        <v>741</v>
      </c>
    </row>
    <row r="95" customFormat="false" ht="17.15" hidden="false" customHeight="false" outlineLevel="0" collapsed="false">
      <c r="A95" s="3" t="s">
        <v>742</v>
      </c>
      <c r="B95" s="0" t="s">
        <v>43</v>
      </c>
      <c r="C95" s="20" t="n">
        <f aca="false">C94/C88</f>
        <v>0.181901349393916</v>
      </c>
      <c r="D95" s="20" t="n">
        <f aca="false">D94/D88</f>
        <v>0.152868676252807</v>
      </c>
      <c r="E95" s="20" t="n">
        <f aca="false">E94/E88</f>
        <v>0.120151616290196</v>
      </c>
      <c r="F95" s="20" t="n">
        <f aca="false">F94/F88</f>
        <v>0.115313507318376</v>
      </c>
      <c r="G95" s="20" t="n">
        <f aca="false">G94/G88</f>
        <v>0.111661572654236</v>
      </c>
      <c r="H95" s="26" t="n">
        <f aca="false">$G95</f>
        <v>0.111661572654236</v>
      </c>
      <c r="I95" s="26" t="n">
        <f aca="false">$G95</f>
        <v>0.111661572654236</v>
      </c>
      <c r="J95" s="26" t="n">
        <f aca="false">$G95</f>
        <v>0.111661572654236</v>
      </c>
    </row>
    <row r="96" customFormat="false" ht="17.15" hidden="false" customHeight="false" outlineLevel="0" collapsed="false">
      <c r="A96" s="0" t="s">
        <v>743</v>
      </c>
      <c r="B96" s="0" t="s">
        <v>379</v>
      </c>
      <c r="E96" s="21" t="n">
        <f aca="false">E82*((E74+E77)*(1-1/(E67*E68))+E78*(1-1/E68))</f>
        <v>4.320320004</v>
      </c>
      <c r="F96" s="21" t="n">
        <f aca="false">F82*((F74+F77)*(1-1/(F67*F68))+F78*(1-1/F68))</f>
        <v>4.49541329122987</v>
      </c>
      <c r="G96" s="21" t="n">
        <f aca="false">G82*((G74+G77)*(1-1/(G67*G68))+G78*(1-1/G68))</f>
        <v>3.90759743870992</v>
      </c>
      <c r="K96" s="7" t="s">
        <v>744</v>
      </c>
    </row>
    <row r="97" customFormat="false" ht="17.15" hidden="false" customHeight="false" outlineLevel="0" collapsed="false">
      <c r="A97" s="3" t="s">
        <v>745</v>
      </c>
      <c r="B97" s="0" t="s">
        <v>379</v>
      </c>
      <c r="C97" s="21" t="n">
        <f aca="false">a25_gp</f>
        <v>8.314</v>
      </c>
      <c r="D97" s="21" t="n">
        <f aca="false">a26_gp</f>
        <v>15.328536</v>
      </c>
      <c r="E97" s="21" t="n">
        <f aca="false">$D97+ft_abf*(E81-E96-$D81)+ft_bt*(E86-$D86)+ft_lens*(E87-$D87)+E96-(E94-$D94)</f>
        <v>25.590561148</v>
      </c>
      <c r="F97" s="21" t="n">
        <f aca="false">$D97+ft_abf*(F81-F96-$D81)+ft_bt*(F86-$D86)+ft_lens*(F87-$D87)+F96-(F94-$D94)</f>
        <v>30.4745546551337</v>
      </c>
      <c r="G97" s="21" t="n">
        <f aca="false">$D97+ft_abf*(G81-G96-$D81)+ft_bt*(G86-$D86)+ft_lens*(G87-$D87)+G96-(G94-$D94)</f>
        <v>34.1634230145048</v>
      </c>
      <c r="K97" s="3" t="s">
        <v>746</v>
      </c>
    </row>
    <row r="98" customFormat="false" ht="15" hidden="false" customHeight="false" outlineLevel="0" collapsed="false">
      <c r="A98" s="3" t="s">
        <v>580</v>
      </c>
      <c r="B98" s="0" t="s">
        <v>43</v>
      </c>
      <c r="C98" s="16" t="n">
        <f aca="false">C97/C88</f>
        <v>0.211277985311682</v>
      </c>
      <c r="D98" s="16" t="n">
        <f aca="false">D97/D88</f>
        <v>0.281640986443929</v>
      </c>
      <c r="E98" s="16" t="n">
        <f aca="false">E97/E88</f>
        <v>0.3552567629931</v>
      </c>
      <c r="F98" s="16" t="n">
        <f aca="false">F97/F88</f>
        <v>0.362351256686114</v>
      </c>
      <c r="G98" s="16" t="n">
        <f aca="false">G97/G88</f>
        <v>0.363798655372634</v>
      </c>
    </row>
    <row r="99" customFormat="false" ht="15" hidden="false" customHeight="false" outlineLevel="0" collapsed="false">
      <c r="A99" s="3" t="s">
        <v>582</v>
      </c>
      <c r="B99" s="0" t="s">
        <v>379</v>
      </c>
      <c r="C99" s="21" t="n">
        <f aca="false">a25_opx</f>
        <v>5.644</v>
      </c>
      <c r="D99" s="21" t="n">
        <f aca="false">a26_opx</f>
        <v>6.54036</v>
      </c>
      <c r="E99" s="21" t="n">
        <f aca="false">D99*(1+phi*E89)</f>
        <v>7.80994777401287</v>
      </c>
      <c r="F99" s="21" t="n">
        <f aca="false">E99*(1+phi*F89)</f>
        <v>8.59501446198315</v>
      </c>
      <c r="G99" s="21" t="n">
        <f aca="false">F99*(1+phi*G89)</f>
        <v>9.19625630126088</v>
      </c>
    </row>
    <row r="100" customFormat="false" ht="15" hidden="false" customHeight="false" outlineLevel="0" collapsed="false">
      <c r="A100" s="3" t="s">
        <v>585</v>
      </c>
      <c r="B100" s="0" t="s">
        <v>379</v>
      </c>
      <c r="C100" s="21" t="n">
        <f aca="false">C97-C99</f>
        <v>2.67</v>
      </c>
      <c r="D100" s="21" t="n">
        <f aca="false">D97-D99</f>
        <v>8.788176</v>
      </c>
      <c r="E100" s="21" t="n">
        <f aca="false">E97-E99</f>
        <v>17.7806133739871</v>
      </c>
      <c r="F100" s="21" t="n">
        <f aca="false">F97-F99</f>
        <v>21.8795401931505</v>
      </c>
      <c r="G100" s="21" t="n">
        <f aca="false">G97-G99</f>
        <v>24.9671667132439</v>
      </c>
    </row>
    <row r="101" customFormat="false" ht="15" hidden="false" customHeight="false" outlineLevel="0" collapsed="false">
      <c r="A101" s="3" t="s">
        <v>683</v>
      </c>
      <c r="B101" s="0" t="s">
        <v>43</v>
      </c>
      <c r="C101" s="16" t="n">
        <f aca="false">C100/C88</f>
        <v>0.0678508805367081</v>
      </c>
      <c r="D101" s="16" t="n">
        <f aca="false">D100/D88</f>
        <v>0.161470773052486</v>
      </c>
      <c r="E101" s="16" t="n">
        <f aca="false">E100/E88</f>
        <v>0.246836445466854</v>
      </c>
      <c r="F101" s="16" t="n">
        <f aca="false">F100/F88</f>
        <v>0.260154052271503</v>
      </c>
      <c r="G101" s="16" t="n">
        <f aca="false">G100/G88</f>
        <v>0.265869777594772</v>
      </c>
    </row>
    <row r="102" customFormat="false" ht="15" hidden="false" customHeight="false" outlineLevel="0" collapsed="false">
      <c r="A102" s="3" t="s">
        <v>588</v>
      </c>
      <c r="B102" s="0" t="s">
        <v>379</v>
      </c>
      <c r="C102" s="21" t="n">
        <f aca="false">a25_nonop</f>
        <v>0.417</v>
      </c>
      <c r="D102" s="21" t="n">
        <f aca="false">a26_nonop</f>
        <v>0.37882</v>
      </c>
      <c r="E102" s="21" t="n">
        <f aca="false">nonop27</f>
        <v>0.4</v>
      </c>
      <c r="F102" s="21" t="n">
        <f aca="false">nonop28</f>
        <v>0.4</v>
      </c>
      <c r="G102" s="21" t="n">
        <f aca="false">nonop29</f>
        <v>0.4</v>
      </c>
    </row>
    <row r="103" customFormat="false" ht="15" hidden="false" customHeight="false" outlineLevel="0" collapsed="false">
      <c r="A103" s="3" t="s">
        <v>590</v>
      </c>
      <c r="B103" s="0" t="s">
        <v>379</v>
      </c>
      <c r="C103" s="21" t="n">
        <f aca="false">C100+C102</f>
        <v>3.087</v>
      </c>
      <c r="D103" s="21" t="n">
        <f aca="false">D100+D102</f>
        <v>9.166996</v>
      </c>
      <c r="E103" s="21" t="n">
        <f aca="false">E100+E102</f>
        <v>18.1806133739871</v>
      </c>
      <c r="F103" s="21" t="n">
        <f aca="false">F100+F102</f>
        <v>22.2795401931505</v>
      </c>
      <c r="G103" s="21" t="n">
        <f aca="false">G100+G102</f>
        <v>25.3671667132439</v>
      </c>
    </row>
    <row r="104" customFormat="false" ht="15" hidden="false" customHeight="false" outlineLevel="0" collapsed="false">
      <c r="A104" s="3" t="s">
        <v>591</v>
      </c>
      <c r="B104" s="0" t="s">
        <v>379</v>
      </c>
      <c r="E104" s="21" t="n">
        <f aca="false">E103*tax</f>
        <v>2.18167360487846</v>
      </c>
      <c r="F104" s="21" t="n">
        <f aca="false">F103*tax</f>
        <v>2.67354482317806</v>
      </c>
      <c r="G104" s="21" t="n">
        <f aca="false">G103*tax</f>
        <v>3.04406000558927</v>
      </c>
    </row>
    <row r="105" customFormat="false" ht="15" hidden="false" customHeight="false" outlineLevel="0" collapsed="false">
      <c r="A105" s="3" t="s">
        <v>592</v>
      </c>
      <c r="B105" s="0" t="s">
        <v>379</v>
      </c>
      <c r="C105" s="21" t="n">
        <f aca="false">a25_nic</f>
        <v>2.71712</v>
      </c>
      <c r="D105" s="21" t="n">
        <f aca="false">a26_nic</f>
        <v>8.39979776</v>
      </c>
      <c r="E105" s="21" t="n">
        <f aca="false">E103-E104</f>
        <v>15.9989397691087</v>
      </c>
      <c r="F105" s="21" t="n">
        <f aca="false">F103-F104</f>
        <v>19.6059953699725</v>
      </c>
      <c r="G105" s="21" t="n">
        <f aca="false">G103-G104</f>
        <v>22.3231067076547</v>
      </c>
    </row>
    <row r="106" customFormat="false" ht="17.15" hidden="false" customHeight="false" outlineLevel="0" collapsed="false">
      <c r="A106" s="3" t="s">
        <v>747</v>
      </c>
      <c r="B106" s="0" t="s">
        <v>379</v>
      </c>
      <c r="C106" s="21" t="n">
        <f aca="false">a25_nci</f>
        <v>1.12112</v>
      </c>
      <c r="D106" s="21" t="n">
        <f aca="false">a26_nci</f>
        <v>1.43839238487797</v>
      </c>
      <c r="E106" s="21" t="n">
        <f aca="false">E87*nm_lens*nci_sh</f>
        <v>1.57074538036261</v>
      </c>
      <c r="F106" s="21" t="n">
        <f aca="false">F87*nm_lens*nci_sh</f>
        <v>1.72781991839887</v>
      </c>
      <c r="G106" s="21" t="n">
        <f aca="false">G87*nm_lens*nci_sh</f>
        <v>1.90060191023875</v>
      </c>
      <c r="K106" s="3" t="s">
        <v>748</v>
      </c>
    </row>
    <row r="107" customFormat="false" ht="15" hidden="false" customHeight="false" outlineLevel="0" collapsed="false">
      <c r="A107" s="3" t="s">
        <v>598</v>
      </c>
      <c r="B107" s="0" t="s">
        <v>379</v>
      </c>
      <c r="C107" s="21" t="n">
        <f aca="false">a25_ni</f>
        <v>1.596</v>
      </c>
      <c r="D107" s="21" t="n">
        <f aca="false">a26_ni</f>
        <v>6.96140537512203</v>
      </c>
      <c r="E107" s="21" t="n">
        <f aca="false">E105-E106</f>
        <v>14.4281943887461</v>
      </c>
      <c r="F107" s="21" t="n">
        <f aca="false">F105-F106</f>
        <v>17.8781754515736</v>
      </c>
      <c r="G107" s="21" t="n">
        <f aca="false">G105-G106</f>
        <v>20.4225047974159</v>
      </c>
      <c r="H107" s="30" t="n">
        <f aca="false">H88*H111</f>
        <v>22.5365878888236</v>
      </c>
      <c r="I107" s="30" t="n">
        <f aca="false">I88*I111</f>
        <v>24.4415035661121</v>
      </c>
      <c r="J107" s="30" t="n">
        <f aca="false">J88*J111</f>
        <v>26.0432766408144</v>
      </c>
    </row>
    <row r="108" customFormat="false" ht="15" hidden="false" customHeight="false" outlineLevel="0" collapsed="false">
      <c r="A108" s="3" t="s">
        <v>749</v>
      </c>
      <c r="B108" s="3" t="s">
        <v>465</v>
      </c>
      <c r="C108" s="29" t="n">
        <f aca="false">a25_sh</f>
        <v>0.454700854700855</v>
      </c>
      <c r="D108" s="29" t="n">
        <f aca="false">a26_sh</f>
        <v>0.508341020486215</v>
      </c>
      <c r="E108" s="29" t="n">
        <f aca="false">a26_shend*(1+sh_g)</f>
        <v>0.52691</v>
      </c>
      <c r="F108" s="29" t="n">
        <f aca="false">E108*(1+sh_g)</f>
        <v>0.52691</v>
      </c>
      <c r="G108" s="29" t="n">
        <f aca="false">F108*(1+sh_g)</f>
        <v>0.52691</v>
      </c>
      <c r="H108" s="31" t="n">
        <f aca="false">G108*(1+sh_g)</f>
        <v>0.52691</v>
      </c>
      <c r="I108" s="31" t="n">
        <f aca="false">H108*(1+sh_g)</f>
        <v>0.52691</v>
      </c>
      <c r="J108" s="31" t="n">
        <f aca="false">I108*(1+sh_g)</f>
        <v>0.52691</v>
      </c>
    </row>
    <row r="109" customFormat="false" ht="17.15" hidden="false" customHeight="false" outlineLevel="0" collapsed="false">
      <c r="A109" s="0" t="s">
        <v>603</v>
      </c>
      <c r="B109" s="0" t="s">
        <v>471</v>
      </c>
      <c r="C109" s="18" t="n">
        <f aca="false">C107/C108</f>
        <v>3.51</v>
      </c>
      <c r="D109" s="18" t="n">
        <f aca="false">D107/D108</f>
        <v>13.6943608612652</v>
      </c>
      <c r="E109" s="18" t="n">
        <f aca="false">E107/E108</f>
        <v>27.3826543218881</v>
      </c>
      <c r="F109" s="18" t="n">
        <f aca="false">F107/F108</f>
        <v>33.930226132686</v>
      </c>
      <c r="G109" s="18" t="n">
        <f aca="false">G107/G108</f>
        <v>38.7590002038601</v>
      </c>
      <c r="H109" s="28" t="n">
        <f aca="false">H107/H108</f>
        <v>42.7712282720457</v>
      </c>
      <c r="I109" s="28" t="n">
        <f aca="false">I107/I108</f>
        <v>46.3864864324308</v>
      </c>
      <c r="J109" s="28" t="n">
        <f aca="false">J107/J108</f>
        <v>49.4264231857707</v>
      </c>
    </row>
    <row r="110" customFormat="false" ht="17.15" hidden="false" customHeight="false" outlineLevel="0" collapsed="false">
      <c r="A110" s="0" t="s">
        <v>750</v>
      </c>
      <c r="B110" s="0" t="s">
        <v>43</v>
      </c>
      <c r="D110" s="20" t="n">
        <f aca="false">D109/C109-1</f>
        <v>2.90152731090177</v>
      </c>
      <c r="E110" s="20" t="n">
        <f aca="false">E109/D109-1</f>
        <v>0.999556941670828</v>
      </c>
      <c r="F110" s="20" t="n">
        <f aca="false">F109/E109-1</f>
        <v>0.239113846810832</v>
      </c>
      <c r="G110" s="20" t="n">
        <f aca="false">G109/F109-1</f>
        <v>0.142314821371683</v>
      </c>
      <c r="H110" s="26" t="n">
        <f aca="false">H109/G109-1</f>
        <v>0.103517326223138</v>
      </c>
      <c r="I110" s="26" t="n">
        <f aca="false">I109/H109-1</f>
        <v>0.0845254697244213</v>
      </c>
      <c r="J110" s="26" t="n">
        <f aca="false">J109/I109-1</f>
        <v>0.0655349647524597</v>
      </c>
    </row>
    <row r="111" customFormat="false" ht="17.15" hidden="false" customHeight="false" outlineLevel="0" collapsed="false">
      <c r="A111" s="3" t="s">
        <v>751</v>
      </c>
      <c r="B111" s="0" t="s">
        <v>43</v>
      </c>
      <c r="C111" s="16" t="n">
        <f aca="false">C107/C88</f>
        <v>0.0405580544331783</v>
      </c>
      <c r="D111" s="16" t="n">
        <f aca="false">D107/D88</f>
        <v>0.127906349105057</v>
      </c>
      <c r="E111" s="16" t="n">
        <f aca="false">E107/E88</f>
        <v>0.20029703939422</v>
      </c>
      <c r="F111" s="16" t="n">
        <f aca="false">F107/F88</f>
        <v>0.212576669796919</v>
      </c>
      <c r="G111" s="16" t="n">
        <f aca="false">G107/G88</f>
        <v>0.217474688689322</v>
      </c>
      <c r="H111" s="27" t="n">
        <f aca="false">$G111+(fade_mA-$G111)*1/3</f>
        <v>0.218622253022071</v>
      </c>
      <c r="I111" s="27" t="n">
        <f aca="false">$G111+(fade_mA-$G111)*2/3</f>
        <v>0.219769817354819</v>
      </c>
      <c r="J111" s="27" t="n">
        <f aca="false">$G111+(fade_mA-$G111)*3/3</f>
        <v>0.220917381687568</v>
      </c>
    </row>
    <row r="112" customFormat="false" ht="17.15" hidden="false" customHeight="false" outlineLevel="0" collapsed="false">
      <c r="A112" s="3" t="s">
        <v>752</v>
      </c>
      <c r="B112" s="0" t="s">
        <v>43</v>
      </c>
      <c r="C112" s="20" t="n">
        <f aca="false">C93/C88</f>
        <v>0.155421717364235</v>
      </c>
      <c r="D112" s="20" t="n">
        <f aca="false">D93/D88</f>
        <v>0.202110028699624</v>
      </c>
      <c r="E112" s="20" t="n">
        <f aca="false">E93/E88</f>
        <v>0.235999708484498</v>
      </c>
      <c r="F112" s="20" t="n">
        <f aca="false">F93/F88</f>
        <v>0.190244621212247</v>
      </c>
      <c r="G112" s="20" t="n">
        <f aca="false">G93/G88</f>
        <v>0.127785317724693</v>
      </c>
      <c r="H112" s="26" t="n">
        <f aca="false">$G112+($G95*(1+tp_g)^(life/2)-$G112)*1/3</f>
        <v>0.128732960680669</v>
      </c>
      <c r="I112" s="26" t="n">
        <f aca="false">$G112+($G95*(1+tp_g)^(life/2)-$G112)*2/3</f>
        <v>0.129680603636644</v>
      </c>
      <c r="J112" s="26" t="n">
        <f aca="false">$G112+($G95*(1+tp_g)^(life/2)-$G112)*3/3</f>
        <v>0.13062824659262</v>
      </c>
      <c r="K112" s="7" t="s">
        <v>753</v>
      </c>
    </row>
    <row r="113" customFormat="false" ht="15" hidden="false" customHeight="false" outlineLevel="0" collapsed="false">
      <c r="A113" s="3" t="s">
        <v>754</v>
      </c>
      <c r="B113" s="0" t="s">
        <v>379</v>
      </c>
      <c r="D113" s="21" t="n">
        <f aca="false">D107+D94-D93</f>
        <v>4.28140537512203</v>
      </c>
      <c r="E113" s="21" t="n">
        <f aca="false">E107+E94-E93</f>
        <v>6.08319438874607</v>
      </c>
      <c r="F113" s="21" t="n">
        <f aca="false">F107+F94-F93</f>
        <v>11.5763004515736</v>
      </c>
      <c r="G113" s="21" t="n">
        <f aca="false">G107+G94-G93</f>
        <v>18.9083641724159</v>
      </c>
      <c r="H113" s="30" t="n">
        <f aca="false">H107+H94-H93</f>
        <v>20.7767906526151</v>
      </c>
      <c r="I113" s="30" t="n">
        <f aca="false">I107+I94-I93</f>
        <v>22.437533160552</v>
      </c>
      <c r="J113" s="30" t="n">
        <f aca="false">J107+J94-J93</f>
        <v>23.8073532718147</v>
      </c>
      <c r="K113" s="3" t="s">
        <v>755</v>
      </c>
    </row>
    <row r="114" customFormat="false" ht="15" hidden="false" customHeight="false" outlineLevel="0" collapsed="false">
      <c r="A114" s="3" t="s">
        <v>756</v>
      </c>
      <c r="B114" s="0" t="s">
        <v>471</v>
      </c>
      <c r="D114" s="18" t="n">
        <f aca="false">D113/D108</f>
        <v>8.42230943909854</v>
      </c>
      <c r="E114" s="18" t="n">
        <f aca="false">E113/E108</f>
        <v>11.5450349941092</v>
      </c>
      <c r="F114" s="18" t="n">
        <f aca="false">F113/F108</f>
        <v>21.9701665399662</v>
      </c>
      <c r="G114" s="18" t="n">
        <f aca="false">G113/G108</f>
        <v>35.8853773365772</v>
      </c>
      <c r="H114" s="28" t="n">
        <f aca="false">H113/H108</f>
        <v>39.4313842071988</v>
      </c>
      <c r="I114" s="28" t="n">
        <f aca="false">I113/I108</f>
        <v>42.5832365310052</v>
      </c>
      <c r="J114" s="28" t="n">
        <f aca="false">J113/J108</f>
        <v>45.1829596549975</v>
      </c>
    </row>
    <row r="117" customFormat="false" ht="17.15" hidden="false" customHeight="false" outlineLevel="0" collapsed="false">
      <c r="A117" s="1" t="s">
        <v>1091</v>
      </c>
    </row>
    <row r="118" customFormat="false" ht="17.15" hidden="false" customHeight="false" outlineLevel="0" collapsed="false">
      <c r="A118" s="4" t="s">
        <v>20</v>
      </c>
      <c r="B118" s="4" t="s">
        <v>21</v>
      </c>
      <c r="C118" s="13" t="s">
        <v>566</v>
      </c>
      <c r="D118" s="13" t="s">
        <v>670</v>
      </c>
      <c r="E118" s="13" t="s">
        <v>671</v>
      </c>
      <c r="F118" s="13" t="s">
        <v>672</v>
      </c>
      <c r="G118" s="13" t="s">
        <v>673</v>
      </c>
      <c r="H118" s="13" t="s">
        <v>674</v>
      </c>
      <c r="I118" s="13" t="s">
        <v>675</v>
      </c>
      <c r="J118" s="13" t="s">
        <v>676</v>
      </c>
      <c r="K118" s="4" t="s">
        <v>630</v>
      </c>
    </row>
    <row r="119" customFormat="false" ht="17.15" hidden="false" customHeight="false" outlineLevel="0" collapsed="false">
      <c r="A119" s="5" t="s">
        <v>694</v>
      </c>
    </row>
    <row r="120" customFormat="false" ht="17.15" hidden="false" customHeight="false" outlineLevel="0" collapsed="false">
      <c r="A120" s="0" t="s">
        <v>695</v>
      </c>
      <c r="B120" s="3" t="s">
        <v>31</v>
      </c>
      <c r="D120" s="21" t="n">
        <f aca="false">(u_bw_26+u_rb_26+u_ru_26+u_hp_26)*1</f>
        <v>7.6</v>
      </c>
      <c r="E120" s="21" t="n">
        <f aca="false">(u_bw_27+u_rb_27+u_ru_27+u_hp_27)*1*1.2</f>
        <v>11.64</v>
      </c>
      <c r="F120" s="21" t="n">
        <f aca="false">(u_bw_28+u_rb_28+u_ru_28+u_hp_28)*um28_A*1.2</f>
        <v>11.4</v>
      </c>
      <c r="G120" s="21" t="n">
        <f aca="false">(u_bw_28*(1+g29_bw)+u_rb_28*(1+g29_rb)+u_ru_28*(1+g29_ru)+u_hp_28*(1+g29_hp))*um29_A*1.2</f>
        <v>12.72</v>
      </c>
      <c r="K120" s="7" t="s">
        <v>696</v>
      </c>
    </row>
    <row r="121" customFormat="false" ht="17.15" hidden="false" customHeight="false" outlineLevel="0" collapsed="false">
      <c r="A121" s="3" t="s">
        <v>697</v>
      </c>
      <c r="B121" s="3" t="s">
        <v>31</v>
      </c>
      <c r="D121" s="21" t="n">
        <f aca="false">(u_amd_26+u_tpu_26+u_trn_26+u_oth_26)*1</f>
        <v>7.6</v>
      </c>
      <c r="E121" s="21" t="n">
        <f aca="false">(u_amd_27+u_tpu_27+u_trn_27+u_oth_27)*1*1.2</f>
        <v>16.8</v>
      </c>
      <c r="F121" s="21" t="n">
        <f aca="false">(u_amd_28+u_tpu_28+u_trn_28+u_oth_28)*um28_A*1.2</f>
        <v>20.4</v>
      </c>
      <c r="G121" s="21" t="n">
        <f aca="false">(u_amd_28*(1+g29_amd)+u_tpu_28*(1+g29_tpu)+u_trn_28*(1+g29_trn)+u_oth_28*(1+g29_oth))*um29_A*1.2</f>
        <v>23.46</v>
      </c>
      <c r="K121" s="7" t="s">
        <v>698</v>
      </c>
    </row>
    <row r="122" customFormat="false" ht="17.15" hidden="false" customHeight="false" outlineLevel="0" collapsed="false">
      <c r="A122" s="0" t="s">
        <v>699</v>
      </c>
      <c r="B122" s="3" t="s">
        <v>31</v>
      </c>
      <c r="D122" s="21" t="n">
        <f aca="false">D120*cpu_r</f>
        <v>3.04</v>
      </c>
      <c r="E122" s="21" t="n">
        <f aca="false">E120*cpu_r</f>
        <v>4.656</v>
      </c>
      <c r="F122" s="21" t="n">
        <f aca="false">F120*cpu_r</f>
        <v>4.56</v>
      </c>
      <c r="G122" s="21" t="n">
        <f aca="false">G120*cpu_r</f>
        <v>5.088</v>
      </c>
      <c r="K122" s="7" t="s">
        <v>700</v>
      </c>
    </row>
    <row r="123" customFormat="false" ht="17.15" hidden="false" customHeight="false" outlineLevel="0" collapsed="false">
      <c r="A123" s="3" t="s">
        <v>701</v>
      </c>
      <c r="B123" s="0" t="s">
        <v>153</v>
      </c>
      <c r="D123" s="19" t="n">
        <f aca="false">1</f>
        <v>1</v>
      </c>
      <c r="E123" s="19" t="n">
        <f aca="false">D123*(1+g_asp)</f>
        <v>1.18</v>
      </c>
      <c r="F123" s="19" t="n">
        <f aca="false">E123*(1+g_asp)</f>
        <v>1.3924</v>
      </c>
      <c r="G123" s="19" t="n">
        <f aca="false">F123*(1+g_asp)</f>
        <v>1.643032</v>
      </c>
      <c r="K123" s="7" t="s">
        <v>702</v>
      </c>
    </row>
    <row r="124" customFormat="false" ht="17.15" hidden="false" customHeight="false" outlineLevel="0" collapsed="false">
      <c r="A124" s="0" t="s">
        <v>703</v>
      </c>
      <c r="B124" s="0" t="s">
        <v>153</v>
      </c>
      <c r="D124" s="18" t="n">
        <f aca="false">1</f>
        <v>1</v>
      </c>
      <c r="E124" s="18" t="n">
        <f aca="false">ibpp_27</f>
        <v>1</v>
      </c>
      <c r="F124" s="18" t="n">
        <f aca="false">ibpp_28</f>
        <v>0.95</v>
      </c>
      <c r="G124" s="18" t="n">
        <f aca="false">ibpp_29</f>
        <v>0.9</v>
      </c>
      <c r="K124" s="7" t="s">
        <v>704</v>
      </c>
    </row>
    <row r="125" customFormat="false" ht="17.15" hidden="false" customHeight="false" outlineLevel="0" collapsed="false">
      <c r="A125" s="3" t="s">
        <v>705</v>
      </c>
      <c r="B125" s="0" t="s">
        <v>153</v>
      </c>
      <c r="D125" s="18" t="n">
        <f aca="false">1</f>
        <v>1</v>
      </c>
      <c r="E125" s="18" t="n">
        <f aca="false">1+carry</f>
        <v>1.15</v>
      </c>
      <c r="F125" s="18" t="n">
        <f aca="false">1+carry</f>
        <v>1.15</v>
      </c>
      <c r="G125" s="18" t="n">
        <f aca="false">1+carry</f>
        <v>1.15</v>
      </c>
      <c r="K125" s="7" t="s">
        <v>706</v>
      </c>
    </row>
    <row r="126" customFormat="false" ht="17.15" hidden="false" customHeight="false" outlineLevel="0" collapsed="false">
      <c r="A126" s="3" t="s">
        <v>707</v>
      </c>
      <c r="B126" s="0" t="s">
        <v>708</v>
      </c>
      <c r="D126" s="23" t="n">
        <f aca="false">v26*D123*D124</f>
        <v>215.308596</v>
      </c>
      <c r="E126" s="23" t="n">
        <f aca="false">v26*E123*E124</f>
        <v>254.06414328</v>
      </c>
      <c r="F126" s="23" t="n">
        <f aca="false">v26*F123*F124</f>
        <v>284.80590461688</v>
      </c>
      <c r="G126" s="23" t="n">
        <f aca="false">v26*G123*G124</f>
        <v>318.383021792765</v>
      </c>
      <c r="K126" s="7" t="s">
        <v>709</v>
      </c>
    </row>
    <row r="127" customFormat="false" ht="17.15" hidden="false" customHeight="false" outlineLevel="0" collapsed="false">
      <c r="A127" s="3" t="s">
        <v>710</v>
      </c>
      <c r="B127" s="0" t="s">
        <v>43</v>
      </c>
      <c r="D127" s="20" t="n">
        <f aca="false">sh_nv_26</f>
        <v>0.02</v>
      </c>
      <c r="E127" s="20" t="n">
        <f aca="false">sh_nv_27</f>
        <v>0.03</v>
      </c>
      <c r="F127" s="20" t="n">
        <f aca="false">sh_nv_28</f>
        <v>0.05</v>
      </c>
      <c r="G127" s="20" t="n">
        <f aca="false">sh_nv_29</f>
        <v>0.06</v>
      </c>
    </row>
    <row r="128" customFormat="false" ht="17.15" hidden="false" customHeight="false" outlineLevel="0" collapsed="false">
      <c r="A128" s="3" t="s">
        <v>711</v>
      </c>
      <c r="B128" s="0" t="s">
        <v>43</v>
      </c>
      <c r="D128" s="20" t="n">
        <f aca="false">sh_ot_26</f>
        <v>0.03</v>
      </c>
      <c r="E128" s="20" t="n">
        <f aca="false">sh_ot_27</f>
        <v>0.05</v>
      </c>
      <c r="F128" s="20" t="n">
        <f aca="false">sh_ot_28</f>
        <v>0.06</v>
      </c>
      <c r="G128" s="20" t="n">
        <f aca="false">sh_ot_29</f>
        <v>0.06</v>
      </c>
    </row>
    <row r="129" customFormat="false" ht="17.15" hidden="false" customHeight="false" outlineLevel="0" collapsed="false">
      <c r="A129" s="3" t="s">
        <v>712</v>
      </c>
      <c r="B129" s="0" t="s">
        <v>43</v>
      </c>
      <c r="D129" s="20" t="n">
        <f aca="false">sh_cpu_26</f>
        <v>0.35</v>
      </c>
      <c r="E129" s="20" t="n">
        <f aca="false">sh_cpu_27</f>
        <v>0.7</v>
      </c>
      <c r="F129" s="20" t="n">
        <f aca="false">sh_cpu_28</f>
        <v>0.75</v>
      </c>
      <c r="G129" s="20" t="n">
        <f aca="false">sh_cpu_29</f>
        <v>0.7</v>
      </c>
    </row>
    <row r="130" customFormat="false" ht="17.15" hidden="false" customHeight="false" outlineLevel="0" collapsed="false">
      <c r="A130" s="3" t="s">
        <v>713</v>
      </c>
      <c r="B130" s="0" t="s">
        <v>660</v>
      </c>
      <c r="D130" s="22" t="n">
        <f aca="false">(D120*D126*D127+D121*D126*v_ot*D128+D122*D126*v_cpu*D129)*D125</f>
        <v>140.7256983456</v>
      </c>
      <c r="E130" s="22" t="n">
        <f aca="false">(E120*E126*E127+E121*E126*v_ot*E128+E122*E126*v_cpu*E129)*E125</f>
        <v>584.043668828637</v>
      </c>
      <c r="F130" s="22" t="n">
        <f aca="false">(F120*F126*F127+F121*F126*v_ot*F128+F122*F126*v_cpu*F129)*F125</f>
        <v>843.446990404798</v>
      </c>
      <c r="G130" s="22" t="n">
        <f aca="false">(G120*G126*G127+G121*G126*v_ot*G128+G122*G126*v_cpu*G129)*G125</f>
        <v>1082.95565151843</v>
      </c>
    </row>
    <row r="131" customFormat="false" ht="17.15" hidden="false" customHeight="false" outlineLevel="0" collapsed="false">
      <c r="A131" s="3" t="s">
        <v>714</v>
      </c>
      <c r="B131" s="0" t="s">
        <v>379</v>
      </c>
      <c r="D131" s="21" t="n">
        <f aca="false">D130*fx/1000</f>
        <v>4.573585196232</v>
      </c>
      <c r="E131" s="21" t="n">
        <f aca="false">E130*fx/1000</f>
        <v>18.9814192369307</v>
      </c>
      <c r="F131" s="21" t="n">
        <f aca="false">F130*fx/1000</f>
        <v>27.4120271881559</v>
      </c>
      <c r="G131" s="21" t="n">
        <f aca="false">G130*fx/1000</f>
        <v>35.1960586743491</v>
      </c>
    </row>
    <row r="132" customFormat="false" ht="17.15" hidden="false" customHeight="false" outlineLevel="0" collapsed="false">
      <c r="A132" s="5" t="s">
        <v>715</v>
      </c>
    </row>
    <row r="133" customFormat="false" ht="17.15" hidden="false" customHeight="false" outlineLevel="0" collapsed="false">
      <c r="A133" s="0" t="s">
        <v>716</v>
      </c>
      <c r="B133" s="0" t="s">
        <v>379</v>
      </c>
      <c r="D133" s="21" t="n">
        <f aca="false">a26_abf*ai_abf</f>
        <v>5.714709</v>
      </c>
      <c r="K133" s="3" t="s">
        <v>717</v>
      </c>
    </row>
    <row r="134" customFormat="false" ht="17.15" hidden="false" customHeight="false" outlineLevel="0" collapsed="false">
      <c r="A134" s="3" t="s">
        <v>718</v>
      </c>
      <c r="B134" s="0" t="s">
        <v>379</v>
      </c>
      <c r="D134" s="21" t="n">
        <f aca="false">D133-D131</f>
        <v>1.141123803768</v>
      </c>
      <c r="E134" s="21" t="n">
        <f aca="false">$D134*(swm_27/swm_26)^el_o*1*1.2*E124*E125</f>
        <v>2.20262415647046</v>
      </c>
      <c r="F134" s="21" t="n">
        <f aca="false">$D134*(swm_28/swm_26)^el_o*um28_A*1.2*F124*F125</f>
        <v>2.25099672999631</v>
      </c>
      <c r="G134" s="21" t="n">
        <f aca="false">$D134*(swm_29/swm_26)^el_o*um29_A*1.2*G124*G125</f>
        <v>2.2749928001103</v>
      </c>
      <c r="K134" s="7" t="s">
        <v>719</v>
      </c>
    </row>
    <row r="135" customFormat="false" ht="17.15" hidden="false" customHeight="false" outlineLevel="0" collapsed="false">
      <c r="A135" s="3" t="s">
        <v>720</v>
      </c>
      <c r="B135" s="0" t="s">
        <v>379</v>
      </c>
      <c r="D135" s="21" t="n">
        <f aca="false">a26_abf-D133</f>
        <v>17.144127</v>
      </c>
      <c r="E135" s="21" t="n">
        <f aca="false">$D135*(1+g_nai)^1*E125</f>
        <v>20.898690813</v>
      </c>
      <c r="F135" s="21" t="n">
        <f aca="false">$D135*(1+g_nai)^2*F125</f>
        <v>22.15261226178</v>
      </c>
      <c r="G135" s="21" t="n">
        <f aca="false">$D135*(1+g_nai)^3*G125</f>
        <v>23.4817689974868</v>
      </c>
      <c r="K135" s="3" t="s">
        <v>721</v>
      </c>
    </row>
    <row r="136" customFormat="false" ht="17.15" hidden="false" customHeight="false" outlineLevel="0" collapsed="false">
      <c r="A136" s="0" t="s">
        <v>722</v>
      </c>
      <c r="B136" s="0" t="s">
        <v>379</v>
      </c>
      <c r="D136" s="21" t="n">
        <f aca="false">D131+D134+D135</f>
        <v>22.858836</v>
      </c>
      <c r="E136" s="21" t="n">
        <f aca="false">E131+E134+E135</f>
        <v>42.0827342064012</v>
      </c>
      <c r="F136" s="21" t="n">
        <f aca="false">F131+F134+F135</f>
        <v>51.8156361799322</v>
      </c>
      <c r="G136" s="21" t="n">
        <f aca="false">G131+G134+G135</f>
        <v>60.9528204719462</v>
      </c>
    </row>
    <row r="137" customFormat="false" ht="17.15" hidden="false" customHeight="false" outlineLevel="0" collapsed="false">
      <c r="A137" s="0" t="s">
        <v>723</v>
      </c>
      <c r="B137" s="0" t="s">
        <v>379</v>
      </c>
      <c r="D137" s="21" t="n">
        <f aca="false">a26_abf</f>
        <v>22.858836</v>
      </c>
      <c r="E137" s="21" t="n">
        <f aca="false">$D136*cap_27*(1+g_mix)^1*E124*E125</f>
        <v>33.122453364</v>
      </c>
      <c r="F137" s="21" t="n">
        <f aca="false">$D136*cap_28*(1+g_mix)^2*F124*F125</f>
        <v>41.2995590382375</v>
      </c>
      <c r="G137" s="21" t="n">
        <f aca="false">$D136*cap_29*(1+g_mix)^3*G124*G125</f>
        <v>50.6680379569114</v>
      </c>
      <c r="K137" s="7" t="s">
        <v>724</v>
      </c>
    </row>
    <row r="138" customFormat="false" ht="17.15" hidden="false" customHeight="false" outlineLevel="0" collapsed="false">
      <c r="A138" s="0" t="s">
        <v>725</v>
      </c>
      <c r="B138" s="0" t="s">
        <v>379</v>
      </c>
      <c r="D138" s="21" t="n">
        <f aca="false">a26_abf</f>
        <v>22.858836</v>
      </c>
      <c r="E138" s="21" t="n">
        <f aca="false">MIN(E136,E137)</f>
        <v>33.122453364</v>
      </c>
      <c r="F138" s="21" t="n">
        <f aca="false">MIN(F136,F137)</f>
        <v>41.2995590382375</v>
      </c>
      <c r="G138" s="21" t="n">
        <f aca="false">MIN(G136,G137)</f>
        <v>50.6680379569114</v>
      </c>
    </row>
    <row r="139" customFormat="false" ht="17.15" hidden="false" customHeight="false" outlineLevel="0" collapsed="false">
      <c r="A139" s="3" t="s">
        <v>726</v>
      </c>
      <c r="B139" s="0" t="s">
        <v>43</v>
      </c>
      <c r="D139" s="20" t="n">
        <f aca="false">D138/D136</f>
        <v>1</v>
      </c>
      <c r="E139" s="20" t="n">
        <f aca="false">E138/E136</f>
        <v>0.787079404145793</v>
      </c>
      <c r="F139" s="20" t="n">
        <f aca="false">F138/F136</f>
        <v>0.797048190141347</v>
      </c>
      <c r="G139" s="20" t="n">
        <f aca="false">G138/G136</f>
        <v>0.831266503577658</v>
      </c>
    </row>
    <row r="140" customFormat="false" ht="17.15" hidden="false" customHeight="false" outlineLevel="0" collapsed="false">
      <c r="A140" s="0" t="s">
        <v>727</v>
      </c>
      <c r="B140" s="0" t="s">
        <v>379</v>
      </c>
      <c r="D140" s="21" t="n">
        <f aca="false">(D131+D134)*D139</f>
        <v>5.714709</v>
      </c>
      <c r="E140" s="21" t="n">
        <f aca="false">(E131+E134)*E139</f>
        <v>16.6735242514768</v>
      </c>
      <c r="F140" s="21" t="n">
        <f aca="false">(F131+F134)*F139</f>
        <v>23.6428595280827</v>
      </c>
      <c r="G140" s="21" t="n">
        <f aca="false">(G131+G134)*G139</f>
        <v>31.1484299445523</v>
      </c>
    </row>
    <row r="141" customFormat="false" ht="17.15" hidden="false" customHeight="false" outlineLevel="0" collapsed="false">
      <c r="A141" s="3" t="s">
        <v>728</v>
      </c>
      <c r="B141" s="0" t="s">
        <v>43</v>
      </c>
      <c r="D141" s="20" t="n">
        <f aca="false">D131/(D131+D134)</f>
        <v>0.800318125775433</v>
      </c>
      <c r="E141" s="20" t="n">
        <f aca="false">E131/(E131+E134)</f>
        <v>0.896024374782173</v>
      </c>
      <c r="F141" s="20" t="n">
        <f aca="false">F131/(F131+F134)</f>
        <v>0.924114387791097</v>
      </c>
      <c r="G141" s="20" t="n">
        <f aca="false">G131/(G131+G134)</f>
        <v>0.939286657016792</v>
      </c>
    </row>
    <row r="142" customFormat="false" ht="17.15" hidden="false" customHeight="false" outlineLevel="0" collapsed="false">
      <c r="A142" s="5" t="s">
        <v>729</v>
      </c>
    </row>
    <row r="143" customFormat="false" ht="17.15" hidden="false" customHeight="false" outlineLevel="0" collapsed="false">
      <c r="A143" s="0" t="s">
        <v>730</v>
      </c>
      <c r="B143" s="0" t="s">
        <v>379</v>
      </c>
      <c r="D143" s="21" t="n">
        <f aca="false">a26_bt</f>
        <v>23.265964</v>
      </c>
      <c r="E143" s="21" t="n">
        <f aca="false">D143*(1+g_bt27_A)</f>
        <v>29.78043392</v>
      </c>
      <c r="F143" s="21" t="n">
        <f aca="false">E143*(1+g_bt28_A)</f>
        <v>32.758477312</v>
      </c>
      <c r="G143" s="21" t="n">
        <f aca="false">F143*(1+g_bt29_A)</f>
        <v>34.3964011776</v>
      </c>
      <c r="K143" s="7" t="s">
        <v>731</v>
      </c>
    </row>
    <row r="144" customFormat="false" ht="17.15" hidden="false" customHeight="false" outlineLevel="0" collapsed="false">
      <c r="A144" s="3" t="s">
        <v>616</v>
      </c>
      <c r="B144" s="0" t="s">
        <v>379</v>
      </c>
      <c r="C144" s="21" t="n">
        <f aca="false">a25_lens</f>
        <v>7.039</v>
      </c>
      <c r="D144" s="21" t="n">
        <f aca="false">a26_lens</f>
        <v>8.301</v>
      </c>
      <c r="E144" s="21" t="n">
        <f aca="false">D144*(1+g_lens)</f>
        <v>9.1311</v>
      </c>
      <c r="F144" s="21" t="n">
        <f aca="false">E144*(1+g_lens)</f>
        <v>10.04421</v>
      </c>
      <c r="G144" s="21" t="n">
        <f aca="false">F144*(1+g_lens)</f>
        <v>11.048631</v>
      </c>
      <c r="K144" s="3" t="s">
        <v>732</v>
      </c>
    </row>
    <row r="145" customFormat="false" ht="17.15" hidden="false" customHeight="false" outlineLevel="0" collapsed="false">
      <c r="A145" s="3" t="s">
        <v>573</v>
      </c>
      <c r="B145" s="0" t="s">
        <v>379</v>
      </c>
      <c r="C145" s="23" t="n">
        <f aca="false">a25_rev</f>
        <v>39.351</v>
      </c>
      <c r="D145" s="23" t="n">
        <f aca="false">D138+D143+D144</f>
        <v>54.4258</v>
      </c>
      <c r="E145" s="23" t="n">
        <f aca="false">E138+E143+E144</f>
        <v>72.033987284</v>
      </c>
      <c r="F145" s="23" t="n">
        <f aca="false">F138+F143+F144</f>
        <v>84.1022463502375</v>
      </c>
      <c r="G145" s="23" t="n">
        <f aca="false">G138+G143+G144</f>
        <v>96.1130701345114</v>
      </c>
      <c r="H145" s="25" t="n">
        <f aca="false">G145*(1+H146)</f>
        <v>107.186075216063</v>
      </c>
      <c r="I145" s="25" t="n">
        <f aca="false">H145*(1+I146)</f>
        <v>116.576010002736</v>
      </c>
      <c r="J145" s="25" t="n">
        <f aca="false">I145*(1+J146)</f>
        <v>123.5705706029</v>
      </c>
      <c r="K145" s="7" t="s">
        <v>733</v>
      </c>
    </row>
    <row r="146" customFormat="false" ht="15" hidden="false" customHeight="false" outlineLevel="0" collapsed="false">
      <c r="A146" s="3" t="s">
        <v>734</v>
      </c>
      <c r="B146" s="0" t="s">
        <v>43</v>
      </c>
      <c r="D146" s="20" t="n">
        <f aca="false">D145/C145-1</f>
        <v>0.383085563263958</v>
      </c>
      <c r="E146" s="20" t="n">
        <f aca="false">E145/D145-1</f>
        <v>0.323526476119781</v>
      </c>
      <c r="F146" s="20" t="n">
        <f aca="false">F145/E145-1</f>
        <v>0.167535624796909</v>
      </c>
      <c r="G146" s="20" t="n">
        <f aca="false">G145/F145-1</f>
        <v>0.142812163830389</v>
      </c>
      <c r="H146" s="26" t="n">
        <f aca="false">$G146+(fade_gA-$G146)*1/3</f>
        <v>0.115208109220259</v>
      </c>
      <c r="I146" s="26" t="n">
        <f aca="false">$G146+(fade_gA-$G146)*2/3</f>
        <v>0.0876040546101297</v>
      </c>
      <c r="J146" s="26" t="n">
        <f aca="false">$G146+(fade_gA-$G146)*3/3</f>
        <v>0.06</v>
      </c>
    </row>
    <row r="147" customFormat="false" ht="17.15" hidden="false" customHeight="false" outlineLevel="0" collapsed="false">
      <c r="A147" s="0" t="s">
        <v>735</v>
      </c>
      <c r="B147" s="0" t="s">
        <v>43</v>
      </c>
      <c r="D147" s="20" t="n">
        <f aca="false">D138/D145</f>
        <v>0.42</v>
      </c>
      <c r="E147" s="20" t="n">
        <f aca="false">E138/E145</f>
        <v>0.459817019893845</v>
      </c>
      <c r="F147" s="20" t="n">
        <f aca="false">F138/F145</f>
        <v>0.491063685341395</v>
      </c>
      <c r="G147" s="20" t="n">
        <f aca="false">G138/G145</f>
        <v>0.527171152539409</v>
      </c>
    </row>
    <row r="148" customFormat="false" ht="17.15" hidden="false" customHeight="false" outlineLevel="0" collapsed="false">
      <c r="A148" s="0" t="s">
        <v>736</v>
      </c>
      <c r="B148" s="0" t="s">
        <v>43</v>
      </c>
      <c r="D148" s="20" t="n">
        <f aca="false">D140/D145</f>
        <v>0.105</v>
      </c>
      <c r="E148" s="20" t="n">
        <f aca="false">E140/E145</f>
        <v>0.23146746251516</v>
      </c>
      <c r="F148" s="20" t="n">
        <f aca="false">F140/F145</f>
        <v>0.281120428455904</v>
      </c>
      <c r="G148" s="20" t="n">
        <f aca="false">G140/G145</f>
        <v>0.32408110469221</v>
      </c>
      <c r="K148" s="3" t="s">
        <v>737</v>
      </c>
    </row>
    <row r="149" customFormat="false" ht="17.15" hidden="false" customHeight="false" outlineLevel="0" collapsed="false">
      <c r="A149" s="5" t="s">
        <v>738</v>
      </c>
    </row>
    <row r="150" customFormat="false" ht="15" hidden="false" customHeight="false" outlineLevel="0" collapsed="false">
      <c r="A150" s="3" t="s">
        <v>739</v>
      </c>
      <c r="B150" s="0" t="s">
        <v>379</v>
      </c>
      <c r="C150" s="23" t="n">
        <f aca="false">a25_cx</f>
        <v>6.116</v>
      </c>
      <c r="D150" s="23" t="n">
        <f aca="false">capex26</f>
        <v>11</v>
      </c>
      <c r="E150" s="23" t="n">
        <f aca="false">cx27</f>
        <v>17</v>
      </c>
      <c r="F150" s="23" t="n">
        <f aca="false">cx28</f>
        <v>16</v>
      </c>
      <c r="G150" s="23" t="n">
        <f aca="false">cx29</f>
        <v>12</v>
      </c>
      <c r="H150" s="25" t="n">
        <f aca="false">H145*H169</f>
        <v>13.4817405534162</v>
      </c>
      <c r="I150" s="25" t="n">
        <f aca="false">I145*I169</f>
        <v>14.77073304233</v>
      </c>
      <c r="J150" s="25" t="n">
        <f aca="false">J145*J169</f>
        <v>15.7713906192965</v>
      </c>
    </row>
    <row r="151" customFormat="false" ht="17.15" hidden="false" customHeight="false" outlineLevel="0" collapsed="false">
      <c r="A151" s="3" t="s">
        <v>740</v>
      </c>
      <c r="B151" s="0" t="s">
        <v>379</v>
      </c>
      <c r="C151" s="23" t="n">
        <f aca="false">a25_da</f>
        <v>7.158</v>
      </c>
      <c r="D151" s="23" t="n">
        <f aca="false">da26</f>
        <v>8.32</v>
      </c>
      <c r="E151" s="23" t="n">
        <f aca="false">D151*(1-1/life)+D150/life</f>
        <v>8.655</v>
      </c>
      <c r="F151" s="23" t="n">
        <f aca="false">E151*(1-1/life)+E150/life</f>
        <v>9.698125</v>
      </c>
      <c r="G151" s="23" t="n">
        <f aca="false">F151*(1-1/life)+F150/life</f>
        <v>10.485859375</v>
      </c>
      <c r="H151" s="25" t="n">
        <f aca="false">H145*H152</f>
        <v>11.6939154071433</v>
      </c>
      <c r="I151" s="25" t="n">
        <f aca="false">I145*I152</f>
        <v>12.7183498110769</v>
      </c>
      <c r="J151" s="25" t="n">
        <f aca="false">J145*J152</f>
        <v>13.4814507997415</v>
      </c>
      <c r="K151" s="3" t="s">
        <v>741</v>
      </c>
    </row>
    <row r="152" customFormat="false" ht="17.15" hidden="false" customHeight="false" outlineLevel="0" collapsed="false">
      <c r="A152" s="3" t="s">
        <v>742</v>
      </c>
      <c r="B152" s="0" t="s">
        <v>43</v>
      </c>
      <c r="C152" s="20" t="n">
        <f aca="false">C151/C145</f>
        <v>0.181901349393916</v>
      </c>
      <c r="D152" s="20" t="n">
        <f aca="false">D151/D145</f>
        <v>0.152868676252807</v>
      </c>
      <c r="E152" s="20" t="n">
        <f aca="false">E151/E145</f>
        <v>0.120151616290196</v>
      </c>
      <c r="F152" s="20" t="n">
        <f aca="false">F151/F145</f>
        <v>0.115313507318376</v>
      </c>
      <c r="G152" s="20" t="n">
        <f aca="false">G151/G145</f>
        <v>0.109099203264706</v>
      </c>
      <c r="H152" s="26" t="n">
        <f aca="false">$G152</f>
        <v>0.109099203264706</v>
      </c>
      <c r="I152" s="26" t="n">
        <f aca="false">$G152</f>
        <v>0.109099203264706</v>
      </c>
      <c r="J152" s="26" t="n">
        <f aca="false">$G152</f>
        <v>0.109099203264706</v>
      </c>
    </row>
    <row r="153" customFormat="false" ht="17.15" hidden="false" customHeight="false" outlineLevel="0" collapsed="false">
      <c r="A153" s="0" t="s">
        <v>743</v>
      </c>
      <c r="B153" s="0" t="s">
        <v>379</v>
      </c>
      <c r="E153" s="21" t="n">
        <f aca="false">E139*((E131+E134)*(1-1/(E124*E125))+E135*(1-1/E125))</f>
        <v>4.320320004</v>
      </c>
      <c r="F153" s="21" t="n">
        <f aca="false">F139*((F131+F134)*(1-1/(F124*F125))+F135*(1-1/F125))</f>
        <v>4.30484593734069</v>
      </c>
      <c r="G153" s="21" t="n">
        <f aca="false">G139*((G131+G134)*(1-1/(G124*G125))+G135*(1-1/G125))</f>
        <v>3.5993643765486</v>
      </c>
      <c r="K153" s="7" t="s">
        <v>744</v>
      </c>
    </row>
    <row r="154" customFormat="false" ht="17.15" hidden="false" customHeight="false" outlineLevel="0" collapsed="false">
      <c r="A154" s="3" t="s">
        <v>745</v>
      </c>
      <c r="B154" s="0" t="s">
        <v>379</v>
      </c>
      <c r="C154" s="21" t="n">
        <f aca="false">a25_gp</f>
        <v>8.314</v>
      </c>
      <c r="D154" s="21" t="n">
        <f aca="false">a26_gp</f>
        <v>15.328536</v>
      </c>
      <c r="E154" s="21" t="n">
        <f aca="false">$D154+ft_abf*(E138-E153-$D138)+ft_bt*(E143-$D143)+ft_lens*(E144-$D144)+E153-(E151-$D151)</f>
        <v>25.590561148</v>
      </c>
      <c r="F154" s="21" t="n">
        <f aca="false">$D154+ft_abf*(F138-F153-$D138)+ft_bt*(F143-$D143)+ft_lens*(F144-$D144)+F153-(F151-$D151)</f>
        <v>30.3792709781891</v>
      </c>
      <c r="G154" s="21" t="n">
        <f aca="false">$D154+ft_abf*(G138-G153-$D138)+ft_bt*(G143-$D143)+ft_lens*(G144-$D144)+G153-(G151-$D151)</f>
        <v>35.11209047165</v>
      </c>
      <c r="K154" s="3" t="s">
        <v>746</v>
      </c>
    </row>
    <row r="155" customFormat="false" ht="15" hidden="false" customHeight="false" outlineLevel="0" collapsed="false">
      <c r="A155" s="3" t="s">
        <v>580</v>
      </c>
      <c r="B155" s="0" t="s">
        <v>43</v>
      </c>
      <c r="C155" s="16" t="n">
        <f aca="false">C154/C145</f>
        <v>0.211277985311682</v>
      </c>
      <c r="D155" s="16" t="n">
        <f aca="false">D154/D145</f>
        <v>0.281640986443929</v>
      </c>
      <c r="E155" s="16" t="n">
        <f aca="false">E154/E145</f>
        <v>0.3552567629931</v>
      </c>
      <c r="F155" s="16" t="n">
        <f aca="false">F154/F145</f>
        <v>0.361218306246862</v>
      </c>
      <c r="G155" s="16" t="n">
        <f aca="false">G154/G145</f>
        <v>0.365320662658161</v>
      </c>
    </row>
    <row r="156" customFormat="false" ht="15" hidden="false" customHeight="false" outlineLevel="0" collapsed="false">
      <c r="A156" s="3" t="s">
        <v>582</v>
      </c>
      <c r="B156" s="0" t="s">
        <v>379</v>
      </c>
      <c r="C156" s="21" t="n">
        <f aca="false">a25_opx</f>
        <v>5.644</v>
      </c>
      <c r="D156" s="21" t="n">
        <f aca="false">a26_opx</f>
        <v>6.54036</v>
      </c>
      <c r="E156" s="21" t="n">
        <f aca="false">D156*(1+phi*E146)</f>
        <v>7.80994777401287</v>
      </c>
      <c r="F156" s="21" t="n">
        <f aca="false">E156*(1+phi*F146)</f>
        <v>8.59501446198315</v>
      </c>
      <c r="G156" s="21" t="n">
        <f aca="false">F156*(1+phi*G146)</f>
        <v>9.33149803006473</v>
      </c>
    </row>
    <row r="157" customFormat="false" ht="15" hidden="false" customHeight="false" outlineLevel="0" collapsed="false">
      <c r="A157" s="3" t="s">
        <v>585</v>
      </c>
      <c r="B157" s="0" t="s">
        <v>379</v>
      </c>
      <c r="C157" s="21" t="n">
        <f aca="false">C154-C156</f>
        <v>2.67</v>
      </c>
      <c r="D157" s="21" t="n">
        <f aca="false">D154-D156</f>
        <v>8.788176</v>
      </c>
      <c r="E157" s="21" t="n">
        <f aca="false">E154-E156</f>
        <v>17.7806133739871</v>
      </c>
      <c r="F157" s="21" t="n">
        <f aca="false">F154-F156</f>
        <v>21.784256516206</v>
      </c>
      <c r="G157" s="21" t="n">
        <f aca="false">G154-G156</f>
        <v>25.7805924415853</v>
      </c>
    </row>
    <row r="158" customFormat="false" ht="15" hidden="false" customHeight="false" outlineLevel="0" collapsed="false">
      <c r="A158" s="3" t="s">
        <v>683</v>
      </c>
      <c r="B158" s="0" t="s">
        <v>43</v>
      </c>
      <c r="C158" s="16" t="n">
        <f aca="false">C157/C145</f>
        <v>0.0678508805367081</v>
      </c>
      <c r="D158" s="16" t="n">
        <f aca="false">D157/D145</f>
        <v>0.161470773052486</v>
      </c>
      <c r="E158" s="16" t="n">
        <f aca="false">E157/E145</f>
        <v>0.246836445466854</v>
      </c>
      <c r="F158" s="16" t="n">
        <f aca="false">F157/F145</f>
        <v>0.259021101832251</v>
      </c>
      <c r="G158" s="16" t="n">
        <f aca="false">G157/G145</f>
        <v>0.26823191066007</v>
      </c>
    </row>
    <row r="159" customFormat="false" ht="15" hidden="false" customHeight="false" outlineLevel="0" collapsed="false">
      <c r="A159" s="3" t="s">
        <v>588</v>
      </c>
      <c r="B159" s="0" t="s">
        <v>379</v>
      </c>
      <c r="C159" s="21" t="n">
        <f aca="false">a25_nonop</f>
        <v>0.417</v>
      </c>
      <c r="D159" s="21" t="n">
        <f aca="false">a26_nonop</f>
        <v>0.37882</v>
      </c>
      <c r="E159" s="21" t="n">
        <f aca="false">nonop27</f>
        <v>0.4</v>
      </c>
      <c r="F159" s="21" t="n">
        <f aca="false">nonop28</f>
        <v>0.4</v>
      </c>
      <c r="G159" s="21" t="n">
        <f aca="false">nonop29</f>
        <v>0.4</v>
      </c>
    </row>
    <row r="160" customFormat="false" ht="15" hidden="false" customHeight="false" outlineLevel="0" collapsed="false">
      <c r="A160" s="3" t="s">
        <v>590</v>
      </c>
      <c r="B160" s="0" t="s">
        <v>379</v>
      </c>
      <c r="C160" s="21" t="n">
        <f aca="false">C157+C159</f>
        <v>3.087</v>
      </c>
      <c r="D160" s="21" t="n">
        <f aca="false">D157+D159</f>
        <v>9.166996</v>
      </c>
      <c r="E160" s="21" t="n">
        <f aca="false">E157+E159</f>
        <v>18.1806133739871</v>
      </c>
      <c r="F160" s="21" t="n">
        <f aca="false">F157+F159</f>
        <v>22.184256516206</v>
      </c>
      <c r="G160" s="21" t="n">
        <f aca="false">G157+G159</f>
        <v>26.1805924415853</v>
      </c>
    </row>
    <row r="161" customFormat="false" ht="15" hidden="false" customHeight="false" outlineLevel="0" collapsed="false">
      <c r="A161" s="3" t="s">
        <v>591</v>
      </c>
      <c r="B161" s="0" t="s">
        <v>379</v>
      </c>
      <c r="E161" s="21" t="n">
        <f aca="false">E160*tax</f>
        <v>2.18167360487846</v>
      </c>
      <c r="F161" s="21" t="n">
        <f aca="false">F160*tax</f>
        <v>2.66211078194471</v>
      </c>
      <c r="G161" s="21" t="n">
        <f aca="false">G160*tax</f>
        <v>3.14167109299023</v>
      </c>
    </row>
    <row r="162" customFormat="false" ht="15" hidden="false" customHeight="false" outlineLevel="0" collapsed="false">
      <c r="A162" s="3" t="s">
        <v>592</v>
      </c>
      <c r="B162" s="0" t="s">
        <v>379</v>
      </c>
      <c r="C162" s="21" t="n">
        <f aca="false">a25_nic</f>
        <v>2.71712</v>
      </c>
      <c r="D162" s="21" t="n">
        <f aca="false">a26_nic</f>
        <v>8.39979776</v>
      </c>
      <c r="E162" s="21" t="n">
        <f aca="false">E160-E161</f>
        <v>15.9989397691087</v>
      </c>
      <c r="F162" s="21" t="n">
        <f aca="false">F160-F161</f>
        <v>19.5221457342612</v>
      </c>
      <c r="G162" s="21" t="n">
        <f aca="false">G160-G161</f>
        <v>23.038921348595</v>
      </c>
    </row>
    <row r="163" customFormat="false" ht="17.15" hidden="false" customHeight="false" outlineLevel="0" collapsed="false">
      <c r="A163" s="3" t="s">
        <v>747</v>
      </c>
      <c r="B163" s="0" t="s">
        <v>379</v>
      </c>
      <c r="C163" s="21" t="n">
        <f aca="false">a25_nci</f>
        <v>1.12112</v>
      </c>
      <c r="D163" s="21" t="n">
        <f aca="false">a26_nci</f>
        <v>1.43839238487797</v>
      </c>
      <c r="E163" s="21" t="n">
        <f aca="false">E144*nm_lens*nci_sh</f>
        <v>1.57074538036261</v>
      </c>
      <c r="F163" s="21" t="n">
        <f aca="false">F144*nm_lens*nci_sh</f>
        <v>1.72781991839887</v>
      </c>
      <c r="G163" s="21" t="n">
        <f aca="false">G144*nm_lens*nci_sh</f>
        <v>1.90060191023875</v>
      </c>
      <c r="K163" s="3" t="s">
        <v>748</v>
      </c>
    </row>
    <row r="164" customFormat="false" ht="15" hidden="false" customHeight="false" outlineLevel="0" collapsed="false">
      <c r="A164" s="3" t="s">
        <v>598</v>
      </c>
      <c r="B164" s="0" t="s">
        <v>379</v>
      </c>
      <c r="C164" s="21" t="n">
        <f aca="false">a25_ni</f>
        <v>1.596</v>
      </c>
      <c r="D164" s="21" t="n">
        <f aca="false">a26_ni</f>
        <v>6.96140537512203</v>
      </c>
      <c r="E164" s="21" t="n">
        <f aca="false">E162-E163</f>
        <v>14.4281943887461</v>
      </c>
      <c r="F164" s="21" t="n">
        <f aca="false">F162-F163</f>
        <v>17.7943258158624</v>
      </c>
      <c r="G164" s="21" t="n">
        <f aca="false">G162-G163</f>
        <v>21.1383194383563</v>
      </c>
      <c r="H164" s="30" t="n">
        <f aca="false">H145*H168</f>
        <v>23.6088391986619</v>
      </c>
      <c r="I164" s="30" t="n">
        <f aca="false">I145*I168</f>
        <v>25.7153680672457</v>
      </c>
      <c r="J164" s="30" t="n">
        <f aca="false">J145*J168</f>
        <v>27.2988869112315</v>
      </c>
    </row>
    <row r="165" customFormat="false" ht="15" hidden="false" customHeight="false" outlineLevel="0" collapsed="false">
      <c r="A165" s="3" t="s">
        <v>749</v>
      </c>
      <c r="B165" s="3" t="s">
        <v>465</v>
      </c>
      <c r="C165" s="29" t="n">
        <f aca="false">a25_sh</f>
        <v>0.454700854700855</v>
      </c>
      <c r="D165" s="29" t="n">
        <f aca="false">a26_sh</f>
        <v>0.508341020486215</v>
      </c>
      <c r="E165" s="29" t="n">
        <f aca="false">a26_shend*(1+sh_g)</f>
        <v>0.52691</v>
      </c>
      <c r="F165" s="29" t="n">
        <f aca="false">E165*(1+sh_g)</f>
        <v>0.52691</v>
      </c>
      <c r="G165" s="29" t="n">
        <f aca="false">F165*(1+sh_g)</f>
        <v>0.52691</v>
      </c>
      <c r="H165" s="31" t="n">
        <f aca="false">G165*(1+sh_g)</f>
        <v>0.52691</v>
      </c>
      <c r="I165" s="31" t="n">
        <f aca="false">H165*(1+sh_g)</f>
        <v>0.52691</v>
      </c>
      <c r="J165" s="31" t="n">
        <f aca="false">I165*(1+sh_g)</f>
        <v>0.52691</v>
      </c>
    </row>
    <row r="166" customFormat="false" ht="17.15" hidden="false" customHeight="false" outlineLevel="0" collapsed="false">
      <c r="A166" s="0" t="s">
        <v>603</v>
      </c>
      <c r="B166" s="0" t="s">
        <v>471</v>
      </c>
      <c r="C166" s="18" t="n">
        <f aca="false">C164/C165</f>
        <v>3.51</v>
      </c>
      <c r="D166" s="18" t="n">
        <f aca="false">D164/D165</f>
        <v>13.6943608612652</v>
      </c>
      <c r="E166" s="18" t="n">
        <f aca="false">E164/E165</f>
        <v>27.3826543218881</v>
      </c>
      <c r="F166" s="18" t="n">
        <f aca="false">F164/F165</f>
        <v>33.7710914878487</v>
      </c>
      <c r="G166" s="18" t="n">
        <f aca="false">G164/G165</f>
        <v>40.1175142592782</v>
      </c>
      <c r="H166" s="28" t="n">
        <f aca="false">H164/H165</f>
        <v>44.8062082683226</v>
      </c>
      <c r="I166" s="28" t="n">
        <f aca="false">I164/I165</f>
        <v>48.804099499432</v>
      </c>
      <c r="J166" s="28" t="n">
        <f aca="false">J164/J165</f>
        <v>51.8093923274022</v>
      </c>
    </row>
    <row r="167" customFormat="false" ht="17.15" hidden="false" customHeight="false" outlineLevel="0" collapsed="false">
      <c r="A167" s="0" t="s">
        <v>750</v>
      </c>
      <c r="B167" s="0" t="s">
        <v>43</v>
      </c>
      <c r="D167" s="20" t="n">
        <f aca="false">D166/C166-1</f>
        <v>2.90152731090177</v>
      </c>
      <c r="E167" s="20" t="n">
        <f aca="false">E166/D166-1</f>
        <v>0.999556941670828</v>
      </c>
      <c r="F167" s="20" t="n">
        <f aca="false">F166/E166-1</f>
        <v>0.233302334056566</v>
      </c>
      <c r="G167" s="20" t="n">
        <f aca="false">G166/F166-1</f>
        <v>0.187924715839078</v>
      </c>
      <c r="H167" s="26" t="n">
        <f aca="false">H166/G166-1</f>
        <v>0.116873991213452</v>
      </c>
      <c r="I167" s="26" t="n">
        <f aca="false">I166/H166-1</f>
        <v>0.0892262788042213</v>
      </c>
      <c r="J167" s="26" t="n">
        <f aca="false">J166/I166-1</f>
        <v>0.0615786964372773</v>
      </c>
    </row>
    <row r="168" customFormat="false" ht="17.15" hidden="false" customHeight="false" outlineLevel="0" collapsed="false">
      <c r="A168" s="3" t="s">
        <v>751</v>
      </c>
      <c r="B168" s="0" t="s">
        <v>43</v>
      </c>
      <c r="C168" s="16" t="n">
        <f aca="false">C164/C145</f>
        <v>0.0405580544331783</v>
      </c>
      <c r="D168" s="16" t="n">
        <f aca="false">D164/D145</f>
        <v>0.127906349105057</v>
      </c>
      <c r="E168" s="16" t="n">
        <f aca="false">E164/E145</f>
        <v>0.20029703939422</v>
      </c>
      <c r="F168" s="16" t="n">
        <f aca="false">F164/F145</f>
        <v>0.211579673410378</v>
      </c>
      <c r="G168" s="16" t="n">
        <f aca="false">G164/G145</f>
        <v>0.219931788764764</v>
      </c>
      <c r="H168" s="27" t="n">
        <f aca="false">$G168+(fade_mA-$G168)*1/3</f>
        <v>0.220260319739032</v>
      </c>
      <c r="I168" s="27" t="n">
        <f aca="false">$G168+(fade_mA-$G168)*2/3</f>
        <v>0.2205888507133</v>
      </c>
      <c r="J168" s="27" t="n">
        <f aca="false">$G168+(fade_mA-$G168)*3/3</f>
        <v>0.220917381687568</v>
      </c>
    </row>
    <row r="169" customFormat="false" ht="17.15" hidden="false" customHeight="false" outlineLevel="0" collapsed="false">
      <c r="A169" s="3" t="s">
        <v>752</v>
      </c>
      <c r="B169" s="0" t="s">
        <v>43</v>
      </c>
      <c r="C169" s="20" t="n">
        <f aca="false">C150/C145</f>
        <v>0.155421717364235</v>
      </c>
      <c r="D169" s="20" t="n">
        <f aca="false">D150/D145</f>
        <v>0.202110028699624</v>
      </c>
      <c r="E169" s="20" t="n">
        <f aca="false">E150/E145</f>
        <v>0.235999708484498</v>
      </c>
      <c r="F169" s="20" t="n">
        <f aca="false">F150/F145</f>
        <v>0.190244621212247</v>
      </c>
      <c r="G169" s="20" t="n">
        <f aca="false">G150/G145</f>
        <v>0.124852946464054</v>
      </c>
      <c r="H169" s="26" t="n">
        <f aca="false">$G169+($G152*(1+tp_g)^(life/2)-$G169)*1/3</f>
        <v>0.125778843252168</v>
      </c>
      <c r="I169" s="26" t="n">
        <f aca="false">$G169+($G152*(1+tp_g)^(life/2)-$G169)*2/3</f>
        <v>0.126704740040282</v>
      </c>
      <c r="J169" s="26" t="n">
        <f aca="false">$G169+($G152*(1+tp_g)^(life/2)-$G169)*3/3</f>
        <v>0.127630636828396</v>
      </c>
      <c r="K169" s="7" t="s">
        <v>753</v>
      </c>
    </row>
    <row r="170" customFormat="false" ht="15" hidden="false" customHeight="false" outlineLevel="0" collapsed="false">
      <c r="A170" s="3" t="s">
        <v>754</v>
      </c>
      <c r="B170" s="0" t="s">
        <v>379</v>
      </c>
      <c r="D170" s="21" t="n">
        <f aca="false">D164+D151-D150</f>
        <v>4.28140537512203</v>
      </c>
      <c r="E170" s="21" t="n">
        <f aca="false">E164+E151-E150</f>
        <v>6.08319438874607</v>
      </c>
      <c r="F170" s="21" t="n">
        <f aca="false">F164+F151-F150</f>
        <v>11.4924508158624</v>
      </c>
      <c r="G170" s="21" t="n">
        <f aca="false">G164+G151-G150</f>
        <v>19.6241788133563</v>
      </c>
      <c r="H170" s="30" t="n">
        <f aca="false">H164+H151-H150</f>
        <v>21.8210140523889</v>
      </c>
      <c r="I170" s="30" t="n">
        <f aca="false">I164+I151-I150</f>
        <v>23.6629848359926</v>
      </c>
      <c r="J170" s="30" t="n">
        <f aca="false">J164+J151-J150</f>
        <v>25.0089470916765</v>
      </c>
      <c r="K170" s="3" t="s">
        <v>755</v>
      </c>
    </row>
    <row r="171" customFormat="false" ht="15" hidden="false" customHeight="false" outlineLevel="0" collapsed="false">
      <c r="A171" s="3" t="s">
        <v>756</v>
      </c>
      <c r="B171" s="0" t="s">
        <v>471</v>
      </c>
      <c r="D171" s="18" t="n">
        <f aca="false">D170/D165</f>
        <v>8.42230943909854</v>
      </c>
      <c r="E171" s="18" t="n">
        <f aca="false">E170/E165</f>
        <v>11.5450349941092</v>
      </c>
      <c r="F171" s="18" t="n">
        <f aca="false">F170/F165</f>
        <v>21.8110318951289</v>
      </c>
      <c r="G171" s="18" t="n">
        <f aca="false">G170/G165</f>
        <v>37.2438913919954</v>
      </c>
      <c r="H171" s="28" t="n">
        <f aca="false">H170/H165</f>
        <v>41.4131712292212</v>
      </c>
      <c r="I171" s="28" t="n">
        <f aca="false">I170/I165</f>
        <v>44.9089689624273</v>
      </c>
      <c r="J171" s="28" t="n">
        <f aca="false">J170/J165</f>
        <v>47.4634132805916</v>
      </c>
    </row>
    <row r="174" customFormat="false" ht="17.15" hidden="false" customHeight="false" outlineLevel="0" collapsed="false">
      <c r="A174" s="1" t="s">
        <v>1092</v>
      </c>
    </row>
    <row r="175" customFormat="false" ht="17.15" hidden="false" customHeight="false" outlineLevel="0" collapsed="false">
      <c r="A175" s="4" t="s">
        <v>20</v>
      </c>
      <c r="B175" s="4" t="s">
        <v>21</v>
      </c>
      <c r="C175" s="13" t="s">
        <v>566</v>
      </c>
      <c r="D175" s="13" t="s">
        <v>670</v>
      </c>
      <c r="E175" s="13" t="s">
        <v>671</v>
      </c>
      <c r="F175" s="13" t="s">
        <v>672</v>
      </c>
      <c r="G175" s="13" t="s">
        <v>673</v>
      </c>
      <c r="H175" s="13" t="s">
        <v>674</v>
      </c>
      <c r="I175" s="13" t="s">
        <v>675</v>
      </c>
      <c r="J175" s="13" t="s">
        <v>676</v>
      </c>
      <c r="K175" s="4" t="s">
        <v>630</v>
      </c>
    </row>
    <row r="176" customFormat="false" ht="17.15" hidden="false" customHeight="false" outlineLevel="0" collapsed="false">
      <c r="A176" s="5" t="s">
        <v>694</v>
      </c>
    </row>
    <row r="177" customFormat="false" ht="17.15" hidden="false" customHeight="false" outlineLevel="0" collapsed="false">
      <c r="A177" s="0" t="s">
        <v>695</v>
      </c>
      <c r="B177" s="3" t="s">
        <v>31</v>
      </c>
      <c r="D177" s="21" t="n">
        <f aca="false">(u_bw_26+u_rb_26+u_ru_26+u_hp_26)*1</f>
        <v>7.6</v>
      </c>
      <c r="E177" s="21" t="n">
        <f aca="false">(u_bw_27+u_rb_27+u_ru_27+u_hp_27)*1*1</f>
        <v>9.7</v>
      </c>
      <c r="F177" s="21" t="n">
        <f aca="false">(u_bw_28+u_rb_28+u_ru_28+u_hp_28)*um28_A*1</f>
        <v>9.5</v>
      </c>
      <c r="G177" s="21" t="n">
        <f aca="false">(u_bw_28*(1+g29_bw)+u_rb_28*(1+g29_rb)+u_ru_28*(1+g29_ru)+u_hp_28*(1+g29_hp))*um29_A*1</f>
        <v>10.6</v>
      </c>
      <c r="K177" s="7" t="s">
        <v>696</v>
      </c>
    </row>
    <row r="178" customFormat="false" ht="17.15" hidden="false" customHeight="false" outlineLevel="0" collapsed="false">
      <c r="A178" s="3" t="s">
        <v>697</v>
      </c>
      <c r="B178" s="3" t="s">
        <v>31</v>
      </c>
      <c r="D178" s="21" t="n">
        <f aca="false">(u_amd_26+u_tpu_26+u_trn_26+u_oth_26)*1</f>
        <v>7.6</v>
      </c>
      <c r="E178" s="21" t="n">
        <f aca="false">(u_amd_27+u_tpu_27+u_trn_27+u_oth_27)*1*1</f>
        <v>14</v>
      </c>
      <c r="F178" s="21" t="n">
        <f aca="false">(u_amd_28+u_tpu_28+u_trn_28+u_oth_28)*um28_A*1</f>
        <v>17</v>
      </c>
      <c r="G178" s="21" t="n">
        <f aca="false">(u_amd_28*(1+g29_amd)+u_tpu_28*(1+g29_tpu)+u_trn_28*(1+g29_trn)+u_oth_28*(1+g29_oth))*um29_A*1</f>
        <v>19.55</v>
      </c>
      <c r="K178" s="7" t="s">
        <v>698</v>
      </c>
    </row>
    <row r="179" customFormat="false" ht="17.15" hidden="false" customHeight="false" outlineLevel="0" collapsed="false">
      <c r="A179" s="0" t="s">
        <v>699</v>
      </c>
      <c r="B179" s="3" t="s">
        <v>31</v>
      </c>
      <c r="D179" s="21" t="n">
        <f aca="false">D177*cpu_r</f>
        <v>3.04</v>
      </c>
      <c r="E179" s="21" t="n">
        <f aca="false">E177*cpu_r</f>
        <v>3.88</v>
      </c>
      <c r="F179" s="21" t="n">
        <f aca="false">F177*cpu_r</f>
        <v>3.8</v>
      </c>
      <c r="G179" s="21" t="n">
        <f aca="false">G177*cpu_r</f>
        <v>4.24</v>
      </c>
      <c r="K179" s="7" t="s">
        <v>700</v>
      </c>
    </row>
    <row r="180" customFormat="false" ht="17.15" hidden="false" customHeight="false" outlineLevel="0" collapsed="false">
      <c r="A180" s="3" t="s">
        <v>701</v>
      </c>
      <c r="B180" s="0" t="s">
        <v>153</v>
      </c>
      <c r="D180" s="19" t="n">
        <f aca="false">1</f>
        <v>1</v>
      </c>
      <c r="E180" s="19" t="n">
        <f aca="false">D180*(1+g_asp)</f>
        <v>1.18</v>
      </c>
      <c r="F180" s="19" t="n">
        <f aca="false">E180*(1+g_asp)</f>
        <v>1.3924</v>
      </c>
      <c r="G180" s="19" t="n">
        <f aca="false">F180*(1+g_asp)</f>
        <v>1.643032</v>
      </c>
      <c r="K180" s="7" t="s">
        <v>702</v>
      </c>
    </row>
    <row r="181" customFormat="false" ht="17.15" hidden="false" customHeight="false" outlineLevel="0" collapsed="false">
      <c r="A181" s="0" t="s">
        <v>703</v>
      </c>
      <c r="B181" s="0" t="s">
        <v>153</v>
      </c>
      <c r="D181" s="18" t="n">
        <f aca="false">1</f>
        <v>1</v>
      </c>
      <c r="E181" s="18" t="n">
        <f aca="false">ibpp_27</f>
        <v>1</v>
      </c>
      <c r="F181" s="18" t="n">
        <f aca="false">ibpp_28</f>
        <v>0.95</v>
      </c>
      <c r="G181" s="18" t="n">
        <f aca="false">ibpp_29</f>
        <v>0.9</v>
      </c>
      <c r="K181" s="7" t="s">
        <v>704</v>
      </c>
    </row>
    <row r="182" customFormat="false" ht="17.15" hidden="false" customHeight="false" outlineLevel="0" collapsed="false">
      <c r="A182" s="3" t="s">
        <v>705</v>
      </c>
      <c r="B182" s="0" t="s">
        <v>153</v>
      </c>
      <c r="D182" s="18" t="n">
        <f aca="false">1</f>
        <v>1</v>
      </c>
      <c r="E182" s="18" t="n">
        <f aca="false">1+carry</f>
        <v>1.15</v>
      </c>
      <c r="F182" s="18" t="n">
        <f aca="false">1+carry</f>
        <v>1.15</v>
      </c>
      <c r="G182" s="18" t="n">
        <f aca="false">1+carry</f>
        <v>1.15</v>
      </c>
      <c r="K182" s="7" t="s">
        <v>706</v>
      </c>
    </row>
    <row r="183" customFormat="false" ht="17.15" hidden="false" customHeight="false" outlineLevel="0" collapsed="false">
      <c r="A183" s="3" t="s">
        <v>707</v>
      </c>
      <c r="B183" s="0" t="s">
        <v>708</v>
      </c>
      <c r="D183" s="23" t="n">
        <f aca="false">v26*D180*D181</f>
        <v>215.308596</v>
      </c>
      <c r="E183" s="23" t="n">
        <f aca="false">v26*E180*E181</f>
        <v>254.06414328</v>
      </c>
      <c r="F183" s="23" t="n">
        <f aca="false">v26*F180*F181</f>
        <v>284.80590461688</v>
      </c>
      <c r="G183" s="23" t="n">
        <f aca="false">v26*G180*G181</f>
        <v>318.383021792765</v>
      </c>
      <c r="K183" s="7" t="s">
        <v>709</v>
      </c>
    </row>
    <row r="184" customFormat="false" ht="17.15" hidden="false" customHeight="false" outlineLevel="0" collapsed="false">
      <c r="A184" s="3" t="s">
        <v>710</v>
      </c>
      <c r="B184" s="0" t="s">
        <v>43</v>
      </c>
      <c r="D184" s="20" t="n">
        <f aca="false">sh_nv_26</f>
        <v>0.02</v>
      </c>
      <c r="E184" s="20" t="n">
        <f aca="false">sh_nv_27</f>
        <v>0.03</v>
      </c>
      <c r="F184" s="20" t="n">
        <f aca="false">sh_nv_28</f>
        <v>0.05</v>
      </c>
      <c r="G184" s="20" t="n">
        <f aca="false">sh_nv_29</f>
        <v>0.06</v>
      </c>
    </row>
    <row r="185" customFormat="false" ht="17.15" hidden="false" customHeight="false" outlineLevel="0" collapsed="false">
      <c r="A185" s="3" t="s">
        <v>711</v>
      </c>
      <c r="B185" s="0" t="s">
        <v>43</v>
      </c>
      <c r="D185" s="20" t="n">
        <f aca="false">sh_ot_26</f>
        <v>0.03</v>
      </c>
      <c r="E185" s="20" t="n">
        <f aca="false">sh_ot_27</f>
        <v>0.05</v>
      </c>
      <c r="F185" s="20" t="n">
        <f aca="false">sh_ot_28</f>
        <v>0.06</v>
      </c>
      <c r="G185" s="20" t="n">
        <f aca="false">sh_ot_29</f>
        <v>0.06</v>
      </c>
    </row>
    <row r="186" customFormat="false" ht="17.15" hidden="false" customHeight="false" outlineLevel="0" collapsed="false">
      <c r="A186" s="3" t="s">
        <v>712</v>
      </c>
      <c r="B186" s="0" t="s">
        <v>43</v>
      </c>
      <c r="D186" s="20" t="n">
        <f aca="false">sh_cpu_26</f>
        <v>0.35</v>
      </c>
      <c r="E186" s="20" t="n">
        <f aca="false">sh_cpu_27</f>
        <v>0.7</v>
      </c>
      <c r="F186" s="20" t="n">
        <f aca="false">sh_cpu_28</f>
        <v>0.75</v>
      </c>
      <c r="G186" s="20" t="n">
        <f aca="false">sh_cpu_29</f>
        <v>0.7</v>
      </c>
    </row>
    <row r="187" customFormat="false" ht="17.15" hidden="false" customHeight="false" outlineLevel="0" collapsed="false">
      <c r="A187" s="3" t="s">
        <v>713</v>
      </c>
      <c r="B187" s="0" t="s">
        <v>660</v>
      </c>
      <c r="D187" s="22" t="n">
        <f aca="false">(D177*D183*D184+D178*D183*v_ot*D185+D179*D183*v_cpu*D186)*D182</f>
        <v>140.7256983456</v>
      </c>
      <c r="E187" s="22" t="n">
        <f aca="false">(E177*E183*E184+E178*E183*v_ot*E185+E179*E183*v_cpu*E186)*E182</f>
        <v>486.703057357198</v>
      </c>
      <c r="F187" s="22" t="n">
        <f aca="false">(F177*F183*F184+F178*F183*v_ot*F185+F179*F183*v_cpu*F186)*F182</f>
        <v>702.872492003998</v>
      </c>
      <c r="G187" s="22" t="n">
        <f aca="false">(G177*G183*G184+G178*G183*v_ot*G185+G179*G183*v_cpu*G186)*G182</f>
        <v>902.463042932027</v>
      </c>
    </row>
    <row r="188" customFormat="false" ht="17.15" hidden="false" customHeight="false" outlineLevel="0" collapsed="false">
      <c r="A188" s="3" t="s">
        <v>714</v>
      </c>
      <c r="B188" s="0" t="s">
        <v>379</v>
      </c>
      <c r="D188" s="21" t="n">
        <f aca="false">D187*fx/1000</f>
        <v>4.573585196232</v>
      </c>
      <c r="E188" s="21" t="n">
        <f aca="false">E187*fx/1000</f>
        <v>15.8178493641089</v>
      </c>
      <c r="F188" s="21" t="n">
        <f aca="false">F187*fx/1000</f>
        <v>22.8433559901299</v>
      </c>
      <c r="G188" s="21" t="n">
        <f aca="false">G187*fx/1000</f>
        <v>29.3300488952909</v>
      </c>
    </row>
    <row r="189" customFormat="false" ht="17.15" hidden="false" customHeight="false" outlineLevel="0" collapsed="false">
      <c r="A189" s="5" t="s">
        <v>715</v>
      </c>
    </row>
    <row r="190" customFormat="false" ht="17.15" hidden="false" customHeight="false" outlineLevel="0" collapsed="false">
      <c r="A190" s="0" t="s">
        <v>716</v>
      </c>
      <c r="B190" s="0" t="s">
        <v>379</v>
      </c>
      <c r="D190" s="21" t="n">
        <f aca="false">a26_abf*ai_abf</f>
        <v>5.714709</v>
      </c>
      <c r="K190" s="3" t="s">
        <v>717</v>
      </c>
    </row>
    <row r="191" customFormat="false" ht="17.15" hidden="false" customHeight="false" outlineLevel="0" collapsed="false">
      <c r="A191" s="3" t="s">
        <v>718</v>
      </c>
      <c r="B191" s="0" t="s">
        <v>379</v>
      </c>
      <c r="D191" s="21" t="n">
        <f aca="false">D190-D188</f>
        <v>1.141123803768</v>
      </c>
      <c r="E191" s="21" t="n">
        <f aca="false">$D191*(swm_27/swm_26)^el_o*1*1*E181*E182</f>
        <v>1.83552013039205</v>
      </c>
      <c r="F191" s="21" t="n">
        <f aca="false">$D191*(swm_28/swm_26)^el_o*um28_A*1*F181*F182</f>
        <v>1.87583060833026</v>
      </c>
      <c r="G191" s="21" t="n">
        <f aca="false">$D191*(swm_29/swm_26)^el_o*um29_A*1*G181*G182</f>
        <v>1.89582733342525</v>
      </c>
      <c r="K191" s="7" t="s">
        <v>719</v>
      </c>
    </row>
    <row r="192" customFormat="false" ht="17.15" hidden="false" customHeight="false" outlineLevel="0" collapsed="false">
      <c r="A192" s="3" t="s">
        <v>720</v>
      </c>
      <c r="B192" s="0" t="s">
        <v>379</v>
      </c>
      <c r="D192" s="21" t="n">
        <f aca="false">a26_abf-D190</f>
        <v>17.144127</v>
      </c>
      <c r="E192" s="21" t="n">
        <f aca="false">$D192*(1+g_nai)^1*E182</f>
        <v>20.898690813</v>
      </c>
      <c r="F192" s="21" t="n">
        <f aca="false">$D192*(1+g_nai)^2*F182</f>
        <v>22.15261226178</v>
      </c>
      <c r="G192" s="21" t="n">
        <f aca="false">$D192*(1+g_nai)^3*G182</f>
        <v>23.4817689974868</v>
      </c>
      <c r="K192" s="3" t="s">
        <v>721</v>
      </c>
    </row>
    <row r="193" customFormat="false" ht="17.15" hidden="false" customHeight="false" outlineLevel="0" collapsed="false">
      <c r="A193" s="0" t="s">
        <v>722</v>
      </c>
      <c r="B193" s="0" t="s">
        <v>379</v>
      </c>
      <c r="D193" s="21" t="n">
        <f aca="false">D188+D191+D192</f>
        <v>22.858836</v>
      </c>
      <c r="E193" s="21" t="n">
        <f aca="false">E188+E191+E192</f>
        <v>38.552060307501</v>
      </c>
      <c r="F193" s="21" t="n">
        <f aca="false">F188+F191+F192</f>
        <v>46.8717988602402</v>
      </c>
      <c r="G193" s="21" t="n">
        <f aca="false">G188+G191+G192</f>
        <v>54.7076452262029</v>
      </c>
    </row>
    <row r="194" customFormat="false" ht="17.15" hidden="false" customHeight="false" outlineLevel="0" collapsed="false">
      <c r="A194" s="0" t="s">
        <v>723</v>
      </c>
      <c r="B194" s="0" t="s">
        <v>379</v>
      </c>
      <c r="D194" s="21" t="n">
        <f aca="false">a26_abf</f>
        <v>22.858836</v>
      </c>
      <c r="E194" s="21" t="n">
        <f aca="false">$D193*cap_27_lo*(1+g_mix)^1*E181*E182</f>
        <v>30.362248917</v>
      </c>
      <c r="F194" s="21" t="n">
        <f aca="false">$D193*cap_28_lo*(1+g_mix)^2*F181*F182</f>
        <v>35.7929511664725</v>
      </c>
      <c r="G194" s="21" t="n">
        <f aca="false">$D193*cap_29_lo*(1+g_mix)^3*G181*G182</f>
        <v>42.4515993693041</v>
      </c>
      <c r="K194" s="7" t="s">
        <v>724</v>
      </c>
    </row>
    <row r="195" customFormat="false" ht="17.15" hidden="false" customHeight="false" outlineLevel="0" collapsed="false">
      <c r="A195" s="0" t="s">
        <v>725</v>
      </c>
      <c r="B195" s="0" t="s">
        <v>379</v>
      </c>
      <c r="D195" s="21" t="n">
        <f aca="false">a26_abf</f>
        <v>22.858836</v>
      </c>
      <c r="E195" s="21" t="n">
        <f aca="false">MIN(E193,E194)</f>
        <v>30.362248917</v>
      </c>
      <c r="F195" s="21" t="n">
        <f aca="false">MIN(F193,F194)</f>
        <v>35.7929511664725</v>
      </c>
      <c r="G195" s="21" t="n">
        <f aca="false">MIN(G193,G194)</f>
        <v>42.4515993693041</v>
      </c>
    </row>
    <row r="196" customFormat="false" ht="17.15" hidden="false" customHeight="false" outlineLevel="0" collapsed="false">
      <c r="A196" s="3" t="s">
        <v>726</v>
      </c>
      <c r="B196" s="0" t="s">
        <v>43</v>
      </c>
      <c r="D196" s="20" t="n">
        <f aca="false">D195/D193</f>
        <v>1</v>
      </c>
      <c r="E196" s="20" t="n">
        <f aca="false">E195/E193</f>
        <v>0.787564884336221</v>
      </c>
      <c r="F196" s="20" t="n">
        <f aca="false">F195/F193</f>
        <v>0.763635107609119</v>
      </c>
      <c r="G196" s="20" t="n">
        <f aca="false">G195/G193</f>
        <v>0.775971972359201</v>
      </c>
    </row>
    <row r="197" customFormat="false" ht="17.15" hidden="false" customHeight="false" outlineLevel="0" collapsed="false">
      <c r="A197" s="0" t="s">
        <v>727</v>
      </c>
      <c r="B197" s="0" t="s">
        <v>379</v>
      </c>
      <c r="D197" s="21" t="n">
        <f aca="false">(D188+D191)*D196</f>
        <v>5.714709</v>
      </c>
      <c r="E197" s="21" t="n">
        <f aca="false">(E188+E191)*E196</f>
        <v>13.9031739040812</v>
      </c>
      <c r="F197" s="21" t="n">
        <f aca="false">(F188+F191)*F196</f>
        <v>18.876438718125</v>
      </c>
      <c r="G197" s="21" t="n">
        <f aca="false">(G188+G191)*G196</f>
        <v>24.2304047658412</v>
      </c>
    </row>
    <row r="198" customFormat="false" ht="17.15" hidden="false" customHeight="false" outlineLevel="0" collapsed="false">
      <c r="A198" s="3" t="s">
        <v>728</v>
      </c>
      <c r="B198" s="0" t="s">
        <v>43</v>
      </c>
      <c r="D198" s="20" t="n">
        <f aca="false">D188/(D188+D191)</f>
        <v>0.800318125775433</v>
      </c>
      <c r="E198" s="20" t="n">
        <f aca="false">E188/(E188+E191)</f>
        <v>0.896024374782173</v>
      </c>
      <c r="F198" s="20" t="n">
        <f aca="false">F188/(F188+F191)</f>
        <v>0.924114387791097</v>
      </c>
      <c r="G198" s="20" t="n">
        <f aca="false">G188/(G188+G191)</f>
        <v>0.939286657016792</v>
      </c>
    </row>
    <row r="199" customFormat="false" ht="17.15" hidden="false" customHeight="false" outlineLevel="0" collapsed="false">
      <c r="A199" s="5" t="s">
        <v>729</v>
      </c>
    </row>
    <row r="200" customFormat="false" ht="17.15" hidden="false" customHeight="false" outlineLevel="0" collapsed="false">
      <c r="A200" s="0" t="s">
        <v>730</v>
      </c>
      <c r="B200" s="0" t="s">
        <v>379</v>
      </c>
      <c r="D200" s="21" t="n">
        <f aca="false">a26_bt</f>
        <v>23.265964</v>
      </c>
      <c r="E200" s="21" t="n">
        <f aca="false">D200*(1+g_bt27_A)</f>
        <v>29.78043392</v>
      </c>
      <c r="F200" s="21" t="n">
        <f aca="false">E200*(1+g_bt28_A)</f>
        <v>32.758477312</v>
      </c>
      <c r="G200" s="21" t="n">
        <f aca="false">F200*(1+g_bt29_A)</f>
        <v>34.3964011776</v>
      </c>
      <c r="K200" s="7" t="s">
        <v>731</v>
      </c>
    </row>
    <row r="201" customFormat="false" ht="17.15" hidden="false" customHeight="false" outlineLevel="0" collapsed="false">
      <c r="A201" s="3" t="s">
        <v>616</v>
      </c>
      <c r="B201" s="0" t="s">
        <v>379</v>
      </c>
      <c r="C201" s="21" t="n">
        <f aca="false">a25_lens</f>
        <v>7.039</v>
      </c>
      <c r="D201" s="21" t="n">
        <f aca="false">a26_lens</f>
        <v>8.301</v>
      </c>
      <c r="E201" s="21" t="n">
        <f aca="false">D201*(1+g_lens)</f>
        <v>9.1311</v>
      </c>
      <c r="F201" s="21" t="n">
        <f aca="false">E201*(1+g_lens)</f>
        <v>10.04421</v>
      </c>
      <c r="G201" s="21" t="n">
        <f aca="false">F201*(1+g_lens)</f>
        <v>11.048631</v>
      </c>
      <c r="K201" s="3" t="s">
        <v>732</v>
      </c>
    </row>
    <row r="202" customFormat="false" ht="17.15" hidden="false" customHeight="false" outlineLevel="0" collapsed="false">
      <c r="A202" s="3" t="s">
        <v>573</v>
      </c>
      <c r="B202" s="0" t="s">
        <v>379</v>
      </c>
      <c r="C202" s="23" t="n">
        <f aca="false">a25_rev</f>
        <v>39.351</v>
      </c>
      <c r="D202" s="23" t="n">
        <f aca="false">D195+D200+D201</f>
        <v>54.4258</v>
      </c>
      <c r="E202" s="23" t="n">
        <f aca="false">E195+E200+E201</f>
        <v>69.273782837</v>
      </c>
      <c r="F202" s="23" t="n">
        <f aca="false">F195+F200+F201</f>
        <v>78.5956384784725</v>
      </c>
      <c r="G202" s="23" t="n">
        <f aca="false">G195+G200+G201</f>
        <v>87.8966315469041</v>
      </c>
      <c r="H202" s="25" t="n">
        <f aca="false">G202*(1+H203)</f>
        <v>96.5890114031817</v>
      </c>
      <c r="I202" s="25" t="n">
        <f aca="false">H202*(1+I203)</f>
        <v>104.262680337503</v>
      </c>
      <c r="J202" s="25" t="n">
        <f aca="false">I202*(1+J203)</f>
        <v>110.518441157753</v>
      </c>
      <c r="K202" s="7" t="s">
        <v>733</v>
      </c>
    </row>
    <row r="203" customFormat="false" ht="15" hidden="false" customHeight="false" outlineLevel="0" collapsed="false">
      <c r="A203" s="3" t="s">
        <v>734</v>
      </c>
      <c r="B203" s="0" t="s">
        <v>43</v>
      </c>
      <c r="D203" s="20" t="n">
        <f aca="false">D202/C202-1</f>
        <v>0.383085563263958</v>
      </c>
      <c r="E203" s="20" t="n">
        <f aca="false">E202/D202-1</f>
        <v>0.272811476119782</v>
      </c>
      <c r="F203" s="20" t="n">
        <f aca="false">F202/E202-1</f>
        <v>0.134565419408475</v>
      </c>
      <c r="G203" s="20" t="n">
        <f aca="false">G202/F202-1</f>
        <v>0.118339811832932</v>
      </c>
      <c r="H203" s="26" t="n">
        <f aca="false">$G203+(fade_gA-$G203)*1/3</f>
        <v>0.0988932078886216</v>
      </c>
      <c r="I203" s="26" t="n">
        <f aca="false">$G203+(fade_gA-$G203)*2/3</f>
        <v>0.0794466039443108</v>
      </c>
      <c r="J203" s="26" t="n">
        <f aca="false">$G203+(fade_gA-$G203)*3/3</f>
        <v>0.06</v>
      </c>
    </row>
    <row r="204" customFormat="false" ht="17.15" hidden="false" customHeight="false" outlineLevel="0" collapsed="false">
      <c r="A204" s="0" t="s">
        <v>735</v>
      </c>
      <c r="B204" s="0" t="s">
        <v>43</v>
      </c>
      <c r="D204" s="20" t="n">
        <f aca="false">D195/D202</f>
        <v>0.42</v>
      </c>
      <c r="E204" s="20" t="n">
        <f aca="false">E195/E202</f>
        <v>0.438293502585846</v>
      </c>
      <c r="F204" s="20" t="n">
        <f aca="false">F195/F202</f>
        <v>0.455406328638405</v>
      </c>
      <c r="G204" s="20" t="n">
        <f aca="false">G195/G202</f>
        <v>0.48297185708022</v>
      </c>
    </row>
    <row r="205" customFormat="false" ht="17.15" hidden="false" customHeight="false" outlineLevel="0" collapsed="false">
      <c r="A205" s="0" t="s">
        <v>736</v>
      </c>
      <c r="B205" s="0" t="s">
        <v>43</v>
      </c>
      <c r="D205" s="20" t="n">
        <f aca="false">D197/D202</f>
        <v>0.105</v>
      </c>
      <c r="E205" s="20" t="n">
        <f aca="false">E197/E202</f>
        <v>0.200698927280976</v>
      </c>
      <c r="F205" s="20" t="n">
        <f aca="false">F197/F202</f>
        <v>0.240171580555266</v>
      </c>
      <c r="G205" s="20" t="n">
        <f aca="false">G197/G202</f>
        <v>0.275669321331286</v>
      </c>
      <c r="K205" s="3" t="s">
        <v>737</v>
      </c>
    </row>
    <row r="206" customFormat="false" ht="17.15" hidden="false" customHeight="false" outlineLevel="0" collapsed="false">
      <c r="A206" s="5" t="s">
        <v>738</v>
      </c>
    </row>
    <row r="207" customFormat="false" ht="15" hidden="false" customHeight="false" outlineLevel="0" collapsed="false">
      <c r="A207" s="3" t="s">
        <v>739</v>
      </c>
      <c r="B207" s="0" t="s">
        <v>379</v>
      </c>
      <c r="C207" s="23" t="n">
        <f aca="false">a25_cx</f>
        <v>6.116</v>
      </c>
      <c r="D207" s="23" t="n">
        <f aca="false">capex26</f>
        <v>11</v>
      </c>
      <c r="E207" s="23" t="n">
        <f aca="false">cx27</f>
        <v>17</v>
      </c>
      <c r="F207" s="23" t="n">
        <f aca="false">cx28</f>
        <v>16</v>
      </c>
      <c r="G207" s="23" t="n">
        <f aca="false">cx29</f>
        <v>12</v>
      </c>
      <c r="H207" s="25" t="n">
        <f aca="false">H202*H226</f>
        <v>13.2845098615936</v>
      </c>
      <c r="I207" s="25" t="n">
        <f aca="false">I202*I226</f>
        <v>14.4454796140897</v>
      </c>
      <c r="J207" s="25" t="n">
        <f aca="false">J202*J226</f>
        <v>15.4241025833986</v>
      </c>
    </row>
    <row r="208" customFormat="false" ht="17.15" hidden="false" customHeight="false" outlineLevel="0" collapsed="false">
      <c r="A208" s="3" t="s">
        <v>740</v>
      </c>
      <c r="B208" s="0" t="s">
        <v>379</v>
      </c>
      <c r="C208" s="23" t="n">
        <f aca="false">a25_da</f>
        <v>7.158</v>
      </c>
      <c r="D208" s="23" t="n">
        <f aca="false">da26</f>
        <v>8.32</v>
      </c>
      <c r="E208" s="23" t="n">
        <f aca="false">D208*(1-1/life)+D207/life</f>
        <v>8.655</v>
      </c>
      <c r="F208" s="23" t="n">
        <f aca="false">E208*(1-1/life)+E207/life</f>
        <v>9.698125</v>
      </c>
      <c r="G208" s="23" t="n">
        <f aca="false">F208*(1-1/life)+F207/life</f>
        <v>10.485859375</v>
      </c>
      <c r="H208" s="25" t="n">
        <f aca="false">H202*H209</f>
        <v>11.5228396460627</v>
      </c>
      <c r="I208" s="25" t="n">
        <f aca="false">I202*I209</f>
        <v>12.4382901237373</v>
      </c>
      <c r="J208" s="25" t="n">
        <f aca="false">J202*J209</f>
        <v>13.1845875311615</v>
      </c>
      <c r="K208" s="3" t="s">
        <v>741</v>
      </c>
    </row>
    <row r="209" customFormat="false" ht="17.15" hidden="false" customHeight="false" outlineLevel="0" collapsed="false">
      <c r="A209" s="3" t="s">
        <v>742</v>
      </c>
      <c r="B209" s="0" t="s">
        <v>43</v>
      </c>
      <c r="C209" s="20" t="n">
        <f aca="false">C208/C202</f>
        <v>0.181901349393916</v>
      </c>
      <c r="D209" s="20" t="n">
        <f aca="false">D208/D202</f>
        <v>0.152868676252807</v>
      </c>
      <c r="E209" s="20" t="n">
        <f aca="false">E208/E202</f>
        <v>0.124939041085212</v>
      </c>
      <c r="F209" s="20" t="n">
        <f aca="false">F208/F202</f>
        <v>0.123392661319958</v>
      </c>
      <c r="G209" s="20" t="n">
        <f aca="false">G208/G202</f>
        <v>0.119297624840202</v>
      </c>
      <c r="H209" s="26" t="n">
        <f aca="false">$G209</f>
        <v>0.119297624840202</v>
      </c>
      <c r="I209" s="26" t="n">
        <f aca="false">$G209</f>
        <v>0.119297624840202</v>
      </c>
      <c r="J209" s="26" t="n">
        <f aca="false">$G209</f>
        <v>0.119297624840202</v>
      </c>
    </row>
    <row r="210" customFormat="false" ht="17.15" hidden="false" customHeight="false" outlineLevel="0" collapsed="false">
      <c r="A210" s="0" t="s">
        <v>743</v>
      </c>
      <c r="B210" s="0" t="s">
        <v>379</v>
      </c>
      <c r="E210" s="21" t="n">
        <f aca="false">E196*((E188+E191)*(1-1/(E181*E182))+E192*(1-1/E182))</f>
        <v>3.960293337</v>
      </c>
      <c r="F210" s="21" t="n">
        <f aca="false">F196*((F188+F191)*(1-1/(F181*F182))+F192*(1-1/F182))</f>
        <v>3.8047355655067</v>
      </c>
      <c r="G210" s="21" t="n">
        <f aca="false">G196*((G188+G191)*(1-1/(G181*G182))+G192*(1-1/G182))</f>
        <v>3.19606322538351</v>
      </c>
      <c r="K210" s="7" t="s">
        <v>744</v>
      </c>
    </row>
    <row r="211" customFormat="false" ht="17.15" hidden="false" customHeight="false" outlineLevel="0" collapsed="false">
      <c r="A211" s="3" t="s">
        <v>745</v>
      </c>
      <c r="B211" s="0" t="s">
        <v>379</v>
      </c>
      <c r="C211" s="21" t="n">
        <f aca="false">a25_gp</f>
        <v>8.314</v>
      </c>
      <c r="D211" s="21" t="n">
        <f aca="false">a26_gp</f>
        <v>15.328536</v>
      </c>
      <c r="E211" s="21" t="n">
        <f aca="false">$D211+ft_abf*(E195-E210-$D195)+ft_bt*(E200-$D200)+ft_lens*(E201-$D201)+E210-(E208-$D208)</f>
        <v>24.030445591</v>
      </c>
      <c r="F211" s="21" t="n">
        <f aca="false">$D211+ft_abf*(F195-F210-$D195)+ft_bt*(F200-$D200)+ft_lens*(F201-$D201)+F210-(F208-$D208)</f>
        <v>27.3759118563896</v>
      </c>
      <c r="G211" s="21" t="n">
        <f aca="false">$D211+ft_abf*(G195-G210-$D195)+ft_bt*(G200-$D200)+ft_lens*(G201-$D201)+G210-(G208-$D208)</f>
        <v>30.8022206022638</v>
      </c>
      <c r="K211" s="3" t="s">
        <v>746</v>
      </c>
    </row>
    <row r="212" customFormat="false" ht="15" hidden="false" customHeight="false" outlineLevel="0" collapsed="false">
      <c r="A212" s="3" t="s">
        <v>580</v>
      </c>
      <c r="B212" s="0" t="s">
        <v>43</v>
      </c>
      <c r="C212" s="16" t="n">
        <f aca="false">C211/C202</f>
        <v>0.211277985311682</v>
      </c>
      <c r="D212" s="16" t="n">
        <f aca="false">D211/D202</f>
        <v>0.281640986443929</v>
      </c>
      <c r="E212" s="16" t="n">
        <f aca="false">E211/E202</f>
        <v>0.346890910339677</v>
      </c>
      <c r="F212" s="16" t="n">
        <f aca="false">F211/F202</f>
        <v>0.348313371916788</v>
      </c>
      <c r="G212" s="16" t="n">
        <f aca="false">G211/G202</f>
        <v>0.350436871813761</v>
      </c>
    </row>
    <row r="213" customFormat="false" ht="15" hidden="false" customHeight="false" outlineLevel="0" collapsed="false">
      <c r="A213" s="3" t="s">
        <v>582</v>
      </c>
      <c r="B213" s="0" t="s">
        <v>379</v>
      </c>
      <c r="C213" s="21" t="n">
        <f aca="false">a25_opx</f>
        <v>5.644</v>
      </c>
      <c r="D213" s="21" t="n">
        <f aca="false">a26_opx</f>
        <v>6.54036</v>
      </c>
      <c r="E213" s="21" t="n">
        <f aca="false">D213*(1+phi*E203)</f>
        <v>7.61093115957287</v>
      </c>
      <c r="F213" s="21" t="n">
        <f aca="false">E213*(1+phi*F203)</f>
        <v>8.22543204571904</v>
      </c>
      <c r="G213" s="21" t="n">
        <f aca="false">F213*(1+phi*G203)</f>
        <v>8.80946969404002</v>
      </c>
    </row>
    <row r="214" customFormat="false" ht="15" hidden="false" customHeight="false" outlineLevel="0" collapsed="false">
      <c r="A214" s="3" t="s">
        <v>585</v>
      </c>
      <c r="B214" s="0" t="s">
        <v>379</v>
      </c>
      <c r="C214" s="21" t="n">
        <f aca="false">C211-C213</f>
        <v>2.67</v>
      </c>
      <c r="D214" s="21" t="n">
        <f aca="false">D211-D213</f>
        <v>8.788176</v>
      </c>
      <c r="E214" s="21" t="n">
        <f aca="false">E211-E213</f>
        <v>16.4195144314271</v>
      </c>
      <c r="F214" s="21" t="n">
        <f aca="false">F211-F213</f>
        <v>19.1504798106706</v>
      </c>
      <c r="G214" s="21" t="n">
        <f aca="false">G211-G213</f>
        <v>21.9927509082238</v>
      </c>
    </row>
    <row r="215" customFormat="false" ht="15" hidden="false" customHeight="false" outlineLevel="0" collapsed="false">
      <c r="A215" s="3" t="s">
        <v>683</v>
      </c>
      <c r="B215" s="0" t="s">
        <v>43</v>
      </c>
      <c r="C215" s="16" t="n">
        <f aca="false">C214/C202</f>
        <v>0.0678508805367081</v>
      </c>
      <c r="D215" s="16" t="n">
        <f aca="false">D214/D202</f>
        <v>0.161470773052486</v>
      </c>
      <c r="E215" s="16" t="n">
        <f aca="false">E214/E202</f>
        <v>0.237023499497089</v>
      </c>
      <c r="F215" s="16" t="n">
        <f aca="false">F214/F202</f>
        <v>0.24365830192875</v>
      </c>
      <c r="G215" s="16" t="n">
        <f aca="false">G214/G202</f>
        <v>0.250211532810422</v>
      </c>
    </row>
    <row r="216" customFormat="false" ht="15" hidden="false" customHeight="false" outlineLevel="0" collapsed="false">
      <c r="A216" s="3" t="s">
        <v>588</v>
      </c>
      <c r="B216" s="0" t="s">
        <v>379</v>
      </c>
      <c r="C216" s="21" t="n">
        <f aca="false">a25_nonop</f>
        <v>0.417</v>
      </c>
      <c r="D216" s="21" t="n">
        <f aca="false">a26_nonop</f>
        <v>0.37882</v>
      </c>
      <c r="E216" s="21" t="n">
        <f aca="false">nonop27</f>
        <v>0.4</v>
      </c>
      <c r="F216" s="21" t="n">
        <f aca="false">nonop28</f>
        <v>0.4</v>
      </c>
      <c r="G216" s="21" t="n">
        <f aca="false">nonop29</f>
        <v>0.4</v>
      </c>
    </row>
    <row r="217" customFormat="false" ht="15" hidden="false" customHeight="false" outlineLevel="0" collapsed="false">
      <c r="A217" s="3" t="s">
        <v>590</v>
      </c>
      <c r="B217" s="0" t="s">
        <v>379</v>
      </c>
      <c r="C217" s="21" t="n">
        <f aca="false">C214+C216</f>
        <v>3.087</v>
      </c>
      <c r="D217" s="21" t="n">
        <f aca="false">D214+D216</f>
        <v>9.166996</v>
      </c>
      <c r="E217" s="21" t="n">
        <f aca="false">E214+E216</f>
        <v>16.8195144314271</v>
      </c>
      <c r="F217" s="21" t="n">
        <f aca="false">F214+F216</f>
        <v>19.5504798106706</v>
      </c>
      <c r="G217" s="21" t="n">
        <f aca="false">G214+G216</f>
        <v>22.3927509082238</v>
      </c>
    </row>
    <row r="218" customFormat="false" ht="15" hidden="false" customHeight="false" outlineLevel="0" collapsed="false">
      <c r="A218" s="3" t="s">
        <v>591</v>
      </c>
      <c r="B218" s="0" t="s">
        <v>379</v>
      </c>
      <c r="E218" s="21" t="n">
        <f aca="false">E217*tax</f>
        <v>2.01834173177126</v>
      </c>
      <c r="F218" s="21" t="n">
        <f aca="false">F217*tax</f>
        <v>2.34605757728047</v>
      </c>
      <c r="G218" s="21" t="n">
        <f aca="false">G217*tax</f>
        <v>2.68713010898686</v>
      </c>
    </row>
    <row r="219" customFormat="false" ht="15" hidden="false" customHeight="false" outlineLevel="0" collapsed="false">
      <c r="A219" s="3" t="s">
        <v>592</v>
      </c>
      <c r="B219" s="0" t="s">
        <v>379</v>
      </c>
      <c r="C219" s="21" t="n">
        <f aca="false">a25_nic</f>
        <v>2.71712</v>
      </c>
      <c r="D219" s="21" t="n">
        <f aca="false">a26_nic</f>
        <v>8.39979776</v>
      </c>
      <c r="E219" s="21" t="n">
        <f aca="false">E217-E218</f>
        <v>14.8011726996559</v>
      </c>
      <c r="F219" s="21" t="n">
        <f aca="false">F217-F218</f>
        <v>17.2044222333901</v>
      </c>
      <c r="G219" s="21" t="n">
        <f aca="false">G217-G218</f>
        <v>19.7056207992369</v>
      </c>
    </row>
    <row r="220" customFormat="false" ht="17.15" hidden="false" customHeight="false" outlineLevel="0" collapsed="false">
      <c r="A220" s="3" t="s">
        <v>747</v>
      </c>
      <c r="B220" s="0" t="s">
        <v>379</v>
      </c>
      <c r="C220" s="21" t="n">
        <f aca="false">a25_nci</f>
        <v>1.12112</v>
      </c>
      <c r="D220" s="21" t="n">
        <f aca="false">a26_nci</f>
        <v>1.43839238487797</v>
      </c>
      <c r="E220" s="21" t="n">
        <f aca="false">E201*nm_lens*nci_sh</f>
        <v>1.57074538036261</v>
      </c>
      <c r="F220" s="21" t="n">
        <f aca="false">F201*nm_lens*nci_sh</f>
        <v>1.72781991839887</v>
      </c>
      <c r="G220" s="21" t="n">
        <f aca="false">G201*nm_lens*nci_sh</f>
        <v>1.90060191023875</v>
      </c>
      <c r="K220" s="3" t="s">
        <v>748</v>
      </c>
    </row>
    <row r="221" customFormat="false" ht="15" hidden="false" customHeight="false" outlineLevel="0" collapsed="false">
      <c r="A221" s="3" t="s">
        <v>598</v>
      </c>
      <c r="B221" s="0" t="s">
        <v>379</v>
      </c>
      <c r="C221" s="21" t="n">
        <f aca="false">a25_ni</f>
        <v>1.596</v>
      </c>
      <c r="D221" s="21" t="n">
        <f aca="false">a26_ni</f>
        <v>6.96140537512203</v>
      </c>
      <c r="E221" s="21" t="n">
        <f aca="false">E219-E220</f>
        <v>13.2304273192933</v>
      </c>
      <c r="F221" s="21" t="n">
        <f aca="false">F219-F220</f>
        <v>15.4766023149912</v>
      </c>
      <c r="G221" s="21" t="n">
        <f aca="false">G219-G220</f>
        <v>17.8050188889982</v>
      </c>
      <c r="H221" s="30" t="n">
        <f aca="false">H202*H225</f>
        <v>20.156606715293</v>
      </c>
      <c r="I221" s="30" t="n">
        <f aca="false">I202*I225</f>
        <v>22.3957095068765</v>
      </c>
      <c r="J221" s="30" t="n">
        <f aca="false">J202*J225</f>
        <v>24.4154446487623</v>
      </c>
    </row>
    <row r="222" customFormat="false" ht="15" hidden="false" customHeight="false" outlineLevel="0" collapsed="false">
      <c r="A222" s="3" t="s">
        <v>749</v>
      </c>
      <c r="B222" s="3" t="s">
        <v>465</v>
      </c>
      <c r="C222" s="29" t="n">
        <f aca="false">a25_sh</f>
        <v>0.454700854700855</v>
      </c>
      <c r="D222" s="29" t="n">
        <f aca="false">a26_sh</f>
        <v>0.508341020486215</v>
      </c>
      <c r="E222" s="29" t="n">
        <f aca="false">a26_shend*(1+sh_g)</f>
        <v>0.52691</v>
      </c>
      <c r="F222" s="29" t="n">
        <f aca="false">E222*(1+sh_g)</f>
        <v>0.52691</v>
      </c>
      <c r="G222" s="29" t="n">
        <f aca="false">F222*(1+sh_g)</f>
        <v>0.52691</v>
      </c>
      <c r="H222" s="31" t="n">
        <f aca="false">G222*(1+sh_g)</f>
        <v>0.52691</v>
      </c>
      <c r="I222" s="31" t="n">
        <f aca="false">H222*(1+sh_g)</f>
        <v>0.52691</v>
      </c>
      <c r="J222" s="31" t="n">
        <f aca="false">I222*(1+sh_g)</f>
        <v>0.52691</v>
      </c>
    </row>
    <row r="223" customFormat="false" ht="17.15" hidden="false" customHeight="false" outlineLevel="0" collapsed="false">
      <c r="A223" s="0" t="s">
        <v>603</v>
      </c>
      <c r="B223" s="0" t="s">
        <v>471</v>
      </c>
      <c r="C223" s="18" t="n">
        <f aca="false">C221/C222</f>
        <v>3.51</v>
      </c>
      <c r="D223" s="18" t="n">
        <f aca="false">D221/D222</f>
        <v>13.6943608612652</v>
      </c>
      <c r="E223" s="18" t="n">
        <f aca="false">E221/E222</f>
        <v>25.109463322566</v>
      </c>
      <c r="F223" s="18" t="n">
        <f aca="false">F221/F222</f>
        <v>29.372382978101</v>
      </c>
      <c r="G223" s="18" t="n">
        <f aca="false">G221/G222</f>
        <v>33.7913854149631</v>
      </c>
      <c r="H223" s="28" t="n">
        <f aca="false">H221/H222</f>
        <v>38.254363582572</v>
      </c>
      <c r="I223" s="28" t="n">
        <f aca="false">I221/I222</f>
        <v>42.5038612037664</v>
      </c>
      <c r="J223" s="28" t="n">
        <f aca="false">J221/J222</f>
        <v>46.337030325411</v>
      </c>
    </row>
    <row r="224" customFormat="false" ht="17.15" hidden="false" customHeight="false" outlineLevel="0" collapsed="false">
      <c r="A224" s="0" t="s">
        <v>750</v>
      </c>
      <c r="B224" s="0" t="s">
        <v>43</v>
      </c>
      <c r="D224" s="20" t="n">
        <f aca="false">D223/C223-1</f>
        <v>2.90152731090177</v>
      </c>
      <c r="E224" s="20" t="n">
        <f aca="false">E223/D223-1</f>
        <v>0.833562265296274</v>
      </c>
      <c r="F224" s="20" t="n">
        <f aca="false">F223/E223-1</f>
        <v>0.169773427682299</v>
      </c>
      <c r="G224" s="20" t="n">
        <f aca="false">G223/F223-1</f>
        <v>0.150447528896674</v>
      </c>
      <c r="H224" s="26" t="n">
        <f aca="false">H223/G223-1</f>
        <v>0.132074435919181</v>
      </c>
      <c r="I224" s="26" t="n">
        <f aca="false">I223/H223-1</f>
        <v>0.111085304347617</v>
      </c>
      <c r="J224" s="26" t="n">
        <f aca="false">J223/I223-1</f>
        <v>0.0901840212414626</v>
      </c>
    </row>
    <row r="225" customFormat="false" ht="17.15" hidden="false" customHeight="false" outlineLevel="0" collapsed="false">
      <c r="A225" s="3" t="s">
        <v>751</v>
      </c>
      <c r="B225" s="0" t="s">
        <v>43</v>
      </c>
      <c r="C225" s="16" t="n">
        <f aca="false">C221/C202</f>
        <v>0.0405580544331783</v>
      </c>
      <c r="D225" s="16" t="n">
        <f aca="false">D221/D202</f>
        <v>0.127906349105057</v>
      </c>
      <c r="E225" s="16" t="n">
        <f aca="false">E221/E202</f>
        <v>0.190987510389381</v>
      </c>
      <c r="F225" s="16" t="n">
        <f aca="false">F221/F202</f>
        <v>0.19691426413223</v>
      </c>
      <c r="G225" s="16" t="n">
        <f aca="false">G221/G202</f>
        <v>0.202567704537084</v>
      </c>
      <c r="H225" s="27" t="n">
        <f aca="false">$G225+(fade_mA-$G225)*1/3</f>
        <v>0.208684263587245</v>
      </c>
      <c r="I225" s="27" t="n">
        <f aca="false">$G225+(fade_mA-$G225)*2/3</f>
        <v>0.214800822637407</v>
      </c>
      <c r="J225" s="27" t="n">
        <f aca="false">$G225+(fade_mA-$G225)*3/3</f>
        <v>0.220917381687568</v>
      </c>
    </row>
    <row r="226" customFormat="false" ht="17.15" hidden="false" customHeight="false" outlineLevel="0" collapsed="false">
      <c r="A226" s="3" t="s">
        <v>752</v>
      </c>
      <c r="B226" s="0" t="s">
        <v>43</v>
      </c>
      <c r="C226" s="20" t="n">
        <f aca="false">C207/C202</f>
        <v>0.155421717364235</v>
      </c>
      <c r="D226" s="20" t="n">
        <f aca="false">D207/D202</f>
        <v>0.202110028699624</v>
      </c>
      <c r="E226" s="20" t="n">
        <f aca="false">E207/E202</f>
        <v>0.245403084742762</v>
      </c>
      <c r="F226" s="20" t="n">
        <f aca="false">F207/F202</f>
        <v>0.20357363728755</v>
      </c>
      <c r="G226" s="20" t="n">
        <f aca="false">G207/G202</f>
        <v>0.136524003125153</v>
      </c>
      <c r="H226" s="26" t="n">
        <f aca="false">$G226+($G209*(1+tp_g)^(life/2)-$G226)*1/3</f>
        <v>0.137536451285762</v>
      </c>
      <c r="I226" s="26" t="n">
        <f aca="false">$G226+($G209*(1+tp_g)^(life/2)-$G226)*2/3</f>
        <v>0.13854889944637</v>
      </c>
      <c r="J226" s="26" t="n">
        <f aca="false">$G226+($G209*(1+tp_g)^(life/2)-$G226)*3/3</f>
        <v>0.139561347606979</v>
      </c>
      <c r="K226" s="7" t="s">
        <v>753</v>
      </c>
    </row>
    <row r="227" customFormat="false" ht="15" hidden="false" customHeight="false" outlineLevel="0" collapsed="false">
      <c r="A227" s="3" t="s">
        <v>754</v>
      </c>
      <c r="B227" s="0" t="s">
        <v>379</v>
      </c>
      <c r="D227" s="21" t="n">
        <f aca="false">D221+D208-D207</f>
        <v>4.28140537512203</v>
      </c>
      <c r="E227" s="21" t="n">
        <f aca="false">E221+E208-E207</f>
        <v>4.88542731929327</v>
      </c>
      <c r="F227" s="21" t="n">
        <f aca="false">F221+F208-F207</f>
        <v>9.17472731499122</v>
      </c>
      <c r="G227" s="21" t="n">
        <f aca="false">G221+G208-G207</f>
        <v>16.2908782639982</v>
      </c>
      <c r="H227" s="30" t="n">
        <f aca="false">H221+H208-H207</f>
        <v>18.3949364997621</v>
      </c>
      <c r="I227" s="30" t="n">
        <f aca="false">I221+I208-I207</f>
        <v>20.3885200165241</v>
      </c>
      <c r="J227" s="30" t="n">
        <f aca="false">J221+J208-J207</f>
        <v>22.1759295965253</v>
      </c>
      <c r="K227" s="3" t="s">
        <v>755</v>
      </c>
    </row>
    <row r="228" customFormat="false" ht="15" hidden="false" customHeight="false" outlineLevel="0" collapsed="false">
      <c r="A228" s="3" t="s">
        <v>756</v>
      </c>
      <c r="B228" s="0" t="s">
        <v>471</v>
      </c>
      <c r="D228" s="18" t="n">
        <f aca="false">D227/D222</f>
        <v>8.42230943909854</v>
      </c>
      <c r="E228" s="18" t="n">
        <f aca="false">E227/E222</f>
        <v>9.2718439947871</v>
      </c>
      <c r="F228" s="18" t="n">
        <f aca="false">F227/F222</f>
        <v>17.4123233853812</v>
      </c>
      <c r="G228" s="18" t="n">
        <f aca="false">G227/G222</f>
        <v>30.9177625476802</v>
      </c>
      <c r="H228" s="28" t="n">
        <f aca="false">H227/H222</f>
        <v>34.9109648702096</v>
      </c>
      <c r="I228" s="28" t="n">
        <f aca="false">I227/I222</f>
        <v>38.694501938707</v>
      </c>
      <c r="J228" s="28" t="n">
        <f aca="false">J227/J222</f>
        <v>42.086750292318</v>
      </c>
    </row>
    <row r="231" customFormat="false" ht="17.15" hidden="false" customHeight="false" outlineLevel="0" collapsed="false">
      <c r="A231" s="1" t="s">
        <v>1093</v>
      </c>
    </row>
    <row r="232" customFormat="false" ht="17.15" hidden="false" customHeight="false" outlineLevel="0" collapsed="false">
      <c r="A232" s="4" t="s">
        <v>20</v>
      </c>
      <c r="B232" s="4" t="s">
        <v>21</v>
      </c>
      <c r="C232" s="13" t="s">
        <v>566</v>
      </c>
      <c r="D232" s="13" t="s">
        <v>670</v>
      </c>
      <c r="E232" s="13" t="s">
        <v>671</v>
      </c>
      <c r="F232" s="13" t="s">
        <v>672</v>
      </c>
      <c r="G232" s="13" t="s">
        <v>673</v>
      </c>
      <c r="H232" s="13" t="s">
        <v>674</v>
      </c>
      <c r="I232" s="13" t="s">
        <v>675</v>
      </c>
      <c r="J232" s="13" t="s">
        <v>676</v>
      </c>
      <c r="K232" s="4" t="s">
        <v>630</v>
      </c>
    </row>
    <row r="233" customFormat="false" ht="17.15" hidden="false" customHeight="false" outlineLevel="0" collapsed="false">
      <c r="A233" s="5" t="s">
        <v>694</v>
      </c>
    </row>
    <row r="234" customFormat="false" ht="17.15" hidden="false" customHeight="false" outlineLevel="0" collapsed="false">
      <c r="A234" s="0" t="s">
        <v>695</v>
      </c>
      <c r="B234" s="3" t="s">
        <v>31</v>
      </c>
      <c r="D234" s="21" t="n">
        <f aca="false">(u_bw_26+u_rb_26+u_ru_26+u_hp_26)*1</f>
        <v>7.6</v>
      </c>
      <c r="E234" s="21" t="n">
        <f aca="false">(u_bw_27+u_rb_27+u_ru_27+u_hp_27)*1*1</f>
        <v>9.7</v>
      </c>
      <c r="F234" s="21" t="n">
        <f aca="false">(u_bw_28+u_rb_28+u_ru_28+u_hp_28)*um28_A*1</f>
        <v>9.5</v>
      </c>
      <c r="G234" s="21" t="n">
        <f aca="false">(u_bw_28*(1+g29_bw)+u_rb_28*(1+g29_rb)+u_ru_28*(1+g29_ru)+u_hp_28*(1+g29_hp))*um29_A*1</f>
        <v>10.6</v>
      </c>
      <c r="K234" s="7" t="s">
        <v>696</v>
      </c>
    </row>
    <row r="235" customFormat="false" ht="17.15" hidden="false" customHeight="false" outlineLevel="0" collapsed="false">
      <c r="A235" s="3" t="s">
        <v>697</v>
      </c>
      <c r="B235" s="3" t="s">
        <v>31</v>
      </c>
      <c r="D235" s="21" t="n">
        <f aca="false">(u_amd_26+u_tpu_26+u_trn_26+u_oth_26)*1</f>
        <v>7.6</v>
      </c>
      <c r="E235" s="21" t="n">
        <f aca="false">(u_amd_27+u_tpu_27+u_trn_27+u_oth_27)*1*1</f>
        <v>14</v>
      </c>
      <c r="F235" s="21" t="n">
        <f aca="false">(u_amd_28+u_tpu_28+u_trn_28+u_oth_28)*um28_A*1</f>
        <v>17</v>
      </c>
      <c r="G235" s="21" t="n">
        <f aca="false">(u_amd_28*(1+g29_amd)+u_tpu_28*(1+g29_tpu)+u_trn_28*(1+g29_trn)+u_oth_28*(1+g29_oth))*um29_A*1</f>
        <v>19.55</v>
      </c>
      <c r="K235" s="7" t="s">
        <v>698</v>
      </c>
    </row>
    <row r="236" customFormat="false" ht="17.15" hidden="false" customHeight="false" outlineLevel="0" collapsed="false">
      <c r="A236" s="0" t="s">
        <v>699</v>
      </c>
      <c r="B236" s="3" t="s">
        <v>31</v>
      </c>
      <c r="D236" s="21" t="n">
        <f aca="false">D234*cpu_r</f>
        <v>3.04</v>
      </c>
      <c r="E236" s="21" t="n">
        <f aca="false">E234*cpu_r</f>
        <v>3.88</v>
      </c>
      <c r="F236" s="21" t="n">
        <f aca="false">F234*cpu_r</f>
        <v>3.8</v>
      </c>
      <c r="G236" s="21" t="n">
        <f aca="false">G234*cpu_r</f>
        <v>4.24</v>
      </c>
      <c r="K236" s="7" t="s">
        <v>700</v>
      </c>
    </row>
    <row r="237" customFormat="false" ht="17.15" hidden="false" customHeight="false" outlineLevel="0" collapsed="false">
      <c r="A237" s="3" t="s">
        <v>701</v>
      </c>
      <c r="B237" s="0" t="s">
        <v>153</v>
      </c>
      <c r="D237" s="19" t="n">
        <f aca="false">1</f>
        <v>1</v>
      </c>
      <c r="E237" s="19" t="n">
        <f aca="false">D237*(1+g_asp)</f>
        <v>1.18</v>
      </c>
      <c r="F237" s="19" t="n">
        <f aca="false">E237*(1+g_asp)</f>
        <v>1.3924</v>
      </c>
      <c r="G237" s="19" t="n">
        <f aca="false">F237*(1+g_asp)</f>
        <v>1.643032</v>
      </c>
      <c r="K237" s="7" t="s">
        <v>702</v>
      </c>
    </row>
    <row r="238" customFormat="false" ht="17.15" hidden="false" customHeight="false" outlineLevel="0" collapsed="false">
      <c r="A238" s="0" t="s">
        <v>703</v>
      </c>
      <c r="B238" s="0" t="s">
        <v>153</v>
      </c>
      <c r="D238" s="18" t="n">
        <f aca="false">1</f>
        <v>1</v>
      </c>
      <c r="E238" s="18" t="n">
        <f aca="false">ibpp_27</f>
        <v>1</v>
      </c>
      <c r="F238" s="18" t="n">
        <f aca="false">ibpp_28</f>
        <v>0.95</v>
      </c>
      <c r="G238" s="18" t="n">
        <f aca="false">ibpp_29</f>
        <v>0.9</v>
      </c>
      <c r="K238" s="7" t="s">
        <v>704</v>
      </c>
    </row>
    <row r="239" customFormat="false" ht="17.15" hidden="false" customHeight="false" outlineLevel="0" collapsed="false">
      <c r="A239" s="3" t="s">
        <v>705</v>
      </c>
      <c r="B239" s="0" t="s">
        <v>153</v>
      </c>
      <c r="D239" s="18" t="n">
        <f aca="false">1</f>
        <v>1</v>
      </c>
      <c r="E239" s="18" t="n">
        <f aca="false">1+carry</f>
        <v>1.15</v>
      </c>
      <c r="F239" s="18" t="n">
        <f aca="false">1+carry</f>
        <v>1.15</v>
      </c>
      <c r="G239" s="18" t="n">
        <f aca="false">1+carry</f>
        <v>1.15</v>
      </c>
      <c r="K239" s="7" t="s">
        <v>706</v>
      </c>
    </row>
    <row r="240" customFormat="false" ht="17.15" hidden="false" customHeight="false" outlineLevel="0" collapsed="false">
      <c r="A240" s="3" t="s">
        <v>707</v>
      </c>
      <c r="B240" s="0" t="s">
        <v>708</v>
      </c>
      <c r="D240" s="23" t="n">
        <f aca="false">v26*D237*D238</f>
        <v>215.308596</v>
      </c>
      <c r="E240" s="23" t="n">
        <f aca="false">v26*E237*E238</f>
        <v>254.06414328</v>
      </c>
      <c r="F240" s="23" t="n">
        <f aca="false">v26*F237*F238</f>
        <v>284.80590461688</v>
      </c>
      <c r="G240" s="23" t="n">
        <f aca="false">v26*G237*G238</f>
        <v>318.383021792765</v>
      </c>
      <c r="K240" s="7" t="s">
        <v>709</v>
      </c>
    </row>
    <row r="241" customFormat="false" ht="17.15" hidden="false" customHeight="false" outlineLevel="0" collapsed="false">
      <c r="A241" s="3" t="s">
        <v>710</v>
      </c>
      <c r="B241" s="0" t="s">
        <v>43</v>
      </c>
      <c r="D241" s="20" t="n">
        <f aca="false">sh_nv_26</f>
        <v>0.02</v>
      </c>
      <c r="E241" s="20" t="n">
        <f aca="false">sh_nv_27</f>
        <v>0.03</v>
      </c>
      <c r="F241" s="20" t="n">
        <f aca="false">sh_nv_28</f>
        <v>0.05</v>
      </c>
      <c r="G241" s="20" t="n">
        <f aca="false">sh_nv_29</f>
        <v>0.06</v>
      </c>
    </row>
    <row r="242" customFormat="false" ht="17.15" hidden="false" customHeight="false" outlineLevel="0" collapsed="false">
      <c r="A242" s="3" t="s">
        <v>711</v>
      </c>
      <c r="B242" s="0" t="s">
        <v>43</v>
      </c>
      <c r="D242" s="20" t="n">
        <f aca="false">sh_ot_26</f>
        <v>0.03</v>
      </c>
      <c r="E242" s="20" t="n">
        <f aca="false">sh_ot_27</f>
        <v>0.05</v>
      </c>
      <c r="F242" s="20" t="n">
        <f aca="false">sh_ot_28</f>
        <v>0.06</v>
      </c>
      <c r="G242" s="20" t="n">
        <f aca="false">sh_ot_29</f>
        <v>0.06</v>
      </c>
    </row>
    <row r="243" customFormat="false" ht="17.15" hidden="false" customHeight="false" outlineLevel="0" collapsed="false">
      <c r="A243" s="3" t="s">
        <v>712</v>
      </c>
      <c r="B243" s="0" t="s">
        <v>43</v>
      </c>
      <c r="D243" s="20" t="n">
        <f aca="false">sh_cpu_26</f>
        <v>0.35</v>
      </c>
      <c r="E243" s="20" t="n">
        <f aca="false">sh_cpu_27</f>
        <v>0.7</v>
      </c>
      <c r="F243" s="20" t="n">
        <f aca="false">sh_cpu_28</f>
        <v>0.75</v>
      </c>
      <c r="G243" s="20" t="n">
        <f aca="false">sh_cpu_29</f>
        <v>0.7</v>
      </c>
    </row>
    <row r="244" customFormat="false" ht="17.15" hidden="false" customHeight="false" outlineLevel="0" collapsed="false">
      <c r="A244" s="3" t="s">
        <v>713</v>
      </c>
      <c r="B244" s="0" t="s">
        <v>660</v>
      </c>
      <c r="D244" s="22" t="n">
        <f aca="false">(D234*D240*D241+D235*D240*v_ot*D242+D236*D240*v_cpu*D243)*D239</f>
        <v>140.7256983456</v>
      </c>
      <c r="E244" s="22" t="n">
        <f aca="false">(E234*E240*E241+E235*E240*v_ot*E242+E236*E240*v_cpu*E243)*E239</f>
        <v>486.703057357198</v>
      </c>
      <c r="F244" s="22" t="n">
        <f aca="false">(F234*F240*F241+F235*F240*v_ot*F242+F236*F240*v_cpu*F243)*F239</f>
        <v>702.872492003998</v>
      </c>
      <c r="G244" s="22" t="n">
        <f aca="false">(G234*G240*G241+G235*G240*v_ot*G242+G236*G240*v_cpu*G243)*G239</f>
        <v>902.463042932027</v>
      </c>
    </row>
    <row r="245" customFormat="false" ht="17.15" hidden="false" customHeight="false" outlineLevel="0" collapsed="false">
      <c r="A245" s="3" t="s">
        <v>714</v>
      </c>
      <c r="B245" s="0" t="s">
        <v>379</v>
      </c>
      <c r="D245" s="21" t="n">
        <f aca="false">D244*fx/1000</f>
        <v>4.573585196232</v>
      </c>
      <c r="E245" s="21" t="n">
        <f aca="false">E244*fx/1000</f>
        <v>15.8178493641089</v>
      </c>
      <c r="F245" s="21" t="n">
        <f aca="false">F244*fx/1000</f>
        <v>22.8433559901299</v>
      </c>
      <c r="G245" s="21" t="n">
        <f aca="false">G244*fx/1000</f>
        <v>29.3300488952909</v>
      </c>
    </row>
    <row r="246" customFormat="false" ht="17.15" hidden="false" customHeight="false" outlineLevel="0" collapsed="false">
      <c r="A246" s="5" t="s">
        <v>715</v>
      </c>
    </row>
    <row r="247" customFormat="false" ht="17.15" hidden="false" customHeight="false" outlineLevel="0" collapsed="false">
      <c r="A247" s="0" t="s">
        <v>716</v>
      </c>
      <c r="B247" s="0" t="s">
        <v>379</v>
      </c>
      <c r="D247" s="21" t="n">
        <f aca="false">a26_abf*ai_abf</f>
        <v>5.714709</v>
      </c>
      <c r="K247" s="3" t="s">
        <v>717</v>
      </c>
    </row>
    <row r="248" customFormat="false" ht="17.15" hidden="false" customHeight="false" outlineLevel="0" collapsed="false">
      <c r="A248" s="3" t="s">
        <v>718</v>
      </c>
      <c r="B248" s="0" t="s">
        <v>379</v>
      </c>
      <c r="D248" s="21" t="n">
        <f aca="false">D247-D245</f>
        <v>1.141123803768</v>
      </c>
      <c r="E248" s="21" t="n">
        <f aca="false">$D248*(swm_27/swm_26)^el_o*1*1*E238*E239</f>
        <v>1.83552013039205</v>
      </c>
      <c r="F248" s="21" t="n">
        <f aca="false">$D248*(swm_28/swm_26)^el_o*um28_A*1*F238*F239</f>
        <v>1.87583060833026</v>
      </c>
      <c r="G248" s="21" t="n">
        <f aca="false">$D248*(swm_29/swm_26)^el_o*um29_A*1*G238*G239</f>
        <v>1.89582733342525</v>
      </c>
      <c r="K248" s="7" t="s">
        <v>719</v>
      </c>
    </row>
    <row r="249" customFormat="false" ht="17.15" hidden="false" customHeight="false" outlineLevel="0" collapsed="false">
      <c r="A249" s="3" t="s">
        <v>720</v>
      </c>
      <c r="B249" s="0" t="s">
        <v>379</v>
      </c>
      <c r="D249" s="21" t="n">
        <f aca="false">a26_abf-D247</f>
        <v>17.144127</v>
      </c>
      <c r="E249" s="21" t="n">
        <f aca="false">$D249*(1+g_nai)^1*E239</f>
        <v>20.898690813</v>
      </c>
      <c r="F249" s="21" t="n">
        <f aca="false">$D249*(1+g_nai)^2*F239</f>
        <v>22.15261226178</v>
      </c>
      <c r="G249" s="21" t="n">
        <f aca="false">$D249*(1+g_nai)^3*G239</f>
        <v>23.4817689974868</v>
      </c>
      <c r="K249" s="3" t="s">
        <v>721</v>
      </c>
    </row>
    <row r="250" customFormat="false" ht="17.15" hidden="false" customHeight="false" outlineLevel="0" collapsed="false">
      <c r="A250" s="0" t="s">
        <v>722</v>
      </c>
      <c r="B250" s="0" t="s">
        <v>379</v>
      </c>
      <c r="D250" s="21" t="n">
        <f aca="false">D245+D248+D249</f>
        <v>22.858836</v>
      </c>
      <c r="E250" s="21" t="n">
        <f aca="false">E245+E248+E249</f>
        <v>38.552060307501</v>
      </c>
      <c r="F250" s="21" t="n">
        <f aca="false">F245+F248+F249</f>
        <v>46.8717988602402</v>
      </c>
      <c r="G250" s="21" t="n">
        <f aca="false">G245+G248+G249</f>
        <v>54.7076452262029</v>
      </c>
    </row>
    <row r="251" customFormat="false" ht="17.15" hidden="false" customHeight="false" outlineLevel="0" collapsed="false">
      <c r="A251" s="0" t="s">
        <v>723</v>
      </c>
      <c r="B251" s="0" t="s">
        <v>379</v>
      </c>
      <c r="D251" s="21" t="n">
        <f aca="false">a26_abf</f>
        <v>22.858836</v>
      </c>
      <c r="E251" s="21" t="n">
        <f aca="false">$D250*cap_27_hi*(1+g_mix)^1*E238*E239</f>
        <v>34.5025555875</v>
      </c>
      <c r="F251" s="21" t="n">
        <f aca="false">$D250*cap_28_hi*(1+g_mix)^2*F238*F239</f>
        <v>44.6035237612965</v>
      </c>
      <c r="G251" s="21" t="n">
        <f aca="false">$D250*cap_29_hi*(1+g_mix)^3*G238*G239</f>
        <v>54.776257250715</v>
      </c>
      <c r="K251" s="7" t="s">
        <v>724</v>
      </c>
    </row>
    <row r="252" customFormat="false" ht="17.15" hidden="false" customHeight="false" outlineLevel="0" collapsed="false">
      <c r="A252" s="0" t="s">
        <v>725</v>
      </c>
      <c r="B252" s="0" t="s">
        <v>379</v>
      </c>
      <c r="D252" s="21" t="n">
        <f aca="false">a26_abf</f>
        <v>22.858836</v>
      </c>
      <c r="E252" s="21" t="n">
        <f aca="false">MIN(E250,E251)</f>
        <v>34.5025555875</v>
      </c>
      <c r="F252" s="21" t="n">
        <f aca="false">MIN(F250,F251)</f>
        <v>44.6035237612965</v>
      </c>
      <c r="G252" s="21" t="n">
        <f aca="false">MIN(G250,G251)</f>
        <v>54.7076452262029</v>
      </c>
    </row>
    <row r="253" customFormat="false" ht="17.15" hidden="false" customHeight="false" outlineLevel="0" collapsed="false">
      <c r="A253" s="3" t="s">
        <v>726</v>
      </c>
      <c r="B253" s="0" t="s">
        <v>43</v>
      </c>
      <c r="D253" s="20" t="n">
        <f aca="false">D252/D250</f>
        <v>1</v>
      </c>
      <c r="E253" s="20" t="n">
        <f aca="false">E252/E250</f>
        <v>0.894960095836614</v>
      </c>
      <c r="F253" s="20" t="n">
        <f aca="false">F252/F250</f>
        <v>0.95160682640521</v>
      </c>
      <c r="G253" s="20" t="n">
        <f aca="false">G252/G250</f>
        <v>1</v>
      </c>
    </row>
    <row r="254" customFormat="false" ht="17.15" hidden="false" customHeight="false" outlineLevel="0" collapsed="false">
      <c r="A254" s="0" t="s">
        <v>727</v>
      </c>
      <c r="B254" s="0" t="s">
        <v>379</v>
      </c>
      <c r="D254" s="21" t="n">
        <f aca="false">(D245+D248)*D253</f>
        <v>5.714709</v>
      </c>
      <c r="E254" s="21" t="n">
        <f aca="false">(E245+E248)*E253</f>
        <v>15.7990612546377</v>
      </c>
      <c r="F254" s="21" t="n">
        <f aca="false">(F245+F248)*F253</f>
        <v>23.5229467102789</v>
      </c>
      <c r="G254" s="21" t="n">
        <f aca="false">(G245+G248)*G253</f>
        <v>31.2258762287161</v>
      </c>
    </row>
    <row r="255" customFormat="false" ht="17.15" hidden="false" customHeight="false" outlineLevel="0" collapsed="false">
      <c r="A255" s="3" t="s">
        <v>728</v>
      </c>
      <c r="B255" s="0" t="s">
        <v>43</v>
      </c>
      <c r="D255" s="20" t="n">
        <f aca="false">D245/(D245+D248)</f>
        <v>0.800318125775433</v>
      </c>
      <c r="E255" s="20" t="n">
        <f aca="false">E245/(E245+E248)</f>
        <v>0.896024374782173</v>
      </c>
      <c r="F255" s="20" t="n">
        <f aca="false">F245/(F245+F248)</f>
        <v>0.924114387791097</v>
      </c>
      <c r="G255" s="20" t="n">
        <f aca="false">G245/(G245+G248)</f>
        <v>0.939286657016792</v>
      </c>
    </row>
    <row r="256" customFormat="false" ht="17.15" hidden="false" customHeight="false" outlineLevel="0" collapsed="false">
      <c r="A256" s="5" t="s">
        <v>729</v>
      </c>
    </row>
    <row r="257" customFormat="false" ht="17.15" hidden="false" customHeight="false" outlineLevel="0" collapsed="false">
      <c r="A257" s="0" t="s">
        <v>730</v>
      </c>
      <c r="B257" s="0" t="s">
        <v>379</v>
      </c>
      <c r="D257" s="21" t="n">
        <f aca="false">a26_bt</f>
        <v>23.265964</v>
      </c>
      <c r="E257" s="21" t="n">
        <f aca="false">D257*(1+g_bt27_A)</f>
        <v>29.78043392</v>
      </c>
      <c r="F257" s="21" t="n">
        <f aca="false">E257*(1+g_bt28_A)</f>
        <v>32.758477312</v>
      </c>
      <c r="G257" s="21" t="n">
        <f aca="false">F257*(1+g_bt29_A)</f>
        <v>34.3964011776</v>
      </c>
      <c r="K257" s="7" t="s">
        <v>731</v>
      </c>
    </row>
    <row r="258" customFormat="false" ht="17.15" hidden="false" customHeight="false" outlineLevel="0" collapsed="false">
      <c r="A258" s="3" t="s">
        <v>616</v>
      </c>
      <c r="B258" s="0" t="s">
        <v>379</v>
      </c>
      <c r="C258" s="21" t="n">
        <f aca="false">a25_lens</f>
        <v>7.039</v>
      </c>
      <c r="D258" s="21" t="n">
        <f aca="false">a26_lens</f>
        <v>8.301</v>
      </c>
      <c r="E258" s="21" t="n">
        <f aca="false">D258*(1+g_lens)</f>
        <v>9.1311</v>
      </c>
      <c r="F258" s="21" t="n">
        <f aca="false">E258*(1+g_lens)</f>
        <v>10.04421</v>
      </c>
      <c r="G258" s="21" t="n">
        <f aca="false">F258*(1+g_lens)</f>
        <v>11.048631</v>
      </c>
      <c r="K258" s="3" t="s">
        <v>732</v>
      </c>
    </row>
    <row r="259" customFormat="false" ht="17.15" hidden="false" customHeight="false" outlineLevel="0" collapsed="false">
      <c r="A259" s="3" t="s">
        <v>573</v>
      </c>
      <c r="B259" s="0" t="s">
        <v>379</v>
      </c>
      <c r="C259" s="23" t="n">
        <f aca="false">a25_rev</f>
        <v>39.351</v>
      </c>
      <c r="D259" s="23" t="n">
        <f aca="false">D252+D257+D258</f>
        <v>54.4258</v>
      </c>
      <c r="E259" s="23" t="n">
        <f aca="false">E252+E257+E258</f>
        <v>73.4140895075</v>
      </c>
      <c r="F259" s="23" t="n">
        <f aca="false">F252+F257+F258</f>
        <v>87.4062110732965</v>
      </c>
      <c r="G259" s="23" t="n">
        <f aca="false">G252+G257+G258</f>
        <v>100.152677403803</v>
      </c>
      <c r="H259" s="25" t="n">
        <f aca="false">G259*(1+H260)</f>
        <v>111.892588434216</v>
      </c>
      <c r="I259" s="25" t="n">
        <f aca="false">H259*(1+I260)</f>
        <v>121.807398619334</v>
      </c>
      <c r="J259" s="25" t="n">
        <f aca="false">I259*(1+J260)</f>
        <v>129.115842536494</v>
      </c>
      <c r="K259" s="7" t="s">
        <v>733</v>
      </c>
    </row>
    <row r="260" customFormat="false" ht="15" hidden="false" customHeight="false" outlineLevel="0" collapsed="false">
      <c r="A260" s="3" t="s">
        <v>734</v>
      </c>
      <c r="B260" s="0" t="s">
        <v>43</v>
      </c>
      <c r="D260" s="20" t="n">
        <f aca="false">D259/C259-1</f>
        <v>0.383085563263958</v>
      </c>
      <c r="E260" s="20" t="n">
        <f aca="false">E259/D259-1</f>
        <v>0.348883976119782</v>
      </c>
      <c r="F260" s="20" t="n">
        <f aca="false">F259/E259-1</f>
        <v>0.190591774135768</v>
      </c>
      <c r="G260" s="20" t="n">
        <f aca="false">G259/F259-1</f>
        <v>0.145830212452724</v>
      </c>
      <c r="H260" s="26" t="n">
        <f aca="false">$G260+(fade_gA-$G260)*1/3</f>
        <v>0.117220141635149</v>
      </c>
      <c r="I260" s="26" t="n">
        <f aca="false">$G260+(fade_gA-$G260)*2/3</f>
        <v>0.0886100708175746</v>
      </c>
      <c r="J260" s="26" t="n">
        <f aca="false">$G260+(fade_gA-$G260)*3/3</f>
        <v>0.06</v>
      </c>
    </row>
    <row r="261" customFormat="false" ht="17.15" hidden="false" customHeight="false" outlineLevel="0" collapsed="false">
      <c r="A261" s="0" t="s">
        <v>735</v>
      </c>
      <c r="B261" s="0" t="s">
        <v>43</v>
      </c>
      <c r="D261" s="20" t="n">
        <f aca="false">D252/D259</f>
        <v>0.42</v>
      </c>
      <c r="E261" s="20" t="n">
        <f aca="false">E252/E259</f>
        <v>0.46997185171077</v>
      </c>
      <c r="F261" s="20" t="n">
        <f aca="false">F252/F259</f>
        <v>0.510301535938827</v>
      </c>
      <c r="G261" s="20" t="n">
        <f aca="false">G252/G259</f>
        <v>0.546242463450364</v>
      </c>
    </row>
    <row r="262" customFormat="false" ht="17.15" hidden="false" customHeight="false" outlineLevel="0" collapsed="false">
      <c r="A262" s="0" t="s">
        <v>736</v>
      </c>
      <c r="B262" s="0" t="s">
        <v>43</v>
      </c>
      <c r="D262" s="20" t="n">
        <f aca="false">D254/D259</f>
        <v>0.105</v>
      </c>
      <c r="E262" s="20" t="n">
        <f aca="false">E254/E259</f>
        <v>0.215204756479663</v>
      </c>
      <c r="F262" s="20" t="n">
        <f aca="false">F254/F259</f>
        <v>0.269122141566727</v>
      </c>
      <c r="G262" s="20" t="n">
        <f aca="false">G254/G259</f>
        <v>0.31178274049347</v>
      </c>
      <c r="K262" s="3" t="s">
        <v>737</v>
      </c>
    </row>
    <row r="263" customFormat="false" ht="17.15" hidden="false" customHeight="false" outlineLevel="0" collapsed="false">
      <c r="A263" s="5" t="s">
        <v>738</v>
      </c>
    </row>
    <row r="264" customFormat="false" ht="15" hidden="false" customHeight="false" outlineLevel="0" collapsed="false">
      <c r="A264" s="3" t="s">
        <v>739</v>
      </c>
      <c r="B264" s="0" t="s">
        <v>379</v>
      </c>
      <c r="C264" s="23" t="n">
        <f aca="false">a25_cx</f>
        <v>6.116</v>
      </c>
      <c r="D264" s="23" t="n">
        <f aca="false">capex26</f>
        <v>11</v>
      </c>
      <c r="E264" s="23" t="n">
        <f aca="false">cx27</f>
        <v>17</v>
      </c>
      <c r="F264" s="23" t="n">
        <f aca="false">cx28</f>
        <v>16</v>
      </c>
      <c r="G264" s="23" t="n">
        <f aca="false">cx29</f>
        <v>12</v>
      </c>
      <c r="H264" s="25" t="n">
        <f aca="false">H259*H283</f>
        <v>13.5060639947348</v>
      </c>
      <c r="I264" s="25" t="n">
        <f aca="false">I259*I283</f>
        <v>14.8110693934988</v>
      </c>
      <c r="J264" s="25" t="n">
        <f aca="false">J259*J283</f>
        <v>15.8144595955359</v>
      </c>
    </row>
    <row r="265" customFormat="false" ht="17.15" hidden="false" customHeight="false" outlineLevel="0" collapsed="false">
      <c r="A265" s="3" t="s">
        <v>740</v>
      </c>
      <c r="B265" s="0" t="s">
        <v>379</v>
      </c>
      <c r="C265" s="23" t="n">
        <f aca="false">a25_da</f>
        <v>7.158</v>
      </c>
      <c r="D265" s="23" t="n">
        <f aca="false">da26</f>
        <v>8.32</v>
      </c>
      <c r="E265" s="23" t="n">
        <f aca="false">D265*(1-1/life)+D264/life</f>
        <v>8.655</v>
      </c>
      <c r="F265" s="23" t="n">
        <f aca="false">E265*(1-1/life)+E264/life</f>
        <v>9.698125</v>
      </c>
      <c r="G265" s="23" t="n">
        <f aca="false">F265*(1-1/life)+F264/life</f>
        <v>10.485859375</v>
      </c>
      <c r="H265" s="25" t="n">
        <f aca="false">H259*H266</f>
        <v>11.7150132961038</v>
      </c>
      <c r="I265" s="25" t="n">
        <f aca="false">I259*I266</f>
        <v>12.7530814539003</v>
      </c>
      <c r="J265" s="25" t="n">
        <f aca="false">J259*J266</f>
        <v>13.5182663411344</v>
      </c>
      <c r="K265" s="3" t="s">
        <v>741</v>
      </c>
    </row>
    <row r="266" customFormat="false" ht="17.15" hidden="false" customHeight="false" outlineLevel="0" collapsed="false">
      <c r="A266" s="3" t="s">
        <v>742</v>
      </c>
      <c r="B266" s="0" t="s">
        <v>43</v>
      </c>
      <c r="C266" s="20" t="n">
        <f aca="false">C265/C259</f>
        <v>0.181901349393916</v>
      </c>
      <c r="D266" s="20" t="n">
        <f aca="false">D265/D259</f>
        <v>0.152868676252807</v>
      </c>
      <c r="E266" s="20" t="n">
        <f aca="false">E265/E259</f>
        <v>0.117892901186438</v>
      </c>
      <c r="F266" s="20" t="n">
        <f aca="false">F265/F259</f>
        <v>0.11095464362215</v>
      </c>
      <c r="G266" s="20" t="n">
        <f aca="false">G265/G259</f>
        <v>0.104698742428246</v>
      </c>
      <c r="H266" s="26" t="n">
        <f aca="false">$G266</f>
        <v>0.104698742428246</v>
      </c>
      <c r="I266" s="26" t="n">
        <f aca="false">$G266</f>
        <v>0.104698742428246</v>
      </c>
      <c r="J266" s="26" t="n">
        <f aca="false">$G266</f>
        <v>0.104698742428246</v>
      </c>
    </row>
    <row r="267" customFormat="false" ht="17.15" hidden="false" customHeight="false" outlineLevel="0" collapsed="false">
      <c r="A267" s="0" t="s">
        <v>743</v>
      </c>
      <c r="B267" s="0" t="s">
        <v>379</v>
      </c>
      <c r="E267" s="21" t="n">
        <f aca="false">E253*((E245+E248)*(1-1/(E238*E239))+E249*(1-1/E239))</f>
        <v>4.5003333375</v>
      </c>
      <c r="F267" s="21" t="n">
        <f aca="false">F253*((F245+F248)*(1-1/(F238*F239))+F249*(1-1/F239))</f>
        <v>4.74128585855451</v>
      </c>
      <c r="G267" s="21" t="n">
        <f aca="false">G253*((G245+G248)*(1-1/(G238*G239))+G249*(1-1/G239))</f>
        <v>4.1187869397737</v>
      </c>
      <c r="K267" s="7" t="s">
        <v>744</v>
      </c>
    </row>
    <row r="268" customFormat="false" ht="17.15" hidden="false" customHeight="false" outlineLevel="0" collapsed="false">
      <c r="A268" s="3" t="s">
        <v>745</v>
      </c>
      <c r="B268" s="0" t="s">
        <v>379</v>
      </c>
      <c r="C268" s="21" t="n">
        <f aca="false">a25_gp</f>
        <v>8.314</v>
      </c>
      <c r="D268" s="21" t="n">
        <f aca="false">a26_gp</f>
        <v>15.328536</v>
      </c>
      <c r="E268" s="21" t="n">
        <f aca="false">$D268+ft_abf*(E252-E267-$D252)+ft_bt*(E257-$D257)+ft_lens*(E258-$D258)+E267-(E265-$D265)</f>
        <v>26.3706189265</v>
      </c>
      <c r="F268" s="21" t="n">
        <f aca="false">$D268+ft_abf*(F252-F267-$D252)+ft_bt*(F257-$D257)+ft_lens*(F258-$D258)+F267-(F265-$D265)</f>
        <v>32.2494733003255</v>
      </c>
      <c r="G268" s="21" t="n">
        <f aca="false">$D268+ft_abf*(G252-G267-$D252)+ft_bt*(G257-$D257)+ft_lens*(G258-$D258)+G267-(G265-$D265)</f>
        <v>37.3916053879083</v>
      </c>
      <c r="K268" s="3" t="s">
        <v>746</v>
      </c>
    </row>
    <row r="269" customFormat="false" ht="15" hidden="false" customHeight="false" outlineLevel="0" collapsed="false">
      <c r="A269" s="3" t="s">
        <v>580</v>
      </c>
      <c r="B269" s="0" t="s">
        <v>43</v>
      </c>
      <c r="C269" s="16" t="n">
        <f aca="false">C268/C259</f>
        <v>0.211277985311682</v>
      </c>
      <c r="D269" s="16" t="n">
        <f aca="false">D268/D259</f>
        <v>0.281640986443929</v>
      </c>
      <c r="E269" s="16" t="n">
        <f aca="false">E268/E259</f>
        <v>0.359203786404052</v>
      </c>
      <c r="F269" s="16" t="n">
        <f aca="false">F268/F259</f>
        <v>0.368960888526354</v>
      </c>
      <c r="G269" s="16" t="n">
        <f aca="false">G268/G259</f>
        <v>0.373346038839782</v>
      </c>
    </row>
    <row r="270" customFormat="false" ht="15" hidden="false" customHeight="false" outlineLevel="0" collapsed="false">
      <c r="A270" s="3" t="s">
        <v>582</v>
      </c>
      <c r="B270" s="0" t="s">
        <v>379</v>
      </c>
      <c r="C270" s="21" t="n">
        <f aca="false">a25_opx</f>
        <v>5.644</v>
      </c>
      <c r="D270" s="21" t="n">
        <f aca="false">a26_opx</f>
        <v>6.54036</v>
      </c>
      <c r="E270" s="21" t="n">
        <f aca="false">D270*(1+phi*E260)</f>
        <v>7.90945608123287</v>
      </c>
      <c r="F270" s="21" t="n">
        <f aca="false">E270*(1+phi*F260)</f>
        <v>8.81394244141553</v>
      </c>
      <c r="G270" s="21" t="n">
        <f aca="false">F270*(1+phi*G260)</f>
        <v>9.58514590068216</v>
      </c>
    </row>
    <row r="271" customFormat="false" ht="15" hidden="false" customHeight="false" outlineLevel="0" collapsed="false">
      <c r="A271" s="3" t="s">
        <v>585</v>
      </c>
      <c r="B271" s="0" t="s">
        <v>379</v>
      </c>
      <c r="C271" s="21" t="n">
        <f aca="false">C268-C270</f>
        <v>2.67</v>
      </c>
      <c r="D271" s="21" t="n">
        <f aca="false">D268-D270</f>
        <v>8.788176</v>
      </c>
      <c r="E271" s="21" t="n">
        <f aca="false">E268-E270</f>
        <v>18.4611628452671</v>
      </c>
      <c r="F271" s="21" t="n">
        <f aca="false">F268-F270</f>
        <v>23.43553085891</v>
      </c>
      <c r="G271" s="21" t="n">
        <f aca="false">G268-G270</f>
        <v>27.8064594872262</v>
      </c>
    </row>
    <row r="272" customFormat="false" ht="15" hidden="false" customHeight="false" outlineLevel="0" collapsed="false">
      <c r="A272" s="3" t="s">
        <v>683</v>
      </c>
      <c r="B272" s="0" t="s">
        <v>43</v>
      </c>
      <c r="C272" s="16" t="n">
        <f aca="false">C271/C259</f>
        <v>0.0678508805367081</v>
      </c>
      <c r="D272" s="16" t="n">
        <f aca="false">D271/D259</f>
        <v>0.161470773052486</v>
      </c>
      <c r="E272" s="16" t="n">
        <f aca="false">E271/E259</f>
        <v>0.251466209948448</v>
      </c>
      <c r="F272" s="16" t="n">
        <f aca="false">F271/F259</f>
        <v>0.268122031273699</v>
      </c>
      <c r="G272" s="16" t="n">
        <f aca="false">G271/G259</f>
        <v>0.277640700259206</v>
      </c>
    </row>
    <row r="273" customFormat="false" ht="15" hidden="false" customHeight="false" outlineLevel="0" collapsed="false">
      <c r="A273" s="3" t="s">
        <v>588</v>
      </c>
      <c r="B273" s="0" t="s">
        <v>379</v>
      </c>
      <c r="C273" s="21" t="n">
        <f aca="false">a25_nonop</f>
        <v>0.417</v>
      </c>
      <c r="D273" s="21" t="n">
        <f aca="false">a26_nonop</f>
        <v>0.37882</v>
      </c>
      <c r="E273" s="21" t="n">
        <f aca="false">nonop27</f>
        <v>0.4</v>
      </c>
      <c r="F273" s="21" t="n">
        <f aca="false">nonop28</f>
        <v>0.4</v>
      </c>
      <c r="G273" s="21" t="n">
        <f aca="false">nonop29</f>
        <v>0.4</v>
      </c>
    </row>
    <row r="274" customFormat="false" ht="15" hidden="false" customHeight="false" outlineLevel="0" collapsed="false">
      <c r="A274" s="3" t="s">
        <v>590</v>
      </c>
      <c r="B274" s="0" t="s">
        <v>379</v>
      </c>
      <c r="C274" s="21" t="n">
        <f aca="false">C271+C273</f>
        <v>3.087</v>
      </c>
      <c r="D274" s="21" t="n">
        <f aca="false">D271+D273</f>
        <v>9.166996</v>
      </c>
      <c r="E274" s="21" t="n">
        <f aca="false">E271+E273</f>
        <v>18.8611628452671</v>
      </c>
      <c r="F274" s="21" t="n">
        <f aca="false">F271+F273</f>
        <v>23.83553085891</v>
      </c>
      <c r="G274" s="21" t="n">
        <f aca="false">G271+G273</f>
        <v>28.2064594872262</v>
      </c>
    </row>
    <row r="275" customFormat="false" ht="15" hidden="false" customHeight="false" outlineLevel="0" collapsed="false">
      <c r="A275" s="3" t="s">
        <v>591</v>
      </c>
      <c r="B275" s="0" t="s">
        <v>379</v>
      </c>
      <c r="E275" s="21" t="n">
        <f aca="false">E274*tax</f>
        <v>2.26333954143206</v>
      </c>
      <c r="F275" s="21" t="n">
        <f aca="false">F274*tax</f>
        <v>2.8602637030692</v>
      </c>
      <c r="G275" s="21" t="n">
        <f aca="false">G274*tax</f>
        <v>3.38477513846714</v>
      </c>
    </row>
    <row r="276" customFormat="false" ht="15" hidden="false" customHeight="false" outlineLevel="0" collapsed="false">
      <c r="A276" s="3" t="s">
        <v>592</v>
      </c>
      <c r="B276" s="0" t="s">
        <v>379</v>
      </c>
      <c r="C276" s="21" t="n">
        <f aca="false">a25_nic</f>
        <v>2.71712</v>
      </c>
      <c r="D276" s="21" t="n">
        <f aca="false">a26_nic</f>
        <v>8.39979776</v>
      </c>
      <c r="E276" s="21" t="n">
        <f aca="false">E274-E275</f>
        <v>16.5978233038351</v>
      </c>
      <c r="F276" s="21" t="n">
        <f aca="false">F274-F275</f>
        <v>20.9752671558408</v>
      </c>
      <c r="G276" s="21" t="n">
        <f aca="false">G274-G275</f>
        <v>24.821684348759</v>
      </c>
    </row>
    <row r="277" customFormat="false" ht="17.15" hidden="false" customHeight="false" outlineLevel="0" collapsed="false">
      <c r="A277" s="3" t="s">
        <v>747</v>
      </c>
      <c r="B277" s="0" t="s">
        <v>379</v>
      </c>
      <c r="C277" s="21" t="n">
        <f aca="false">a25_nci</f>
        <v>1.12112</v>
      </c>
      <c r="D277" s="21" t="n">
        <f aca="false">a26_nci</f>
        <v>1.43839238487797</v>
      </c>
      <c r="E277" s="21" t="n">
        <f aca="false">E258*nm_lens*nci_sh</f>
        <v>1.57074538036261</v>
      </c>
      <c r="F277" s="21" t="n">
        <f aca="false">F258*nm_lens*nci_sh</f>
        <v>1.72781991839887</v>
      </c>
      <c r="G277" s="21" t="n">
        <f aca="false">G258*nm_lens*nci_sh</f>
        <v>1.90060191023875</v>
      </c>
      <c r="K277" s="3" t="s">
        <v>748</v>
      </c>
    </row>
    <row r="278" customFormat="false" ht="15" hidden="false" customHeight="false" outlineLevel="0" collapsed="false">
      <c r="A278" s="3" t="s">
        <v>598</v>
      </c>
      <c r="B278" s="0" t="s">
        <v>379</v>
      </c>
      <c r="C278" s="21" t="n">
        <f aca="false">a25_ni</f>
        <v>1.596</v>
      </c>
      <c r="D278" s="21" t="n">
        <f aca="false">a26_ni</f>
        <v>6.96140537512203</v>
      </c>
      <c r="E278" s="21" t="n">
        <f aca="false">E276-E277</f>
        <v>15.0270779234725</v>
      </c>
      <c r="F278" s="21" t="n">
        <f aca="false">F276-F277</f>
        <v>19.2474472374419</v>
      </c>
      <c r="G278" s="21" t="n">
        <f aca="false">G276-G277</f>
        <v>22.9210824385203</v>
      </c>
      <c r="H278" s="30" t="n">
        <f aca="false">H259*H282</f>
        <v>25.3116025346403</v>
      </c>
      <c r="I278" s="30" t="n">
        <f aca="false">I259*I282</f>
        <v>27.2319185004491</v>
      </c>
      <c r="J278" s="30" t="n">
        <f aca="false">J259*J282</f>
        <v>28.5239338675465</v>
      </c>
    </row>
    <row r="279" customFormat="false" ht="15" hidden="false" customHeight="false" outlineLevel="0" collapsed="false">
      <c r="A279" s="3" t="s">
        <v>749</v>
      </c>
      <c r="B279" s="3" t="s">
        <v>465</v>
      </c>
      <c r="C279" s="29" t="n">
        <f aca="false">a25_sh</f>
        <v>0.454700854700855</v>
      </c>
      <c r="D279" s="29" t="n">
        <f aca="false">a26_sh</f>
        <v>0.508341020486215</v>
      </c>
      <c r="E279" s="29" t="n">
        <f aca="false">a26_shend*(1+sh_g)</f>
        <v>0.52691</v>
      </c>
      <c r="F279" s="29" t="n">
        <f aca="false">E279*(1+sh_g)</f>
        <v>0.52691</v>
      </c>
      <c r="G279" s="29" t="n">
        <f aca="false">F279*(1+sh_g)</f>
        <v>0.52691</v>
      </c>
      <c r="H279" s="31" t="n">
        <f aca="false">G279*(1+sh_g)</f>
        <v>0.52691</v>
      </c>
      <c r="I279" s="31" t="n">
        <f aca="false">H279*(1+sh_g)</f>
        <v>0.52691</v>
      </c>
      <c r="J279" s="31" t="n">
        <f aca="false">I279*(1+sh_g)</f>
        <v>0.52691</v>
      </c>
    </row>
    <row r="280" customFormat="false" ht="17.15" hidden="false" customHeight="false" outlineLevel="0" collapsed="false">
      <c r="A280" s="0" t="s">
        <v>603</v>
      </c>
      <c r="B280" s="0" t="s">
        <v>471</v>
      </c>
      <c r="C280" s="18" t="n">
        <f aca="false">C278/C279</f>
        <v>3.51</v>
      </c>
      <c r="D280" s="18" t="n">
        <f aca="false">D278/D279</f>
        <v>13.6943608612652</v>
      </c>
      <c r="E280" s="18" t="n">
        <f aca="false">E278/E279</f>
        <v>28.5192498215492</v>
      </c>
      <c r="F280" s="18" t="n">
        <f aca="false">F278/F279</f>
        <v>36.5289086133152</v>
      </c>
      <c r="G280" s="18" t="n">
        <f aca="false">G278/G279</f>
        <v>43.5009440673365</v>
      </c>
      <c r="H280" s="28" t="n">
        <f aca="false">H278/H279</f>
        <v>48.0378101281818</v>
      </c>
      <c r="I280" s="28" t="n">
        <f aca="false">I278/I279</f>
        <v>51.6822958388511</v>
      </c>
      <c r="J280" s="28" t="n">
        <f aca="false">J278/J279</f>
        <v>54.1343566596696</v>
      </c>
    </row>
    <row r="281" customFormat="false" ht="17.15" hidden="false" customHeight="false" outlineLevel="0" collapsed="false">
      <c r="A281" s="0" t="s">
        <v>750</v>
      </c>
      <c r="B281" s="0" t="s">
        <v>43</v>
      </c>
      <c r="D281" s="20" t="n">
        <f aca="false">D280/C280-1</f>
        <v>2.90152731090177</v>
      </c>
      <c r="E281" s="20" t="n">
        <f aca="false">E280/D280-1</f>
        <v>1.08255427985811</v>
      </c>
      <c r="F281" s="20" t="n">
        <f aca="false">F280/E280-1</f>
        <v>0.280850963538106</v>
      </c>
      <c r="G281" s="20" t="n">
        <f aca="false">G280/F280-1</f>
        <v>0.190863502871802</v>
      </c>
      <c r="H281" s="26" t="n">
        <f aca="false">H280/G280-1</f>
        <v>0.104293508063239</v>
      </c>
      <c r="I281" s="26" t="n">
        <f aca="false">I280/H280-1</f>
        <v>0.0758670243490411</v>
      </c>
      <c r="J281" s="26" t="n">
        <f aca="false">J280/I280-1</f>
        <v>0.0474448896090871</v>
      </c>
    </row>
    <row r="282" customFormat="false" ht="17.15" hidden="false" customHeight="false" outlineLevel="0" collapsed="false">
      <c r="A282" s="3" t="s">
        <v>751</v>
      </c>
      <c r="B282" s="0" t="s">
        <v>43</v>
      </c>
      <c r="C282" s="16" t="n">
        <f aca="false">C278/C259</f>
        <v>0.0405580544331783</v>
      </c>
      <c r="D282" s="16" t="n">
        <f aca="false">D278/D259</f>
        <v>0.127906349105057</v>
      </c>
      <c r="E282" s="16" t="n">
        <f aca="false">E278/E259</f>
        <v>0.204689290901541</v>
      </c>
      <c r="F282" s="16" t="n">
        <f aca="false">F278/F259</f>
        <v>0.220206859456492</v>
      </c>
      <c r="G282" s="16" t="n">
        <f aca="false">G278/G259</f>
        <v>0.228861404734148</v>
      </c>
      <c r="H282" s="27" t="n">
        <f aca="false">$G282+(fade_mA-$G282)*1/3</f>
        <v>0.226213397051954</v>
      </c>
      <c r="I282" s="27" t="n">
        <f aca="false">$G282+(fade_mA-$G282)*2/3</f>
        <v>0.223565389369761</v>
      </c>
      <c r="J282" s="27" t="n">
        <f aca="false">$G282+(fade_mA-$G282)*3/3</f>
        <v>0.220917381687568</v>
      </c>
    </row>
    <row r="283" customFormat="false" ht="17.15" hidden="false" customHeight="false" outlineLevel="0" collapsed="false">
      <c r="A283" s="3" t="s">
        <v>752</v>
      </c>
      <c r="B283" s="0" t="s">
        <v>43</v>
      </c>
      <c r="C283" s="20" t="n">
        <f aca="false">C264/C259</f>
        <v>0.155421717364235</v>
      </c>
      <c r="D283" s="20" t="n">
        <f aca="false">D264/D259</f>
        <v>0.202110028699624</v>
      </c>
      <c r="E283" s="20" t="n">
        <f aca="false">E264/E259</f>
        <v>0.231563179684511</v>
      </c>
      <c r="F283" s="20" t="n">
        <f aca="false">F264/F259</f>
        <v>0.183053352885676</v>
      </c>
      <c r="G283" s="20" t="n">
        <f aca="false">G264/G259</f>
        <v>0.119817066413687</v>
      </c>
      <c r="H283" s="26" t="n">
        <f aca="false">$G283+($G266*(1+tp_g)^(life/2)-$G283)*1/3</f>
        <v>0.120705617626098</v>
      </c>
      <c r="I283" s="26" t="n">
        <f aca="false">$G283+($G266*(1+tp_g)^(life/2)-$G283)*2/3</f>
        <v>0.121594168838508</v>
      </c>
      <c r="J283" s="26" t="n">
        <f aca="false">$G283+($G266*(1+tp_g)^(life/2)-$G283)*3/3</f>
        <v>0.122482720050919</v>
      </c>
      <c r="K283" s="7" t="s">
        <v>753</v>
      </c>
    </row>
    <row r="284" customFormat="false" ht="15" hidden="false" customHeight="false" outlineLevel="0" collapsed="false">
      <c r="A284" s="3" t="s">
        <v>754</v>
      </c>
      <c r="B284" s="0" t="s">
        <v>379</v>
      </c>
      <c r="D284" s="21" t="n">
        <f aca="false">D278+D265-D264</f>
        <v>4.28140537512203</v>
      </c>
      <c r="E284" s="21" t="n">
        <f aca="false">E278+E265-E264</f>
        <v>6.68207792347247</v>
      </c>
      <c r="F284" s="21" t="n">
        <f aca="false">F278+F265-F264</f>
        <v>12.9455722374419</v>
      </c>
      <c r="G284" s="21" t="n">
        <f aca="false">G278+G265-G264</f>
        <v>21.4069418135203</v>
      </c>
      <c r="H284" s="30" t="n">
        <f aca="false">H278+H265-H264</f>
        <v>23.5205518360092</v>
      </c>
      <c r="I284" s="30" t="n">
        <f aca="false">I278+I265-I264</f>
        <v>25.1739305608506</v>
      </c>
      <c r="J284" s="30" t="n">
        <f aca="false">J278+J265-J264</f>
        <v>26.227740613145</v>
      </c>
      <c r="K284" s="3" t="s">
        <v>755</v>
      </c>
    </row>
    <row r="285" customFormat="false" ht="15" hidden="false" customHeight="false" outlineLevel="0" collapsed="false">
      <c r="A285" s="3" t="s">
        <v>756</v>
      </c>
      <c r="B285" s="0" t="s">
        <v>471</v>
      </c>
      <c r="D285" s="18" t="n">
        <f aca="false">D284/D279</f>
        <v>8.42230943909854</v>
      </c>
      <c r="E285" s="18" t="n">
        <f aca="false">E284/E279</f>
        <v>12.6816304937702</v>
      </c>
      <c r="F285" s="18" t="n">
        <f aca="false">F284/F279</f>
        <v>24.5688490205954</v>
      </c>
      <c r="G285" s="18" t="n">
        <f aca="false">G284/G279</f>
        <v>40.6273212000536</v>
      </c>
      <c r="H285" s="28" t="n">
        <f aca="false">H284/H279</f>
        <v>44.6386514509294</v>
      </c>
      <c r="I285" s="28" t="n">
        <f aca="false">I284/I279</f>
        <v>47.776528365092</v>
      </c>
      <c r="J285" s="28" t="n">
        <f aca="false">J284/J279</f>
        <v>49.776509485766</v>
      </c>
    </row>
    <row r="288" customFormat="false" ht="17.15" hidden="false" customHeight="false" outlineLevel="0" collapsed="false">
      <c r="A288" s="1" t="s">
        <v>1094</v>
      </c>
    </row>
    <row r="289" customFormat="false" ht="17.15" hidden="false" customHeight="false" outlineLevel="0" collapsed="false">
      <c r="A289" s="4" t="s">
        <v>20</v>
      </c>
      <c r="B289" s="4" t="s">
        <v>21</v>
      </c>
      <c r="C289" s="13" t="s">
        <v>566</v>
      </c>
      <c r="D289" s="13" t="s">
        <v>670</v>
      </c>
      <c r="E289" s="13" t="s">
        <v>671</v>
      </c>
      <c r="F289" s="13" t="s">
        <v>672</v>
      </c>
      <c r="G289" s="13" t="s">
        <v>673</v>
      </c>
      <c r="H289" s="13" t="s">
        <v>674</v>
      </c>
      <c r="I289" s="13" t="s">
        <v>675</v>
      </c>
      <c r="J289" s="13" t="s">
        <v>676</v>
      </c>
      <c r="K289" s="4" t="s">
        <v>630</v>
      </c>
    </row>
    <row r="290" customFormat="false" ht="17.15" hidden="false" customHeight="false" outlineLevel="0" collapsed="false">
      <c r="A290" s="5" t="s">
        <v>694</v>
      </c>
    </row>
    <row r="291" customFormat="false" ht="17.15" hidden="false" customHeight="false" outlineLevel="0" collapsed="false">
      <c r="A291" s="0" t="s">
        <v>695</v>
      </c>
      <c r="B291" s="3" t="s">
        <v>31</v>
      </c>
      <c r="D291" s="21" t="n">
        <f aca="false">(u_bw_26+u_rb_26+u_ru_26+u_hp_26)*1</f>
        <v>7.6</v>
      </c>
      <c r="E291" s="21" t="n">
        <f aca="false">(u_bw_27+u_rb_27+u_ru_27+u_hp_27)*1*1</f>
        <v>9.7</v>
      </c>
      <c r="F291" s="21" t="n">
        <f aca="false">(u_bw_28+u_rb_28+u_ru_28+u_hp_28)*um28_A*1</f>
        <v>9.5</v>
      </c>
      <c r="G291" s="21" t="n">
        <f aca="false">(u_bw_28*(1+g29_bw)+u_rb_28*(1+g29_rb)+u_ru_28*(1+g29_ru)+u_hp_28*(1+g29_hp))*um29_A*1</f>
        <v>10.6</v>
      </c>
      <c r="K291" s="7" t="s">
        <v>696</v>
      </c>
    </row>
    <row r="292" customFormat="false" ht="17.15" hidden="false" customHeight="false" outlineLevel="0" collapsed="false">
      <c r="A292" s="3" t="s">
        <v>697</v>
      </c>
      <c r="B292" s="3" t="s">
        <v>31</v>
      </c>
      <c r="D292" s="21" t="n">
        <f aca="false">(u_amd_26+u_tpu_26+u_trn_26+u_oth_26)*1</f>
        <v>7.6</v>
      </c>
      <c r="E292" s="21" t="n">
        <f aca="false">(u_amd_27+u_tpu_27+u_trn_27+u_oth_27)*1*1</f>
        <v>14</v>
      </c>
      <c r="F292" s="21" t="n">
        <f aca="false">(u_amd_28+u_tpu_28+u_trn_28+u_oth_28)*um28_A*1</f>
        <v>17</v>
      </c>
      <c r="G292" s="21" t="n">
        <f aca="false">(u_amd_28*(1+g29_amd)+u_tpu_28*(1+g29_tpu)+u_trn_28*(1+g29_trn)+u_oth_28*(1+g29_oth))*um29_A*1</f>
        <v>19.55</v>
      </c>
      <c r="K292" s="7" t="s">
        <v>698</v>
      </c>
    </row>
    <row r="293" customFormat="false" ht="17.15" hidden="false" customHeight="false" outlineLevel="0" collapsed="false">
      <c r="A293" s="0" t="s">
        <v>699</v>
      </c>
      <c r="B293" s="3" t="s">
        <v>31</v>
      </c>
      <c r="D293" s="21" t="n">
        <f aca="false">D291*cpu_r</f>
        <v>3.04</v>
      </c>
      <c r="E293" s="21" t="n">
        <f aca="false">E291*cpu_r</f>
        <v>3.88</v>
      </c>
      <c r="F293" s="21" t="n">
        <f aca="false">F291*cpu_r</f>
        <v>3.8</v>
      </c>
      <c r="G293" s="21" t="n">
        <f aca="false">G291*cpu_r</f>
        <v>4.24</v>
      </c>
      <c r="K293" s="7" t="s">
        <v>700</v>
      </c>
    </row>
    <row r="294" customFormat="false" ht="17.15" hidden="false" customHeight="false" outlineLevel="0" collapsed="false">
      <c r="A294" s="3" t="s">
        <v>701</v>
      </c>
      <c r="B294" s="0" t="s">
        <v>153</v>
      </c>
      <c r="D294" s="19" t="n">
        <f aca="false">1</f>
        <v>1</v>
      </c>
      <c r="E294" s="19" t="n">
        <f aca="false">D294*(1+g_asp)</f>
        <v>1.18</v>
      </c>
      <c r="F294" s="19" t="n">
        <f aca="false">E294*(1+g_asp)</f>
        <v>1.3924</v>
      </c>
      <c r="G294" s="19" t="n">
        <f aca="false">F294*(1+g_asp)</f>
        <v>1.643032</v>
      </c>
      <c r="K294" s="7" t="s">
        <v>702</v>
      </c>
    </row>
    <row r="295" customFormat="false" ht="17.15" hidden="false" customHeight="false" outlineLevel="0" collapsed="false">
      <c r="A295" s="0" t="s">
        <v>703</v>
      </c>
      <c r="B295" s="0" t="s">
        <v>153</v>
      </c>
      <c r="D295" s="18" t="n">
        <f aca="false">1</f>
        <v>1</v>
      </c>
      <c r="E295" s="18" t="n">
        <f aca="false">ibpp_27_lo</f>
        <v>0.95</v>
      </c>
      <c r="F295" s="18" t="n">
        <f aca="false">ibpp_28_lo</f>
        <v>0.85</v>
      </c>
      <c r="G295" s="18" t="n">
        <f aca="false">ibpp_29_lo</f>
        <v>0.75</v>
      </c>
      <c r="K295" s="7" t="s">
        <v>704</v>
      </c>
    </row>
    <row r="296" customFormat="false" ht="17.15" hidden="false" customHeight="false" outlineLevel="0" collapsed="false">
      <c r="A296" s="3" t="s">
        <v>705</v>
      </c>
      <c r="B296" s="0" t="s">
        <v>153</v>
      </c>
      <c r="D296" s="18" t="n">
        <f aca="false">1</f>
        <v>1</v>
      </c>
      <c r="E296" s="18" t="n">
        <f aca="false">1+carry</f>
        <v>1.15</v>
      </c>
      <c r="F296" s="18" t="n">
        <f aca="false">1+carry</f>
        <v>1.15</v>
      </c>
      <c r="G296" s="18" t="n">
        <f aca="false">1+carry</f>
        <v>1.15</v>
      </c>
      <c r="K296" s="7" t="s">
        <v>706</v>
      </c>
    </row>
    <row r="297" customFormat="false" ht="17.15" hidden="false" customHeight="false" outlineLevel="0" collapsed="false">
      <c r="A297" s="3" t="s">
        <v>707</v>
      </c>
      <c r="B297" s="0" t="s">
        <v>708</v>
      </c>
      <c r="D297" s="23" t="n">
        <f aca="false">v26*D294*D295</f>
        <v>215.308596</v>
      </c>
      <c r="E297" s="23" t="n">
        <f aca="false">v26*E294*E295</f>
        <v>241.360936116</v>
      </c>
      <c r="F297" s="23" t="n">
        <f aca="false">v26*F294*F295</f>
        <v>254.82633570984</v>
      </c>
      <c r="G297" s="23" t="n">
        <f aca="false">v26*G294*G295</f>
        <v>265.319184827304</v>
      </c>
      <c r="K297" s="7" t="s">
        <v>709</v>
      </c>
    </row>
    <row r="298" customFormat="false" ht="17.15" hidden="false" customHeight="false" outlineLevel="0" collapsed="false">
      <c r="A298" s="3" t="s">
        <v>710</v>
      </c>
      <c r="B298" s="0" t="s">
        <v>43</v>
      </c>
      <c r="D298" s="20" t="n">
        <f aca="false">sh_nv_26</f>
        <v>0.02</v>
      </c>
      <c r="E298" s="20" t="n">
        <f aca="false">sh_nv_27</f>
        <v>0.03</v>
      </c>
      <c r="F298" s="20" t="n">
        <f aca="false">sh_nv_28</f>
        <v>0.05</v>
      </c>
      <c r="G298" s="20" t="n">
        <f aca="false">sh_nv_29</f>
        <v>0.06</v>
      </c>
    </row>
    <row r="299" customFormat="false" ht="17.15" hidden="false" customHeight="false" outlineLevel="0" collapsed="false">
      <c r="A299" s="3" t="s">
        <v>711</v>
      </c>
      <c r="B299" s="0" t="s">
        <v>43</v>
      </c>
      <c r="D299" s="20" t="n">
        <f aca="false">sh_ot_26</f>
        <v>0.03</v>
      </c>
      <c r="E299" s="20" t="n">
        <f aca="false">sh_ot_27</f>
        <v>0.05</v>
      </c>
      <c r="F299" s="20" t="n">
        <f aca="false">sh_ot_28</f>
        <v>0.06</v>
      </c>
      <c r="G299" s="20" t="n">
        <f aca="false">sh_ot_29</f>
        <v>0.06</v>
      </c>
    </row>
    <row r="300" customFormat="false" ht="17.15" hidden="false" customHeight="false" outlineLevel="0" collapsed="false">
      <c r="A300" s="3" t="s">
        <v>712</v>
      </c>
      <c r="B300" s="0" t="s">
        <v>43</v>
      </c>
      <c r="D300" s="20" t="n">
        <f aca="false">sh_cpu_26</f>
        <v>0.35</v>
      </c>
      <c r="E300" s="20" t="n">
        <f aca="false">sh_cpu_27</f>
        <v>0.7</v>
      </c>
      <c r="F300" s="20" t="n">
        <f aca="false">sh_cpu_28</f>
        <v>0.75</v>
      </c>
      <c r="G300" s="20" t="n">
        <f aca="false">sh_cpu_29</f>
        <v>0.7</v>
      </c>
    </row>
    <row r="301" customFormat="false" ht="17.15" hidden="false" customHeight="false" outlineLevel="0" collapsed="false">
      <c r="A301" s="3" t="s">
        <v>713</v>
      </c>
      <c r="B301" s="0" t="s">
        <v>660</v>
      </c>
      <c r="D301" s="22" t="n">
        <f aca="false">(D291*D297*D298+D292*D297*v_ot*D299+D293*D297*v_cpu*D300)*D296</f>
        <v>140.7256983456</v>
      </c>
      <c r="E301" s="22" t="n">
        <f aca="false">(E291*E297*E298+E292*E297*v_ot*E299+E293*E297*v_cpu*E300)*E296</f>
        <v>462.367904489338</v>
      </c>
      <c r="F301" s="22" t="n">
        <f aca="false">(F291*F297*F298+F292*F297*v_ot*F299+F293*F297*v_cpu*F300)*F296</f>
        <v>628.885913898314</v>
      </c>
      <c r="G301" s="22" t="n">
        <f aca="false">(G291*G297*G298+G292*G297*v_ot*G299+G293*G297*v_cpu*G300)*G296</f>
        <v>752.052535776689</v>
      </c>
    </row>
    <row r="302" customFormat="false" ht="17.15" hidden="false" customHeight="false" outlineLevel="0" collapsed="false">
      <c r="A302" s="3" t="s">
        <v>714</v>
      </c>
      <c r="B302" s="0" t="s">
        <v>379</v>
      </c>
      <c r="D302" s="21" t="n">
        <f aca="false">D301*fx/1000</f>
        <v>4.573585196232</v>
      </c>
      <c r="E302" s="21" t="n">
        <f aca="false">E301*fx/1000</f>
        <v>15.0269568959035</v>
      </c>
      <c r="F302" s="21" t="n">
        <f aca="false">F301*fx/1000</f>
        <v>20.4387922016952</v>
      </c>
      <c r="G302" s="21" t="n">
        <f aca="false">G301*fx/1000</f>
        <v>24.4417074127424</v>
      </c>
    </row>
    <row r="303" customFormat="false" ht="17.15" hidden="false" customHeight="false" outlineLevel="0" collapsed="false">
      <c r="A303" s="5" t="s">
        <v>715</v>
      </c>
    </row>
    <row r="304" customFormat="false" ht="17.15" hidden="false" customHeight="false" outlineLevel="0" collapsed="false">
      <c r="A304" s="0" t="s">
        <v>716</v>
      </c>
      <c r="B304" s="0" t="s">
        <v>379</v>
      </c>
      <c r="D304" s="21" t="n">
        <f aca="false">a26_abf*ai_abf</f>
        <v>5.714709</v>
      </c>
      <c r="K304" s="3" t="s">
        <v>717</v>
      </c>
    </row>
    <row r="305" customFormat="false" ht="17.15" hidden="false" customHeight="false" outlineLevel="0" collapsed="false">
      <c r="A305" s="3" t="s">
        <v>718</v>
      </c>
      <c r="B305" s="0" t="s">
        <v>379</v>
      </c>
      <c r="D305" s="21" t="n">
        <f aca="false">D304-D302</f>
        <v>1.141123803768</v>
      </c>
      <c r="E305" s="21" t="n">
        <f aca="false">$D305*(swm_27/swm_26)^el_o*1*1*E295*E296</f>
        <v>1.74374412387245</v>
      </c>
      <c r="F305" s="21" t="n">
        <f aca="false">$D305*(swm_28/swm_26)^el_o*um28_A*1*F295*F296</f>
        <v>1.67837475482181</v>
      </c>
      <c r="G305" s="21" t="n">
        <f aca="false">$D305*(swm_29/swm_26)^el_o*um29_A*1*G295*G296</f>
        <v>1.57985611118771</v>
      </c>
      <c r="K305" s="7" t="s">
        <v>719</v>
      </c>
    </row>
    <row r="306" customFormat="false" ht="17.15" hidden="false" customHeight="false" outlineLevel="0" collapsed="false">
      <c r="A306" s="3" t="s">
        <v>720</v>
      </c>
      <c r="B306" s="0" t="s">
        <v>379</v>
      </c>
      <c r="D306" s="21" t="n">
        <f aca="false">a26_abf-D304</f>
        <v>17.144127</v>
      </c>
      <c r="E306" s="21" t="n">
        <f aca="false">$D306*(1+g_nai)^1*E296</f>
        <v>20.898690813</v>
      </c>
      <c r="F306" s="21" t="n">
        <f aca="false">$D306*(1+g_nai)^2*F296</f>
        <v>22.15261226178</v>
      </c>
      <c r="G306" s="21" t="n">
        <f aca="false">$D306*(1+g_nai)^3*G296</f>
        <v>23.4817689974868</v>
      </c>
      <c r="K306" s="3" t="s">
        <v>721</v>
      </c>
    </row>
    <row r="307" customFormat="false" ht="17.15" hidden="false" customHeight="false" outlineLevel="0" collapsed="false">
      <c r="A307" s="0" t="s">
        <v>722</v>
      </c>
      <c r="B307" s="0" t="s">
        <v>379</v>
      </c>
      <c r="D307" s="21" t="n">
        <f aca="false">D302+D305+D306</f>
        <v>22.858836</v>
      </c>
      <c r="E307" s="21" t="n">
        <f aca="false">E302+E305+E306</f>
        <v>37.6693918327759</v>
      </c>
      <c r="F307" s="21" t="n">
        <f aca="false">F302+F305+F306</f>
        <v>44.269779218297</v>
      </c>
      <c r="G307" s="21" t="n">
        <f aca="false">G302+G305+G306</f>
        <v>49.5033325214169</v>
      </c>
    </row>
    <row r="308" customFormat="false" ht="17.15" hidden="false" customHeight="false" outlineLevel="0" collapsed="false">
      <c r="A308" s="0" t="s">
        <v>723</v>
      </c>
      <c r="B308" s="0" t="s">
        <v>379</v>
      </c>
      <c r="D308" s="21" t="n">
        <f aca="false">a26_abf</f>
        <v>22.858836</v>
      </c>
      <c r="E308" s="21" t="n">
        <f aca="false">$D307*cap_27*(1+g_mix)^1*E295*E296</f>
        <v>31.4663306958</v>
      </c>
      <c r="F308" s="21" t="n">
        <f aca="false">$D307*cap_28*(1+g_mix)^2*F295*F296</f>
        <v>36.9522370342125</v>
      </c>
      <c r="G308" s="21" t="n">
        <f aca="false">$D307*cap_29*(1+g_mix)^3*G295*G296</f>
        <v>42.2233649640928</v>
      </c>
      <c r="K308" s="7" t="s">
        <v>724</v>
      </c>
    </row>
    <row r="309" customFormat="false" ht="17.15" hidden="false" customHeight="false" outlineLevel="0" collapsed="false">
      <c r="A309" s="0" t="s">
        <v>725</v>
      </c>
      <c r="B309" s="0" t="s">
        <v>379</v>
      </c>
      <c r="D309" s="21" t="n">
        <f aca="false">a26_abf</f>
        <v>22.858836</v>
      </c>
      <c r="E309" s="21" t="n">
        <f aca="false">MIN(E307,E308)</f>
        <v>31.4663306958</v>
      </c>
      <c r="F309" s="21" t="n">
        <f aca="false">MIN(F307,F308)</f>
        <v>36.9522370342125</v>
      </c>
      <c r="G309" s="21" t="n">
        <f aca="false">MIN(G307,G308)</f>
        <v>42.2233649640928</v>
      </c>
    </row>
    <row r="310" customFormat="false" ht="17.15" hidden="false" customHeight="false" outlineLevel="0" collapsed="false">
      <c r="A310" s="3" t="s">
        <v>726</v>
      </c>
      <c r="B310" s="0" t="s">
        <v>43</v>
      </c>
      <c r="D310" s="20" t="n">
        <f aca="false">D309/D307</f>
        <v>1</v>
      </c>
      <c r="E310" s="20" t="n">
        <f aca="false">E309/E307</f>
        <v>0.835328874845846</v>
      </c>
      <c r="F310" s="20" t="n">
        <f aca="false">F309/F307</f>
        <v>0.834705699615052</v>
      </c>
      <c r="G310" s="20" t="n">
        <f aca="false">G309/G307</f>
        <v>0.852939848965228</v>
      </c>
    </row>
    <row r="311" customFormat="false" ht="17.15" hidden="false" customHeight="false" outlineLevel="0" collapsed="false">
      <c r="A311" s="0" t="s">
        <v>727</v>
      </c>
      <c r="B311" s="0" t="s">
        <v>379</v>
      </c>
      <c r="D311" s="21" t="n">
        <f aca="false">(D302+D305)*D310</f>
        <v>5.714709</v>
      </c>
      <c r="E311" s="21" t="n">
        <f aca="false">(E302+E305)*E310</f>
        <v>14.0090508132255</v>
      </c>
      <c r="F311" s="21" t="n">
        <f aca="false">(F302+F305)*F310</f>
        <v>18.4613253179424</v>
      </c>
      <c r="G311" s="21" t="n">
        <f aca="false">(G302+G305)*G310</f>
        <v>22.19482846194</v>
      </c>
    </row>
    <row r="312" customFormat="false" ht="17.15" hidden="false" customHeight="false" outlineLevel="0" collapsed="false">
      <c r="A312" s="3" t="s">
        <v>728</v>
      </c>
      <c r="B312" s="0" t="s">
        <v>43</v>
      </c>
      <c r="D312" s="20" t="n">
        <f aca="false">D302/(D302+D305)</f>
        <v>0.800318125775433</v>
      </c>
      <c r="E312" s="20" t="n">
        <f aca="false">E302/(E302+E305)</f>
        <v>0.896024374782173</v>
      </c>
      <c r="F312" s="20" t="n">
        <f aca="false">F302/(F302+F305)</f>
        <v>0.924114387791097</v>
      </c>
      <c r="G312" s="20" t="n">
        <f aca="false">G302/(G302+G305)</f>
        <v>0.939286657016792</v>
      </c>
    </row>
    <row r="313" customFormat="false" ht="17.15" hidden="false" customHeight="false" outlineLevel="0" collapsed="false">
      <c r="A313" s="5" t="s">
        <v>729</v>
      </c>
    </row>
    <row r="314" customFormat="false" ht="17.15" hidden="false" customHeight="false" outlineLevel="0" collapsed="false">
      <c r="A314" s="0" t="s">
        <v>730</v>
      </c>
      <c r="B314" s="0" t="s">
        <v>379</v>
      </c>
      <c r="D314" s="21" t="n">
        <f aca="false">a26_bt</f>
        <v>23.265964</v>
      </c>
      <c r="E314" s="21" t="n">
        <f aca="false">D314*(1+g_bt27_A)</f>
        <v>29.78043392</v>
      </c>
      <c r="F314" s="21" t="n">
        <f aca="false">E314*(1+g_bt28_A)</f>
        <v>32.758477312</v>
      </c>
      <c r="G314" s="21" t="n">
        <f aca="false">F314*(1+g_bt29_A)</f>
        <v>34.3964011776</v>
      </c>
      <c r="K314" s="7" t="s">
        <v>731</v>
      </c>
    </row>
    <row r="315" customFormat="false" ht="17.15" hidden="false" customHeight="false" outlineLevel="0" collapsed="false">
      <c r="A315" s="3" t="s">
        <v>616</v>
      </c>
      <c r="B315" s="0" t="s">
        <v>379</v>
      </c>
      <c r="C315" s="21" t="n">
        <f aca="false">a25_lens</f>
        <v>7.039</v>
      </c>
      <c r="D315" s="21" t="n">
        <f aca="false">a26_lens</f>
        <v>8.301</v>
      </c>
      <c r="E315" s="21" t="n">
        <f aca="false">D315*(1+g_lens)</f>
        <v>9.1311</v>
      </c>
      <c r="F315" s="21" t="n">
        <f aca="false">E315*(1+g_lens)</f>
        <v>10.04421</v>
      </c>
      <c r="G315" s="21" t="n">
        <f aca="false">F315*(1+g_lens)</f>
        <v>11.048631</v>
      </c>
      <c r="K315" s="3" t="s">
        <v>732</v>
      </c>
    </row>
    <row r="316" customFormat="false" ht="17.15" hidden="false" customHeight="false" outlineLevel="0" collapsed="false">
      <c r="A316" s="3" t="s">
        <v>573</v>
      </c>
      <c r="B316" s="0" t="s">
        <v>379</v>
      </c>
      <c r="C316" s="23" t="n">
        <f aca="false">a25_rev</f>
        <v>39.351</v>
      </c>
      <c r="D316" s="23" t="n">
        <f aca="false">D309+D314+D315</f>
        <v>54.4258</v>
      </c>
      <c r="E316" s="23" t="n">
        <f aca="false">E309+E314+E315</f>
        <v>70.3778646158</v>
      </c>
      <c r="F316" s="23" t="n">
        <f aca="false">F309+F314+F315</f>
        <v>79.7549243462125</v>
      </c>
      <c r="G316" s="23" t="n">
        <f aca="false">G309+G314+G315</f>
        <v>87.6683971416928</v>
      </c>
      <c r="H316" s="25" t="n">
        <f aca="false">G316*(1+H317)</f>
        <v>95.2208759773961</v>
      </c>
      <c r="I316" s="25" t="n">
        <f aca="false">H316*(1+I317)</f>
        <v>102.179058085177</v>
      </c>
      <c r="J316" s="25" t="n">
        <f aca="false">I316*(1+J317)</f>
        <v>108.309801570288</v>
      </c>
      <c r="K316" s="7" t="s">
        <v>733</v>
      </c>
    </row>
    <row r="317" customFormat="false" ht="15" hidden="false" customHeight="false" outlineLevel="0" collapsed="false">
      <c r="A317" s="3" t="s">
        <v>734</v>
      </c>
      <c r="B317" s="0" t="s">
        <v>43</v>
      </c>
      <c r="D317" s="20" t="n">
        <f aca="false">D316/C316-1</f>
        <v>0.383085563263958</v>
      </c>
      <c r="E317" s="20" t="n">
        <f aca="false">E316/D316-1</f>
        <v>0.293097476119781</v>
      </c>
      <c r="F317" s="20" t="n">
        <f aca="false">F316/E316-1</f>
        <v>0.133238764512149</v>
      </c>
      <c r="G317" s="20" t="n">
        <f aca="false">G316/F316-1</f>
        <v>0.099222372290497</v>
      </c>
      <c r="H317" s="26" t="n">
        <f aca="false">$G317+(fade_gA-$G317)*1/3</f>
        <v>0.0861482481936647</v>
      </c>
      <c r="I317" s="26" t="n">
        <f aca="false">$G317+(fade_gA-$G317)*2/3</f>
        <v>0.0730741240968323</v>
      </c>
      <c r="J317" s="26" t="n">
        <f aca="false">$G317+(fade_gA-$G317)*3/3</f>
        <v>0.06</v>
      </c>
    </row>
    <row r="318" customFormat="false" ht="17.15" hidden="false" customHeight="false" outlineLevel="0" collapsed="false">
      <c r="A318" s="0" t="s">
        <v>735</v>
      </c>
      <c r="B318" s="0" t="s">
        <v>43</v>
      </c>
      <c r="D318" s="20" t="n">
        <f aca="false">D309/D316</f>
        <v>0.42</v>
      </c>
      <c r="E318" s="20" t="n">
        <f aca="false">E309/E316</f>
        <v>0.447105504942185</v>
      </c>
      <c r="F318" s="20" t="n">
        <f aca="false">F309/F316</f>
        <v>0.463322325701226</v>
      </c>
      <c r="G318" s="20" t="n">
        <f aca="false">G309/G316</f>
        <v>0.481625834858711</v>
      </c>
    </row>
    <row r="319" customFormat="false" ht="17.15" hidden="false" customHeight="false" outlineLevel="0" collapsed="false">
      <c r="A319" s="0" t="s">
        <v>736</v>
      </c>
      <c r="B319" s="0" t="s">
        <v>43</v>
      </c>
      <c r="D319" s="20" t="n">
        <f aca="false">D311/D316</f>
        <v>0.105</v>
      </c>
      <c r="E319" s="20" t="n">
        <f aca="false">E311/E316</f>
        <v>0.199054786468762</v>
      </c>
      <c r="F319" s="20" t="n">
        <f aca="false">F311/F316</f>
        <v>0.231475679643337</v>
      </c>
      <c r="G319" s="20" t="n">
        <f aca="false">G311/G316</f>
        <v>0.253167950887342</v>
      </c>
      <c r="K319" s="3" t="s">
        <v>737</v>
      </c>
    </row>
    <row r="320" customFormat="false" ht="17.15" hidden="false" customHeight="false" outlineLevel="0" collapsed="false">
      <c r="A320" s="5" t="s">
        <v>738</v>
      </c>
    </row>
    <row r="321" customFormat="false" ht="15" hidden="false" customHeight="false" outlineLevel="0" collapsed="false">
      <c r="A321" s="3" t="s">
        <v>739</v>
      </c>
      <c r="B321" s="0" t="s">
        <v>379</v>
      </c>
      <c r="C321" s="23" t="n">
        <f aca="false">a25_cx</f>
        <v>6.116</v>
      </c>
      <c r="D321" s="23" t="n">
        <f aca="false">capex26</f>
        <v>11</v>
      </c>
      <c r="E321" s="23" t="n">
        <f aca="false">cx27</f>
        <v>17</v>
      </c>
      <c r="F321" s="23" t="n">
        <f aca="false">cx28</f>
        <v>16</v>
      </c>
      <c r="G321" s="23" t="n">
        <f aca="false">cx29</f>
        <v>12</v>
      </c>
      <c r="H321" s="25" t="n">
        <f aca="false">H316*H340</f>
        <v>13.1304361613124</v>
      </c>
      <c r="I321" s="25" t="n">
        <f aca="false">I316*I340</f>
        <v>14.1936516047827</v>
      </c>
      <c r="J321" s="25" t="n">
        <f aca="false">J316*J340</f>
        <v>15.155214242361</v>
      </c>
    </row>
    <row r="322" customFormat="false" ht="17.15" hidden="false" customHeight="false" outlineLevel="0" collapsed="false">
      <c r="A322" s="3" t="s">
        <v>740</v>
      </c>
      <c r="B322" s="0" t="s">
        <v>379</v>
      </c>
      <c r="C322" s="23" t="n">
        <f aca="false">a25_da</f>
        <v>7.158</v>
      </c>
      <c r="D322" s="23" t="n">
        <f aca="false">da26</f>
        <v>8.32</v>
      </c>
      <c r="E322" s="23" t="n">
        <f aca="false">D322*(1-1/life)+D321/life</f>
        <v>8.655</v>
      </c>
      <c r="F322" s="23" t="n">
        <f aca="false">E322*(1-1/life)+E321/life</f>
        <v>9.698125</v>
      </c>
      <c r="G322" s="23" t="n">
        <f aca="false">F322*(1-1/life)+F321/life</f>
        <v>10.485859375</v>
      </c>
      <c r="H322" s="25" t="n">
        <f aca="false">H316*H323</f>
        <v>11.3891977909614</v>
      </c>
      <c r="I322" s="25" t="n">
        <f aca="false">I316*I323</f>
        <v>12.2214534437014</v>
      </c>
      <c r="J322" s="25" t="n">
        <f aca="false">J316*J323</f>
        <v>12.9547406503235</v>
      </c>
      <c r="K322" s="3" t="s">
        <v>741</v>
      </c>
    </row>
    <row r="323" customFormat="false" ht="17.15" hidden="false" customHeight="false" outlineLevel="0" collapsed="false">
      <c r="A323" s="3" t="s">
        <v>742</v>
      </c>
      <c r="B323" s="0" t="s">
        <v>43</v>
      </c>
      <c r="C323" s="20" t="n">
        <f aca="false">C322/C316</f>
        <v>0.181901349393916</v>
      </c>
      <c r="D323" s="20" t="n">
        <f aca="false">D322/D316</f>
        <v>0.152868676252807</v>
      </c>
      <c r="E323" s="20" t="n">
        <f aca="false">E322/E316</f>
        <v>0.122979008346567</v>
      </c>
      <c r="F323" s="20" t="n">
        <f aca="false">F322/F316</f>
        <v>0.121599074659025</v>
      </c>
      <c r="G323" s="20" t="n">
        <f aca="false">G322/G316</f>
        <v>0.119608202235663</v>
      </c>
      <c r="H323" s="26" t="n">
        <f aca="false">$G323</f>
        <v>0.119608202235663</v>
      </c>
      <c r="I323" s="26" t="n">
        <f aca="false">$G323</f>
        <v>0.119608202235663</v>
      </c>
      <c r="J323" s="26" t="n">
        <f aca="false">$G323</f>
        <v>0.119608202235663</v>
      </c>
    </row>
    <row r="324" customFormat="false" ht="17.15" hidden="false" customHeight="false" outlineLevel="0" collapsed="false">
      <c r="A324" s="0" t="s">
        <v>743</v>
      </c>
      <c r="B324" s="0" t="s">
        <v>379</v>
      </c>
      <c r="E324" s="21" t="n">
        <f aca="false">E310*((E302+E305)*(1-1/(E295*E296))+E306*(1-1/E296))</f>
        <v>3.46315751349219</v>
      </c>
      <c r="F324" s="21" t="n">
        <f aca="false">F310*((F302+F305)*(1-1/(F295*F296))+F306*(1-1/F296))</f>
        <v>1.98691705797516</v>
      </c>
      <c r="G324" s="21" t="n">
        <f aca="false">G310*((G302+G305)*(1-1/(G295*G296))+G306*(1-1/G296))</f>
        <v>-0.925888182057475</v>
      </c>
      <c r="K324" s="7" t="s">
        <v>744</v>
      </c>
    </row>
    <row r="325" customFormat="false" ht="17.15" hidden="false" customHeight="false" outlineLevel="0" collapsed="false">
      <c r="A325" s="3" t="s">
        <v>745</v>
      </c>
      <c r="B325" s="0" t="s">
        <v>379</v>
      </c>
      <c r="C325" s="21" t="n">
        <f aca="false">a25_gp</f>
        <v>8.314</v>
      </c>
      <c r="D325" s="21" t="n">
        <f aca="false">a26_gp</f>
        <v>15.328536</v>
      </c>
      <c r="E325" s="21" t="n">
        <f aca="false">$D325+ft_abf*(E309-E324-$D309)+ft_bt*(E314-$D314)+ft_lens*(E315-$D315)+E324-(E322-$D322)</f>
        <v>24.3339185686461</v>
      </c>
      <c r="F325" s="21" t="n">
        <f aca="false">$D325+ft_abf*(F309-F324-$D309)+ft_bt*(F314-$D314)+ft_lens*(F315-$D315)+F324-(F322-$D322)</f>
        <v>27.0466455364938</v>
      </c>
      <c r="G325" s="21" t="n">
        <f aca="false">$D325+ft_abf*(G309-G324-$D309)+ft_bt*(G314-$D314)+ft_lens*(G315-$D315)+G324-(G322-$D322)</f>
        <v>28.6271276959377</v>
      </c>
      <c r="K325" s="3" t="s">
        <v>746</v>
      </c>
    </row>
    <row r="326" customFormat="false" ht="15" hidden="false" customHeight="false" outlineLevel="0" collapsed="false">
      <c r="A326" s="3" t="s">
        <v>580</v>
      </c>
      <c r="B326" s="0" t="s">
        <v>43</v>
      </c>
      <c r="C326" s="16" t="n">
        <f aca="false">C325/C316</f>
        <v>0.211277985311682</v>
      </c>
      <c r="D326" s="16" t="n">
        <f aca="false">D325/D316</f>
        <v>0.281640986443929</v>
      </c>
      <c r="E326" s="16" t="n">
        <f aca="false">E325/E316</f>
        <v>0.34576096762082</v>
      </c>
      <c r="F326" s="16" t="n">
        <f aca="false">F325/F316</f>
        <v>0.33912195087899</v>
      </c>
      <c r="G326" s="16" t="n">
        <f aca="false">G325/G316</f>
        <v>0.326538737210736</v>
      </c>
    </row>
    <row r="327" customFormat="false" ht="15" hidden="false" customHeight="false" outlineLevel="0" collapsed="false">
      <c r="A327" s="3" t="s">
        <v>582</v>
      </c>
      <c r="B327" s="0" t="s">
        <v>379</v>
      </c>
      <c r="C327" s="21" t="n">
        <f aca="false">a25_opx</f>
        <v>5.644</v>
      </c>
      <c r="D327" s="21" t="n">
        <f aca="false">a26_opx</f>
        <v>6.54036</v>
      </c>
      <c r="E327" s="21" t="n">
        <f aca="false">D327*(1+phi*E317)</f>
        <v>7.69053780534887</v>
      </c>
      <c r="F327" s="21" t="n">
        <f aca="false">E327*(1+phi*F317)</f>
        <v>8.30534445872006</v>
      </c>
      <c r="G327" s="21" t="n">
        <f aca="false">F327*(1+phi*G317)</f>
        <v>8.79979004665042</v>
      </c>
    </row>
    <row r="328" customFormat="false" ht="15" hidden="false" customHeight="false" outlineLevel="0" collapsed="false">
      <c r="A328" s="3" t="s">
        <v>585</v>
      </c>
      <c r="B328" s="0" t="s">
        <v>379</v>
      </c>
      <c r="C328" s="21" t="n">
        <f aca="false">C325-C327</f>
        <v>2.67</v>
      </c>
      <c r="D328" s="21" t="n">
        <f aca="false">D325-D327</f>
        <v>8.788176</v>
      </c>
      <c r="E328" s="21" t="n">
        <f aca="false">E325-E327</f>
        <v>16.6433807632972</v>
      </c>
      <c r="F328" s="21" t="n">
        <f aca="false">F325-F327</f>
        <v>18.7413010777738</v>
      </c>
      <c r="G328" s="21" t="n">
        <f aca="false">G325-G327</f>
        <v>19.8273376492873</v>
      </c>
    </row>
    <row r="329" customFormat="false" ht="15" hidden="false" customHeight="false" outlineLevel="0" collapsed="false">
      <c r="A329" s="3" t="s">
        <v>683</v>
      </c>
      <c r="B329" s="0" t="s">
        <v>43</v>
      </c>
      <c r="C329" s="16" t="n">
        <f aca="false">C328/C316</f>
        <v>0.0678508805367081</v>
      </c>
      <c r="D329" s="16" t="n">
        <f aca="false">D328/D316</f>
        <v>0.161470773052486</v>
      </c>
      <c r="E329" s="16" t="n">
        <f aca="false">E328/E316</f>
        <v>0.236486015228725</v>
      </c>
      <c r="F329" s="16" t="n">
        <f aca="false">F328/F316</f>
        <v>0.234986130717379</v>
      </c>
      <c r="G329" s="16" t="n">
        <f aca="false">G328/G316</f>
        <v>0.226162885323905</v>
      </c>
    </row>
    <row r="330" customFormat="false" ht="15" hidden="false" customHeight="false" outlineLevel="0" collapsed="false">
      <c r="A330" s="3" t="s">
        <v>588</v>
      </c>
      <c r="B330" s="0" t="s">
        <v>379</v>
      </c>
      <c r="C330" s="21" t="n">
        <f aca="false">a25_nonop</f>
        <v>0.417</v>
      </c>
      <c r="D330" s="21" t="n">
        <f aca="false">a26_nonop</f>
        <v>0.37882</v>
      </c>
      <c r="E330" s="21" t="n">
        <f aca="false">nonop27</f>
        <v>0.4</v>
      </c>
      <c r="F330" s="21" t="n">
        <f aca="false">nonop28</f>
        <v>0.4</v>
      </c>
      <c r="G330" s="21" t="n">
        <f aca="false">nonop29</f>
        <v>0.4</v>
      </c>
    </row>
    <row r="331" customFormat="false" ht="15" hidden="false" customHeight="false" outlineLevel="0" collapsed="false">
      <c r="A331" s="3" t="s">
        <v>590</v>
      </c>
      <c r="B331" s="0" t="s">
        <v>379</v>
      </c>
      <c r="C331" s="21" t="n">
        <f aca="false">C328+C330</f>
        <v>3.087</v>
      </c>
      <c r="D331" s="21" t="n">
        <f aca="false">D328+D330</f>
        <v>9.166996</v>
      </c>
      <c r="E331" s="21" t="n">
        <f aca="false">E328+E330</f>
        <v>17.0433807632972</v>
      </c>
      <c r="F331" s="21" t="n">
        <f aca="false">F328+F330</f>
        <v>19.1413010777738</v>
      </c>
      <c r="G331" s="21" t="n">
        <f aca="false">G328+G330</f>
        <v>20.2273376492873</v>
      </c>
    </row>
    <row r="332" customFormat="false" ht="15" hidden="false" customHeight="false" outlineLevel="0" collapsed="false">
      <c r="A332" s="3" t="s">
        <v>591</v>
      </c>
      <c r="B332" s="0" t="s">
        <v>379</v>
      </c>
      <c r="E332" s="21" t="n">
        <f aca="false">E331*tax</f>
        <v>2.04520569159567</v>
      </c>
      <c r="F332" s="21" t="n">
        <f aca="false">F331*tax</f>
        <v>2.29695612933285</v>
      </c>
      <c r="G332" s="21" t="n">
        <f aca="false">G331*tax</f>
        <v>2.42728051791447</v>
      </c>
    </row>
    <row r="333" customFormat="false" ht="15" hidden="false" customHeight="false" outlineLevel="0" collapsed="false">
      <c r="A333" s="3" t="s">
        <v>592</v>
      </c>
      <c r="B333" s="0" t="s">
        <v>379</v>
      </c>
      <c r="C333" s="21" t="n">
        <f aca="false">a25_nic</f>
        <v>2.71712</v>
      </c>
      <c r="D333" s="21" t="n">
        <f aca="false">a26_nic</f>
        <v>8.39979776</v>
      </c>
      <c r="E333" s="21" t="n">
        <f aca="false">E331-E332</f>
        <v>14.9981750717016</v>
      </c>
      <c r="F333" s="21" t="n">
        <f aca="false">F331-F332</f>
        <v>16.8443449484409</v>
      </c>
      <c r="G333" s="21" t="n">
        <f aca="false">G331-G332</f>
        <v>17.8000571313728</v>
      </c>
    </row>
    <row r="334" customFormat="false" ht="17.15" hidden="false" customHeight="false" outlineLevel="0" collapsed="false">
      <c r="A334" s="3" t="s">
        <v>747</v>
      </c>
      <c r="B334" s="0" t="s">
        <v>379</v>
      </c>
      <c r="C334" s="21" t="n">
        <f aca="false">a25_nci</f>
        <v>1.12112</v>
      </c>
      <c r="D334" s="21" t="n">
        <f aca="false">a26_nci</f>
        <v>1.43839238487797</v>
      </c>
      <c r="E334" s="21" t="n">
        <f aca="false">E315*nm_lens*nci_sh</f>
        <v>1.57074538036261</v>
      </c>
      <c r="F334" s="21" t="n">
        <f aca="false">F315*nm_lens*nci_sh</f>
        <v>1.72781991839887</v>
      </c>
      <c r="G334" s="21" t="n">
        <f aca="false">G315*nm_lens*nci_sh</f>
        <v>1.90060191023875</v>
      </c>
      <c r="K334" s="3" t="s">
        <v>748</v>
      </c>
    </row>
    <row r="335" customFormat="false" ht="15" hidden="false" customHeight="false" outlineLevel="0" collapsed="false">
      <c r="A335" s="3" t="s">
        <v>598</v>
      </c>
      <c r="B335" s="0" t="s">
        <v>379</v>
      </c>
      <c r="C335" s="21" t="n">
        <f aca="false">a25_ni</f>
        <v>1.596</v>
      </c>
      <c r="D335" s="21" t="n">
        <f aca="false">a26_ni</f>
        <v>6.96140537512203</v>
      </c>
      <c r="E335" s="21" t="n">
        <f aca="false">E333-E334</f>
        <v>13.427429691339</v>
      </c>
      <c r="F335" s="21" t="n">
        <f aca="false">F333-F334</f>
        <v>15.1165250300421</v>
      </c>
      <c r="G335" s="21" t="n">
        <f aca="false">G333-G334</f>
        <v>15.899455221134</v>
      </c>
      <c r="H335" s="30" t="n">
        <f aca="false">H316*H339</f>
        <v>18.5247591580866</v>
      </c>
      <c r="I335" s="30" t="n">
        <f aca="false">I316*I339</f>
        <v>21.2257848415739</v>
      </c>
      <c r="J335" s="30" t="n">
        <f aca="false">J316*J339</f>
        <v>23.9275177740081</v>
      </c>
    </row>
    <row r="336" customFormat="false" ht="15" hidden="false" customHeight="false" outlineLevel="0" collapsed="false">
      <c r="A336" s="3" t="s">
        <v>749</v>
      </c>
      <c r="B336" s="3" t="s">
        <v>465</v>
      </c>
      <c r="C336" s="29" t="n">
        <f aca="false">a25_sh</f>
        <v>0.454700854700855</v>
      </c>
      <c r="D336" s="29" t="n">
        <f aca="false">a26_sh</f>
        <v>0.508341020486215</v>
      </c>
      <c r="E336" s="29" t="n">
        <f aca="false">a26_shend*(1+sh_g)</f>
        <v>0.52691</v>
      </c>
      <c r="F336" s="29" t="n">
        <f aca="false">E336*(1+sh_g)</f>
        <v>0.52691</v>
      </c>
      <c r="G336" s="29" t="n">
        <f aca="false">F336*(1+sh_g)</f>
        <v>0.52691</v>
      </c>
      <c r="H336" s="31" t="n">
        <f aca="false">G336*(1+sh_g)</f>
        <v>0.52691</v>
      </c>
      <c r="I336" s="31" t="n">
        <f aca="false">H336*(1+sh_g)</f>
        <v>0.52691</v>
      </c>
      <c r="J336" s="31" t="n">
        <f aca="false">I336*(1+sh_g)</f>
        <v>0.52691</v>
      </c>
    </row>
    <row r="337" customFormat="false" ht="17.15" hidden="false" customHeight="false" outlineLevel="0" collapsed="false">
      <c r="A337" s="0" t="s">
        <v>603</v>
      </c>
      <c r="B337" s="0" t="s">
        <v>471</v>
      </c>
      <c r="C337" s="18" t="n">
        <f aca="false">C335/C336</f>
        <v>3.51</v>
      </c>
      <c r="D337" s="18" t="n">
        <f aca="false">D335/D336</f>
        <v>13.6943608612652</v>
      </c>
      <c r="E337" s="18" t="n">
        <f aca="false">E335/E336</f>
        <v>25.4833457162304</v>
      </c>
      <c r="F337" s="18" t="n">
        <f aca="false">F335/F336</f>
        <v>28.6890076674234</v>
      </c>
      <c r="G337" s="18" t="n">
        <f aca="false">G335/G336</f>
        <v>30.1748974609213</v>
      </c>
      <c r="H337" s="28" t="n">
        <f aca="false">H335/H336</f>
        <v>35.1573497524939</v>
      </c>
      <c r="I337" s="28" t="n">
        <f aca="false">I335/I336</f>
        <v>40.2835111149417</v>
      </c>
      <c r="J337" s="28" t="n">
        <f aca="false">J335/J336</f>
        <v>45.4110147349796</v>
      </c>
    </row>
    <row r="338" customFormat="false" ht="17.15" hidden="false" customHeight="false" outlineLevel="0" collapsed="false">
      <c r="A338" s="0" t="s">
        <v>750</v>
      </c>
      <c r="B338" s="0" t="s">
        <v>43</v>
      </c>
      <c r="D338" s="20" t="n">
        <f aca="false">D337/C337-1</f>
        <v>2.90152731090177</v>
      </c>
      <c r="E338" s="20" t="n">
        <f aca="false">E337/D337-1</f>
        <v>0.860864188872853</v>
      </c>
      <c r="F338" s="20" t="n">
        <f aca="false">F337/E337-1</f>
        <v>0.125794390849993</v>
      </c>
      <c r="G338" s="20" t="n">
        <f aca="false">G337/F337-1</f>
        <v>0.0517930006754861</v>
      </c>
      <c r="H338" s="26" t="n">
        <f aca="false">H337/G337-1</f>
        <v>0.165119112600971</v>
      </c>
      <c r="I338" s="26" t="n">
        <f aca="false">I337/H337-1</f>
        <v>0.145806250998318</v>
      </c>
      <c r="J338" s="26" t="n">
        <f aca="false">J337/I337-1</f>
        <v>0.127285419719436</v>
      </c>
    </row>
    <row r="339" customFormat="false" ht="17.15" hidden="false" customHeight="false" outlineLevel="0" collapsed="false">
      <c r="A339" s="3" t="s">
        <v>751</v>
      </c>
      <c r="B339" s="0" t="s">
        <v>43</v>
      </c>
      <c r="C339" s="16" t="n">
        <f aca="false">C335/C316</f>
        <v>0.0405580544331783</v>
      </c>
      <c r="D339" s="16" t="n">
        <f aca="false">D335/D316</f>
        <v>0.127906349105057</v>
      </c>
      <c r="E339" s="16" t="n">
        <f aca="false">E335/E316</f>
        <v>0.19079052433092</v>
      </c>
      <c r="F339" s="16" t="n">
        <f aca="false">F335/F316</f>
        <v>0.18953719978997</v>
      </c>
      <c r="G339" s="16" t="n">
        <f aca="false">G335/G316</f>
        <v>0.181359027192396</v>
      </c>
      <c r="H339" s="27" t="n">
        <f aca="false">$G339+(fade_mA-$G339)*1/3</f>
        <v>0.194545145357453</v>
      </c>
      <c r="I339" s="27" t="n">
        <f aca="false">$G339+(fade_mA-$G339)*2/3</f>
        <v>0.207731263522511</v>
      </c>
      <c r="J339" s="27" t="n">
        <f aca="false">$G339+(fade_mA-$G339)*3/3</f>
        <v>0.220917381687568</v>
      </c>
    </row>
    <row r="340" customFormat="false" ht="17.15" hidden="false" customHeight="false" outlineLevel="0" collapsed="false">
      <c r="A340" s="3" t="s">
        <v>752</v>
      </c>
      <c r="B340" s="0" t="s">
        <v>43</v>
      </c>
      <c r="C340" s="20" t="n">
        <f aca="false">C321/C316</f>
        <v>0.155421717364235</v>
      </c>
      <c r="D340" s="20" t="n">
        <f aca="false">D321/D316</f>
        <v>0.202110028699624</v>
      </c>
      <c r="E340" s="20" t="n">
        <f aca="false">E321/E316</f>
        <v>0.241553222633349</v>
      </c>
      <c r="F340" s="20" t="n">
        <f aca="false">F321/F316</f>
        <v>0.200614571841918</v>
      </c>
      <c r="G340" s="20" t="n">
        <f aca="false">G321/G316</f>
        <v>0.136879427379118</v>
      </c>
      <c r="H340" s="26" t="n">
        <f aca="false">$G340+($G323*(1+tp_g)^(life/2)-$G340)*1/3</f>
        <v>0.137894511329946</v>
      </c>
      <c r="I340" s="26" t="n">
        <f aca="false">$G340+($G323*(1+tp_g)^(life/2)-$G340)*2/3</f>
        <v>0.138909595280774</v>
      </c>
      <c r="J340" s="26" t="n">
        <f aca="false">$G340+($G323*(1+tp_g)^(life/2)-$G340)*3/3</f>
        <v>0.139924679231601</v>
      </c>
      <c r="K340" s="7" t="s">
        <v>753</v>
      </c>
    </row>
    <row r="341" customFormat="false" ht="15" hidden="false" customHeight="false" outlineLevel="0" collapsed="false">
      <c r="A341" s="3" t="s">
        <v>754</v>
      </c>
      <c r="B341" s="0" t="s">
        <v>379</v>
      </c>
      <c r="D341" s="21" t="n">
        <f aca="false">D335+D322-D321</f>
        <v>4.28140537512203</v>
      </c>
      <c r="E341" s="21" t="n">
        <f aca="false">E335+E322-E321</f>
        <v>5.08242969133896</v>
      </c>
      <c r="F341" s="21" t="n">
        <f aca="false">F335+F322-F321</f>
        <v>8.81465003004206</v>
      </c>
      <c r="G341" s="21" t="n">
        <f aca="false">G335+G322-G321</f>
        <v>14.385314596134</v>
      </c>
      <c r="H341" s="30" t="n">
        <f aca="false">H335+H322-H321</f>
        <v>16.7835207877355</v>
      </c>
      <c r="I341" s="30" t="n">
        <f aca="false">I335+I322-I321</f>
        <v>19.2535866804927</v>
      </c>
      <c r="J341" s="30" t="n">
        <f aca="false">J335+J322-J321</f>
        <v>21.7270441819707</v>
      </c>
      <c r="K341" s="3" t="s">
        <v>755</v>
      </c>
    </row>
    <row r="342" customFormat="false" ht="15" hidden="false" customHeight="false" outlineLevel="0" collapsed="false">
      <c r="A342" s="3" t="s">
        <v>756</v>
      </c>
      <c r="B342" s="0" t="s">
        <v>471</v>
      </c>
      <c r="D342" s="18" t="n">
        <f aca="false">D341/D336</f>
        <v>8.42230943909854</v>
      </c>
      <c r="E342" s="18" t="n">
        <f aca="false">E341/E336</f>
        <v>9.64572638845146</v>
      </c>
      <c r="F342" s="18" t="n">
        <f aca="false">F341/F336</f>
        <v>16.7289480747036</v>
      </c>
      <c r="G342" s="18" t="n">
        <f aca="false">G341/G336</f>
        <v>27.3012745936384</v>
      </c>
      <c r="H342" s="28" t="n">
        <f aca="false">H341/H336</f>
        <v>31.8527277670485</v>
      </c>
      <c r="I342" s="28" t="n">
        <f aca="false">I341/I336</f>
        <v>36.5405604002443</v>
      </c>
      <c r="J342" s="28" t="n">
        <f aca="false">J341/J336</f>
        <v>41.2348298228742</v>
      </c>
    </row>
    <row r="345" customFormat="false" ht="17.15" hidden="false" customHeight="false" outlineLevel="0" collapsed="false">
      <c r="A345" s="1" t="s">
        <v>1095</v>
      </c>
    </row>
    <row r="346" customFormat="false" ht="17.15" hidden="false" customHeight="false" outlineLevel="0" collapsed="false">
      <c r="A346" s="4" t="s">
        <v>20</v>
      </c>
      <c r="B346" s="4" t="s">
        <v>21</v>
      </c>
      <c r="C346" s="13" t="s">
        <v>566</v>
      </c>
      <c r="D346" s="13" t="s">
        <v>670</v>
      </c>
      <c r="E346" s="13" t="s">
        <v>671</v>
      </c>
      <c r="F346" s="13" t="s">
        <v>672</v>
      </c>
      <c r="G346" s="13" t="s">
        <v>673</v>
      </c>
      <c r="H346" s="13" t="s">
        <v>674</v>
      </c>
      <c r="I346" s="13" t="s">
        <v>675</v>
      </c>
      <c r="J346" s="13" t="s">
        <v>676</v>
      </c>
      <c r="K346" s="4" t="s">
        <v>630</v>
      </c>
    </row>
    <row r="347" customFormat="false" ht="17.15" hidden="false" customHeight="false" outlineLevel="0" collapsed="false">
      <c r="A347" s="5" t="s">
        <v>694</v>
      </c>
    </row>
    <row r="348" customFormat="false" ht="17.15" hidden="false" customHeight="false" outlineLevel="0" collapsed="false">
      <c r="A348" s="0" t="s">
        <v>695</v>
      </c>
      <c r="B348" s="3" t="s">
        <v>31</v>
      </c>
      <c r="D348" s="21" t="n">
        <f aca="false">(u_bw_26+u_rb_26+u_ru_26+u_hp_26)*1</f>
        <v>7.6</v>
      </c>
      <c r="E348" s="21" t="n">
        <f aca="false">(u_bw_27+u_rb_27+u_ru_27+u_hp_27)*1*1</f>
        <v>9.7</v>
      </c>
      <c r="F348" s="21" t="n">
        <f aca="false">(u_bw_28+u_rb_28+u_ru_28+u_hp_28)*um28_A*1</f>
        <v>9.5</v>
      </c>
      <c r="G348" s="21" t="n">
        <f aca="false">(u_bw_28*(1+g29_bw)+u_rb_28*(1+g29_rb)+u_ru_28*(1+g29_ru)+u_hp_28*(1+g29_hp))*um29_A*1</f>
        <v>10.6</v>
      </c>
      <c r="K348" s="7" t="s">
        <v>696</v>
      </c>
    </row>
    <row r="349" customFormat="false" ht="17.15" hidden="false" customHeight="false" outlineLevel="0" collapsed="false">
      <c r="A349" s="3" t="s">
        <v>697</v>
      </c>
      <c r="B349" s="3" t="s">
        <v>31</v>
      </c>
      <c r="D349" s="21" t="n">
        <f aca="false">(u_amd_26+u_tpu_26+u_trn_26+u_oth_26)*1</f>
        <v>7.6</v>
      </c>
      <c r="E349" s="21" t="n">
        <f aca="false">(u_amd_27+u_tpu_27+u_trn_27+u_oth_27)*1*1</f>
        <v>14</v>
      </c>
      <c r="F349" s="21" t="n">
        <f aca="false">(u_amd_28+u_tpu_28+u_trn_28+u_oth_28)*um28_A*1</f>
        <v>17</v>
      </c>
      <c r="G349" s="21" t="n">
        <f aca="false">(u_amd_28*(1+g29_amd)+u_tpu_28*(1+g29_tpu)+u_trn_28*(1+g29_trn)+u_oth_28*(1+g29_oth))*um29_A*1</f>
        <v>19.55</v>
      </c>
      <c r="K349" s="7" t="s">
        <v>698</v>
      </c>
    </row>
    <row r="350" customFormat="false" ht="17.15" hidden="false" customHeight="false" outlineLevel="0" collapsed="false">
      <c r="A350" s="0" t="s">
        <v>699</v>
      </c>
      <c r="B350" s="3" t="s">
        <v>31</v>
      </c>
      <c r="D350" s="21" t="n">
        <f aca="false">D348*cpu_r</f>
        <v>3.04</v>
      </c>
      <c r="E350" s="21" t="n">
        <f aca="false">E348*cpu_r</f>
        <v>3.88</v>
      </c>
      <c r="F350" s="21" t="n">
        <f aca="false">F348*cpu_r</f>
        <v>3.8</v>
      </c>
      <c r="G350" s="21" t="n">
        <f aca="false">G348*cpu_r</f>
        <v>4.24</v>
      </c>
      <c r="K350" s="7" t="s">
        <v>700</v>
      </c>
    </row>
    <row r="351" customFormat="false" ht="17.15" hidden="false" customHeight="false" outlineLevel="0" collapsed="false">
      <c r="A351" s="3" t="s">
        <v>701</v>
      </c>
      <c r="B351" s="0" t="s">
        <v>153</v>
      </c>
      <c r="D351" s="19" t="n">
        <f aca="false">1</f>
        <v>1</v>
      </c>
      <c r="E351" s="19" t="n">
        <f aca="false">D351*(1+g_asp)</f>
        <v>1.18</v>
      </c>
      <c r="F351" s="19" t="n">
        <f aca="false">E351*(1+g_asp)</f>
        <v>1.3924</v>
      </c>
      <c r="G351" s="19" t="n">
        <f aca="false">F351*(1+g_asp)</f>
        <v>1.643032</v>
      </c>
      <c r="K351" s="7" t="s">
        <v>702</v>
      </c>
    </row>
    <row r="352" customFormat="false" ht="17.15" hidden="false" customHeight="false" outlineLevel="0" collapsed="false">
      <c r="A352" s="0" t="s">
        <v>703</v>
      </c>
      <c r="B352" s="0" t="s">
        <v>153</v>
      </c>
      <c r="D352" s="18" t="n">
        <f aca="false">1</f>
        <v>1</v>
      </c>
      <c r="E352" s="18" t="n">
        <f aca="false">ibpp_27_hi</f>
        <v>1.05</v>
      </c>
      <c r="F352" s="18" t="n">
        <f aca="false">ibpp_28_hi</f>
        <v>1.05</v>
      </c>
      <c r="G352" s="18" t="n">
        <f aca="false">ibpp_29_hi</f>
        <v>1</v>
      </c>
      <c r="K352" s="7" t="s">
        <v>704</v>
      </c>
    </row>
    <row r="353" customFormat="false" ht="17.15" hidden="false" customHeight="false" outlineLevel="0" collapsed="false">
      <c r="A353" s="3" t="s">
        <v>705</v>
      </c>
      <c r="B353" s="0" t="s">
        <v>153</v>
      </c>
      <c r="D353" s="18" t="n">
        <f aca="false">1</f>
        <v>1</v>
      </c>
      <c r="E353" s="18" t="n">
        <f aca="false">1+carry</f>
        <v>1.15</v>
      </c>
      <c r="F353" s="18" t="n">
        <f aca="false">1+carry</f>
        <v>1.15</v>
      </c>
      <c r="G353" s="18" t="n">
        <f aca="false">1+carry</f>
        <v>1.15</v>
      </c>
      <c r="K353" s="7" t="s">
        <v>706</v>
      </c>
    </row>
    <row r="354" customFormat="false" ht="17.15" hidden="false" customHeight="false" outlineLevel="0" collapsed="false">
      <c r="A354" s="3" t="s">
        <v>707</v>
      </c>
      <c r="B354" s="0" t="s">
        <v>708</v>
      </c>
      <c r="D354" s="23" t="n">
        <f aca="false">v26*D351*D352</f>
        <v>215.308596</v>
      </c>
      <c r="E354" s="23" t="n">
        <f aca="false">v26*E351*E352</f>
        <v>266.767350444</v>
      </c>
      <c r="F354" s="23" t="n">
        <f aca="false">v26*F351*F352</f>
        <v>314.78547352392</v>
      </c>
      <c r="G354" s="23" t="n">
        <f aca="false">v26*G351*G352</f>
        <v>353.758913103072</v>
      </c>
      <c r="K354" s="7" t="s">
        <v>709</v>
      </c>
    </row>
    <row r="355" customFormat="false" ht="17.15" hidden="false" customHeight="false" outlineLevel="0" collapsed="false">
      <c r="A355" s="3" t="s">
        <v>710</v>
      </c>
      <c r="B355" s="0" t="s">
        <v>43</v>
      </c>
      <c r="D355" s="20" t="n">
        <f aca="false">sh_nv_26</f>
        <v>0.02</v>
      </c>
      <c r="E355" s="20" t="n">
        <f aca="false">sh_nv_27</f>
        <v>0.03</v>
      </c>
      <c r="F355" s="20" t="n">
        <f aca="false">sh_nv_28</f>
        <v>0.05</v>
      </c>
      <c r="G355" s="20" t="n">
        <f aca="false">sh_nv_29</f>
        <v>0.06</v>
      </c>
    </row>
    <row r="356" customFormat="false" ht="17.15" hidden="false" customHeight="false" outlineLevel="0" collapsed="false">
      <c r="A356" s="3" t="s">
        <v>711</v>
      </c>
      <c r="B356" s="0" t="s">
        <v>43</v>
      </c>
      <c r="D356" s="20" t="n">
        <f aca="false">sh_ot_26</f>
        <v>0.03</v>
      </c>
      <c r="E356" s="20" t="n">
        <f aca="false">sh_ot_27</f>
        <v>0.05</v>
      </c>
      <c r="F356" s="20" t="n">
        <f aca="false">sh_ot_28</f>
        <v>0.06</v>
      </c>
      <c r="G356" s="20" t="n">
        <f aca="false">sh_ot_29</f>
        <v>0.06</v>
      </c>
    </row>
    <row r="357" customFormat="false" ht="17.15" hidden="false" customHeight="false" outlineLevel="0" collapsed="false">
      <c r="A357" s="3" t="s">
        <v>712</v>
      </c>
      <c r="B357" s="0" t="s">
        <v>43</v>
      </c>
      <c r="D357" s="20" t="n">
        <f aca="false">sh_cpu_26</f>
        <v>0.35</v>
      </c>
      <c r="E357" s="20" t="n">
        <f aca="false">sh_cpu_27</f>
        <v>0.7</v>
      </c>
      <c r="F357" s="20" t="n">
        <f aca="false">sh_cpu_28</f>
        <v>0.75</v>
      </c>
      <c r="G357" s="20" t="n">
        <f aca="false">sh_cpu_29</f>
        <v>0.7</v>
      </c>
    </row>
    <row r="358" customFormat="false" ht="17.15" hidden="false" customHeight="false" outlineLevel="0" collapsed="false">
      <c r="A358" s="3" t="s">
        <v>713</v>
      </c>
      <c r="B358" s="0" t="s">
        <v>660</v>
      </c>
      <c r="D358" s="22" t="n">
        <f aca="false">(D348*D354*D355+D349*D354*v_ot*D356+D350*D354*v_cpu*D357)*D353</f>
        <v>140.7256983456</v>
      </c>
      <c r="E358" s="22" t="n">
        <f aca="false">(E348*E354*E355+E349*E354*v_ot*E356+E350*E354*v_cpu*E357)*E353</f>
        <v>511.038210225057</v>
      </c>
      <c r="F358" s="22" t="n">
        <f aca="false">(F348*F354*F355+F349*F354*v_ot*F356+F350*F354*v_cpu*F357)*F353</f>
        <v>776.859070109682</v>
      </c>
      <c r="G358" s="22" t="n">
        <f aca="false">(G348*G354*G355+G349*G354*v_ot*G356+G350*G354*v_cpu*G357)*G353</f>
        <v>1002.73671436892</v>
      </c>
    </row>
    <row r="359" customFormat="false" ht="17.15" hidden="false" customHeight="false" outlineLevel="0" collapsed="false">
      <c r="A359" s="3" t="s">
        <v>714</v>
      </c>
      <c r="B359" s="0" t="s">
        <v>379</v>
      </c>
      <c r="D359" s="21" t="n">
        <f aca="false">D358*fx/1000</f>
        <v>4.573585196232</v>
      </c>
      <c r="E359" s="21" t="n">
        <f aca="false">E358*fx/1000</f>
        <v>16.6087418323144</v>
      </c>
      <c r="F359" s="21" t="n">
        <f aca="false">F358*fx/1000</f>
        <v>25.2479197785647</v>
      </c>
      <c r="G359" s="21" t="n">
        <f aca="false">G358*fx/1000</f>
        <v>32.5889432169899</v>
      </c>
    </row>
    <row r="360" customFormat="false" ht="17.15" hidden="false" customHeight="false" outlineLevel="0" collapsed="false">
      <c r="A360" s="5" t="s">
        <v>715</v>
      </c>
    </row>
    <row r="361" customFormat="false" ht="17.15" hidden="false" customHeight="false" outlineLevel="0" collapsed="false">
      <c r="A361" s="0" t="s">
        <v>716</v>
      </c>
      <c r="B361" s="0" t="s">
        <v>379</v>
      </c>
      <c r="D361" s="21" t="n">
        <f aca="false">a26_abf*ai_abf</f>
        <v>5.714709</v>
      </c>
      <c r="K361" s="3" t="s">
        <v>717</v>
      </c>
    </row>
    <row r="362" customFormat="false" ht="17.15" hidden="false" customHeight="false" outlineLevel="0" collapsed="false">
      <c r="A362" s="3" t="s">
        <v>718</v>
      </c>
      <c r="B362" s="0" t="s">
        <v>379</v>
      </c>
      <c r="D362" s="21" t="n">
        <f aca="false">D361-D359</f>
        <v>1.141123803768</v>
      </c>
      <c r="E362" s="21" t="n">
        <f aca="false">$D362*(swm_27/swm_26)^el_o*1*1*E352*E353</f>
        <v>1.92729613691165</v>
      </c>
      <c r="F362" s="21" t="n">
        <f aca="false">$D362*(swm_28/swm_26)^el_o*um28_A*1*F352*F353</f>
        <v>2.07328646183871</v>
      </c>
      <c r="G362" s="21" t="n">
        <f aca="false">$D362*(swm_29/swm_26)^el_o*um29_A*1*G352*G353</f>
        <v>2.10647481491695</v>
      </c>
      <c r="K362" s="7" t="s">
        <v>719</v>
      </c>
    </row>
    <row r="363" customFormat="false" ht="17.15" hidden="false" customHeight="false" outlineLevel="0" collapsed="false">
      <c r="A363" s="3" t="s">
        <v>720</v>
      </c>
      <c r="B363" s="0" t="s">
        <v>379</v>
      </c>
      <c r="D363" s="21" t="n">
        <f aca="false">a26_abf-D361</f>
        <v>17.144127</v>
      </c>
      <c r="E363" s="21" t="n">
        <f aca="false">$D363*(1+g_nai)^1*E353</f>
        <v>20.898690813</v>
      </c>
      <c r="F363" s="21" t="n">
        <f aca="false">$D363*(1+g_nai)^2*F353</f>
        <v>22.15261226178</v>
      </c>
      <c r="G363" s="21" t="n">
        <f aca="false">$D363*(1+g_nai)^3*G353</f>
        <v>23.4817689974868</v>
      </c>
      <c r="K363" s="3" t="s">
        <v>721</v>
      </c>
    </row>
    <row r="364" customFormat="false" ht="17.15" hidden="false" customHeight="false" outlineLevel="0" collapsed="false">
      <c r="A364" s="0" t="s">
        <v>722</v>
      </c>
      <c r="B364" s="0" t="s">
        <v>379</v>
      </c>
      <c r="D364" s="21" t="n">
        <f aca="false">D359+D362+D363</f>
        <v>22.858836</v>
      </c>
      <c r="E364" s="21" t="n">
        <f aca="false">E359+E362+E363</f>
        <v>39.434728782226</v>
      </c>
      <c r="F364" s="21" t="n">
        <f aca="false">F359+F362+F363</f>
        <v>49.4738185021834</v>
      </c>
      <c r="G364" s="21" t="n">
        <f aca="false">G359+G362+G363</f>
        <v>58.1771870293936</v>
      </c>
    </row>
    <row r="365" customFormat="false" ht="17.15" hidden="false" customHeight="false" outlineLevel="0" collapsed="false">
      <c r="A365" s="0" t="s">
        <v>723</v>
      </c>
      <c r="B365" s="0" t="s">
        <v>379</v>
      </c>
      <c r="D365" s="21" t="n">
        <f aca="false">a26_abf</f>
        <v>22.858836</v>
      </c>
      <c r="E365" s="21" t="n">
        <f aca="false">$D364*cap_27*(1+g_mix)^1*E352*E353</f>
        <v>34.7785760322</v>
      </c>
      <c r="F365" s="21" t="n">
        <f aca="false">$D364*cap_28*(1+g_mix)^2*F352*F353</f>
        <v>45.6468810422625</v>
      </c>
      <c r="G365" s="21" t="n">
        <f aca="false">$D364*cap_29*(1+g_mix)^3*G352*G353</f>
        <v>56.2978199521237</v>
      </c>
      <c r="K365" s="7" t="s">
        <v>724</v>
      </c>
    </row>
    <row r="366" customFormat="false" ht="17.15" hidden="false" customHeight="false" outlineLevel="0" collapsed="false">
      <c r="A366" s="0" t="s">
        <v>725</v>
      </c>
      <c r="B366" s="0" t="s">
        <v>379</v>
      </c>
      <c r="D366" s="21" t="n">
        <f aca="false">a26_abf</f>
        <v>22.858836</v>
      </c>
      <c r="E366" s="21" t="n">
        <f aca="false">MIN(E364,E365)</f>
        <v>34.7785760322</v>
      </c>
      <c r="F366" s="21" t="n">
        <f aca="false">MIN(F364,F365)</f>
        <v>45.6468810422625</v>
      </c>
      <c r="G366" s="21" t="n">
        <f aca="false">MIN(G364,G365)</f>
        <v>56.2978199521237</v>
      </c>
    </row>
    <row r="367" customFormat="false" ht="17.15" hidden="false" customHeight="false" outlineLevel="0" collapsed="false">
      <c r="A367" s="3" t="s">
        <v>726</v>
      </c>
      <c r="B367" s="0" t="s">
        <v>43</v>
      </c>
      <c r="D367" s="20" t="n">
        <f aca="false">D366/D364</f>
        <v>1</v>
      </c>
      <c r="E367" s="20" t="n">
        <f aca="false">E366/E364</f>
        <v>0.881927608130917</v>
      </c>
      <c r="F367" s="20" t="n">
        <f aca="false">F366/F364</f>
        <v>0.922647218755674</v>
      </c>
      <c r="G367" s="20" t="n">
        <f aca="false">G366/G364</f>
        <v>0.967695807012458</v>
      </c>
    </row>
    <row r="368" customFormat="false" ht="17.15" hidden="false" customHeight="false" outlineLevel="0" collapsed="false">
      <c r="A368" s="0" t="s">
        <v>727</v>
      </c>
      <c r="B368" s="0" t="s">
        <v>379</v>
      </c>
      <c r="D368" s="21" t="n">
        <f aca="false">(D359+D362)*D367</f>
        <v>5.714709</v>
      </c>
      <c r="E368" s="21" t="n">
        <f aca="false">(E359+E362)*E367</f>
        <v>16.3474436304234</v>
      </c>
      <c r="F368" s="21" t="n">
        <f aca="false">(F359+F362)*F367</f>
        <v>25.2078349507583</v>
      </c>
      <c r="G368" s="21" t="n">
        <f aca="false">(G359+G362)*G367</f>
        <v>33.5746105520207</v>
      </c>
    </row>
    <row r="369" customFormat="false" ht="17.15" hidden="false" customHeight="false" outlineLevel="0" collapsed="false">
      <c r="A369" s="3" t="s">
        <v>728</v>
      </c>
      <c r="B369" s="0" t="s">
        <v>43</v>
      </c>
      <c r="D369" s="20" t="n">
        <f aca="false">D359/(D359+D362)</f>
        <v>0.800318125775433</v>
      </c>
      <c r="E369" s="20" t="n">
        <f aca="false">E359/(E359+E362)</f>
        <v>0.896024374782173</v>
      </c>
      <c r="F369" s="20" t="n">
        <f aca="false">F359/(F359+F362)</f>
        <v>0.924114387791097</v>
      </c>
      <c r="G369" s="20" t="n">
        <f aca="false">G359/(G359+G362)</f>
        <v>0.939286657016792</v>
      </c>
    </row>
    <row r="370" customFormat="false" ht="17.15" hidden="false" customHeight="false" outlineLevel="0" collapsed="false">
      <c r="A370" s="5" t="s">
        <v>729</v>
      </c>
    </row>
    <row r="371" customFormat="false" ht="17.15" hidden="false" customHeight="false" outlineLevel="0" collapsed="false">
      <c r="A371" s="0" t="s">
        <v>730</v>
      </c>
      <c r="B371" s="0" t="s">
        <v>379</v>
      </c>
      <c r="D371" s="21" t="n">
        <f aca="false">a26_bt</f>
        <v>23.265964</v>
      </c>
      <c r="E371" s="21" t="n">
        <f aca="false">D371*(1+g_bt27_A)</f>
        <v>29.78043392</v>
      </c>
      <c r="F371" s="21" t="n">
        <f aca="false">E371*(1+g_bt28_A)</f>
        <v>32.758477312</v>
      </c>
      <c r="G371" s="21" t="n">
        <f aca="false">F371*(1+g_bt29_A)</f>
        <v>34.3964011776</v>
      </c>
      <c r="K371" s="7" t="s">
        <v>731</v>
      </c>
    </row>
    <row r="372" customFormat="false" ht="17.15" hidden="false" customHeight="false" outlineLevel="0" collapsed="false">
      <c r="A372" s="3" t="s">
        <v>616</v>
      </c>
      <c r="B372" s="0" t="s">
        <v>379</v>
      </c>
      <c r="C372" s="21" t="n">
        <f aca="false">a25_lens</f>
        <v>7.039</v>
      </c>
      <c r="D372" s="21" t="n">
        <f aca="false">a26_lens</f>
        <v>8.301</v>
      </c>
      <c r="E372" s="21" t="n">
        <f aca="false">D372*(1+g_lens)</f>
        <v>9.1311</v>
      </c>
      <c r="F372" s="21" t="n">
        <f aca="false">E372*(1+g_lens)</f>
        <v>10.04421</v>
      </c>
      <c r="G372" s="21" t="n">
        <f aca="false">F372*(1+g_lens)</f>
        <v>11.048631</v>
      </c>
      <c r="K372" s="3" t="s">
        <v>732</v>
      </c>
    </row>
    <row r="373" customFormat="false" ht="17.15" hidden="false" customHeight="false" outlineLevel="0" collapsed="false">
      <c r="A373" s="3" t="s">
        <v>573</v>
      </c>
      <c r="B373" s="0" t="s">
        <v>379</v>
      </c>
      <c r="C373" s="23" t="n">
        <f aca="false">a25_rev</f>
        <v>39.351</v>
      </c>
      <c r="D373" s="23" t="n">
        <f aca="false">D366+D371+D372</f>
        <v>54.4258</v>
      </c>
      <c r="E373" s="23" t="n">
        <f aca="false">E366+E371+E372</f>
        <v>73.6901099522</v>
      </c>
      <c r="F373" s="23" t="n">
        <f aca="false">F366+F371+F372</f>
        <v>88.4495683542625</v>
      </c>
      <c r="G373" s="23" t="n">
        <f aca="false">G366+G371+G372</f>
        <v>101.742852129724</v>
      </c>
      <c r="H373" s="25" t="n">
        <f aca="false">G373*(1+H374)</f>
        <v>113.971816621723</v>
      </c>
      <c r="I373" s="25" t="n">
        <f aca="false">H373*(1+I374)</f>
        <v>124.240382501032</v>
      </c>
      <c r="J373" s="25" t="n">
        <f aca="false">I373*(1+J374)</f>
        <v>131.694805451093</v>
      </c>
      <c r="K373" s="7" t="s">
        <v>733</v>
      </c>
    </row>
    <row r="374" customFormat="false" ht="15" hidden="false" customHeight="false" outlineLevel="0" collapsed="false">
      <c r="A374" s="3" t="s">
        <v>734</v>
      </c>
      <c r="B374" s="0" t="s">
        <v>43</v>
      </c>
      <c r="D374" s="20" t="n">
        <f aca="false">D373/C373-1</f>
        <v>0.383085563263958</v>
      </c>
      <c r="E374" s="20" t="n">
        <f aca="false">E373/D373-1</f>
        <v>0.353955476119782</v>
      </c>
      <c r="F374" s="20" t="n">
        <f aca="false">F373/E373-1</f>
        <v>0.200290899438695</v>
      </c>
      <c r="G374" s="20" t="n">
        <f aca="false">G373/F373-1</f>
        <v>0.150292240231386</v>
      </c>
      <c r="H374" s="26" t="n">
        <f aca="false">$G374+(fade_gA-$G374)*1/3</f>
        <v>0.120194826820924</v>
      </c>
      <c r="I374" s="26" t="n">
        <f aca="false">$G374+(fade_gA-$G374)*2/3</f>
        <v>0.0900974134104622</v>
      </c>
      <c r="J374" s="26" t="n">
        <f aca="false">$G374+(fade_gA-$G374)*3/3</f>
        <v>0.06</v>
      </c>
    </row>
    <row r="375" customFormat="false" ht="17.15" hidden="false" customHeight="false" outlineLevel="0" collapsed="false">
      <c r="A375" s="0" t="s">
        <v>735</v>
      </c>
      <c r="B375" s="0" t="s">
        <v>43</v>
      </c>
      <c r="D375" s="20" t="n">
        <f aca="false">D366/D373</f>
        <v>0.42</v>
      </c>
      <c r="E375" s="20" t="n">
        <f aca="false">E366/E373</f>
        <v>0.471957173829155</v>
      </c>
      <c r="F375" s="20" t="n">
        <f aca="false">F366/F373</f>
        <v>0.51607805319564</v>
      </c>
      <c r="G375" s="20" t="n">
        <f aca="false">G366/G373</f>
        <v>0.553334399160967</v>
      </c>
    </row>
    <row r="376" customFormat="false" ht="17.15" hidden="false" customHeight="false" outlineLevel="0" collapsed="false">
      <c r="A376" s="0" t="s">
        <v>736</v>
      </c>
      <c r="B376" s="0" t="s">
        <v>43</v>
      </c>
      <c r="D376" s="20" t="n">
        <f aca="false">D368/D373</f>
        <v>0.105</v>
      </c>
      <c r="E376" s="20" t="n">
        <f aca="false">E368/E373</f>
        <v>0.221840402206311</v>
      </c>
      <c r="F376" s="20" t="n">
        <f aca="false">F368/F373</f>
        <v>0.284996698342209</v>
      </c>
      <c r="G376" s="20" t="n">
        <f aca="false">G368/G373</f>
        <v>0.329994784392446</v>
      </c>
      <c r="K376" s="3" t="s">
        <v>737</v>
      </c>
    </row>
    <row r="377" customFormat="false" ht="17.15" hidden="false" customHeight="false" outlineLevel="0" collapsed="false">
      <c r="A377" s="5" t="s">
        <v>738</v>
      </c>
    </row>
    <row r="378" customFormat="false" ht="15" hidden="false" customHeight="false" outlineLevel="0" collapsed="false">
      <c r="A378" s="3" t="s">
        <v>739</v>
      </c>
      <c r="B378" s="0" t="s">
        <v>379</v>
      </c>
      <c r="C378" s="23" t="n">
        <f aca="false">a25_cx</f>
        <v>6.116</v>
      </c>
      <c r="D378" s="23" t="n">
        <f aca="false">capex26</f>
        <v>11</v>
      </c>
      <c r="E378" s="23" t="n">
        <f aca="false">cx27</f>
        <v>17</v>
      </c>
      <c r="F378" s="23" t="n">
        <f aca="false">cx28</f>
        <v>16</v>
      </c>
      <c r="G378" s="23" t="n">
        <f aca="false">cx29</f>
        <v>12</v>
      </c>
      <c r="H378" s="25" t="n">
        <f aca="false">H373*H397</f>
        <v>13.5420249365278</v>
      </c>
      <c r="I378" s="25" t="n">
        <f aca="false">I373*I397</f>
        <v>14.8707949124985</v>
      </c>
      <c r="J378" s="25" t="n">
        <f aca="false">J373*J397</f>
        <v>15.8782312775091</v>
      </c>
    </row>
    <row r="379" customFormat="false" ht="17.15" hidden="false" customHeight="false" outlineLevel="0" collapsed="false">
      <c r="A379" s="3" t="s">
        <v>740</v>
      </c>
      <c r="B379" s="0" t="s">
        <v>379</v>
      </c>
      <c r="C379" s="23" t="n">
        <f aca="false">a25_da</f>
        <v>7.158</v>
      </c>
      <c r="D379" s="23" t="n">
        <f aca="false">da26</f>
        <v>8.32</v>
      </c>
      <c r="E379" s="23" t="n">
        <f aca="false">D379*(1-1/life)+D378/life</f>
        <v>8.655</v>
      </c>
      <c r="F379" s="23" t="n">
        <f aca="false">E379*(1-1/life)+E378/life</f>
        <v>9.698125</v>
      </c>
      <c r="G379" s="23" t="n">
        <f aca="false">F379*(1-1/life)+F378/life</f>
        <v>10.485859375</v>
      </c>
      <c r="H379" s="25" t="n">
        <f aca="false">H373*H380</f>
        <v>11.7462054266467</v>
      </c>
      <c r="I379" s="25" t="n">
        <f aca="false">I373*I380</f>
        <v>12.8045081529755</v>
      </c>
      <c r="J379" s="25" t="n">
        <f aca="false">J373*J380</f>
        <v>13.572778642154</v>
      </c>
      <c r="K379" s="3" t="s">
        <v>741</v>
      </c>
    </row>
    <row r="380" customFormat="false" ht="17.15" hidden="false" customHeight="false" outlineLevel="0" collapsed="false">
      <c r="A380" s="3" t="s">
        <v>742</v>
      </c>
      <c r="B380" s="0" t="s">
        <v>43</v>
      </c>
      <c r="C380" s="20" t="n">
        <f aca="false">C379/C373</f>
        <v>0.181901349393916</v>
      </c>
      <c r="D380" s="20" t="n">
        <f aca="false">D379/D373</f>
        <v>0.152868676252807</v>
      </c>
      <c r="E380" s="20" t="n">
        <f aca="false">E379/E373</f>
        <v>0.117451310706609</v>
      </c>
      <c r="F380" s="20" t="n">
        <f aca="false">F379/F373</f>
        <v>0.109645814902755</v>
      </c>
      <c r="G380" s="20" t="n">
        <f aca="false">G379/G373</f>
        <v>0.103062369055964</v>
      </c>
      <c r="H380" s="26" t="n">
        <f aca="false">$G380</f>
        <v>0.103062369055964</v>
      </c>
      <c r="I380" s="26" t="n">
        <f aca="false">$G380</f>
        <v>0.103062369055964</v>
      </c>
      <c r="J380" s="26" t="n">
        <f aca="false">$G380</f>
        <v>0.103062369055964</v>
      </c>
    </row>
    <row r="381" customFormat="false" ht="17.15" hidden="false" customHeight="false" outlineLevel="0" collapsed="false">
      <c r="A381" s="0" t="s">
        <v>743</v>
      </c>
      <c r="B381" s="0" t="s">
        <v>379</v>
      </c>
      <c r="E381" s="21" t="n">
        <f aca="false">E367*((E359+E362)*(1-1/(E352*E353))+E363*(1-1/E353))</f>
        <v>5.21324878392768</v>
      </c>
      <c r="F381" s="21" t="n">
        <f aca="false">F367*((F359+F362)*(1-1/(F352*F353))+F363*(1-1/F353))</f>
        <v>6.99774369498489</v>
      </c>
      <c r="G381" s="21" t="n">
        <f aca="false">G367*((G359+G362)*(1-1/(G352*G353))+G363*(1-1/G353))</f>
        <v>7.34319390679875</v>
      </c>
      <c r="K381" s="7" t="s">
        <v>744</v>
      </c>
    </row>
    <row r="382" customFormat="false" ht="17.15" hidden="false" customHeight="false" outlineLevel="0" collapsed="false">
      <c r="A382" s="3" t="s">
        <v>745</v>
      </c>
      <c r="B382" s="0" t="s">
        <v>379</v>
      </c>
      <c r="C382" s="21" t="n">
        <f aca="false">a25_gp</f>
        <v>8.314</v>
      </c>
      <c r="D382" s="21" t="n">
        <f aca="false">a26_gp</f>
        <v>15.328536</v>
      </c>
      <c r="E382" s="21" t="n">
        <f aca="false">$D382+ft_abf*(E366-E381-$D366)+ft_bt*(E371-$D371)+ft_lens*(E372-$D372)+E381-(E379-$D379)</f>
        <v>26.8650868720638</v>
      </c>
      <c r="F382" s="21" t="n">
        <f aca="false">$D382+ft_abf*(F366-F381-$D366)+ft_bt*(F371-$D371)+ft_lens*(F372-$D372)+F381-(F379-$D379)</f>
        <v>33.8993808590237</v>
      </c>
      <c r="G382" s="21" t="n">
        <f aca="false">$D382+ft_abf*(G366-G381-$D366)+ft_bt*(G371-$D371)+ft_lens*(G372-$D372)+G381-(G379-$D379)</f>
        <v>39.7988962343812</v>
      </c>
      <c r="K382" s="3" t="s">
        <v>746</v>
      </c>
    </row>
    <row r="383" customFormat="false" ht="15" hidden="false" customHeight="false" outlineLevel="0" collapsed="false">
      <c r="A383" s="3" t="s">
        <v>580</v>
      </c>
      <c r="B383" s="0" t="s">
        <v>43</v>
      </c>
      <c r="C383" s="16" t="n">
        <f aca="false">C382/C373</f>
        <v>0.211277985311682</v>
      </c>
      <c r="D383" s="16" t="n">
        <f aca="false">D382/D373</f>
        <v>0.281640986443929</v>
      </c>
      <c r="E383" s="16" t="n">
        <f aca="false">E382/E373</f>
        <v>0.364568418875887</v>
      </c>
      <c r="F383" s="16" t="n">
        <f aca="false">F382/F373</f>
        <v>0.383262253166101</v>
      </c>
      <c r="G383" s="16" t="n">
        <f aca="false">G382/G373</f>
        <v>0.391171422869461</v>
      </c>
    </row>
    <row r="384" customFormat="false" ht="15" hidden="false" customHeight="false" outlineLevel="0" collapsed="false">
      <c r="A384" s="3" t="s">
        <v>582</v>
      </c>
      <c r="B384" s="0" t="s">
        <v>379</v>
      </c>
      <c r="C384" s="21" t="n">
        <f aca="false">a25_opx</f>
        <v>5.644</v>
      </c>
      <c r="D384" s="21" t="n">
        <f aca="false">a26_opx</f>
        <v>6.54036</v>
      </c>
      <c r="E384" s="21" t="n">
        <f aca="false">D384*(1+phi*E374)</f>
        <v>7.92935774267687</v>
      </c>
      <c r="F384" s="21" t="n">
        <f aca="false">E384*(1+phi*F374)</f>
        <v>8.88226465922802</v>
      </c>
      <c r="G384" s="21" t="n">
        <f aca="false">F384*(1+phi*G374)</f>
        <v>9.6832259316061</v>
      </c>
    </row>
    <row r="385" customFormat="false" ht="15" hidden="false" customHeight="false" outlineLevel="0" collapsed="false">
      <c r="A385" s="3" t="s">
        <v>585</v>
      </c>
      <c r="B385" s="0" t="s">
        <v>379</v>
      </c>
      <c r="C385" s="21" t="n">
        <f aca="false">C382-C384</f>
        <v>2.67</v>
      </c>
      <c r="D385" s="21" t="n">
        <f aca="false">D382-D384</f>
        <v>8.788176</v>
      </c>
      <c r="E385" s="21" t="n">
        <f aca="false">E382-E384</f>
        <v>18.935729129387</v>
      </c>
      <c r="F385" s="21" t="n">
        <f aca="false">F382-F384</f>
        <v>25.0171161997957</v>
      </c>
      <c r="G385" s="21" t="n">
        <f aca="false">G382-G384</f>
        <v>30.1156703027752</v>
      </c>
    </row>
    <row r="386" customFormat="false" ht="15" hidden="false" customHeight="false" outlineLevel="0" collapsed="false">
      <c r="A386" s="3" t="s">
        <v>683</v>
      </c>
      <c r="B386" s="0" t="s">
        <v>43</v>
      </c>
      <c r="C386" s="16" t="n">
        <f aca="false">C385/C373</f>
        <v>0.0678508805367081</v>
      </c>
      <c r="D386" s="16" t="n">
        <f aca="false">D385/D373</f>
        <v>0.161470773052486</v>
      </c>
      <c r="E386" s="16" t="n">
        <f aca="false">E385/E373</f>
        <v>0.25696432182921</v>
      </c>
      <c r="F386" s="16" t="n">
        <f aca="false">F385/F373</f>
        <v>0.28284045547397</v>
      </c>
      <c r="G386" s="16" t="n">
        <f aca="false">G385/G373</f>
        <v>0.29599789736951</v>
      </c>
    </row>
    <row r="387" customFormat="false" ht="15" hidden="false" customHeight="false" outlineLevel="0" collapsed="false">
      <c r="A387" s="3" t="s">
        <v>588</v>
      </c>
      <c r="B387" s="0" t="s">
        <v>379</v>
      </c>
      <c r="C387" s="21" t="n">
        <f aca="false">a25_nonop</f>
        <v>0.417</v>
      </c>
      <c r="D387" s="21" t="n">
        <f aca="false">a26_nonop</f>
        <v>0.37882</v>
      </c>
      <c r="E387" s="21" t="n">
        <f aca="false">nonop27</f>
        <v>0.4</v>
      </c>
      <c r="F387" s="21" t="n">
        <f aca="false">nonop28</f>
        <v>0.4</v>
      </c>
      <c r="G387" s="21" t="n">
        <f aca="false">nonop29</f>
        <v>0.4</v>
      </c>
    </row>
    <row r="388" customFormat="false" ht="15" hidden="false" customHeight="false" outlineLevel="0" collapsed="false">
      <c r="A388" s="3" t="s">
        <v>590</v>
      </c>
      <c r="B388" s="0" t="s">
        <v>379</v>
      </c>
      <c r="C388" s="21" t="n">
        <f aca="false">C385+C387</f>
        <v>3.087</v>
      </c>
      <c r="D388" s="21" t="n">
        <f aca="false">D385+D387</f>
        <v>9.166996</v>
      </c>
      <c r="E388" s="21" t="n">
        <f aca="false">E385+E387</f>
        <v>19.335729129387</v>
      </c>
      <c r="F388" s="21" t="n">
        <f aca="false">F385+F387</f>
        <v>25.4171161997957</v>
      </c>
      <c r="G388" s="21" t="n">
        <f aca="false">G385+G387</f>
        <v>30.5156703027752</v>
      </c>
    </row>
    <row r="389" customFormat="false" ht="15" hidden="false" customHeight="false" outlineLevel="0" collapsed="false">
      <c r="A389" s="3" t="s">
        <v>591</v>
      </c>
      <c r="B389" s="0" t="s">
        <v>379</v>
      </c>
      <c r="E389" s="21" t="n">
        <f aca="false">E388*tax</f>
        <v>2.32028749552644</v>
      </c>
      <c r="F389" s="21" t="n">
        <f aca="false">F388*tax</f>
        <v>3.05005394397548</v>
      </c>
      <c r="G389" s="21" t="n">
        <f aca="false">G388*tax</f>
        <v>3.66188043633302</v>
      </c>
    </row>
    <row r="390" customFormat="false" ht="15" hidden="false" customHeight="false" outlineLevel="0" collapsed="false">
      <c r="A390" s="3" t="s">
        <v>592</v>
      </c>
      <c r="B390" s="0" t="s">
        <v>379</v>
      </c>
      <c r="C390" s="21" t="n">
        <f aca="false">a25_nic</f>
        <v>2.71712</v>
      </c>
      <c r="D390" s="21" t="n">
        <f aca="false">a26_nic</f>
        <v>8.39979776</v>
      </c>
      <c r="E390" s="21" t="n">
        <f aca="false">E388-E389</f>
        <v>17.0154416338605</v>
      </c>
      <c r="F390" s="21" t="n">
        <f aca="false">F388-F389</f>
        <v>22.3670622558202</v>
      </c>
      <c r="G390" s="21" t="n">
        <f aca="false">G388-G389</f>
        <v>26.8537898664421</v>
      </c>
    </row>
    <row r="391" customFormat="false" ht="17.15" hidden="false" customHeight="false" outlineLevel="0" collapsed="false">
      <c r="A391" s="3" t="s">
        <v>747</v>
      </c>
      <c r="B391" s="0" t="s">
        <v>379</v>
      </c>
      <c r="C391" s="21" t="n">
        <f aca="false">a25_nci</f>
        <v>1.12112</v>
      </c>
      <c r="D391" s="21" t="n">
        <f aca="false">a26_nci</f>
        <v>1.43839238487797</v>
      </c>
      <c r="E391" s="21" t="n">
        <f aca="false">E372*nm_lens*nci_sh</f>
        <v>1.57074538036261</v>
      </c>
      <c r="F391" s="21" t="n">
        <f aca="false">F372*nm_lens*nci_sh</f>
        <v>1.72781991839887</v>
      </c>
      <c r="G391" s="21" t="n">
        <f aca="false">G372*nm_lens*nci_sh</f>
        <v>1.90060191023875</v>
      </c>
      <c r="K391" s="3" t="s">
        <v>748</v>
      </c>
    </row>
    <row r="392" customFormat="false" ht="15" hidden="false" customHeight="false" outlineLevel="0" collapsed="false">
      <c r="A392" s="3" t="s">
        <v>598</v>
      </c>
      <c r="B392" s="0" t="s">
        <v>379</v>
      </c>
      <c r="C392" s="21" t="n">
        <f aca="false">a25_ni</f>
        <v>1.596</v>
      </c>
      <c r="D392" s="21" t="n">
        <f aca="false">a26_ni</f>
        <v>6.96140537512203</v>
      </c>
      <c r="E392" s="21" t="n">
        <f aca="false">E390-E391</f>
        <v>15.4446962534979</v>
      </c>
      <c r="F392" s="21" t="n">
        <f aca="false">F390-F391</f>
        <v>20.6392423374213</v>
      </c>
      <c r="G392" s="21" t="n">
        <f aca="false">G390-G391</f>
        <v>24.9531879562034</v>
      </c>
      <c r="H392" s="30" t="n">
        <f aca="false">H373*H396</f>
        <v>27.027739812235</v>
      </c>
      <c r="I392" s="30" t="n">
        <f aca="false">I373*I396</f>
        <v>28.4548646308191</v>
      </c>
      <c r="J392" s="30" t="n">
        <f aca="false">J373*J396</f>
        <v>29.0936716021092</v>
      </c>
    </row>
    <row r="393" customFormat="false" ht="15" hidden="false" customHeight="false" outlineLevel="0" collapsed="false">
      <c r="A393" s="3" t="s">
        <v>749</v>
      </c>
      <c r="B393" s="3" t="s">
        <v>465</v>
      </c>
      <c r="C393" s="29" t="n">
        <f aca="false">a25_sh</f>
        <v>0.454700854700855</v>
      </c>
      <c r="D393" s="29" t="n">
        <f aca="false">a26_sh</f>
        <v>0.508341020486215</v>
      </c>
      <c r="E393" s="29" t="n">
        <f aca="false">a26_shend*(1+sh_g)</f>
        <v>0.52691</v>
      </c>
      <c r="F393" s="29" t="n">
        <f aca="false">E393*(1+sh_g)</f>
        <v>0.52691</v>
      </c>
      <c r="G393" s="29" t="n">
        <f aca="false">F393*(1+sh_g)</f>
        <v>0.52691</v>
      </c>
      <c r="H393" s="31" t="n">
        <f aca="false">G393*(1+sh_g)</f>
        <v>0.52691</v>
      </c>
      <c r="I393" s="31" t="n">
        <f aca="false">H393*(1+sh_g)</f>
        <v>0.52691</v>
      </c>
      <c r="J393" s="31" t="n">
        <f aca="false">I393*(1+sh_g)</f>
        <v>0.52691</v>
      </c>
    </row>
    <row r="394" customFormat="false" ht="17.15" hidden="false" customHeight="false" outlineLevel="0" collapsed="false">
      <c r="A394" s="0" t="s">
        <v>603</v>
      </c>
      <c r="B394" s="0" t="s">
        <v>471</v>
      </c>
      <c r="C394" s="18" t="n">
        <f aca="false">C392/C393</f>
        <v>3.51</v>
      </c>
      <c r="D394" s="18" t="n">
        <f aca="false">D392/D393</f>
        <v>13.6943608612652</v>
      </c>
      <c r="E394" s="18" t="n">
        <f aca="false">E392/E393</f>
        <v>29.3118298257728</v>
      </c>
      <c r="F394" s="18" t="n">
        <f aca="false">F392/F393</f>
        <v>39.1703371304802</v>
      </c>
      <c r="G394" s="18" t="n">
        <f aca="false">G392/G393</f>
        <v>47.3575903972279</v>
      </c>
      <c r="H394" s="28" t="n">
        <f aca="false">H392/H393</f>
        <v>51.2947938210226</v>
      </c>
      <c r="I394" s="28" t="n">
        <f aca="false">I392/I393</f>
        <v>54.0032731032227</v>
      </c>
      <c r="J394" s="28" t="n">
        <f aca="false">J392/J393</f>
        <v>55.2156375891693</v>
      </c>
    </row>
    <row r="395" customFormat="false" ht="17.15" hidden="false" customHeight="false" outlineLevel="0" collapsed="false">
      <c r="A395" s="0" t="s">
        <v>750</v>
      </c>
      <c r="B395" s="0" t="s">
        <v>43</v>
      </c>
      <c r="D395" s="20" t="n">
        <f aca="false">D394/C394-1</f>
        <v>2.90152731090177</v>
      </c>
      <c r="E395" s="20" t="n">
        <f aca="false">E394/D394-1</f>
        <v>1.14043065775212</v>
      </c>
      <c r="F395" s="20" t="n">
        <f aca="false">F394/E394-1</f>
        <v>0.33633203260614</v>
      </c>
      <c r="G395" s="20" t="n">
        <f aca="false">G394/F394-1</f>
        <v>0.209016665837601</v>
      </c>
      <c r="H395" s="26" t="n">
        <f aca="false">H394/G394-1</f>
        <v>0.0831377481575821</v>
      </c>
      <c r="I395" s="26" t="n">
        <f aca="false">I394/H394-1</f>
        <v>0.0528022257317289</v>
      </c>
      <c r="J395" s="26" t="n">
        <f aca="false">J394/I394-1</f>
        <v>0.0224498334319341</v>
      </c>
    </row>
    <row r="396" customFormat="false" ht="17.15" hidden="false" customHeight="false" outlineLevel="0" collapsed="false">
      <c r="A396" s="3" t="s">
        <v>751</v>
      </c>
      <c r="B396" s="0" t="s">
        <v>43</v>
      </c>
      <c r="C396" s="16" t="n">
        <f aca="false">C392/C373</f>
        <v>0.0405580544331783</v>
      </c>
      <c r="D396" s="16" t="n">
        <f aca="false">D392/D373</f>
        <v>0.127906349105057</v>
      </c>
      <c r="E396" s="16" t="n">
        <f aca="false">E392/E373</f>
        <v>0.209589811489172</v>
      </c>
      <c r="F396" s="16" t="n">
        <f aca="false">F392/F373</f>
        <v>0.233344749120267</v>
      </c>
      <c r="G396" s="16" t="n">
        <f aca="false">G392/G373</f>
        <v>0.245257405644454</v>
      </c>
      <c r="H396" s="27" t="n">
        <f aca="false">$G396+(fade_mA-$G396)*1/3</f>
        <v>0.237144064325492</v>
      </c>
      <c r="I396" s="27" t="n">
        <f aca="false">$G396+(fade_mA-$G396)*2/3</f>
        <v>0.22903072300653</v>
      </c>
      <c r="J396" s="27" t="n">
        <f aca="false">$G396+(fade_mA-$G396)*3/3</f>
        <v>0.220917381687568</v>
      </c>
    </row>
    <row r="397" customFormat="false" ht="17.15" hidden="false" customHeight="false" outlineLevel="0" collapsed="false">
      <c r="A397" s="3" t="s">
        <v>752</v>
      </c>
      <c r="B397" s="0" t="s">
        <v>43</v>
      </c>
      <c r="C397" s="20" t="n">
        <f aca="false">C378/C373</f>
        <v>0.155421717364235</v>
      </c>
      <c r="D397" s="20" t="n">
        <f aca="false">D378/D373</f>
        <v>0.202110028699624</v>
      </c>
      <c r="E397" s="20" t="n">
        <f aca="false">E378/E373</f>
        <v>0.230695815368267</v>
      </c>
      <c r="F397" s="20" t="n">
        <f aca="false">F378/F373</f>
        <v>0.180894042760232</v>
      </c>
      <c r="G397" s="20" t="n">
        <f aca="false">G378/G373</f>
        <v>0.117944403452537</v>
      </c>
      <c r="H397" s="26" t="n">
        <f aca="false">$G397+($G380*(1+tp_g)^(life/2)-$G397)*1/3</f>
        <v>0.118819067186358</v>
      </c>
      <c r="I397" s="26" t="n">
        <f aca="false">$G397+($G380*(1+tp_g)^(life/2)-$G397)*2/3</f>
        <v>0.119693730920179</v>
      </c>
      <c r="J397" s="26" t="n">
        <f aca="false">$G397+($G380*(1+tp_g)^(life/2)-$G397)*3/3</f>
        <v>0.120568394653999</v>
      </c>
      <c r="K397" s="7" t="s">
        <v>753</v>
      </c>
    </row>
    <row r="398" customFormat="false" ht="15" hidden="false" customHeight="false" outlineLevel="0" collapsed="false">
      <c r="A398" s="3" t="s">
        <v>754</v>
      </c>
      <c r="B398" s="0" t="s">
        <v>379</v>
      </c>
      <c r="D398" s="21" t="n">
        <f aca="false">D392+D379-D378</f>
        <v>4.28140537512203</v>
      </c>
      <c r="E398" s="21" t="n">
        <f aca="false">E392+E379-E378</f>
        <v>7.09969625349793</v>
      </c>
      <c r="F398" s="21" t="n">
        <f aca="false">F392+F379-F378</f>
        <v>14.3373673374213</v>
      </c>
      <c r="G398" s="21" t="n">
        <f aca="false">G392+G379-G378</f>
        <v>23.4390473312034</v>
      </c>
      <c r="H398" s="30" t="n">
        <f aca="false">H392+H379-H378</f>
        <v>25.231920302354</v>
      </c>
      <c r="I398" s="30" t="n">
        <f aca="false">I392+I379-I378</f>
        <v>26.3885778712961</v>
      </c>
      <c r="J398" s="30" t="n">
        <f aca="false">J392+J379-J378</f>
        <v>26.7882189667542</v>
      </c>
      <c r="K398" s="3" t="s">
        <v>755</v>
      </c>
    </row>
    <row r="399" customFormat="false" ht="15" hidden="false" customHeight="false" outlineLevel="0" collapsed="false">
      <c r="A399" s="3" t="s">
        <v>756</v>
      </c>
      <c r="B399" s="0" t="s">
        <v>471</v>
      </c>
      <c r="D399" s="18" t="n">
        <f aca="false">D398/D393</f>
        <v>8.42230943909854</v>
      </c>
      <c r="E399" s="18" t="n">
        <f aca="false">E398/E393</f>
        <v>13.4742104979938</v>
      </c>
      <c r="F399" s="18" t="n">
        <f aca="false">F398/F393</f>
        <v>27.2102775377604</v>
      </c>
      <c r="G399" s="18" t="n">
        <f aca="false">G398/G393</f>
        <v>44.4839675299451</v>
      </c>
      <c r="H399" s="28" t="n">
        <f aca="false">H398/H393</f>
        <v>47.8865846204361</v>
      </c>
      <c r="I399" s="28" t="n">
        <f aca="false">I398/I393</f>
        <v>50.0817556533299</v>
      </c>
      <c r="J399" s="28" t="n">
        <f aca="false">J398/J393</f>
        <v>50.8402174313529</v>
      </c>
    </row>
    <row r="402" customFormat="false" ht="17.15" hidden="false" customHeight="false" outlineLevel="0" collapsed="false">
      <c r="A402" s="1" t="s">
        <v>1096</v>
      </c>
    </row>
    <row r="403" customFormat="false" ht="17.15" hidden="false" customHeight="false" outlineLevel="0" collapsed="false">
      <c r="A403" s="4" t="s">
        <v>20</v>
      </c>
      <c r="B403" s="4" t="s">
        <v>21</v>
      </c>
      <c r="C403" s="13" t="s">
        <v>566</v>
      </c>
      <c r="D403" s="13" t="s">
        <v>670</v>
      </c>
      <c r="E403" s="13" t="s">
        <v>671</v>
      </c>
      <c r="F403" s="13" t="s">
        <v>672</v>
      </c>
      <c r="G403" s="13" t="s">
        <v>673</v>
      </c>
      <c r="H403" s="13" t="s">
        <v>674</v>
      </c>
      <c r="I403" s="13" t="s">
        <v>675</v>
      </c>
      <c r="J403" s="13" t="s">
        <v>676</v>
      </c>
      <c r="K403" s="4" t="s">
        <v>630</v>
      </c>
    </row>
    <row r="404" customFormat="false" ht="17.15" hidden="false" customHeight="false" outlineLevel="0" collapsed="false">
      <c r="A404" s="5" t="s">
        <v>694</v>
      </c>
    </row>
    <row r="405" customFormat="false" ht="17.15" hidden="false" customHeight="false" outlineLevel="0" collapsed="false">
      <c r="A405" s="0" t="s">
        <v>695</v>
      </c>
      <c r="B405" s="3" t="s">
        <v>31</v>
      </c>
      <c r="D405" s="21" t="n">
        <f aca="false">(u_bw_26+u_rb_26+u_ru_26+u_hp_26)*1</f>
        <v>7.6</v>
      </c>
      <c r="E405" s="21" t="n">
        <f aca="false">(u_bw_27+u_rb_27+u_ru_27+u_hp_27)*1*1</f>
        <v>9.7</v>
      </c>
      <c r="F405" s="21" t="n">
        <f aca="false">(u_bw_28+u_rb_28+u_ru_28+u_hp_28)*um28_A*1</f>
        <v>9.5</v>
      </c>
      <c r="G405" s="21" t="n">
        <f aca="false">(u_bw_28*(1+g29_bw)+u_rb_28*(1+g29_rb)+u_ru_28*(1+g29_ru)+u_hp_28*(1+g29_hp))*um29_A*1</f>
        <v>10.6</v>
      </c>
      <c r="K405" s="7" t="s">
        <v>696</v>
      </c>
    </row>
    <row r="406" customFormat="false" ht="17.15" hidden="false" customHeight="false" outlineLevel="0" collapsed="false">
      <c r="A406" s="3" t="s">
        <v>697</v>
      </c>
      <c r="B406" s="3" t="s">
        <v>31</v>
      </c>
      <c r="D406" s="21" t="n">
        <f aca="false">(u_amd_26+u_tpu_26+u_trn_26+u_oth_26)*1</f>
        <v>7.6</v>
      </c>
      <c r="E406" s="21" t="n">
        <f aca="false">(u_amd_27+u_tpu_27+u_trn_27+u_oth_27)*1*1</f>
        <v>14</v>
      </c>
      <c r="F406" s="21" t="n">
        <f aca="false">(u_amd_28+u_tpu_28+u_trn_28+u_oth_28)*um28_A*1</f>
        <v>17</v>
      </c>
      <c r="G406" s="21" t="n">
        <f aca="false">(u_amd_28*(1+g29_amd)+u_tpu_28*(1+g29_tpu)+u_trn_28*(1+g29_trn)+u_oth_28*(1+g29_oth))*um29_A*1</f>
        <v>19.55</v>
      </c>
      <c r="K406" s="7" t="s">
        <v>698</v>
      </c>
    </row>
    <row r="407" customFormat="false" ht="17.15" hidden="false" customHeight="false" outlineLevel="0" collapsed="false">
      <c r="A407" s="0" t="s">
        <v>699</v>
      </c>
      <c r="B407" s="3" t="s">
        <v>31</v>
      </c>
      <c r="D407" s="21" t="n">
        <f aca="false">D405*cpu_r</f>
        <v>3.04</v>
      </c>
      <c r="E407" s="21" t="n">
        <f aca="false">E405*cpu_r</f>
        <v>3.88</v>
      </c>
      <c r="F407" s="21" t="n">
        <f aca="false">F405*cpu_r</f>
        <v>3.8</v>
      </c>
      <c r="G407" s="21" t="n">
        <f aca="false">G405*cpu_r</f>
        <v>4.24</v>
      </c>
      <c r="K407" s="7" t="s">
        <v>700</v>
      </c>
    </row>
    <row r="408" customFormat="false" ht="17.15" hidden="false" customHeight="false" outlineLevel="0" collapsed="false">
      <c r="A408" s="3" t="s">
        <v>701</v>
      </c>
      <c r="B408" s="0" t="s">
        <v>153</v>
      </c>
      <c r="D408" s="19" t="n">
        <f aca="false">1</f>
        <v>1</v>
      </c>
      <c r="E408" s="19" t="n">
        <f aca="false">D408*(1+g_asp)</f>
        <v>1.18</v>
      </c>
      <c r="F408" s="19" t="n">
        <f aca="false">E408*(1+g_asp)</f>
        <v>1.3924</v>
      </c>
      <c r="G408" s="19" t="n">
        <f aca="false">F408*(1+g_asp)</f>
        <v>1.643032</v>
      </c>
      <c r="K408" s="7" t="s">
        <v>702</v>
      </c>
    </row>
    <row r="409" customFormat="false" ht="17.15" hidden="false" customHeight="false" outlineLevel="0" collapsed="false">
      <c r="A409" s="0" t="s">
        <v>703</v>
      </c>
      <c r="B409" s="0" t="s">
        <v>153</v>
      </c>
      <c r="D409" s="18" t="n">
        <f aca="false">1</f>
        <v>1</v>
      </c>
      <c r="E409" s="18" t="n">
        <f aca="false">ibpp_27</f>
        <v>1</v>
      </c>
      <c r="F409" s="18" t="n">
        <f aca="false">ibpp_28</f>
        <v>0.95</v>
      </c>
      <c r="G409" s="18" t="n">
        <f aca="false">ibpp_29</f>
        <v>0.9</v>
      </c>
      <c r="K409" s="7" t="s">
        <v>704</v>
      </c>
    </row>
    <row r="410" customFormat="false" ht="17.15" hidden="false" customHeight="false" outlineLevel="0" collapsed="false">
      <c r="A410" s="3" t="s">
        <v>705</v>
      </c>
      <c r="B410" s="0" t="s">
        <v>153</v>
      </c>
      <c r="D410" s="18" t="n">
        <f aca="false">1</f>
        <v>1</v>
      </c>
      <c r="E410" s="18" t="n">
        <f aca="false">1+carry_lo</f>
        <v>1.08</v>
      </c>
      <c r="F410" s="18" t="n">
        <f aca="false">1+carry_lo</f>
        <v>1.08</v>
      </c>
      <c r="G410" s="18" t="n">
        <f aca="false">1+carry_lo</f>
        <v>1.08</v>
      </c>
      <c r="K410" s="7" t="s">
        <v>706</v>
      </c>
    </row>
    <row r="411" customFormat="false" ht="17.15" hidden="false" customHeight="false" outlineLevel="0" collapsed="false">
      <c r="A411" s="3" t="s">
        <v>707</v>
      </c>
      <c r="B411" s="0" t="s">
        <v>708</v>
      </c>
      <c r="D411" s="23" t="n">
        <f aca="false">v26*D408*D409</f>
        <v>215.308596</v>
      </c>
      <c r="E411" s="23" t="n">
        <f aca="false">v26*E408*E409</f>
        <v>254.06414328</v>
      </c>
      <c r="F411" s="23" t="n">
        <f aca="false">v26*F408*F409</f>
        <v>284.80590461688</v>
      </c>
      <c r="G411" s="23" t="n">
        <f aca="false">v26*G408*G409</f>
        <v>318.383021792765</v>
      </c>
      <c r="K411" s="7" t="s">
        <v>709</v>
      </c>
    </row>
    <row r="412" customFormat="false" ht="17.15" hidden="false" customHeight="false" outlineLevel="0" collapsed="false">
      <c r="A412" s="3" t="s">
        <v>710</v>
      </c>
      <c r="B412" s="0" t="s">
        <v>43</v>
      </c>
      <c r="D412" s="20" t="n">
        <f aca="false">sh_nv_26</f>
        <v>0.02</v>
      </c>
      <c r="E412" s="20" t="n">
        <f aca="false">sh_nv_27</f>
        <v>0.03</v>
      </c>
      <c r="F412" s="20" t="n">
        <f aca="false">sh_nv_28</f>
        <v>0.05</v>
      </c>
      <c r="G412" s="20" t="n">
        <f aca="false">sh_nv_29</f>
        <v>0.06</v>
      </c>
    </row>
    <row r="413" customFormat="false" ht="17.15" hidden="false" customHeight="false" outlineLevel="0" collapsed="false">
      <c r="A413" s="3" t="s">
        <v>711</v>
      </c>
      <c r="B413" s="0" t="s">
        <v>43</v>
      </c>
      <c r="D413" s="20" t="n">
        <f aca="false">sh_ot_26</f>
        <v>0.03</v>
      </c>
      <c r="E413" s="20" t="n">
        <f aca="false">sh_ot_27</f>
        <v>0.05</v>
      </c>
      <c r="F413" s="20" t="n">
        <f aca="false">sh_ot_28</f>
        <v>0.06</v>
      </c>
      <c r="G413" s="20" t="n">
        <f aca="false">sh_ot_29</f>
        <v>0.06</v>
      </c>
    </row>
    <row r="414" customFormat="false" ht="17.15" hidden="false" customHeight="false" outlineLevel="0" collapsed="false">
      <c r="A414" s="3" t="s">
        <v>712</v>
      </c>
      <c r="B414" s="0" t="s">
        <v>43</v>
      </c>
      <c r="D414" s="20" t="n">
        <f aca="false">sh_cpu_26</f>
        <v>0.35</v>
      </c>
      <c r="E414" s="20" t="n">
        <f aca="false">sh_cpu_27</f>
        <v>0.7</v>
      </c>
      <c r="F414" s="20" t="n">
        <f aca="false">sh_cpu_28</f>
        <v>0.75</v>
      </c>
      <c r="G414" s="20" t="n">
        <f aca="false">sh_cpu_29</f>
        <v>0.7</v>
      </c>
    </row>
    <row r="415" customFormat="false" ht="17.15" hidden="false" customHeight="false" outlineLevel="0" collapsed="false">
      <c r="A415" s="3" t="s">
        <v>713</v>
      </c>
      <c r="B415" s="0" t="s">
        <v>660</v>
      </c>
      <c r="D415" s="22" t="n">
        <f aca="false">(D405*D411*D412+D406*D411*v_ot*D413+D407*D411*v_cpu*D414)*D410</f>
        <v>140.7256983456</v>
      </c>
      <c r="E415" s="22" t="n">
        <f aca="false">(E405*E411*E412+E406*E411*v_ot*E413+E407*E411*v_cpu*E414)*E410</f>
        <v>457.07765386589</v>
      </c>
      <c r="F415" s="22" t="n">
        <f aca="false">(F405*F411*F412+F406*F411*v_ot*F413+F407*F411*v_cpu*F414)*F410</f>
        <v>660.088949012451</v>
      </c>
      <c r="G415" s="22" t="n">
        <f aca="false">(G405*G411*G412+G406*G411*v_ot*G413+G407*G411*v_cpu*G414)*G410</f>
        <v>847.530509883991</v>
      </c>
    </row>
    <row r="416" customFormat="false" ht="17.15" hidden="false" customHeight="false" outlineLevel="0" collapsed="false">
      <c r="A416" s="3" t="s">
        <v>714</v>
      </c>
      <c r="B416" s="0" t="s">
        <v>379</v>
      </c>
      <c r="D416" s="21" t="n">
        <f aca="false">D415*fx/1000</f>
        <v>4.573585196232</v>
      </c>
      <c r="E416" s="21" t="n">
        <f aca="false">E415*fx/1000</f>
        <v>14.8550237506414</v>
      </c>
      <c r="F416" s="21" t="n">
        <f aca="false">F415*fx/1000</f>
        <v>21.4528908429046</v>
      </c>
      <c r="G416" s="21" t="n">
        <f aca="false">G415*fx/1000</f>
        <v>27.5447415712297</v>
      </c>
    </row>
    <row r="417" customFormat="false" ht="17.15" hidden="false" customHeight="false" outlineLevel="0" collapsed="false">
      <c r="A417" s="5" t="s">
        <v>715</v>
      </c>
    </row>
    <row r="418" customFormat="false" ht="17.15" hidden="false" customHeight="false" outlineLevel="0" collapsed="false">
      <c r="A418" s="0" t="s">
        <v>716</v>
      </c>
      <c r="B418" s="0" t="s">
        <v>379</v>
      </c>
      <c r="D418" s="21" t="n">
        <f aca="false">a26_abf*ai_abf</f>
        <v>5.714709</v>
      </c>
      <c r="K418" s="3" t="s">
        <v>717</v>
      </c>
    </row>
    <row r="419" customFormat="false" ht="17.15" hidden="false" customHeight="false" outlineLevel="0" collapsed="false">
      <c r="A419" s="3" t="s">
        <v>718</v>
      </c>
      <c r="B419" s="0" t="s">
        <v>379</v>
      </c>
      <c r="D419" s="21" t="n">
        <f aca="false">D418-D416</f>
        <v>1.141123803768</v>
      </c>
      <c r="E419" s="21" t="n">
        <f aca="false">$D419*(swm_27/swm_26)^el_o*1*1*E409*E410</f>
        <v>1.72379281810732</v>
      </c>
      <c r="F419" s="21" t="n">
        <f aca="false">$D419*(swm_28/swm_26)^el_o*um28_A*1*F409*F410</f>
        <v>1.76164961477972</v>
      </c>
      <c r="G419" s="21" t="n">
        <f aca="false">$D419*(swm_29/swm_26)^el_o*um29_A*1*G409*G410</f>
        <v>1.78042914791241</v>
      </c>
      <c r="K419" s="7" t="s">
        <v>719</v>
      </c>
    </row>
    <row r="420" customFormat="false" ht="17.15" hidden="false" customHeight="false" outlineLevel="0" collapsed="false">
      <c r="A420" s="3" t="s">
        <v>720</v>
      </c>
      <c r="B420" s="0" t="s">
        <v>379</v>
      </c>
      <c r="D420" s="21" t="n">
        <f aca="false">a26_abf-D418</f>
        <v>17.144127</v>
      </c>
      <c r="E420" s="21" t="n">
        <f aca="false">$D420*(1+g_nai)^1*E410</f>
        <v>19.6265965896</v>
      </c>
      <c r="F420" s="21" t="n">
        <f aca="false">$D420*(1+g_nai)^2*F410</f>
        <v>20.804192384976</v>
      </c>
      <c r="G420" s="21" t="n">
        <f aca="false">$D420*(1+g_nai)^3*G410</f>
        <v>22.0524439280746</v>
      </c>
      <c r="K420" s="3" t="s">
        <v>721</v>
      </c>
    </row>
    <row r="421" customFormat="false" ht="17.15" hidden="false" customHeight="false" outlineLevel="0" collapsed="false">
      <c r="A421" s="0" t="s">
        <v>722</v>
      </c>
      <c r="B421" s="0" t="s">
        <v>379</v>
      </c>
      <c r="D421" s="21" t="n">
        <f aca="false">D416+D419+D420</f>
        <v>22.858836</v>
      </c>
      <c r="E421" s="21" t="n">
        <f aca="false">E416+E419+E420</f>
        <v>36.2054131583487</v>
      </c>
      <c r="F421" s="21" t="n">
        <f aca="false">F416+F419+F420</f>
        <v>44.0187328426604</v>
      </c>
      <c r="G421" s="21" t="n">
        <f aca="false">G416+G419+G420</f>
        <v>51.3776146472167</v>
      </c>
    </row>
    <row r="422" customFormat="false" ht="17.15" hidden="false" customHeight="false" outlineLevel="0" collapsed="false">
      <c r="A422" s="0" t="s">
        <v>723</v>
      </c>
      <c r="B422" s="0" t="s">
        <v>379</v>
      </c>
      <c r="D422" s="21" t="n">
        <f aca="false">a26_abf</f>
        <v>22.858836</v>
      </c>
      <c r="E422" s="21" t="n">
        <f aca="false">$D421*cap_27*(1+g_mix)^1*E409*E410</f>
        <v>31.1063040288</v>
      </c>
      <c r="F422" s="21" t="n">
        <f aca="false">$D421*cap_28*(1+g_mix)^2*F409*F410</f>
        <v>38.78567283591</v>
      </c>
      <c r="G422" s="21" t="n">
        <f aca="false">$D421*cap_29*(1+g_mix)^3*G409*G410</f>
        <v>47.5838965160559</v>
      </c>
      <c r="K422" s="7" t="s">
        <v>724</v>
      </c>
    </row>
    <row r="423" customFormat="false" ht="17.15" hidden="false" customHeight="false" outlineLevel="0" collapsed="false">
      <c r="A423" s="0" t="s">
        <v>725</v>
      </c>
      <c r="B423" s="0" t="s">
        <v>379</v>
      </c>
      <c r="D423" s="21" t="n">
        <f aca="false">a26_abf</f>
        <v>22.858836</v>
      </c>
      <c r="E423" s="21" t="n">
        <f aca="false">MIN(E421,E422)</f>
        <v>31.1063040288</v>
      </c>
      <c r="F423" s="21" t="n">
        <f aca="false">MIN(F421,F422)</f>
        <v>38.78567283591</v>
      </c>
      <c r="G423" s="21" t="n">
        <f aca="false">MIN(G421,G422)</f>
        <v>47.5838965160559</v>
      </c>
    </row>
    <row r="424" customFormat="false" ht="17.15" hidden="false" customHeight="false" outlineLevel="0" collapsed="false">
      <c r="A424" s="3" t="s">
        <v>726</v>
      </c>
      <c r="B424" s="0" t="s">
        <v>43</v>
      </c>
      <c r="D424" s="20" t="n">
        <f aca="false">D423/D421</f>
        <v>1</v>
      </c>
      <c r="E424" s="20" t="n">
        <f aca="false">E423/E421</f>
        <v>0.85916169200315</v>
      </c>
      <c r="F424" s="20" t="n">
        <f aca="false">F423/F421</f>
        <v>0.881117431856676</v>
      </c>
      <c r="G424" s="20" t="n">
        <f aca="false">G423/G421</f>
        <v>0.926160096041627</v>
      </c>
    </row>
    <row r="425" customFormat="false" ht="17.15" hidden="false" customHeight="false" outlineLevel="0" collapsed="false">
      <c r="A425" s="0" t="s">
        <v>727</v>
      </c>
      <c r="B425" s="0" t="s">
        <v>379</v>
      </c>
      <c r="D425" s="21" t="n">
        <f aca="false">(D416+D419)*D424</f>
        <v>5.714709</v>
      </c>
      <c r="E425" s="21" t="n">
        <f aca="false">(E416+E419)*E424</f>
        <v>14.243884094616</v>
      </c>
      <c r="F425" s="21" t="n">
        <f aca="false">(F416+F419)*F424</f>
        <v>20.4547362698077</v>
      </c>
      <c r="G425" s="21" t="n">
        <f aca="false">(G416+G419)*G424</f>
        <v>27.1598029296778</v>
      </c>
    </row>
    <row r="426" customFormat="false" ht="17.15" hidden="false" customHeight="false" outlineLevel="0" collapsed="false">
      <c r="A426" s="3" t="s">
        <v>728</v>
      </c>
      <c r="B426" s="0" t="s">
        <v>43</v>
      </c>
      <c r="D426" s="20" t="n">
        <f aca="false">D416/(D416+D419)</f>
        <v>0.800318125775433</v>
      </c>
      <c r="E426" s="20" t="n">
        <f aca="false">E416/(E416+E419)</f>
        <v>0.896024374782173</v>
      </c>
      <c r="F426" s="20" t="n">
        <f aca="false">F416/(F416+F419)</f>
        <v>0.924114387791097</v>
      </c>
      <c r="G426" s="20" t="n">
        <f aca="false">G416/(G416+G419)</f>
        <v>0.939286657016792</v>
      </c>
    </row>
    <row r="427" customFormat="false" ht="17.15" hidden="false" customHeight="false" outlineLevel="0" collapsed="false">
      <c r="A427" s="5" t="s">
        <v>729</v>
      </c>
    </row>
    <row r="428" customFormat="false" ht="17.15" hidden="false" customHeight="false" outlineLevel="0" collapsed="false">
      <c r="A428" s="0" t="s">
        <v>730</v>
      </c>
      <c r="B428" s="0" t="s">
        <v>379</v>
      </c>
      <c r="D428" s="21" t="n">
        <f aca="false">a26_bt</f>
        <v>23.265964</v>
      </c>
      <c r="E428" s="21" t="n">
        <f aca="false">D428*(1+g_bt27_A)</f>
        <v>29.78043392</v>
      </c>
      <c r="F428" s="21" t="n">
        <f aca="false">E428*(1+g_bt28_A)</f>
        <v>32.758477312</v>
      </c>
      <c r="G428" s="21" t="n">
        <f aca="false">F428*(1+g_bt29_A)</f>
        <v>34.3964011776</v>
      </c>
      <c r="K428" s="7" t="s">
        <v>731</v>
      </c>
    </row>
    <row r="429" customFormat="false" ht="17.15" hidden="false" customHeight="false" outlineLevel="0" collapsed="false">
      <c r="A429" s="3" t="s">
        <v>616</v>
      </c>
      <c r="B429" s="0" t="s">
        <v>379</v>
      </c>
      <c r="C429" s="21" t="n">
        <f aca="false">a25_lens</f>
        <v>7.039</v>
      </c>
      <c r="D429" s="21" t="n">
        <f aca="false">a26_lens</f>
        <v>8.301</v>
      </c>
      <c r="E429" s="21" t="n">
        <f aca="false">D429*(1+g_lens)</f>
        <v>9.1311</v>
      </c>
      <c r="F429" s="21" t="n">
        <f aca="false">E429*(1+g_lens)</f>
        <v>10.04421</v>
      </c>
      <c r="G429" s="21" t="n">
        <f aca="false">F429*(1+g_lens)</f>
        <v>11.048631</v>
      </c>
      <c r="K429" s="3" t="s">
        <v>732</v>
      </c>
    </row>
    <row r="430" customFormat="false" ht="17.15" hidden="false" customHeight="false" outlineLevel="0" collapsed="false">
      <c r="A430" s="3" t="s">
        <v>573</v>
      </c>
      <c r="B430" s="0" t="s">
        <v>379</v>
      </c>
      <c r="C430" s="23" t="n">
        <f aca="false">a25_rev</f>
        <v>39.351</v>
      </c>
      <c r="D430" s="23" t="n">
        <f aca="false">D423+D428+D429</f>
        <v>54.4258</v>
      </c>
      <c r="E430" s="23" t="n">
        <f aca="false">E423+E428+E429</f>
        <v>70.0178379488</v>
      </c>
      <c r="F430" s="23" t="n">
        <f aca="false">F423+F428+F429</f>
        <v>81.58836014791</v>
      </c>
      <c r="G430" s="23" t="n">
        <f aca="false">G423+G428+G429</f>
        <v>93.0289286936559</v>
      </c>
      <c r="H430" s="25" t="n">
        <f aca="false">G430*(1+H431)</f>
        <v>103.586040560004</v>
      </c>
      <c r="I430" s="25" t="n">
        <f aca="false">H430*(1+I431)</f>
        <v>112.571198963493</v>
      </c>
      <c r="J430" s="25" t="n">
        <f aca="false">I430*(1+J431)</f>
        <v>119.325470901303</v>
      </c>
      <c r="K430" s="7" t="s">
        <v>733</v>
      </c>
    </row>
    <row r="431" customFormat="false" ht="15" hidden="false" customHeight="false" outlineLevel="0" collapsed="false">
      <c r="A431" s="3" t="s">
        <v>734</v>
      </c>
      <c r="B431" s="0" t="s">
        <v>43</v>
      </c>
      <c r="D431" s="20" t="n">
        <f aca="false">D430/C430-1</f>
        <v>0.383085563263958</v>
      </c>
      <c r="E431" s="20" t="n">
        <f aca="false">E430/D430-1</f>
        <v>0.286482476119782</v>
      </c>
      <c r="F431" s="20" t="n">
        <f aca="false">F430/E430-1</f>
        <v>0.165251063701379</v>
      </c>
      <c r="G431" s="20" t="n">
        <f aca="false">G430/F430-1</f>
        <v>0.140223048054962</v>
      </c>
      <c r="H431" s="26" t="n">
        <f aca="false">$G431+(fade_gA-$G431)*1/3</f>
        <v>0.113482032036641</v>
      </c>
      <c r="I431" s="26" t="n">
        <f aca="false">$G431+(fade_gA-$G431)*2/3</f>
        <v>0.0867410160183206</v>
      </c>
      <c r="J431" s="26" t="n">
        <f aca="false">$G431+(fade_gA-$G431)*3/3</f>
        <v>0.06</v>
      </c>
    </row>
    <row r="432" customFormat="false" ht="17.15" hidden="false" customHeight="false" outlineLevel="0" collapsed="false">
      <c r="A432" s="0" t="s">
        <v>735</v>
      </c>
      <c r="B432" s="0" t="s">
        <v>43</v>
      </c>
      <c r="D432" s="20" t="n">
        <f aca="false">D423/D430</f>
        <v>0.42</v>
      </c>
      <c r="E432" s="20" t="n">
        <f aca="false">E423/E430</f>
        <v>0.444262561371093</v>
      </c>
      <c r="F432" s="20" t="n">
        <f aca="false">F423/F430</f>
        <v>0.475382429130775</v>
      </c>
      <c r="G432" s="20" t="n">
        <f aca="false">G423/G430</f>
        <v>0.511495694771995</v>
      </c>
    </row>
    <row r="433" customFormat="false" ht="17.15" hidden="false" customHeight="false" outlineLevel="0" collapsed="false">
      <c r="A433" s="0" t="s">
        <v>736</v>
      </c>
      <c r="B433" s="0" t="s">
        <v>43</v>
      </c>
      <c r="D433" s="20" t="n">
        <f aca="false">D425/D430</f>
        <v>0.105</v>
      </c>
      <c r="E433" s="20" t="n">
        <f aca="false">E425/E430</f>
        <v>0.203432218301738</v>
      </c>
      <c r="F433" s="20" t="n">
        <f aca="false">F425/F430</f>
        <v>0.250706549717702</v>
      </c>
      <c r="G433" s="20" t="n">
        <f aca="false">G425/G430</f>
        <v>0.291950077369105</v>
      </c>
      <c r="K433" s="3" t="s">
        <v>737</v>
      </c>
    </row>
    <row r="434" customFormat="false" ht="17.15" hidden="false" customHeight="false" outlineLevel="0" collapsed="false">
      <c r="A434" s="5" t="s">
        <v>738</v>
      </c>
    </row>
    <row r="435" customFormat="false" ht="15" hidden="false" customHeight="false" outlineLevel="0" collapsed="false">
      <c r="A435" s="3" t="s">
        <v>739</v>
      </c>
      <c r="B435" s="0" t="s">
        <v>379</v>
      </c>
      <c r="C435" s="23" t="n">
        <f aca="false">a25_cx</f>
        <v>6.116</v>
      </c>
      <c r="D435" s="23" t="n">
        <f aca="false">capex26</f>
        <v>11</v>
      </c>
      <c r="E435" s="23" t="n">
        <f aca="false">cx27</f>
        <v>17</v>
      </c>
      <c r="F435" s="23" t="n">
        <f aca="false">cx28</f>
        <v>16</v>
      </c>
      <c r="G435" s="23" t="n">
        <f aca="false">cx29</f>
        <v>12</v>
      </c>
      <c r="H435" s="25" t="n">
        <f aca="false">H430*H454</f>
        <v>13.4608740222528</v>
      </c>
      <c r="I435" s="25" t="n">
        <f aca="false">I430*I454</f>
        <v>14.7361686851116</v>
      </c>
      <c r="J435" s="25" t="n">
        <f aca="false">J430*J454</f>
        <v>15.7344846663127</v>
      </c>
    </row>
    <row r="436" customFormat="false" ht="17.15" hidden="false" customHeight="false" outlineLevel="0" collapsed="false">
      <c r="A436" s="3" t="s">
        <v>740</v>
      </c>
      <c r="B436" s="0" t="s">
        <v>379</v>
      </c>
      <c r="C436" s="23" t="n">
        <f aca="false">a25_da</f>
        <v>7.158</v>
      </c>
      <c r="D436" s="23" t="n">
        <f aca="false">da26</f>
        <v>8.32</v>
      </c>
      <c r="E436" s="23" t="n">
        <f aca="false">D436*(1-1/life)+D435/life</f>
        <v>8.655</v>
      </c>
      <c r="F436" s="23" t="n">
        <f aca="false">E436*(1-1/life)+E435/life</f>
        <v>9.698125</v>
      </c>
      <c r="G436" s="23" t="n">
        <f aca="false">F436*(1-1/life)+F435/life</f>
        <v>10.485859375</v>
      </c>
      <c r="H436" s="25" t="n">
        <f aca="false">H430*H437</f>
        <v>11.6758160045255</v>
      </c>
      <c r="I436" s="25" t="n">
        <f aca="false">I430*I437</f>
        <v>12.688588147601</v>
      </c>
      <c r="J436" s="25" t="n">
        <f aca="false">J430*J437</f>
        <v>13.449903436457</v>
      </c>
      <c r="K436" s="3" t="s">
        <v>741</v>
      </c>
    </row>
    <row r="437" customFormat="false" ht="17.15" hidden="false" customHeight="false" outlineLevel="0" collapsed="false">
      <c r="A437" s="3" t="s">
        <v>742</v>
      </c>
      <c r="B437" s="0" t="s">
        <v>43</v>
      </c>
      <c r="C437" s="20" t="n">
        <f aca="false">C436/C430</f>
        <v>0.181901349393916</v>
      </c>
      <c r="D437" s="20" t="n">
        <f aca="false">D436/D430</f>
        <v>0.152868676252807</v>
      </c>
      <c r="E437" s="20" t="n">
        <f aca="false">E436/E430</f>
        <v>0.123611357527619</v>
      </c>
      <c r="F437" s="20" t="n">
        <f aca="false">F436/F430</f>
        <v>0.118866526823415</v>
      </c>
      <c r="G437" s="20" t="n">
        <f aca="false">G436/G430</f>
        <v>0.112716114462953</v>
      </c>
      <c r="H437" s="26" t="n">
        <f aca="false">$G437</f>
        <v>0.112716114462953</v>
      </c>
      <c r="I437" s="26" t="n">
        <f aca="false">$G437</f>
        <v>0.112716114462953</v>
      </c>
      <c r="J437" s="26" t="n">
        <f aca="false">$G437</f>
        <v>0.112716114462953</v>
      </c>
    </row>
    <row r="438" customFormat="false" ht="17.15" hidden="false" customHeight="false" outlineLevel="0" collapsed="false">
      <c r="A438" s="0" t="s">
        <v>743</v>
      </c>
      <c r="B438" s="0" t="s">
        <v>379</v>
      </c>
      <c r="E438" s="21" t="n">
        <f aca="false">E424*((E416+E419)*(1-1/(E409*E410))+E420*(1-1/E410))</f>
        <v>2.3041706688</v>
      </c>
      <c r="F438" s="21" t="n">
        <f aca="false">F424*((F416+F419)*(1-1/(F409*F410))+F420*(1-1/F410))</f>
        <v>1.87619329633409</v>
      </c>
      <c r="G438" s="21" t="n">
        <f aca="false">G424*((G416+G419)*(1-1/(G409*G410))+G420*(1-1/G410))</f>
        <v>0.73051466686034</v>
      </c>
      <c r="K438" s="7" t="s">
        <v>744</v>
      </c>
    </row>
    <row r="439" customFormat="false" ht="17.15" hidden="false" customHeight="false" outlineLevel="0" collapsed="false">
      <c r="A439" s="3" t="s">
        <v>745</v>
      </c>
      <c r="B439" s="0" t="s">
        <v>379</v>
      </c>
      <c r="C439" s="21" t="n">
        <f aca="false">a25_gp</f>
        <v>8.314</v>
      </c>
      <c r="D439" s="21" t="n">
        <f aca="false">a26_gp</f>
        <v>15.328536</v>
      </c>
      <c r="E439" s="21" t="n">
        <f aca="false">$D439+ft_abf*(E423-E438-$D423)+ft_bt*(E428-$D428)+ft_lens*(E429-$D429)+E438-(E436-$D436)</f>
        <v>23.5744118128</v>
      </c>
      <c r="F439" s="21" t="n">
        <f aca="false">$D439+ft_abf*(F423-F438-$D423)+ft_bt*(F428-$D428)+ft_lens*(F429-$D429)+F438-(F436-$D436)</f>
        <v>27.9080015565221</v>
      </c>
      <c r="G439" s="21" t="n">
        <f aca="false">$D439+ft_abf*(G423-G438-$D423)+ft_bt*(G428-$D428)+ft_lens*(G429-$D429)+G438-(G436-$D436)</f>
        <v>32.1355948963781</v>
      </c>
      <c r="K439" s="3" t="s">
        <v>746</v>
      </c>
    </row>
    <row r="440" customFormat="false" ht="15" hidden="false" customHeight="false" outlineLevel="0" collapsed="false">
      <c r="A440" s="3" t="s">
        <v>580</v>
      </c>
      <c r="B440" s="0" t="s">
        <v>43</v>
      </c>
      <c r="C440" s="16" t="n">
        <f aca="false">C439/C430</f>
        <v>0.211277985311682</v>
      </c>
      <c r="D440" s="16" t="n">
        <f aca="false">D439/D430</f>
        <v>0.281640986443929</v>
      </c>
      <c r="E440" s="16" t="n">
        <f aca="false">E439/E430</f>
        <v>0.336691513240363</v>
      </c>
      <c r="F440" s="16" t="n">
        <f aca="false">F439/F430</f>
        <v>0.342058616032093</v>
      </c>
      <c r="G440" s="16" t="n">
        <f aca="false">G439/G430</f>
        <v>0.345436579219359</v>
      </c>
    </row>
    <row r="441" customFormat="false" ht="15" hidden="false" customHeight="false" outlineLevel="0" collapsed="false">
      <c r="A441" s="3" t="s">
        <v>582</v>
      </c>
      <c r="B441" s="0" t="s">
        <v>379</v>
      </c>
      <c r="C441" s="21" t="n">
        <f aca="false">a25_opx</f>
        <v>5.644</v>
      </c>
      <c r="D441" s="21" t="n">
        <f aca="false">a26_opx</f>
        <v>6.54036</v>
      </c>
      <c r="E441" s="21" t="n">
        <f aca="false">D441*(1+phi*E431)</f>
        <v>7.66457911650887</v>
      </c>
      <c r="F441" s="21" t="n">
        <f aca="false">E441*(1+phi*F431)</f>
        <v>8.42452702760475</v>
      </c>
      <c r="G441" s="21" t="n">
        <f aca="false">F441*(1+phi*G431)</f>
        <v>9.13331474254403</v>
      </c>
    </row>
    <row r="442" customFormat="false" ht="15" hidden="false" customHeight="false" outlineLevel="0" collapsed="false">
      <c r="A442" s="3" t="s">
        <v>585</v>
      </c>
      <c r="B442" s="0" t="s">
        <v>379</v>
      </c>
      <c r="C442" s="21" t="n">
        <f aca="false">C439-C441</f>
        <v>2.67</v>
      </c>
      <c r="D442" s="21" t="n">
        <f aca="false">D439-D441</f>
        <v>8.788176</v>
      </c>
      <c r="E442" s="21" t="n">
        <f aca="false">E439-E441</f>
        <v>15.9098326962911</v>
      </c>
      <c r="F442" s="21" t="n">
        <f aca="false">F439-F441</f>
        <v>19.4834745289173</v>
      </c>
      <c r="G442" s="21" t="n">
        <f aca="false">G439-G441</f>
        <v>23.0022801538341</v>
      </c>
    </row>
    <row r="443" customFormat="false" ht="15" hidden="false" customHeight="false" outlineLevel="0" collapsed="false">
      <c r="A443" s="3" t="s">
        <v>683</v>
      </c>
      <c r="B443" s="0" t="s">
        <v>43</v>
      </c>
      <c r="C443" s="16" t="n">
        <f aca="false">C442/C430</f>
        <v>0.0678508805367081</v>
      </c>
      <c r="D443" s="16" t="n">
        <f aca="false">D442/D430</f>
        <v>0.161470773052486</v>
      </c>
      <c r="E443" s="16" t="n">
        <f aca="false">E442/E430</f>
        <v>0.227225420869537</v>
      </c>
      <c r="F443" s="16" t="n">
        <f aca="false">F442/F430</f>
        <v>0.238802134196546</v>
      </c>
      <c r="G443" s="16" t="n">
        <f aca="false">G442/G430</f>
        <v>0.24725943291877</v>
      </c>
    </row>
    <row r="444" customFormat="false" ht="15" hidden="false" customHeight="false" outlineLevel="0" collapsed="false">
      <c r="A444" s="3" t="s">
        <v>588</v>
      </c>
      <c r="B444" s="0" t="s">
        <v>379</v>
      </c>
      <c r="C444" s="21" t="n">
        <f aca="false">a25_nonop</f>
        <v>0.417</v>
      </c>
      <c r="D444" s="21" t="n">
        <f aca="false">a26_nonop</f>
        <v>0.37882</v>
      </c>
      <c r="E444" s="21" t="n">
        <f aca="false">nonop27</f>
        <v>0.4</v>
      </c>
      <c r="F444" s="21" t="n">
        <f aca="false">nonop28</f>
        <v>0.4</v>
      </c>
      <c r="G444" s="21" t="n">
        <f aca="false">nonop29</f>
        <v>0.4</v>
      </c>
    </row>
    <row r="445" customFormat="false" ht="15" hidden="false" customHeight="false" outlineLevel="0" collapsed="false">
      <c r="A445" s="3" t="s">
        <v>590</v>
      </c>
      <c r="B445" s="0" t="s">
        <v>379</v>
      </c>
      <c r="C445" s="21" t="n">
        <f aca="false">C442+C444</f>
        <v>3.087</v>
      </c>
      <c r="D445" s="21" t="n">
        <f aca="false">D442+D444</f>
        <v>9.166996</v>
      </c>
      <c r="E445" s="21" t="n">
        <f aca="false">E442+E444</f>
        <v>16.3098326962911</v>
      </c>
      <c r="F445" s="21" t="n">
        <f aca="false">F442+F444</f>
        <v>19.8834745289173</v>
      </c>
      <c r="G445" s="21" t="n">
        <f aca="false">G442+G444</f>
        <v>23.4022801538341</v>
      </c>
    </row>
    <row r="446" customFormat="false" ht="15" hidden="false" customHeight="false" outlineLevel="0" collapsed="false">
      <c r="A446" s="3" t="s">
        <v>591</v>
      </c>
      <c r="B446" s="0" t="s">
        <v>379</v>
      </c>
      <c r="E446" s="21" t="n">
        <f aca="false">E445*tax</f>
        <v>1.95717992355494</v>
      </c>
      <c r="F446" s="21" t="n">
        <f aca="false">F445*tax</f>
        <v>2.38601694347008</v>
      </c>
      <c r="G446" s="21" t="n">
        <f aca="false">G445*tax</f>
        <v>2.80827361846009</v>
      </c>
    </row>
    <row r="447" customFormat="false" ht="15" hidden="false" customHeight="false" outlineLevel="0" collapsed="false">
      <c r="A447" s="3" t="s">
        <v>592</v>
      </c>
      <c r="B447" s="0" t="s">
        <v>379</v>
      </c>
      <c r="C447" s="21" t="n">
        <f aca="false">a25_nic</f>
        <v>2.71712</v>
      </c>
      <c r="D447" s="21" t="n">
        <f aca="false">a26_nic</f>
        <v>8.39979776</v>
      </c>
      <c r="E447" s="21" t="n">
        <f aca="false">E445-E446</f>
        <v>14.3526527727362</v>
      </c>
      <c r="F447" s="21" t="n">
        <f aca="false">F445-F446</f>
        <v>17.4974575854472</v>
      </c>
      <c r="G447" s="21" t="n">
        <f aca="false">G445-G446</f>
        <v>20.594006535374</v>
      </c>
    </row>
    <row r="448" customFormat="false" ht="17.15" hidden="false" customHeight="false" outlineLevel="0" collapsed="false">
      <c r="A448" s="3" t="s">
        <v>747</v>
      </c>
      <c r="B448" s="0" t="s">
        <v>379</v>
      </c>
      <c r="C448" s="21" t="n">
        <f aca="false">a25_nci</f>
        <v>1.12112</v>
      </c>
      <c r="D448" s="21" t="n">
        <f aca="false">a26_nci</f>
        <v>1.43839238487797</v>
      </c>
      <c r="E448" s="21" t="n">
        <f aca="false">E429*nm_lens*nci_sh</f>
        <v>1.57074538036261</v>
      </c>
      <c r="F448" s="21" t="n">
        <f aca="false">F429*nm_lens*nci_sh</f>
        <v>1.72781991839887</v>
      </c>
      <c r="G448" s="21" t="n">
        <f aca="false">G429*nm_lens*nci_sh</f>
        <v>1.90060191023875</v>
      </c>
      <c r="K448" s="3" t="s">
        <v>748</v>
      </c>
    </row>
    <row r="449" customFormat="false" ht="15" hidden="false" customHeight="false" outlineLevel="0" collapsed="false">
      <c r="A449" s="3" t="s">
        <v>598</v>
      </c>
      <c r="B449" s="0" t="s">
        <v>379</v>
      </c>
      <c r="C449" s="21" t="n">
        <f aca="false">a25_ni</f>
        <v>1.596</v>
      </c>
      <c r="D449" s="21" t="n">
        <f aca="false">a26_ni</f>
        <v>6.96140537512203</v>
      </c>
      <c r="E449" s="21" t="n">
        <f aca="false">E447-E448</f>
        <v>12.7819073923736</v>
      </c>
      <c r="F449" s="21" t="n">
        <f aca="false">F447-F448</f>
        <v>15.7696376670484</v>
      </c>
      <c r="G449" s="21" t="n">
        <f aca="false">G447-G448</f>
        <v>18.6934046251352</v>
      </c>
      <c r="H449" s="30" t="n">
        <f aca="false">H430*H453</f>
        <v>21.5044990650852</v>
      </c>
      <c r="I449" s="30" t="n">
        <f aca="false">I430*I453</f>
        <v>24.1193778457005</v>
      </c>
      <c r="J449" s="30" t="n">
        <f aca="false">J430*J453</f>
        <v>26.361070600152</v>
      </c>
    </row>
    <row r="450" customFormat="false" ht="15" hidden="false" customHeight="false" outlineLevel="0" collapsed="false">
      <c r="A450" s="3" t="s">
        <v>749</v>
      </c>
      <c r="B450" s="3" t="s">
        <v>465</v>
      </c>
      <c r="C450" s="29" t="n">
        <f aca="false">a25_sh</f>
        <v>0.454700854700855</v>
      </c>
      <c r="D450" s="29" t="n">
        <f aca="false">a26_sh</f>
        <v>0.508341020486215</v>
      </c>
      <c r="E450" s="29" t="n">
        <f aca="false">a26_shend*(1+sh_g)</f>
        <v>0.52691</v>
      </c>
      <c r="F450" s="29" t="n">
        <f aca="false">E450*(1+sh_g)</f>
        <v>0.52691</v>
      </c>
      <c r="G450" s="29" t="n">
        <f aca="false">F450*(1+sh_g)</f>
        <v>0.52691</v>
      </c>
      <c r="H450" s="31" t="n">
        <f aca="false">G450*(1+sh_g)</f>
        <v>0.52691</v>
      </c>
      <c r="I450" s="31" t="n">
        <f aca="false">H450*(1+sh_g)</f>
        <v>0.52691</v>
      </c>
      <c r="J450" s="31" t="n">
        <f aca="false">I450*(1+sh_g)</f>
        <v>0.52691</v>
      </c>
    </row>
    <row r="451" customFormat="false" ht="17.15" hidden="false" customHeight="false" outlineLevel="0" collapsed="false">
      <c r="A451" s="0" t="s">
        <v>603</v>
      </c>
      <c r="B451" s="0" t="s">
        <v>471</v>
      </c>
      <c r="C451" s="18" t="n">
        <f aca="false">C449/C450</f>
        <v>3.51</v>
      </c>
      <c r="D451" s="18" t="n">
        <f aca="false">D449/D450</f>
        <v>13.6943608612652</v>
      </c>
      <c r="E451" s="18" t="n">
        <f aca="false">E449/E450</f>
        <v>24.2582364965053</v>
      </c>
      <c r="F451" s="18" t="n">
        <f aca="false">F449/F450</f>
        <v>29.9285222657538</v>
      </c>
      <c r="G451" s="18" t="n">
        <f aca="false">G449/G450</f>
        <v>35.477414786463</v>
      </c>
      <c r="H451" s="28" t="n">
        <f aca="false">H449/H450</f>
        <v>40.8124709439662</v>
      </c>
      <c r="I451" s="28" t="n">
        <f aca="false">I449/I450</f>
        <v>45.7751377762815</v>
      </c>
      <c r="J451" s="28" t="n">
        <f aca="false">J449/J450</f>
        <v>50.029550777461</v>
      </c>
    </row>
    <row r="452" customFormat="false" ht="17.15" hidden="false" customHeight="false" outlineLevel="0" collapsed="false">
      <c r="A452" s="0" t="s">
        <v>750</v>
      </c>
      <c r="B452" s="0" t="s">
        <v>43</v>
      </c>
      <c r="D452" s="20" t="n">
        <f aca="false">D451/C451-1</f>
        <v>2.90152731090177</v>
      </c>
      <c r="E452" s="20" t="n">
        <f aca="false">E451/D451-1</f>
        <v>0.771403334720078</v>
      </c>
      <c r="F452" s="20" t="n">
        <f aca="false">F451/E451-1</f>
        <v>0.23374682533355</v>
      </c>
      <c r="G452" s="20" t="n">
        <f aca="false">G451/F451-1</f>
        <v>0.185404827924251</v>
      </c>
      <c r="H452" s="26" t="n">
        <f aca="false">H451/G451-1</f>
        <v>0.150378943607211</v>
      </c>
      <c r="I452" s="26" t="n">
        <f aca="false">I451/H451-1</f>
        <v>0.121596823655417</v>
      </c>
      <c r="J452" s="26" t="n">
        <f aca="false">J451/I451-1</f>
        <v>0.0929415662705853</v>
      </c>
    </row>
    <row r="453" customFormat="false" ht="17.15" hidden="false" customHeight="false" outlineLevel="0" collapsed="false">
      <c r="A453" s="3" t="s">
        <v>751</v>
      </c>
      <c r="B453" s="0" t="s">
        <v>43</v>
      </c>
      <c r="C453" s="16" t="n">
        <f aca="false">C449/C430</f>
        <v>0.0405580544331783</v>
      </c>
      <c r="D453" s="16" t="n">
        <f aca="false">D449/D430</f>
        <v>0.127906349105057</v>
      </c>
      <c r="E453" s="16" t="n">
        <f aca="false">E449/E430</f>
        <v>0.182552157661884</v>
      </c>
      <c r="F453" s="16" t="n">
        <f aca="false">F449/F430</f>
        <v>0.193282934458541</v>
      </c>
      <c r="G453" s="16" t="n">
        <f aca="false">G449/G430</f>
        <v>0.200941845591844</v>
      </c>
      <c r="H453" s="27" t="n">
        <f aca="false">$G453+(fade_mA-$G453)*1/3</f>
        <v>0.207600357623752</v>
      </c>
      <c r="I453" s="27" t="n">
        <f aca="false">$G453+(fade_mA-$G453)*2/3</f>
        <v>0.21425886965566</v>
      </c>
      <c r="J453" s="27" t="n">
        <f aca="false">$G453+(fade_mA-$G453)*3/3</f>
        <v>0.220917381687568</v>
      </c>
    </row>
    <row r="454" customFormat="false" ht="17.15" hidden="false" customHeight="false" outlineLevel="0" collapsed="false">
      <c r="A454" s="3" t="s">
        <v>752</v>
      </c>
      <c r="B454" s="0" t="s">
        <v>43</v>
      </c>
      <c r="C454" s="20" t="n">
        <f aca="false">C435/C430</f>
        <v>0.155421717364235</v>
      </c>
      <c r="D454" s="20" t="n">
        <f aca="false">D435/D430</f>
        <v>0.202110028699624</v>
      </c>
      <c r="E454" s="20" t="n">
        <f aca="false">E435/E430</f>
        <v>0.242795271862452</v>
      </c>
      <c r="F454" s="20" t="n">
        <f aca="false">F435/F430</f>
        <v>0.196106405018975</v>
      </c>
      <c r="G454" s="20" t="n">
        <f aca="false">G435/G430</f>
        <v>0.128992133613792</v>
      </c>
      <c r="H454" s="26" t="n">
        <f aca="false">$G454+($G437*(1+tp_g)^(life/2)-$G454)*1/3</f>
        <v>0.129948726194003</v>
      </c>
      <c r="I454" s="26" t="n">
        <f aca="false">$G454+($G437*(1+tp_g)^(life/2)-$G454)*2/3</f>
        <v>0.130905318774214</v>
      </c>
      <c r="J454" s="26" t="n">
        <f aca="false">$G454+($G437*(1+tp_g)^(life/2)-$G454)*3/3</f>
        <v>0.131861911354425</v>
      </c>
      <c r="K454" s="7" t="s">
        <v>753</v>
      </c>
    </row>
    <row r="455" customFormat="false" ht="15" hidden="false" customHeight="false" outlineLevel="0" collapsed="false">
      <c r="A455" s="3" t="s">
        <v>754</v>
      </c>
      <c r="B455" s="0" t="s">
        <v>379</v>
      </c>
      <c r="D455" s="21" t="n">
        <f aca="false">D449+D436-D435</f>
        <v>4.28140537512203</v>
      </c>
      <c r="E455" s="21" t="n">
        <f aca="false">E449+E436-E435</f>
        <v>4.4369073923736</v>
      </c>
      <c r="F455" s="21" t="n">
        <f aca="false">F449+F436-F435</f>
        <v>9.46776266704836</v>
      </c>
      <c r="G455" s="21" t="n">
        <f aca="false">G449+G436-G435</f>
        <v>17.1792640001352</v>
      </c>
      <c r="H455" s="30" t="n">
        <f aca="false">H449+H436-H435</f>
        <v>19.7194410473579</v>
      </c>
      <c r="I455" s="30" t="n">
        <f aca="false">I449+I436-I435</f>
        <v>22.0717973081899</v>
      </c>
      <c r="J455" s="30" t="n">
        <f aca="false">J449+J436-J435</f>
        <v>24.0764893702963</v>
      </c>
      <c r="K455" s="3" t="s">
        <v>755</v>
      </c>
    </row>
    <row r="456" customFormat="false" ht="15" hidden="false" customHeight="false" outlineLevel="0" collapsed="false">
      <c r="A456" s="3" t="s">
        <v>756</v>
      </c>
      <c r="B456" s="0" t="s">
        <v>471</v>
      </c>
      <c r="D456" s="18" t="n">
        <f aca="false">D455/D450</f>
        <v>8.42230943909854</v>
      </c>
      <c r="E456" s="18" t="n">
        <f aca="false">E455/E450</f>
        <v>8.42061716872635</v>
      </c>
      <c r="F456" s="18" t="n">
        <f aca="false">F455/F450</f>
        <v>17.968462673034</v>
      </c>
      <c r="G456" s="18" t="n">
        <f aca="false">G455/G450</f>
        <v>32.6037919191802</v>
      </c>
      <c r="H456" s="28" t="n">
        <f aca="false">H455/H450</f>
        <v>37.4246855200278</v>
      </c>
      <c r="I456" s="28" t="n">
        <f aca="false">I455/I450</f>
        <v>41.8891220667474</v>
      </c>
      <c r="J456" s="28" t="n">
        <f aca="false">J455/J450</f>
        <v>45.6937415693312</v>
      </c>
    </row>
    <row r="459" customFormat="false" ht="17.15" hidden="false" customHeight="false" outlineLevel="0" collapsed="false">
      <c r="A459" s="1" t="s">
        <v>1097</v>
      </c>
    </row>
    <row r="460" customFormat="false" ht="17.15" hidden="false" customHeight="false" outlineLevel="0" collapsed="false">
      <c r="A460" s="4" t="s">
        <v>20</v>
      </c>
      <c r="B460" s="4" t="s">
        <v>21</v>
      </c>
      <c r="C460" s="13" t="s">
        <v>566</v>
      </c>
      <c r="D460" s="13" t="s">
        <v>670</v>
      </c>
      <c r="E460" s="13" t="s">
        <v>671</v>
      </c>
      <c r="F460" s="13" t="s">
        <v>672</v>
      </c>
      <c r="G460" s="13" t="s">
        <v>673</v>
      </c>
      <c r="H460" s="13" t="s">
        <v>674</v>
      </c>
      <c r="I460" s="13" t="s">
        <v>675</v>
      </c>
      <c r="J460" s="13" t="s">
        <v>676</v>
      </c>
      <c r="K460" s="4" t="s">
        <v>630</v>
      </c>
    </row>
    <row r="461" customFormat="false" ht="17.15" hidden="false" customHeight="false" outlineLevel="0" collapsed="false">
      <c r="A461" s="5" t="s">
        <v>694</v>
      </c>
    </row>
    <row r="462" customFormat="false" ht="17.15" hidden="false" customHeight="false" outlineLevel="0" collapsed="false">
      <c r="A462" s="0" t="s">
        <v>695</v>
      </c>
      <c r="B462" s="3" t="s">
        <v>31</v>
      </c>
      <c r="D462" s="21" t="n">
        <f aca="false">(u_bw_26+u_rb_26+u_ru_26+u_hp_26)*1</f>
        <v>7.6</v>
      </c>
      <c r="E462" s="21" t="n">
        <f aca="false">(u_bw_27+u_rb_27+u_ru_27+u_hp_27)*1*1</f>
        <v>9.7</v>
      </c>
      <c r="F462" s="21" t="n">
        <f aca="false">(u_bw_28+u_rb_28+u_ru_28+u_hp_28)*um28_A*1</f>
        <v>9.5</v>
      </c>
      <c r="G462" s="21" t="n">
        <f aca="false">(u_bw_28*(1+g29_bw)+u_rb_28*(1+g29_rb)+u_ru_28*(1+g29_ru)+u_hp_28*(1+g29_hp))*um29_A*1</f>
        <v>10.6</v>
      </c>
      <c r="K462" s="7" t="s">
        <v>696</v>
      </c>
    </row>
    <row r="463" customFormat="false" ht="17.15" hidden="false" customHeight="false" outlineLevel="0" collapsed="false">
      <c r="A463" s="3" t="s">
        <v>697</v>
      </c>
      <c r="B463" s="3" t="s">
        <v>31</v>
      </c>
      <c r="D463" s="21" t="n">
        <f aca="false">(u_amd_26+u_tpu_26+u_trn_26+u_oth_26)*1</f>
        <v>7.6</v>
      </c>
      <c r="E463" s="21" t="n">
        <f aca="false">(u_amd_27+u_tpu_27+u_trn_27+u_oth_27)*1*1</f>
        <v>14</v>
      </c>
      <c r="F463" s="21" t="n">
        <f aca="false">(u_amd_28+u_tpu_28+u_trn_28+u_oth_28)*um28_A*1</f>
        <v>17</v>
      </c>
      <c r="G463" s="21" t="n">
        <f aca="false">(u_amd_28*(1+g29_amd)+u_tpu_28*(1+g29_tpu)+u_trn_28*(1+g29_trn)+u_oth_28*(1+g29_oth))*um29_A*1</f>
        <v>19.55</v>
      </c>
      <c r="K463" s="7" t="s">
        <v>698</v>
      </c>
    </row>
    <row r="464" customFormat="false" ht="17.15" hidden="false" customHeight="false" outlineLevel="0" collapsed="false">
      <c r="A464" s="0" t="s">
        <v>699</v>
      </c>
      <c r="B464" s="3" t="s">
        <v>31</v>
      </c>
      <c r="D464" s="21" t="n">
        <f aca="false">D462*cpu_r</f>
        <v>3.04</v>
      </c>
      <c r="E464" s="21" t="n">
        <f aca="false">E462*cpu_r</f>
        <v>3.88</v>
      </c>
      <c r="F464" s="21" t="n">
        <f aca="false">F462*cpu_r</f>
        <v>3.8</v>
      </c>
      <c r="G464" s="21" t="n">
        <f aca="false">G462*cpu_r</f>
        <v>4.24</v>
      </c>
      <c r="K464" s="7" t="s">
        <v>700</v>
      </c>
    </row>
    <row r="465" customFormat="false" ht="17.15" hidden="false" customHeight="false" outlineLevel="0" collapsed="false">
      <c r="A465" s="3" t="s">
        <v>701</v>
      </c>
      <c r="B465" s="0" t="s">
        <v>153</v>
      </c>
      <c r="D465" s="19" t="n">
        <f aca="false">1</f>
        <v>1</v>
      </c>
      <c r="E465" s="19" t="n">
        <f aca="false">D465*(1+g_asp)</f>
        <v>1.18</v>
      </c>
      <c r="F465" s="19" t="n">
        <f aca="false">E465*(1+g_asp)</f>
        <v>1.3924</v>
      </c>
      <c r="G465" s="19" t="n">
        <f aca="false">F465*(1+g_asp)</f>
        <v>1.643032</v>
      </c>
      <c r="K465" s="7" t="s">
        <v>702</v>
      </c>
    </row>
    <row r="466" customFormat="false" ht="17.15" hidden="false" customHeight="false" outlineLevel="0" collapsed="false">
      <c r="A466" s="0" t="s">
        <v>703</v>
      </c>
      <c r="B466" s="0" t="s">
        <v>153</v>
      </c>
      <c r="D466" s="18" t="n">
        <f aca="false">1</f>
        <v>1</v>
      </c>
      <c r="E466" s="18" t="n">
        <f aca="false">ibpp_27</f>
        <v>1</v>
      </c>
      <c r="F466" s="18" t="n">
        <f aca="false">ibpp_28</f>
        <v>0.95</v>
      </c>
      <c r="G466" s="18" t="n">
        <f aca="false">ibpp_29</f>
        <v>0.9</v>
      </c>
      <c r="K466" s="7" t="s">
        <v>704</v>
      </c>
    </row>
    <row r="467" customFormat="false" ht="17.15" hidden="false" customHeight="false" outlineLevel="0" collapsed="false">
      <c r="A467" s="3" t="s">
        <v>705</v>
      </c>
      <c r="B467" s="0" t="s">
        <v>153</v>
      </c>
      <c r="D467" s="18" t="n">
        <f aca="false">1</f>
        <v>1</v>
      </c>
      <c r="E467" s="18" t="n">
        <f aca="false">1+carry_hi</f>
        <v>1.22</v>
      </c>
      <c r="F467" s="18" t="n">
        <f aca="false">1+carry_hi</f>
        <v>1.22</v>
      </c>
      <c r="G467" s="18" t="n">
        <f aca="false">1+carry_hi</f>
        <v>1.22</v>
      </c>
      <c r="K467" s="7" t="s">
        <v>706</v>
      </c>
    </row>
    <row r="468" customFormat="false" ht="17.15" hidden="false" customHeight="false" outlineLevel="0" collapsed="false">
      <c r="A468" s="3" t="s">
        <v>707</v>
      </c>
      <c r="B468" s="0" t="s">
        <v>708</v>
      </c>
      <c r="D468" s="23" t="n">
        <f aca="false">v26*D465*D466</f>
        <v>215.308596</v>
      </c>
      <c r="E468" s="23" t="n">
        <f aca="false">v26*E465*E466</f>
        <v>254.06414328</v>
      </c>
      <c r="F468" s="23" t="n">
        <f aca="false">v26*F465*F466</f>
        <v>284.80590461688</v>
      </c>
      <c r="G468" s="23" t="n">
        <f aca="false">v26*G465*G466</f>
        <v>318.383021792765</v>
      </c>
      <c r="K468" s="7" t="s">
        <v>709</v>
      </c>
    </row>
    <row r="469" customFormat="false" ht="17.15" hidden="false" customHeight="false" outlineLevel="0" collapsed="false">
      <c r="A469" s="3" t="s">
        <v>710</v>
      </c>
      <c r="B469" s="0" t="s">
        <v>43</v>
      </c>
      <c r="D469" s="20" t="n">
        <f aca="false">sh_nv_26</f>
        <v>0.02</v>
      </c>
      <c r="E469" s="20" t="n">
        <f aca="false">sh_nv_27</f>
        <v>0.03</v>
      </c>
      <c r="F469" s="20" t="n">
        <f aca="false">sh_nv_28</f>
        <v>0.05</v>
      </c>
      <c r="G469" s="20" t="n">
        <f aca="false">sh_nv_29</f>
        <v>0.06</v>
      </c>
    </row>
    <row r="470" customFormat="false" ht="17.15" hidden="false" customHeight="false" outlineLevel="0" collapsed="false">
      <c r="A470" s="3" t="s">
        <v>711</v>
      </c>
      <c r="B470" s="0" t="s">
        <v>43</v>
      </c>
      <c r="D470" s="20" t="n">
        <f aca="false">sh_ot_26</f>
        <v>0.03</v>
      </c>
      <c r="E470" s="20" t="n">
        <f aca="false">sh_ot_27</f>
        <v>0.05</v>
      </c>
      <c r="F470" s="20" t="n">
        <f aca="false">sh_ot_28</f>
        <v>0.06</v>
      </c>
      <c r="G470" s="20" t="n">
        <f aca="false">sh_ot_29</f>
        <v>0.06</v>
      </c>
    </row>
    <row r="471" customFormat="false" ht="17.15" hidden="false" customHeight="false" outlineLevel="0" collapsed="false">
      <c r="A471" s="3" t="s">
        <v>712</v>
      </c>
      <c r="B471" s="0" t="s">
        <v>43</v>
      </c>
      <c r="D471" s="20" t="n">
        <f aca="false">sh_cpu_26</f>
        <v>0.35</v>
      </c>
      <c r="E471" s="20" t="n">
        <f aca="false">sh_cpu_27</f>
        <v>0.7</v>
      </c>
      <c r="F471" s="20" t="n">
        <f aca="false">sh_cpu_28</f>
        <v>0.75</v>
      </c>
      <c r="G471" s="20" t="n">
        <f aca="false">sh_cpu_29</f>
        <v>0.7</v>
      </c>
    </row>
    <row r="472" customFormat="false" ht="17.15" hidden="false" customHeight="false" outlineLevel="0" collapsed="false">
      <c r="A472" s="3" t="s">
        <v>713</v>
      </c>
      <c r="B472" s="0" t="s">
        <v>660</v>
      </c>
      <c r="D472" s="22" t="n">
        <f aca="false">(D462*D468*D469+D463*D468*v_ot*D470+D464*D468*v_cpu*D471)*D467</f>
        <v>140.7256983456</v>
      </c>
      <c r="E472" s="22" t="n">
        <f aca="false">(E462*E468*E469+E463*E468*v_ot*E470+E464*E468*v_cpu*E471)*E467</f>
        <v>516.328460848505</v>
      </c>
      <c r="F472" s="22" t="n">
        <f aca="false">(F462*F468*F469+F463*F468*v_ot*F470+F464*F468*v_cpu*F471)*F467</f>
        <v>745.656034995546</v>
      </c>
      <c r="G472" s="22" t="n">
        <f aca="false">(G462*G468*G469+G463*G468*v_ot*G470+G464*G468*v_cpu*G471)*G467</f>
        <v>957.395575980064</v>
      </c>
    </row>
    <row r="473" customFormat="false" ht="17.15" hidden="false" customHeight="false" outlineLevel="0" collapsed="false">
      <c r="A473" s="3" t="s">
        <v>714</v>
      </c>
      <c r="B473" s="0" t="s">
        <v>379</v>
      </c>
      <c r="D473" s="21" t="n">
        <f aca="false">D472*fx/1000</f>
        <v>4.573585196232</v>
      </c>
      <c r="E473" s="21" t="n">
        <f aca="false">E472*fx/1000</f>
        <v>16.7806749775764</v>
      </c>
      <c r="F473" s="21" t="n">
        <f aca="false">F472*fx/1000</f>
        <v>24.2338211373552</v>
      </c>
      <c r="G473" s="21" t="n">
        <f aca="false">G472*fx/1000</f>
        <v>31.1153562193521</v>
      </c>
    </row>
    <row r="474" customFormat="false" ht="17.15" hidden="false" customHeight="false" outlineLevel="0" collapsed="false">
      <c r="A474" s="5" t="s">
        <v>715</v>
      </c>
    </row>
    <row r="475" customFormat="false" ht="17.15" hidden="false" customHeight="false" outlineLevel="0" collapsed="false">
      <c r="A475" s="0" t="s">
        <v>716</v>
      </c>
      <c r="B475" s="0" t="s">
        <v>379</v>
      </c>
      <c r="D475" s="21" t="n">
        <f aca="false">a26_abf*ai_abf</f>
        <v>5.714709</v>
      </c>
      <c r="K475" s="3" t="s">
        <v>717</v>
      </c>
    </row>
    <row r="476" customFormat="false" ht="17.15" hidden="false" customHeight="false" outlineLevel="0" collapsed="false">
      <c r="A476" s="3" t="s">
        <v>718</v>
      </c>
      <c r="B476" s="0" t="s">
        <v>379</v>
      </c>
      <c r="D476" s="21" t="n">
        <f aca="false">D475-D473</f>
        <v>1.141123803768</v>
      </c>
      <c r="E476" s="21" t="n">
        <f aca="false">$D476*(swm_27/swm_26)^el_o*1*1*E466*E467</f>
        <v>1.94724744267678</v>
      </c>
      <c r="F476" s="21" t="n">
        <f aca="false">$D476*(swm_28/swm_26)^el_o*um28_A*1*F466*F467</f>
        <v>1.9900116018808</v>
      </c>
      <c r="G476" s="21" t="n">
        <f aca="false">$D476*(swm_29/swm_26)^el_o*um29_A*1*G466*G467</f>
        <v>2.01122551893809</v>
      </c>
      <c r="K476" s="7" t="s">
        <v>719</v>
      </c>
    </row>
    <row r="477" customFormat="false" ht="17.15" hidden="false" customHeight="false" outlineLevel="0" collapsed="false">
      <c r="A477" s="3" t="s">
        <v>720</v>
      </c>
      <c r="B477" s="0" t="s">
        <v>379</v>
      </c>
      <c r="D477" s="21" t="n">
        <f aca="false">a26_abf-D475</f>
        <v>17.144127</v>
      </c>
      <c r="E477" s="21" t="n">
        <f aca="false">$D477*(1+g_nai)^1*E467</f>
        <v>22.1707850364</v>
      </c>
      <c r="F477" s="21" t="n">
        <f aca="false">$D477*(1+g_nai)^2*F467</f>
        <v>23.501032138584</v>
      </c>
      <c r="G477" s="21" t="n">
        <f aca="false">$D477*(1+g_nai)^3*G467</f>
        <v>24.911094066899</v>
      </c>
      <c r="K477" s="3" t="s">
        <v>721</v>
      </c>
    </row>
    <row r="478" customFormat="false" ht="17.15" hidden="false" customHeight="false" outlineLevel="0" collapsed="false">
      <c r="A478" s="0" t="s">
        <v>722</v>
      </c>
      <c r="B478" s="0" t="s">
        <v>379</v>
      </c>
      <c r="D478" s="21" t="n">
        <f aca="false">D473+D476+D477</f>
        <v>22.858836</v>
      </c>
      <c r="E478" s="21" t="n">
        <f aca="false">E473+E476+E477</f>
        <v>40.8987074566532</v>
      </c>
      <c r="F478" s="21" t="n">
        <f aca="false">F473+F476+F477</f>
        <v>49.72486487782</v>
      </c>
      <c r="G478" s="21" t="n">
        <f aca="false">G473+G476+G477</f>
        <v>58.0376758051892</v>
      </c>
    </row>
    <row r="479" customFormat="false" ht="17.15" hidden="false" customHeight="false" outlineLevel="0" collapsed="false">
      <c r="A479" s="0" t="s">
        <v>723</v>
      </c>
      <c r="B479" s="0" t="s">
        <v>379</v>
      </c>
      <c r="D479" s="21" t="n">
        <f aca="false">a26_abf</f>
        <v>22.858836</v>
      </c>
      <c r="E479" s="21" t="n">
        <f aca="false">$D478*cap_27*(1+g_mix)^1*E466*E467</f>
        <v>35.1386026992</v>
      </c>
      <c r="F479" s="21" t="n">
        <f aca="false">$D478*cap_28*(1+g_mix)^2*F466*F467</f>
        <v>43.813445240565</v>
      </c>
      <c r="G479" s="21" t="n">
        <f aca="false">$D478*cap_29*(1+g_mix)^3*G466*G467</f>
        <v>53.7521793977669</v>
      </c>
      <c r="K479" s="7" t="s">
        <v>724</v>
      </c>
    </row>
    <row r="480" customFormat="false" ht="17.15" hidden="false" customHeight="false" outlineLevel="0" collapsed="false">
      <c r="A480" s="0" t="s">
        <v>725</v>
      </c>
      <c r="B480" s="0" t="s">
        <v>379</v>
      </c>
      <c r="D480" s="21" t="n">
        <f aca="false">a26_abf</f>
        <v>22.858836</v>
      </c>
      <c r="E480" s="21" t="n">
        <f aca="false">MIN(E478,E479)</f>
        <v>35.1386026992</v>
      </c>
      <c r="F480" s="21" t="n">
        <f aca="false">MIN(F478,F479)</f>
        <v>43.813445240565</v>
      </c>
      <c r="G480" s="21" t="n">
        <f aca="false">MIN(G478,G479)</f>
        <v>53.7521793977669</v>
      </c>
    </row>
    <row r="481" customFormat="false" ht="17.15" hidden="false" customHeight="false" outlineLevel="0" collapsed="false">
      <c r="A481" s="3" t="s">
        <v>726</v>
      </c>
      <c r="B481" s="0" t="s">
        <v>43</v>
      </c>
      <c r="D481" s="20" t="n">
        <f aca="false">D480/D478</f>
        <v>1</v>
      </c>
      <c r="E481" s="20" t="n">
        <f aca="false">E480/E478</f>
        <v>0.85916169200315</v>
      </c>
      <c r="F481" s="20" t="n">
        <f aca="false">F480/F478</f>
        <v>0.881117431856676</v>
      </c>
      <c r="G481" s="20" t="n">
        <f aca="false">G480/G478</f>
        <v>0.926160096041627</v>
      </c>
    </row>
    <row r="482" customFormat="false" ht="17.15" hidden="false" customHeight="false" outlineLevel="0" collapsed="false">
      <c r="A482" s="0" t="s">
        <v>727</v>
      </c>
      <c r="B482" s="0" t="s">
        <v>379</v>
      </c>
      <c r="D482" s="21" t="n">
        <f aca="false">(D473+D476)*D481</f>
        <v>5.714709</v>
      </c>
      <c r="E482" s="21" t="n">
        <f aca="false">(E473+E476)*E481</f>
        <v>16.0903135142885</v>
      </c>
      <c r="F482" s="21" t="n">
        <f aca="false">(F473+F476)*F481</f>
        <v>23.1062761566347</v>
      </c>
      <c r="G482" s="21" t="n">
        <f aca="false">(G473+G476)*G481</f>
        <v>30.6805181242656</v>
      </c>
    </row>
    <row r="483" customFormat="false" ht="17.15" hidden="false" customHeight="false" outlineLevel="0" collapsed="false">
      <c r="A483" s="3" t="s">
        <v>728</v>
      </c>
      <c r="B483" s="0" t="s">
        <v>43</v>
      </c>
      <c r="D483" s="20" t="n">
        <f aca="false">D473/(D473+D476)</f>
        <v>0.800318125775433</v>
      </c>
      <c r="E483" s="20" t="n">
        <f aca="false">E473/(E473+E476)</f>
        <v>0.896024374782173</v>
      </c>
      <c r="F483" s="20" t="n">
        <f aca="false">F473/(F473+F476)</f>
        <v>0.924114387791097</v>
      </c>
      <c r="G483" s="20" t="n">
        <f aca="false">G473/(G473+G476)</f>
        <v>0.939286657016792</v>
      </c>
    </row>
    <row r="484" customFormat="false" ht="17.15" hidden="false" customHeight="false" outlineLevel="0" collapsed="false">
      <c r="A484" s="5" t="s">
        <v>729</v>
      </c>
    </row>
    <row r="485" customFormat="false" ht="17.15" hidden="false" customHeight="false" outlineLevel="0" collapsed="false">
      <c r="A485" s="0" t="s">
        <v>730</v>
      </c>
      <c r="B485" s="0" t="s">
        <v>379</v>
      </c>
      <c r="D485" s="21" t="n">
        <f aca="false">a26_bt</f>
        <v>23.265964</v>
      </c>
      <c r="E485" s="21" t="n">
        <f aca="false">D485*(1+g_bt27_A)</f>
        <v>29.78043392</v>
      </c>
      <c r="F485" s="21" t="n">
        <f aca="false">E485*(1+g_bt28_A)</f>
        <v>32.758477312</v>
      </c>
      <c r="G485" s="21" t="n">
        <f aca="false">F485*(1+g_bt29_A)</f>
        <v>34.3964011776</v>
      </c>
      <c r="K485" s="7" t="s">
        <v>731</v>
      </c>
    </row>
    <row r="486" customFormat="false" ht="17.15" hidden="false" customHeight="false" outlineLevel="0" collapsed="false">
      <c r="A486" s="3" t="s">
        <v>616</v>
      </c>
      <c r="B486" s="0" t="s">
        <v>379</v>
      </c>
      <c r="C486" s="21" t="n">
        <f aca="false">a25_lens</f>
        <v>7.039</v>
      </c>
      <c r="D486" s="21" t="n">
        <f aca="false">a26_lens</f>
        <v>8.301</v>
      </c>
      <c r="E486" s="21" t="n">
        <f aca="false">D486*(1+g_lens)</f>
        <v>9.1311</v>
      </c>
      <c r="F486" s="21" t="n">
        <f aca="false">E486*(1+g_lens)</f>
        <v>10.04421</v>
      </c>
      <c r="G486" s="21" t="n">
        <f aca="false">F486*(1+g_lens)</f>
        <v>11.048631</v>
      </c>
      <c r="K486" s="3" t="s">
        <v>732</v>
      </c>
    </row>
    <row r="487" customFormat="false" ht="17.15" hidden="false" customHeight="false" outlineLevel="0" collapsed="false">
      <c r="A487" s="3" t="s">
        <v>573</v>
      </c>
      <c r="B487" s="0" t="s">
        <v>379</v>
      </c>
      <c r="C487" s="23" t="n">
        <f aca="false">a25_rev</f>
        <v>39.351</v>
      </c>
      <c r="D487" s="23" t="n">
        <f aca="false">D480+D485+D486</f>
        <v>54.4258</v>
      </c>
      <c r="E487" s="23" t="n">
        <f aca="false">E480+E485+E486</f>
        <v>74.0501366192</v>
      </c>
      <c r="F487" s="23" t="n">
        <f aca="false">F480+F485+F486</f>
        <v>86.616132552565</v>
      </c>
      <c r="G487" s="23" t="n">
        <f aca="false">G480+G485+G486</f>
        <v>99.1972115753669</v>
      </c>
      <c r="H487" s="25" t="n">
        <f aca="false">G487*(1+H488)</f>
        <v>110.786817946191</v>
      </c>
      <c r="I487" s="25" t="n">
        <f aca="false">H487*(1+I488)</f>
        <v>120.582255667594</v>
      </c>
      <c r="J487" s="25" t="n">
        <f aca="false">I487*(1+J488)</f>
        <v>127.817191007649</v>
      </c>
      <c r="K487" s="7" t="s">
        <v>733</v>
      </c>
    </row>
    <row r="488" customFormat="false" ht="15" hidden="false" customHeight="false" outlineLevel="0" collapsed="false">
      <c r="A488" s="3" t="s">
        <v>734</v>
      </c>
      <c r="B488" s="0" t="s">
        <v>43</v>
      </c>
      <c r="D488" s="20" t="n">
        <f aca="false">D487/C487-1</f>
        <v>0.383085563263958</v>
      </c>
      <c r="E488" s="20" t="n">
        <f aca="false">E487/D487-1</f>
        <v>0.360570476119782</v>
      </c>
      <c r="F488" s="20" t="n">
        <f aca="false">F487/E487-1</f>
        <v>0.169695783250005</v>
      </c>
      <c r="G488" s="20" t="n">
        <f aca="false">G487/F487-1</f>
        <v>0.145250990225946</v>
      </c>
      <c r="H488" s="26" t="n">
        <f aca="false">$G488+(fade_gA-$G488)*1/3</f>
        <v>0.116833993483964</v>
      </c>
      <c r="I488" s="26" t="n">
        <f aca="false">$G488+(fade_gA-$G488)*2/3</f>
        <v>0.088416996741982</v>
      </c>
      <c r="J488" s="26" t="n">
        <f aca="false">$G488+(fade_gA-$G488)*3/3</f>
        <v>0.06</v>
      </c>
    </row>
    <row r="489" customFormat="false" ht="17.15" hidden="false" customHeight="false" outlineLevel="0" collapsed="false">
      <c r="A489" s="0" t="s">
        <v>735</v>
      </c>
      <c r="B489" s="0" t="s">
        <v>43</v>
      </c>
      <c r="D489" s="20" t="n">
        <f aca="false">D480/D487</f>
        <v>0.42</v>
      </c>
      <c r="E489" s="20" t="n">
        <f aca="false">E480/E487</f>
        <v>0.47452448170216</v>
      </c>
      <c r="F489" s="20" t="n">
        <f aca="false">F480/F487</f>
        <v>0.505834697871967</v>
      </c>
      <c r="G489" s="20" t="n">
        <f aca="false">G480/G487</f>
        <v>0.541871878696184</v>
      </c>
    </row>
    <row r="490" customFormat="false" ht="17.15" hidden="false" customHeight="false" outlineLevel="0" collapsed="false">
      <c r="A490" s="0" t="s">
        <v>736</v>
      </c>
      <c r="B490" s="0" t="s">
        <v>43</v>
      </c>
      <c r="D490" s="20" t="n">
        <f aca="false">D482/D487</f>
        <v>0.105</v>
      </c>
      <c r="E490" s="20" t="n">
        <f aca="false">E482/E487</f>
        <v>0.217289450754592</v>
      </c>
      <c r="F490" s="20" t="n">
        <f aca="false">F482/F487</f>
        <v>0.266766426480795</v>
      </c>
      <c r="G490" s="20" t="n">
        <f aca="false">G482/G487</f>
        <v>0.309288110391647</v>
      </c>
      <c r="K490" s="3" t="s">
        <v>737</v>
      </c>
    </row>
    <row r="491" customFormat="false" ht="17.15" hidden="false" customHeight="false" outlineLevel="0" collapsed="false">
      <c r="A491" s="5" t="s">
        <v>738</v>
      </c>
    </row>
    <row r="492" customFormat="false" ht="15" hidden="false" customHeight="false" outlineLevel="0" collapsed="false">
      <c r="A492" s="3" t="s">
        <v>739</v>
      </c>
      <c r="B492" s="0" t="s">
        <v>379</v>
      </c>
      <c r="C492" s="23" t="n">
        <f aca="false">a25_cx</f>
        <v>6.116</v>
      </c>
      <c r="D492" s="23" t="n">
        <f aca="false">capex26</f>
        <v>11</v>
      </c>
      <c r="E492" s="23" t="n">
        <f aca="false">cx27</f>
        <v>17</v>
      </c>
      <c r="F492" s="23" t="n">
        <f aca="false">cx28</f>
        <v>16</v>
      </c>
      <c r="G492" s="23" t="n">
        <f aca="false">cx29</f>
        <v>12</v>
      </c>
      <c r="H492" s="25" t="n">
        <f aca="false">H487*H511</f>
        <v>13.5013958532943</v>
      </c>
      <c r="I492" s="25" t="n">
        <f aca="false">I487*I511</f>
        <v>14.8033242403683</v>
      </c>
      <c r="J492" s="25" t="n">
        <f aca="false">J487*J511</f>
        <v>15.8061897395257</v>
      </c>
    </row>
    <row r="493" customFormat="false" ht="17.15" hidden="false" customHeight="false" outlineLevel="0" collapsed="false">
      <c r="A493" s="3" t="s">
        <v>740</v>
      </c>
      <c r="B493" s="0" t="s">
        <v>379</v>
      </c>
      <c r="C493" s="23" t="n">
        <f aca="false">a25_da</f>
        <v>7.158</v>
      </c>
      <c r="D493" s="23" t="n">
        <f aca="false">da26</f>
        <v>8.32</v>
      </c>
      <c r="E493" s="23" t="n">
        <f aca="false">D493*(1-1/life)+D492/life</f>
        <v>8.655</v>
      </c>
      <c r="F493" s="23" t="n">
        <f aca="false">E493*(1-1/life)+E492/life</f>
        <v>9.698125</v>
      </c>
      <c r="G493" s="23" t="n">
        <f aca="false">F493*(1-1/life)+F492/life</f>
        <v>10.485859375</v>
      </c>
      <c r="H493" s="25" t="n">
        <f aca="false">H487*H494</f>
        <v>11.7109642008925</v>
      </c>
      <c r="I493" s="25" t="n">
        <f aca="false">I487*I494</f>
        <v>12.7464124844883</v>
      </c>
      <c r="J493" s="25" t="n">
        <f aca="false">J487*J494</f>
        <v>13.5111972335576</v>
      </c>
      <c r="K493" s="3" t="s">
        <v>741</v>
      </c>
    </row>
    <row r="494" customFormat="false" ht="17.15" hidden="false" customHeight="false" outlineLevel="0" collapsed="false">
      <c r="A494" s="3" t="s">
        <v>742</v>
      </c>
      <c r="B494" s="0" t="s">
        <v>43</v>
      </c>
      <c r="C494" s="20" t="n">
        <f aca="false">C493/C487</f>
        <v>0.181901349393916</v>
      </c>
      <c r="D494" s="20" t="n">
        <f aca="false">D493/D487</f>
        <v>0.152868676252807</v>
      </c>
      <c r="E494" s="20" t="n">
        <f aca="false">E493/E487</f>
        <v>0.116880270518716</v>
      </c>
      <c r="F494" s="20" t="n">
        <f aca="false">F493/F487</f>
        <v>0.111966728531945</v>
      </c>
      <c r="G494" s="20" t="n">
        <f aca="false">G493/G487</f>
        <v>0.105707198906828</v>
      </c>
      <c r="H494" s="26" t="n">
        <f aca="false">$G494</f>
        <v>0.105707198906828</v>
      </c>
      <c r="I494" s="26" t="n">
        <f aca="false">$G494</f>
        <v>0.105707198906828</v>
      </c>
      <c r="J494" s="26" t="n">
        <f aca="false">$G494</f>
        <v>0.105707198906828</v>
      </c>
    </row>
    <row r="495" customFormat="false" ht="17.15" hidden="false" customHeight="false" outlineLevel="0" collapsed="false">
      <c r="A495" s="0" t="s">
        <v>743</v>
      </c>
      <c r="B495" s="0" t="s">
        <v>379</v>
      </c>
      <c r="E495" s="21" t="n">
        <f aca="false">E481*((E473+E476)*(1-1/(E466*E467))+E477*(1-1/E467))</f>
        <v>6.3364693392</v>
      </c>
      <c r="F495" s="21" t="n">
        <f aca="false">F481*((F473+F476)*(1-1/(F466*F467))+F477*(1-1/F467))</f>
        <v>6.90396570098909</v>
      </c>
      <c r="G495" s="21" t="n">
        <f aca="false">G481*((G473+G476)*(1-1/(G466*G467))+G477*(1-1/G467))</f>
        <v>6.89879754857129</v>
      </c>
      <c r="K495" s="7" t="s">
        <v>744</v>
      </c>
    </row>
    <row r="496" customFormat="false" ht="17.15" hidden="false" customHeight="false" outlineLevel="0" collapsed="false">
      <c r="A496" s="3" t="s">
        <v>745</v>
      </c>
      <c r="B496" s="0" t="s">
        <v>379</v>
      </c>
      <c r="C496" s="21" t="n">
        <f aca="false">a25_gp</f>
        <v>8.314</v>
      </c>
      <c r="D496" s="21" t="n">
        <f aca="false">a26_gp</f>
        <v>15.328536</v>
      </c>
      <c r="E496" s="21" t="n">
        <f aca="false">$D496+ft_abf*(E480-E495-$D480)+ft_bt*(E485-$D485)+ft_lens*(E486-$D486)+E495-(E493-$D493)</f>
        <v>27.6067104832</v>
      </c>
      <c r="F496" s="21" t="n">
        <f aca="false">$D496+ft_abf*(F480-F495-$D480)+ft_bt*(F485-$D485)+ft_lens*(F486-$D486)+F495-(F493-$D493)</f>
        <v>32.9357739611771</v>
      </c>
      <c r="G496" s="21" t="n">
        <f aca="false">$D496+ft_abf*(G480-G495-$D480)+ft_bt*(G485-$D485)+ft_lens*(G486-$D486)+G495-(G493-$D493)</f>
        <v>38.3038777780891</v>
      </c>
      <c r="K496" s="3" t="s">
        <v>746</v>
      </c>
    </row>
    <row r="497" customFormat="false" ht="15" hidden="false" customHeight="false" outlineLevel="0" collapsed="false">
      <c r="A497" s="3" t="s">
        <v>580</v>
      </c>
      <c r="B497" s="0" t="s">
        <v>43</v>
      </c>
      <c r="C497" s="16" t="n">
        <f aca="false">C496/C487</f>
        <v>0.211277985311682</v>
      </c>
      <c r="D497" s="16" t="n">
        <f aca="false">D496/D487</f>
        <v>0.281640986443929</v>
      </c>
      <c r="E497" s="16" t="n">
        <f aca="false">E496/E487</f>
        <v>0.372811067522623</v>
      </c>
      <c r="F497" s="16" t="n">
        <f aca="false">F496/F487</f>
        <v>0.380249879445832</v>
      </c>
      <c r="G497" s="16" t="n">
        <f aca="false">G496/G487</f>
        <v>0.386138654199841</v>
      </c>
    </row>
    <row r="498" customFormat="false" ht="15" hidden="false" customHeight="false" outlineLevel="0" collapsed="false">
      <c r="A498" s="3" t="s">
        <v>582</v>
      </c>
      <c r="B498" s="0" t="s">
        <v>379</v>
      </c>
      <c r="C498" s="21" t="n">
        <f aca="false">a25_opx</f>
        <v>5.644</v>
      </c>
      <c r="D498" s="21" t="n">
        <f aca="false">a26_opx</f>
        <v>6.54036</v>
      </c>
      <c r="E498" s="21" t="n">
        <f aca="false">D498*(1+phi*E488)</f>
        <v>7.95531643151687</v>
      </c>
      <c r="F498" s="21" t="n">
        <f aca="false">E498*(1+phi*F488)</f>
        <v>8.7653066232256</v>
      </c>
      <c r="G498" s="21" t="n">
        <f aca="false">F498*(1+phi*G488)</f>
        <v>9.52920830322014</v>
      </c>
    </row>
    <row r="499" customFormat="false" ht="15" hidden="false" customHeight="false" outlineLevel="0" collapsed="false">
      <c r="A499" s="3" t="s">
        <v>585</v>
      </c>
      <c r="B499" s="0" t="s">
        <v>379</v>
      </c>
      <c r="C499" s="21" t="n">
        <f aca="false">C496-C498</f>
        <v>2.67</v>
      </c>
      <c r="D499" s="21" t="n">
        <f aca="false">D496-D498</f>
        <v>8.788176</v>
      </c>
      <c r="E499" s="21" t="n">
        <f aca="false">E496-E498</f>
        <v>19.6513940516831</v>
      </c>
      <c r="F499" s="21" t="n">
        <f aca="false">F496-F498</f>
        <v>24.1704673379515</v>
      </c>
      <c r="G499" s="21" t="n">
        <f aca="false">G496-G498</f>
        <v>28.7746694748689</v>
      </c>
    </row>
    <row r="500" customFormat="false" ht="15" hidden="false" customHeight="false" outlineLevel="0" collapsed="false">
      <c r="A500" s="3" t="s">
        <v>683</v>
      </c>
      <c r="B500" s="0" t="s">
        <v>43</v>
      </c>
      <c r="C500" s="16" t="n">
        <f aca="false">C499/C487</f>
        <v>0.0678508805367081</v>
      </c>
      <c r="D500" s="16" t="n">
        <f aca="false">D499/D487</f>
        <v>0.161470773052486</v>
      </c>
      <c r="E500" s="16" t="n">
        <f aca="false">E499/E487</f>
        <v>0.265379578605502</v>
      </c>
      <c r="F500" s="16" t="n">
        <f aca="false">F499/F487</f>
        <v>0.279052719460581</v>
      </c>
      <c r="G500" s="16" t="n">
        <f aca="false">G499/G487</f>
        <v>0.290075386373203</v>
      </c>
    </row>
    <row r="501" customFormat="false" ht="15" hidden="false" customHeight="false" outlineLevel="0" collapsed="false">
      <c r="A501" s="3" t="s">
        <v>588</v>
      </c>
      <c r="B501" s="0" t="s">
        <v>379</v>
      </c>
      <c r="C501" s="21" t="n">
        <f aca="false">a25_nonop</f>
        <v>0.417</v>
      </c>
      <c r="D501" s="21" t="n">
        <f aca="false">a26_nonop</f>
        <v>0.37882</v>
      </c>
      <c r="E501" s="21" t="n">
        <f aca="false">nonop27</f>
        <v>0.4</v>
      </c>
      <c r="F501" s="21" t="n">
        <f aca="false">nonop28</f>
        <v>0.4</v>
      </c>
      <c r="G501" s="21" t="n">
        <f aca="false">nonop29</f>
        <v>0.4</v>
      </c>
    </row>
    <row r="502" customFormat="false" ht="15" hidden="false" customHeight="false" outlineLevel="0" collapsed="false">
      <c r="A502" s="3" t="s">
        <v>590</v>
      </c>
      <c r="B502" s="0" t="s">
        <v>379</v>
      </c>
      <c r="C502" s="21" t="n">
        <f aca="false">C499+C501</f>
        <v>3.087</v>
      </c>
      <c r="D502" s="21" t="n">
        <f aca="false">D499+D501</f>
        <v>9.166996</v>
      </c>
      <c r="E502" s="21" t="n">
        <f aca="false">E499+E501</f>
        <v>20.0513940516831</v>
      </c>
      <c r="F502" s="21" t="n">
        <f aca="false">F499+F501</f>
        <v>24.5704673379515</v>
      </c>
      <c r="G502" s="21" t="n">
        <f aca="false">G499+G501</f>
        <v>29.1746694748689</v>
      </c>
    </row>
    <row r="503" customFormat="false" ht="15" hidden="false" customHeight="false" outlineLevel="0" collapsed="false">
      <c r="A503" s="3" t="s">
        <v>591</v>
      </c>
      <c r="B503" s="0" t="s">
        <v>379</v>
      </c>
      <c r="E503" s="21" t="n">
        <f aca="false">E502*tax</f>
        <v>2.40616728620198</v>
      </c>
      <c r="F503" s="21" t="n">
        <f aca="false">F502*tax</f>
        <v>2.94845608055417</v>
      </c>
      <c r="G503" s="21" t="n">
        <f aca="false">G502*tax</f>
        <v>3.50096033698427</v>
      </c>
    </row>
    <row r="504" customFormat="false" ht="15" hidden="false" customHeight="false" outlineLevel="0" collapsed="false">
      <c r="A504" s="3" t="s">
        <v>592</v>
      </c>
      <c r="B504" s="0" t="s">
        <v>379</v>
      </c>
      <c r="C504" s="21" t="n">
        <f aca="false">a25_nic</f>
        <v>2.71712</v>
      </c>
      <c r="D504" s="21" t="n">
        <f aca="false">a26_nic</f>
        <v>8.39979776</v>
      </c>
      <c r="E504" s="21" t="n">
        <f aca="false">E502-E503</f>
        <v>17.6452267654812</v>
      </c>
      <c r="F504" s="21" t="n">
        <f aca="false">F502-F503</f>
        <v>21.6220112573973</v>
      </c>
      <c r="G504" s="21" t="n">
        <f aca="false">G502-G503</f>
        <v>25.6737091378847</v>
      </c>
    </row>
    <row r="505" customFormat="false" ht="17.15" hidden="false" customHeight="false" outlineLevel="0" collapsed="false">
      <c r="A505" s="3" t="s">
        <v>747</v>
      </c>
      <c r="B505" s="0" t="s">
        <v>379</v>
      </c>
      <c r="C505" s="21" t="n">
        <f aca="false">a25_nci</f>
        <v>1.12112</v>
      </c>
      <c r="D505" s="21" t="n">
        <f aca="false">a26_nci</f>
        <v>1.43839238487797</v>
      </c>
      <c r="E505" s="21" t="n">
        <f aca="false">E486*nm_lens*nci_sh</f>
        <v>1.57074538036261</v>
      </c>
      <c r="F505" s="21" t="n">
        <f aca="false">F486*nm_lens*nci_sh</f>
        <v>1.72781991839887</v>
      </c>
      <c r="G505" s="21" t="n">
        <f aca="false">G486*nm_lens*nci_sh</f>
        <v>1.90060191023875</v>
      </c>
      <c r="K505" s="3" t="s">
        <v>748</v>
      </c>
    </row>
    <row r="506" customFormat="false" ht="15" hidden="false" customHeight="false" outlineLevel="0" collapsed="false">
      <c r="A506" s="3" t="s">
        <v>598</v>
      </c>
      <c r="B506" s="0" t="s">
        <v>379</v>
      </c>
      <c r="C506" s="21" t="n">
        <f aca="false">a25_ni</f>
        <v>1.596</v>
      </c>
      <c r="D506" s="21" t="n">
        <f aca="false">a26_ni</f>
        <v>6.96140537512203</v>
      </c>
      <c r="E506" s="21" t="n">
        <f aca="false">E504-E505</f>
        <v>16.0744813851186</v>
      </c>
      <c r="F506" s="21" t="n">
        <f aca="false">F504-F505</f>
        <v>19.8941913389984</v>
      </c>
      <c r="G506" s="21" t="n">
        <f aca="false">G504-G505</f>
        <v>23.7731072276459</v>
      </c>
      <c r="H506" s="30" t="n">
        <f aca="false">H487*H510</f>
        <v>25.8586541037727</v>
      </c>
      <c r="I506" s="30" t="n">
        <f aca="false">I487*I510</f>
        <v>27.3918574197419</v>
      </c>
      <c r="J506" s="30" t="n">
        <f aca="false">J487*J510</f>
        <v>28.2370391720696</v>
      </c>
    </row>
    <row r="507" customFormat="false" ht="15" hidden="false" customHeight="false" outlineLevel="0" collapsed="false">
      <c r="A507" s="3" t="s">
        <v>749</v>
      </c>
      <c r="B507" s="3" t="s">
        <v>465</v>
      </c>
      <c r="C507" s="29" t="n">
        <f aca="false">a25_sh</f>
        <v>0.454700854700855</v>
      </c>
      <c r="D507" s="29" t="n">
        <f aca="false">a26_sh</f>
        <v>0.508341020486215</v>
      </c>
      <c r="E507" s="29" t="n">
        <f aca="false">a26_shend*(1+sh_g)</f>
        <v>0.52691</v>
      </c>
      <c r="F507" s="29" t="n">
        <f aca="false">E507*(1+sh_g)</f>
        <v>0.52691</v>
      </c>
      <c r="G507" s="29" t="n">
        <f aca="false">F507*(1+sh_g)</f>
        <v>0.52691</v>
      </c>
      <c r="H507" s="31" t="n">
        <f aca="false">G507*(1+sh_g)</f>
        <v>0.52691</v>
      </c>
      <c r="I507" s="31" t="n">
        <f aca="false">H507*(1+sh_g)</f>
        <v>0.52691</v>
      </c>
      <c r="J507" s="31" t="n">
        <f aca="false">I507*(1+sh_g)</f>
        <v>0.52691</v>
      </c>
    </row>
    <row r="508" customFormat="false" ht="17.15" hidden="false" customHeight="false" outlineLevel="0" collapsed="false">
      <c r="A508" s="0" t="s">
        <v>603</v>
      </c>
      <c r="B508" s="0" t="s">
        <v>471</v>
      </c>
      <c r="C508" s="18" t="n">
        <f aca="false">C506/C507</f>
        <v>3.51</v>
      </c>
      <c r="D508" s="18" t="n">
        <f aca="false">D506/D507</f>
        <v>13.6943608612652</v>
      </c>
      <c r="E508" s="18" t="n">
        <f aca="false">E506/E507</f>
        <v>30.507072147271</v>
      </c>
      <c r="F508" s="18" t="n">
        <f aca="false">F506/F507</f>
        <v>37.7563366400304</v>
      </c>
      <c r="G508" s="18" t="n">
        <f aca="false">G506/G507</f>
        <v>45.1179655494219</v>
      </c>
      <c r="H508" s="28" t="n">
        <f aca="false">H506/H507</f>
        <v>49.0760359525778</v>
      </c>
      <c r="I508" s="28" t="n">
        <f aca="false">I506/I507</f>
        <v>51.9858370874378</v>
      </c>
      <c r="J508" s="28" t="n">
        <f aca="false">J506/J507</f>
        <v>53.5898714620516</v>
      </c>
    </row>
    <row r="509" customFormat="false" ht="17.15" hidden="false" customHeight="false" outlineLevel="0" collapsed="false">
      <c r="A509" s="0" t="s">
        <v>750</v>
      </c>
      <c r="B509" s="0" t="s">
        <v>43</v>
      </c>
      <c r="D509" s="20" t="n">
        <f aca="false">D508/C508-1</f>
        <v>2.90152731090177</v>
      </c>
      <c r="E509" s="20" t="n">
        <f aca="false">E508/D508-1</f>
        <v>1.22771054862158</v>
      </c>
      <c r="F509" s="20" t="n">
        <f aca="false">F508/E508-1</f>
        <v>0.237625703894626</v>
      </c>
      <c r="G509" s="20" t="n">
        <f aca="false">G508/F508-1</f>
        <v>0.19497730883103</v>
      </c>
      <c r="H509" s="26" t="n">
        <f aca="false">H508/G508-1</f>
        <v>0.0877271471564955</v>
      </c>
      <c r="I509" s="26" t="n">
        <f aca="false">I508/H508-1</f>
        <v>0.0592916905039316</v>
      </c>
      <c r="J509" s="26" t="n">
        <f aca="false">J508/I508-1</f>
        <v>0.0308552187380546</v>
      </c>
    </row>
    <row r="510" customFormat="false" ht="17.15" hidden="false" customHeight="false" outlineLevel="0" collapsed="false">
      <c r="A510" s="3" t="s">
        <v>751</v>
      </c>
      <c r="B510" s="0" t="s">
        <v>43</v>
      </c>
      <c r="C510" s="16" t="n">
        <f aca="false">C506/C487</f>
        <v>0.0405580544331783</v>
      </c>
      <c r="D510" s="16" t="n">
        <f aca="false">D506/D487</f>
        <v>0.127906349105057</v>
      </c>
      <c r="E510" s="16" t="n">
        <f aca="false">E506/E487</f>
        <v>0.217075647919206</v>
      </c>
      <c r="F510" s="16" t="n">
        <f aca="false">F506/F487</f>
        <v>0.229682286113677</v>
      </c>
      <c r="G510" s="16" t="n">
        <f aca="false">G506/G487</f>
        <v>0.239654994834042</v>
      </c>
      <c r="H510" s="27" t="n">
        <f aca="false">$G510+(fade_mA-$G510)*1/3</f>
        <v>0.233409123785217</v>
      </c>
      <c r="I510" s="27" t="n">
        <f aca="false">$G510+(fade_mA-$G510)*2/3</f>
        <v>0.227163252736393</v>
      </c>
      <c r="J510" s="27" t="n">
        <f aca="false">$G510+(fade_mA-$G510)*3/3</f>
        <v>0.220917381687568</v>
      </c>
    </row>
    <row r="511" customFormat="false" ht="17.15" hidden="false" customHeight="false" outlineLevel="0" collapsed="false">
      <c r="A511" s="3" t="s">
        <v>752</v>
      </c>
      <c r="B511" s="0" t="s">
        <v>43</v>
      </c>
      <c r="C511" s="20" t="n">
        <f aca="false">C492/C487</f>
        <v>0.155421717364235</v>
      </c>
      <c r="D511" s="20" t="n">
        <f aca="false">D492/D487</f>
        <v>0.202110028699624</v>
      </c>
      <c r="E511" s="20" t="n">
        <f aca="false">E492/E487</f>
        <v>0.229574188193897</v>
      </c>
      <c r="F511" s="20" t="n">
        <f aca="false">F492/F487</f>
        <v>0.184723094052832</v>
      </c>
      <c r="G511" s="20" t="n">
        <f aca="false">G492/G487</f>
        <v>0.120971142327754</v>
      </c>
      <c r="H511" s="26" t="n">
        <f aca="false">$G511+($G494*(1+tp_g)^(life/2)-$G511)*1/3</f>
        <v>0.121868252050094</v>
      </c>
      <c r="I511" s="26" t="n">
        <f aca="false">$G511+($G494*(1+tp_g)^(life/2)-$G511)*2/3</f>
        <v>0.122765361772435</v>
      </c>
      <c r="J511" s="26" t="n">
        <f aca="false">$G511+($G494*(1+tp_g)^(life/2)-$G511)*3/3</f>
        <v>0.123662471494775</v>
      </c>
      <c r="K511" s="7" t="s">
        <v>753</v>
      </c>
    </row>
    <row r="512" customFormat="false" ht="15" hidden="false" customHeight="false" outlineLevel="0" collapsed="false">
      <c r="A512" s="3" t="s">
        <v>754</v>
      </c>
      <c r="B512" s="0" t="s">
        <v>379</v>
      </c>
      <c r="D512" s="21" t="n">
        <f aca="false">D506+D493-D492</f>
        <v>4.28140537512203</v>
      </c>
      <c r="E512" s="21" t="n">
        <f aca="false">E506+E493-E492</f>
        <v>7.72948138511855</v>
      </c>
      <c r="F512" s="21" t="n">
        <f aca="false">F506+F493-F492</f>
        <v>13.5923163389984</v>
      </c>
      <c r="G512" s="21" t="n">
        <f aca="false">G506+G493-G492</f>
        <v>22.2589666026459</v>
      </c>
      <c r="H512" s="30" t="n">
        <f aca="false">H506+H493-H492</f>
        <v>24.068222451371</v>
      </c>
      <c r="I512" s="30" t="n">
        <f aca="false">I506+I493-I492</f>
        <v>25.3349456638618</v>
      </c>
      <c r="J512" s="30" t="n">
        <f aca="false">J506+J493-J492</f>
        <v>25.9420466661015</v>
      </c>
      <c r="K512" s="3" t="s">
        <v>755</v>
      </c>
    </row>
    <row r="513" customFormat="false" ht="15" hidden="false" customHeight="false" outlineLevel="0" collapsed="false">
      <c r="A513" s="3" t="s">
        <v>756</v>
      </c>
      <c r="B513" s="0" t="s">
        <v>471</v>
      </c>
      <c r="D513" s="18" t="n">
        <f aca="false">D512/D507</f>
        <v>8.42230943909854</v>
      </c>
      <c r="E513" s="18" t="n">
        <f aca="false">E512/E507</f>
        <v>14.669452819492</v>
      </c>
      <c r="F513" s="18" t="n">
        <f aca="false">F512/F507</f>
        <v>25.7962770473106</v>
      </c>
      <c r="G513" s="18" t="n">
        <f aca="false">G512/G507</f>
        <v>42.2443426821391</v>
      </c>
      <c r="H513" s="28" t="n">
        <f aca="false">H512/H507</f>
        <v>45.6780521367425</v>
      </c>
      <c r="I513" s="28" t="n">
        <f aca="false">I512/I507</f>
        <v>48.0821120568253</v>
      </c>
      <c r="J513" s="28" t="n">
        <f aca="false">J512/J507</f>
        <v>49.2343031373508</v>
      </c>
    </row>
    <row r="516" customFormat="false" ht="17.15" hidden="false" customHeight="false" outlineLevel="0" collapsed="false">
      <c r="A516" s="1" t="s">
        <v>1098</v>
      </c>
    </row>
    <row r="517" customFormat="false" ht="17.15" hidden="false" customHeight="false" outlineLevel="0" collapsed="false">
      <c r="A517" s="4" t="s">
        <v>20</v>
      </c>
      <c r="B517" s="4" t="s">
        <v>21</v>
      </c>
      <c r="C517" s="13" t="s">
        <v>566</v>
      </c>
      <c r="D517" s="13" t="s">
        <v>670</v>
      </c>
      <c r="E517" s="13" t="s">
        <v>671</v>
      </c>
      <c r="F517" s="13" t="s">
        <v>672</v>
      </c>
      <c r="G517" s="13" t="s">
        <v>673</v>
      </c>
      <c r="H517" s="13" t="s">
        <v>674</v>
      </c>
      <c r="I517" s="13" t="s">
        <v>675</v>
      </c>
      <c r="J517" s="13" t="s">
        <v>676</v>
      </c>
      <c r="K517" s="4" t="s">
        <v>630</v>
      </c>
    </row>
    <row r="518" customFormat="false" ht="17.15" hidden="false" customHeight="false" outlineLevel="0" collapsed="false">
      <c r="A518" s="5" t="s">
        <v>694</v>
      </c>
    </row>
    <row r="519" customFormat="false" ht="17.15" hidden="false" customHeight="false" outlineLevel="0" collapsed="false">
      <c r="A519" s="0" t="s">
        <v>695</v>
      </c>
      <c r="B519" s="3" t="s">
        <v>31</v>
      </c>
      <c r="D519" s="21" t="n">
        <f aca="false">(u_bw_26+u_rb_26+u_ru_26+u_hp_26)*1</f>
        <v>7.6</v>
      </c>
      <c r="E519" s="21" t="n">
        <f aca="false">(u_bw_27+u_rb_27+u_ru_27+u_hp_27)*1*1</f>
        <v>9.7</v>
      </c>
      <c r="F519" s="21" t="n">
        <f aca="false">(u_bw_28+u_rb_28+u_ru_28+u_hp_28)*um28_A*1</f>
        <v>9.5</v>
      </c>
      <c r="G519" s="21" t="n">
        <f aca="false">(u_bw_28*(1+g29_bw)+u_rb_28*(1+g29_rb)+u_ru_28*(1+g29_ru)+u_hp_28*(1+g29_hp))*um29_A*1</f>
        <v>10.6</v>
      </c>
      <c r="K519" s="7" t="s">
        <v>696</v>
      </c>
    </row>
    <row r="520" customFormat="false" ht="17.15" hidden="false" customHeight="false" outlineLevel="0" collapsed="false">
      <c r="A520" s="3" t="s">
        <v>697</v>
      </c>
      <c r="B520" s="3" t="s">
        <v>31</v>
      </c>
      <c r="D520" s="21" t="n">
        <f aca="false">(u_amd_26+u_tpu_26+u_trn_26+u_oth_26)*1</f>
        <v>7.6</v>
      </c>
      <c r="E520" s="21" t="n">
        <f aca="false">(u_amd_27+u_tpu_27+u_trn_27+u_oth_27)*1*1</f>
        <v>14</v>
      </c>
      <c r="F520" s="21" t="n">
        <f aca="false">(u_amd_28+u_tpu_28+u_trn_28+u_oth_28)*um28_A*1</f>
        <v>17</v>
      </c>
      <c r="G520" s="21" t="n">
        <f aca="false">(u_amd_28*(1+g29_amd)+u_tpu_28*(1+g29_tpu)+u_trn_28*(1+g29_trn)+u_oth_28*(1+g29_oth))*um29_A*1</f>
        <v>19.55</v>
      </c>
      <c r="K520" s="7" t="s">
        <v>698</v>
      </c>
    </row>
    <row r="521" customFormat="false" ht="17.15" hidden="false" customHeight="false" outlineLevel="0" collapsed="false">
      <c r="A521" s="0" t="s">
        <v>699</v>
      </c>
      <c r="B521" s="3" t="s">
        <v>31</v>
      </c>
      <c r="D521" s="21" t="n">
        <f aca="false">D519*cpu_r</f>
        <v>3.04</v>
      </c>
      <c r="E521" s="21" t="n">
        <f aca="false">E519*cpu_r</f>
        <v>3.88</v>
      </c>
      <c r="F521" s="21" t="n">
        <f aca="false">F519*cpu_r</f>
        <v>3.8</v>
      </c>
      <c r="G521" s="21" t="n">
        <f aca="false">G519*cpu_r</f>
        <v>4.24</v>
      </c>
      <c r="K521" s="7" t="s">
        <v>700</v>
      </c>
    </row>
    <row r="522" customFormat="false" ht="17.15" hidden="false" customHeight="false" outlineLevel="0" collapsed="false">
      <c r="A522" s="3" t="s">
        <v>701</v>
      </c>
      <c r="B522" s="0" t="s">
        <v>153</v>
      </c>
      <c r="D522" s="19" t="n">
        <f aca="false">1</f>
        <v>1</v>
      </c>
      <c r="E522" s="19" t="n">
        <f aca="false">D522*(1+g_asp)</f>
        <v>1.18</v>
      </c>
      <c r="F522" s="19" t="n">
        <f aca="false">E522*(1+g_asp)</f>
        <v>1.3924</v>
      </c>
      <c r="G522" s="19" t="n">
        <f aca="false">F522*(1+g_asp)</f>
        <v>1.643032</v>
      </c>
      <c r="K522" s="7" t="s">
        <v>702</v>
      </c>
    </row>
    <row r="523" customFormat="false" ht="17.15" hidden="false" customHeight="false" outlineLevel="0" collapsed="false">
      <c r="A523" s="0" t="s">
        <v>703</v>
      </c>
      <c r="B523" s="0" t="s">
        <v>153</v>
      </c>
      <c r="D523" s="18" t="n">
        <f aca="false">1</f>
        <v>1</v>
      </c>
      <c r="E523" s="18" t="n">
        <f aca="false">ibpp_27</f>
        <v>1</v>
      </c>
      <c r="F523" s="18" t="n">
        <f aca="false">ibpp_28</f>
        <v>0.95</v>
      </c>
      <c r="G523" s="18" t="n">
        <f aca="false">ibpp_29</f>
        <v>0.9</v>
      </c>
      <c r="K523" s="7" t="s">
        <v>704</v>
      </c>
    </row>
    <row r="524" customFormat="false" ht="17.15" hidden="false" customHeight="false" outlineLevel="0" collapsed="false">
      <c r="A524" s="3" t="s">
        <v>705</v>
      </c>
      <c r="B524" s="0" t="s">
        <v>153</v>
      </c>
      <c r="D524" s="18" t="n">
        <f aca="false">1</f>
        <v>1</v>
      </c>
      <c r="E524" s="18" t="n">
        <f aca="false">1+carry</f>
        <v>1.15</v>
      </c>
      <c r="F524" s="18" t="n">
        <f aca="false">1+carry</f>
        <v>1.15</v>
      </c>
      <c r="G524" s="18" t="n">
        <f aca="false">1+carry</f>
        <v>1.15</v>
      </c>
      <c r="K524" s="7" t="s">
        <v>706</v>
      </c>
    </row>
    <row r="525" customFormat="false" ht="17.15" hidden="false" customHeight="false" outlineLevel="0" collapsed="false">
      <c r="A525" s="3" t="s">
        <v>707</v>
      </c>
      <c r="B525" s="0" t="s">
        <v>708</v>
      </c>
      <c r="D525" s="23" t="n">
        <f aca="false">v26*D522*D523</f>
        <v>215.308596</v>
      </c>
      <c r="E525" s="23" t="n">
        <f aca="false">v26*E522*E523</f>
        <v>254.06414328</v>
      </c>
      <c r="F525" s="23" t="n">
        <f aca="false">v26*F522*F523</f>
        <v>284.80590461688</v>
      </c>
      <c r="G525" s="23" t="n">
        <f aca="false">v26*G522*G523</f>
        <v>318.383021792765</v>
      </c>
      <c r="K525" s="7" t="s">
        <v>709</v>
      </c>
    </row>
    <row r="526" customFormat="false" ht="17.15" hidden="false" customHeight="false" outlineLevel="0" collapsed="false">
      <c r="A526" s="3" t="s">
        <v>710</v>
      </c>
      <c r="B526" s="0" t="s">
        <v>43</v>
      </c>
      <c r="D526" s="20" t="n">
        <f aca="false">sh_nv_26</f>
        <v>0.02</v>
      </c>
      <c r="E526" s="20" t="n">
        <f aca="false">sh_nv_27</f>
        <v>0.03</v>
      </c>
      <c r="F526" s="20" t="n">
        <f aca="false">sh_nv_28</f>
        <v>0.05</v>
      </c>
      <c r="G526" s="20" t="n">
        <f aca="false">sh_nv_29</f>
        <v>0.06</v>
      </c>
    </row>
    <row r="527" customFormat="false" ht="17.15" hidden="false" customHeight="false" outlineLevel="0" collapsed="false">
      <c r="A527" s="3" t="s">
        <v>711</v>
      </c>
      <c r="B527" s="0" t="s">
        <v>43</v>
      </c>
      <c r="D527" s="20" t="n">
        <f aca="false">sh_ot_26</f>
        <v>0.03</v>
      </c>
      <c r="E527" s="20" t="n">
        <f aca="false">sh_ot_27</f>
        <v>0.05</v>
      </c>
      <c r="F527" s="20" t="n">
        <f aca="false">sh_ot_28</f>
        <v>0.06</v>
      </c>
      <c r="G527" s="20" t="n">
        <f aca="false">sh_ot_29</f>
        <v>0.06</v>
      </c>
    </row>
    <row r="528" customFormat="false" ht="17.15" hidden="false" customHeight="false" outlineLevel="0" collapsed="false">
      <c r="A528" s="3" t="s">
        <v>712</v>
      </c>
      <c r="B528" s="0" t="s">
        <v>43</v>
      </c>
      <c r="D528" s="20" t="n">
        <f aca="false">sh_cpu_26</f>
        <v>0.35</v>
      </c>
      <c r="E528" s="20" t="n">
        <f aca="false">sh_cpu_27</f>
        <v>0.7</v>
      </c>
      <c r="F528" s="20" t="n">
        <f aca="false">sh_cpu_28</f>
        <v>0.75</v>
      </c>
      <c r="G528" s="20" t="n">
        <f aca="false">sh_cpu_29</f>
        <v>0.7</v>
      </c>
    </row>
    <row r="529" customFormat="false" ht="17.15" hidden="false" customHeight="false" outlineLevel="0" collapsed="false">
      <c r="A529" s="3" t="s">
        <v>713</v>
      </c>
      <c r="B529" s="0" t="s">
        <v>660</v>
      </c>
      <c r="D529" s="22" t="n">
        <f aca="false">(D519*D525*D526+D520*D525*v_ot*D527+D521*D525*v_cpu*D528)*D524</f>
        <v>140.7256983456</v>
      </c>
      <c r="E529" s="22" t="n">
        <f aca="false">(E519*E525*E526+E520*E525*v_ot*E527+E521*E525*v_cpu*E528)*E524</f>
        <v>486.703057357198</v>
      </c>
      <c r="F529" s="22" t="n">
        <f aca="false">(F519*F525*F526+F520*F525*v_ot*F527+F521*F525*v_cpu*F528)*F524</f>
        <v>702.872492003998</v>
      </c>
      <c r="G529" s="22" t="n">
        <f aca="false">(G519*G525*G526+G520*G525*v_ot*G527+G521*G525*v_cpu*G528)*G524</f>
        <v>902.463042932027</v>
      </c>
    </row>
    <row r="530" customFormat="false" ht="17.15" hidden="false" customHeight="false" outlineLevel="0" collapsed="false">
      <c r="A530" s="3" t="s">
        <v>714</v>
      </c>
      <c r="B530" s="0" t="s">
        <v>379</v>
      </c>
      <c r="D530" s="21" t="n">
        <f aca="false">D529*fx/1000</f>
        <v>4.573585196232</v>
      </c>
      <c r="E530" s="21" t="n">
        <f aca="false">E529*fx/1000</f>
        <v>15.8178493641089</v>
      </c>
      <c r="F530" s="21" t="n">
        <f aca="false">F529*fx/1000</f>
        <v>22.8433559901299</v>
      </c>
      <c r="G530" s="21" t="n">
        <f aca="false">G529*fx/1000</f>
        <v>29.3300488952909</v>
      </c>
    </row>
    <row r="531" customFormat="false" ht="17.15" hidden="false" customHeight="false" outlineLevel="0" collapsed="false">
      <c r="A531" s="5" t="s">
        <v>715</v>
      </c>
    </row>
    <row r="532" customFormat="false" ht="17.15" hidden="false" customHeight="false" outlineLevel="0" collapsed="false">
      <c r="A532" s="0" t="s">
        <v>716</v>
      </c>
      <c r="B532" s="0" t="s">
        <v>379</v>
      </c>
      <c r="D532" s="21" t="n">
        <f aca="false">a26_abf*ai_abf</f>
        <v>5.714709</v>
      </c>
      <c r="K532" s="3" t="s">
        <v>717</v>
      </c>
    </row>
    <row r="533" customFormat="false" ht="17.15" hidden="false" customHeight="false" outlineLevel="0" collapsed="false">
      <c r="A533" s="3" t="s">
        <v>718</v>
      </c>
      <c r="B533" s="0" t="s">
        <v>379</v>
      </c>
      <c r="D533" s="21" t="n">
        <f aca="false">D532-D530</f>
        <v>1.141123803768</v>
      </c>
      <c r="E533" s="21" t="n">
        <f aca="false">$D533*(swm_27/swm_26)^el_o*1*1*E523*E524</f>
        <v>1.83552013039205</v>
      </c>
      <c r="F533" s="21" t="n">
        <f aca="false">$D533*(swm_28/swm_26)^el_o*um28_A*1*F523*F524</f>
        <v>1.87583060833026</v>
      </c>
      <c r="G533" s="21" t="n">
        <f aca="false">$D533*(swm_29/swm_26)^el_o*um29_A*1*G523*G524</f>
        <v>1.89582733342525</v>
      </c>
      <c r="K533" s="7" t="s">
        <v>719</v>
      </c>
    </row>
    <row r="534" customFormat="false" ht="17.15" hidden="false" customHeight="false" outlineLevel="0" collapsed="false">
      <c r="A534" s="3" t="s">
        <v>720</v>
      </c>
      <c r="B534" s="0" t="s">
        <v>379</v>
      </c>
      <c r="D534" s="21" t="n">
        <f aca="false">a26_abf-D532</f>
        <v>17.144127</v>
      </c>
      <c r="E534" s="21" t="n">
        <f aca="false">$D534*(1+g_nai)^1*E524</f>
        <v>20.898690813</v>
      </c>
      <c r="F534" s="21" t="n">
        <f aca="false">$D534*(1+g_nai)^2*F524</f>
        <v>22.15261226178</v>
      </c>
      <c r="G534" s="21" t="n">
        <f aca="false">$D534*(1+g_nai)^3*G524</f>
        <v>23.4817689974868</v>
      </c>
      <c r="K534" s="3" t="s">
        <v>721</v>
      </c>
    </row>
    <row r="535" customFormat="false" ht="17.15" hidden="false" customHeight="false" outlineLevel="0" collapsed="false">
      <c r="A535" s="0" t="s">
        <v>722</v>
      </c>
      <c r="B535" s="0" t="s">
        <v>379</v>
      </c>
      <c r="D535" s="21" t="n">
        <f aca="false">D530+D533+D534</f>
        <v>22.858836</v>
      </c>
      <c r="E535" s="21" t="n">
        <f aca="false">E530+E533+E534</f>
        <v>38.552060307501</v>
      </c>
      <c r="F535" s="21" t="n">
        <f aca="false">F530+F533+F534</f>
        <v>46.8717988602402</v>
      </c>
      <c r="G535" s="21" t="n">
        <f aca="false">G530+G533+G534</f>
        <v>54.7076452262029</v>
      </c>
    </row>
    <row r="536" customFormat="false" ht="17.15" hidden="false" customHeight="false" outlineLevel="0" collapsed="false">
      <c r="A536" s="0" t="s">
        <v>723</v>
      </c>
      <c r="B536" s="0" t="s">
        <v>379</v>
      </c>
      <c r="D536" s="21" t="n">
        <f aca="false">a26_abf</f>
        <v>22.858836</v>
      </c>
      <c r="E536" s="21" t="n">
        <f aca="false">$D535*cap_27*(1+g_mix)^1*E523*E524</f>
        <v>33.122453364</v>
      </c>
      <c r="F536" s="21" t="n">
        <f aca="false">$D535*cap_28*(1+g_mix)^2*F523*F524</f>
        <v>41.2995590382375</v>
      </c>
      <c r="G536" s="21" t="n">
        <f aca="false">$D535*cap_29*(1+g_mix)^3*G523*G524</f>
        <v>50.6680379569114</v>
      </c>
      <c r="K536" s="7" t="s">
        <v>724</v>
      </c>
    </row>
    <row r="537" customFormat="false" ht="17.15" hidden="false" customHeight="false" outlineLevel="0" collapsed="false">
      <c r="A537" s="0" t="s">
        <v>725</v>
      </c>
      <c r="B537" s="0" t="s">
        <v>379</v>
      </c>
      <c r="D537" s="21" t="n">
        <f aca="false">a26_abf</f>
        <v>22.858836</v>
      </c>
      <c r="E537" s="21" t="n">
        <f aca="false">MIN(E535,E536)</f>
        <v>33.122453364</v>
      </c>
      <c r="F537" s="21" t="n">
        <f aca="false">MIN(F535,F536)</f>
        <v>41.2995590382375</v>
      </c>
      <c r="G537" s="21" t="n">
        <f aca="false">MIN(G535,G536)</f>
        <v>50.6680379569114</v>
      </c>
    </row>
    <row r="538" customFormat="false" ht="17.15" hidden="false" customHeight="false" outlineLevel="0" collapsed="false">
      <c r="A538" s="3" t="s">
        <v>726</v>
      </c>
      <c r="B538" s="0" t="s">
        <v>43</v>
      </c>
      <c r="D538" s="20" t="n">
        <f aca="false">D537/D535</f>
        <v>1</v>
      </c>
      <c r="E538" s="20" t="n">
        <f aca="false">E537/E535</f>
        <v>0.85916169200315</v>
      </c>
      <c r="F538" s="20" t="n">
        <f aca="false">F537/F535</f>
        <v>0.881117431856676</v>
      </c>
      <c r="G538" s="20" t="n">
        <f aca="false">G537/G535</f>
        <v>0.926160096041627</v>
      </c>
    </row>
    <row r="539" customFormat="false" ht="17.15" hidden="false" customHeight="false" outlineLevel="0" collapsed="false">
      <c r="A539" s="0" t="s">
        <v>727</v>
      </c>
      <c r="B539" s="0" t="s">
        <v>379</v>
      </c>
      <c r="D539" s="21" t="n">
        <f aca="false">(D530+D533)*D538</f>
        <v>5.714709</v>
      </c>
      <c r="E539" s="21" t="n">
        <f aca="false">(E530+E533)*E538</f>
        <v>15.1670988044522</v>
      </c>
      <c r="F539" s="21" t="n">
        <f aca="false">(F530+F533)*F538</f>
        <v>21.7805062132212</v>
      </c>
      <c r="G539" s="21" t="n">
        <f aca="false">(G530+G533)*G538</f>
        <v>28.9201605269717</v>
      </c>
    </row>
    <row r="540" customFormat="false" ht="17.15" hidden="false" customHeight="false" outlineLevel="0" collapsed="false">
      <c r="A540" s="3" t="s">
        <v>728</v>
      </c>
      <c r="B540" s="0" t="s">
        <v>43</v>
      </c>
      <c r="D540" s="20" t="n">
        <f aca="false">D530/(D530+D533)</f>
        <v>0.800318125775433</v>
      </c>
      <c r="E540" s="20" t="n">
        <f aca="false">E530/(E530+E533)</f>
        <v>0.896024374782173</v>
      </c>
      <c r="F540" s="20" t="n">
        <f aca="false">F530/(F530+F533)</f>
        <v>0.924114387791097</v>
      </c>
      <c r="G540" s="20" t="n">
        <f aca="false">G530/(G530+G533)</f>
        <v>0.939286657016792</v>
      </c>
    </row>
    <row r="541" customFormat="false" ht="17.15" hidden="false" customHeight="false" outlineLevel="0" collapsed="false">
      <c r="A541" s="5" t="s">
        <v>729</v>
      </c>
    </row>
    <row r="542" customFormat="false" ht="17.15" hidden="false" customHeight="false" outlineLevel="0" collapsed="false">
      <c r="A542" s="0" t="s">
        <v>730</v>
      </c>
      <c r="B542" s="0" t="s">
        <v>379</v>
      </c>
      <c r="D542" s="21" t="n">
        <f aca="false">a26_bt</f>
        <v>23.265964</v>
      </c>
      <c r="E542" s="21" t="n">
        <f aca="false">D542*(1+g_bt27_A)</f>
        <v>29.78043392</v>
      </c>
      <c r="F542" s="21" t="n">
        <f aca="false">E542*(1+g_bt28_A)</f>
        <v>32.758477312</v>
      </c>
      <c r="G542" s="21" t="n">
        <f aca="false">F542*(1+g_bt29_A)</f>
        <v>34.3964011776</v>
      </c>
      <c r="K542" s="7" t="s">
        <v>731</v>
      </c>
    </row>
    <row r="543" customFormat="false" ht="17.15" hidden="false" customHeight="false" outlineLevel="0" collapsed="false">
      <c r="A543" s="3" t="s">
        <v>616</v>
      </c>
      <c r="B543" s="0" t="s">
        <v>379</v>
      </c>
      <c r="C543" s="21" t="n">
        <f aca="false">a25_lens</f>
        <v>7.039</v>
      </c>
      <c r="D543" s="21" t="n">
        <f aca="false">a26_lens</f>
        <v>8.301</v>
      </c>
      <c r="E543" s="21" t="n">
        <f aca="false">D543*(1+g_lens)</f>
        <v>9.1311</v>
      </c>
      <c r="F543" s="21" t="n">
        <f aca="false">E543*(1+g_lens)</f>
        <v>10.04421</v>
      </c>
      <c r="G543" s="21" t="n">
        <f aca="false">F543*(1+g_lens)</f>
        <v>11.048631</v>
      </c>
      <c r="K543" s="3" t="s">
        <v>732</v>
      </c>
    </row>
    <row r="544" customFormat="false" ht="17.15" hidden="false" customHeight="false" outlineLevel="0" collapsed="false">
      <c r="A544" s="3" t="s">
        <v>573</v>
      </c>
      <c r="B544" s="0" t="s">
        <v>379</v>
      </c>
      <c r="C544" s="23" t="n">
        <f aca="false">a25_rev</f>
        <v>39.351</v>
      </c>
      <c r="D544" s="23" t="n">
        <f aca="false">D537+D542+D543</f>
        <v>54.4258</v>
      </c>
      <c r="E544" s="23" t="n">
        <f aca="false">E537+E542+E543</f>
        <v>72.033987284</v>
      </c>
      <c r="F544" s="23" t="n">
        <f aca="false">F537+F542+F543</f>
        <v>84.1022463502375</v>
      </c>
      <c r="G544" s="23" t="n">
        <f aca="false">G537+G542+G543</f>
        <v>96.1130701345114</v>
      </c>
      <c r="H544" s="25" t="n">
        <f aca="false">G544*(1+H545)</f>
        <v>107.186075216063</v>
      </c>
      <c r="I544" s="25" t="n">
        <f aca="false">H544*(1+I545)</f>
        <v>116.576010002736</v>
      </c>
      <c r="J544" s="25" t="n">
        <f aca="false">I544*(1+J545)</f>
        <v>123.5705706029</v>
      </c>
      <c r="K544" s="7" t="s">
        <v>733</v>
      </c>
    </row>
    <row r="545" customFormat="false" ht="15" hidden="false" customHeight="false" outlineLevel="0" collapsed="false">
      <c r="A545" s="3" t="s">
        <v>734</v>
      </c>
      <c r="B545" s="0" t="s">
        <v>43</v>
      </c>
      <c r="D545" s="20" t="n">
        <f aca="false">D544/C544-1</f>
        <v>0.383085563263958</v>
      </c>
      <c r="E545" s="20" t="n">
        <f aca="false">E544/D544-1</f>
        <v>0.323526476119781</v>
      </c>
      <c r="F545" s="20" t="n">
        <f aca="false">F544/E544-1</f>
        <v>0.167535624796909</v>
      </c>
      <c r="G545" s="20" t="n">
        <f aca="false">G544/F544-1</f>
        <v>0.142812163830389</v>
      </c>
      <c r="H545" s="26" t="n">
        <f aca="false">$G545+(fade_gA-$G545)*1/3</f>
        <v>0.115208109220259</v>
      </c>
      <c r="I545" s="26" t="n">
        <f aca="false">$G545+(fade_gA-$G545)*2/3</f>
        <v>0.0876040546101297</v>
      </c>
      <c r="J545" s="26" t="n">
        <f aca="false">$G545+(fade_gA-$G545)*3/3</f>
        <v>0.06</v>
      </c>
    </row>
    <row r="546" customFormat="false" ht="17.15" hidden="false" customHeight="false" outlineLevel="0" collapsed="false">
      <c r="A546" s="0" t="s">
        <v>735</v>
      </c>
      <c r="B546" s="0" t="s">
        <v>43</v>
      </c>
      <c r="D546" s="20" t="n">
        <f aca="false">D537/D544</f>
        <v>0.42</v>
      </c>
      <c r="E546" s="20" t="n">
        <f aca="false">E537/E544</f>
        <v>0.459817019893845</v>
      </c>
      <c r="F546" s="20" t="n">
        <f aca="false">F537/F544</f>
        <v>0.491063685341395</v>
      </c>
      <c r="G546" s="20" t="n">
        <f aca="false">G537/G544</f>
        <v>0.527171152539409</v>
      </c>
    </row>
    <row r="547" customFormat="false" ht="17.15" hidden="false" customHeight="false" outlineLevel="0" collapsed="false">
      <c r="A547" s="0" t="s">
        <v>736</v>
      </c>
      <c r="B547" s="0" t="s">
        <v>43</v>
      </c>
      <c r="D547" s="20" t="n">
        <f aca="false">D539/D544</f>
        <v>0.105</v>
      </c>
      <c r="E547" s="20" t="n">
        <f aca="false">E539/E544</f>
        <v>0.210554758612135</v>
      </c>
      <c r="F547" s="20" t="n">
        <f aca="false">F539/F544</f>
        <v>0.258976509646579</v>
      </c>
      <c r="G547" s="20" t="n">
        <f aca="false">G539/G544</f>
        <v>0.300897271167153</v>
      </c>
      <c r="K547" s="3" t="s">
        <v>737</v>
      </c>
    </row>
    <row r="548" customFormat="false" ht="17.15" hidden="false" customHeight="false" outlineLevel="0" collapsed="false">
      <c r="A548" s="5" t="s">
        <v>738</v>
      </c>
    </row>
    <row r="549" customFormat="false" ht="15" hidden="false" customHeight="false" outlineLevel="0" collapsed="false">
      <c r="A549" s="3" t="s">
        <v>739</v>
      </c>
      <c r="B549" s="0" t="s">
        <v>379</v>
      </c>
      <c r="C549" s="23" t="n">
        <f aca="false">a25_cx</f>
        <v>6.116</v>
      </c>
      <c r="D549" s="23" t="n">
        <f aca="false">capex26</f>
        <v>11</v>
      </c>
      <c r="E549" s="23" t="n">
        <f aca="false">cx27</f>
        <v>17</v>
      </c>
      <c r="F549" s="23" t="n">
        <f aca="false">cx28</f>
        <v>16</v>
      </c>
      <c r="G549" s="23" t="n">
        <f aca="false">cx29</f>
        <v>12</v>
      </c>
      <c r="H549" s="25" t="n">
        <f aca="false">H544*H568</f>
        <v>13.4817405534162</v>
      </c>
      <c r="I549" s="25" t="n">
        <f aca="false">I544*I568</f>
        <v>14.77073304233</v>
      </c>
      <c r="J549" s="25" t="n">
        <f aca="false">J544*J568</f>
        <v>15.7713906192965</v>
      </c>
    </row>
    <row r="550" customFormat="false" ht="17.15" hidden="false" customHeight="false" outlineLevel="0" collapsed="false">
      <c r="A550" s="3" t="s">
        <v>740</v>
      </c>
      <c r="B550" s="0" t="s">
        <v>379</v>
      </c>
      <c r="C550" s="23" t="n">
        <f aca="false">a25_da</f>
        <v>7.158</v>
      </c>
      <c r="D550" s="23" t="n">
        <f aca="false">da26</f>
        <v>8.32</v>
      </c>
      <c r="E550" s="23" t="n">
        <f aca="false">D550*(1-1/life)+D549/life</f>
        <v>8.655</v>
      </c>
      <c r="F550" s="23" t="n">
        <f aca="false">E550*(1-1/life)+E549/life</f>
        <v>9.698125</v>
      </c>
      <c r="G550" s="23" t="n">
        <f aca="false">F550*(1-1/life)+F549/life</f>
        <v>10.485859375</v>
      </c>
      <c r="H550" s="25" t="n">
        <f aca="false">H544*H551</f>
        <v>11.6939154071433</v>
      </c>
      <c r="I550" s="25" t="n">
        <f aca="false">I544*I551</f>
        <v>12.7183498110769</v>
      </c>
      <c r="J550" s="25" t="n">
        <f aca="false">J544*J551</f>
        <v>13.4814507997415</v>
      </c>
      <c r="K550" s="3" t="s">
        <v>741</v>
      </c>
    </row>
    <row r="551" customFormat="false" ht="17.15" hidden="false" customHeight="false" outlineLevel="0" collapsed="false">
      <c r="A551" s="3" t="s">
        <v>742</v>
      </c>
      <c r="B551" s="0" t="s">
        <v>43</v>
      </c>
      <c r="C551" s="20" t="n">
        <f aca="false">C550/C544</f>
        <v>0.181901349393916</v>
      </c>
      <c r="D551" s="20" t="n">
        <f aca="false">D550/D544</f>
        <v>0.152868676252807</v>
      </c>
      <c r="E551" s="20" t="n">
        <f aca="false">E550/E544</f>
        <v>0.120151616290196</v>
      </c>
      <c r="F551" s="20" t="n">
        <f aca="false">F550/F544</f>
        <v>0.115313507318376</v>
      </c>
      <c r="G551" s="20" t="n">
        <f aca="false">G550/G544</f>
        <v>0.109099203264706</v>
      </c>
      <c r="H551" s="26" t="n">
        <f aca="false">$G551</f>
        <v>0.109099203264706</v>
      </c>
      <c r="I551" s="26" t="n">
        <f aca="false">$G551</f>
        <v>0.109099203264706</v>
      </c>
      <c r="J551" s="26" t="n">
        <f aca="false">$G551</f>
        <v>0.109099203264706</v>
      </c>
    </row>
    <row r="552" customFormat="false" ht="17.15" hidden="false" customHeight="false" outlineLevel="0" collapsed="false">
      <c r="A552" s="0" t="s">
        <v>743</v>
      </c>
      <c r="B552" s="0" t="s">
        <v>379</v>
      </c>
      <c r="E552" s="21" t="n">
        <f aca="false">E538*((E530+E533)*(1-1/(E523*E524))+E534*(1-1/E524))</f>
        <v>4.320320004</v>
      </c>
      <c r="F552" s="21" t="n">
        <f aca="false">F538*((F530+F533)*(1-1/(F523*F524))+F534*(1-1/F524))</f>
        <v>4.39007949866158</v>
      </c>
      <c r="G552" s="21" t="n">
        <f aca="false">G538*((G530+G533)*(1-1/(G523*G524))+G534*(1-1/G524))</f>
        <v>3.81465610771581</v>
      </c>
      <c r="K552" s="7" t="s">
        <v>744</v>
      </c>
    </row>
    <row r="553" customFormat="false" ht="17.15" hidden="false" customHeight="false" outlineLevel="0" collapsed="false">
      <c r="A553" s="3" t="s">
        <v>745</v>
      </c>
      <c r="B553" s="0" t="s">
        <v>379</v>
      </c>
      <c r="C553" s="21" t="n">
        <f aca="false">a25_gp</f>
        <v>8.314</v>
      </c>
      <c r="D553" s="21" t="n">
        <f aca="false">a26_gp</f>
        <v>15.328536</v>
      </c>
      <c r="E553" s="21" t="n">
        <f aca="false">$D553+ft_abf_lo*(E537-E552-$D537)+ft_bt*(E542-$D542)+ft_lens*(E543-$D543)+E552-(E550-$D550)</f>
        <v>24.996231412</v>
      </c>
      <c r="F553" s="21" t="n">
        <f aca="false">$D553+ft_abf_lo*(F537-F552-$D537)+ft_bt*(F542-$D542)+ft_lens*(F543-$D543)+F552-(F550-$D550)</f>
        <v>29.0168234048919</v>
      </c>
      <c r="G553" s="21" t="n">
        <f aca="false">$D553+ft_abf_lo*(G537-G552-$D537)+ft_bt*(G542-$D542)+ft_lens*(G543-$D543)+G552-(G550-$D550)</f>
        <v>32.820281752314</v>
      </c>
      <c r="K553" s="3" t="s">
        <v>746</v>
      </c>
    </row>
    <row r="554" customFormat="false" ht="15" hidden="false" customHeight="false" outlineLevel="0" collapsed="false">
      <c r="A554" s="3" t="s">
        <v>580</v>
      </c>
      <c r="B554" s="0" t="s">
        <v>43</v>
      </c>
      <c r="C554" s="16" t="n">
        <f aca="false">C553/C544</f>
        <v>0.211277985311682</v>
      </c>
      <c r="D554" s="16" t="n">
        <f aca="false">D553/D544</f>
        <v>0.281640986443929</v>
      </c>
      <c r="E554" s="16" t="n">
        <f aca="false">E553/E544</f>
        <v>0.347006078026061</v>
      </c>
      <c r="F554" s="16" t="n">
        <f aca="false">F553/F544</f>
        <v>0.345018411090395</v>
      </c>
      <c r="G554" s="16" t="n">
        <f aca="false">G553/G544</f>
        <v>0.341475740046402</v>
      </c>
    </row>
    <row r="555" customFormat="false" ht="15" hidden="false" customHeight="false" outlineLevel="0" collapsed="false">
      <c r="A555" s="3" t="s">
        <v>582</v>
      </c>
      <c r="B555" s="0" t="s">
        <v>379</v>
      </c>
      <c r="C555" s="21" t="n">
        <f aca="false">a25_opx</f>
        <v>5.644</v>
      </c>
      <c r="D555" s="21" t="n">
        <f aca="false">a26_opx</f>
        <v>6.54036</v>
      </c>
      <c r="E555" s="21" t="n">
        <f aca="false">D555*(1+phi*E545)</f>
        <v>7.80994777401287</v>
      </c>
      <c r="F555" s="21" t="n">
        <f aca="false">E555*(1+phi*F545)</f>
        <v>8.59501446198315</v>
      </c>
      <c r="G555" s="21" t="n">
        <f aca="false">F555*(1+phi*G545)</f>
        <v>9.33149803006473</v>
      </c>
    </row>
    <row r="556" customFormat="false" ht="15" hidden="false" customHeight="false" outlineLevel="0" collapsed="false">
      <c r="A556" s="3" t="s">
        <v>585</v>
      </c>
      <c r="B556" s="0" t="s">
        <v>379</v>
      </c>
      <c r="C556" s="21" t="n">
        <f aca="false">C553-C555</f>
        <v>2.67</v>
      </c>
      <c r="D556" s="21" t="n">
        <f aca="false">D553-D555</f>
        <v>8.788176</v>
      </c>
      <c r="E556" s="21" t="n">
        <f aca="false">E553-E555</f>
        <v>17.1862836379871</v>
      </c>
      <c r="F556" s="21" t="n">
        <f aca="false">F553-F555</f>
        <v>20.4218089429088</v>
      </c>
      <c r="G556" s="21" t="n">
        <f aca="false">G553-G555</f>
        <v>23.4887837222493</v>
      </c>
    </row>
    <row r="557" customFormat="false" ht="15" hidden="false" customHeight="false" outlineLevel="0" collapsed="false">
      <c r="A557" s="3" t="s">
        <v>683</v>
      </c>
      <c r="B557" s="0" t="s">
        <v>43</v>
      </c>
      <c r="C557" s="16" t="n">
        <f aca="false">C556/C544</f>
        <v>0.0678508805367081</v>
      </c>
      <c r="D557" s="16" t="n">
        <f aca="false">D556/D544</f>
        <v>0.161470773052486</v>
      </c>
      <c r="E557" s="16" t="n">
        <f aca="false">E556/E544</f>
        <v>0.238585760499815</v>
      </c>
      <c r="F557" s="16" t="n">
        <f aca="false">F556/F544</f>
        <v>0.242821206675785</v>
      </c>
      <c r="G557" s="16" t="n">
        <f aca="false">G556/G544</f>
        <v>0.244386988048311</v>
      </c>
    </row>
    <row r="558" customFormat="false" ht="15" hidden="false" customHeight="false" outlineLevel="0" collapsed="false">
      <c r="A558" s="3" t="s">
        <v>588</v>
      </c>
      <c r="B558" s="0" t="s">
        <v>379</v>
      </c>
      <c r="C558" s="21" t="n">
        <f aca="false">a25_nonop</f>
        <v>0.417</v>
      </c>
      <c r="D558" s="21" t="n">
        <f aca="false">a26_nonop</f>
        <v>0.37882</v>
      </c>
      <c r="E558" s="21" t="n">
        <f aca="false">nonop27</f>
        <v>0.4</v>
      </c>
      <c r="F558" s="21" t="n">
        <f aca="false">nonop28</f>
        <v>0.4</v>
      </c>
      <c r="G558" s="21" t="n">
        <f aca="false">nonop29</f>
        <v>0.4</v>
      </c>
    </row>
    <row r="559" customFormat="false" ht="15" hidden="false" customHeight="false" outlineLevel="0" collapsed="false">
      <c r="A559" s="3" t="s">
        <v>590</v>
      </c>
      <c r="B559" s="0" t="s">
        <v>379</v>
      </c>
      <c r="C559" s="21" t="n">
        <f aca="false">C556+C558</f>
        <v>3.087</v>
      </c>
      <c r="D559" s="21" t="n">
        <f aca="false">D556+D558</f>
        <v>9.166996</v>
      </c>
      <c r="E559" s="21" t="n">
        <f aca="false">E556+E558</f>
        <v>17.5862836379871</v>
      </c>
      <c r="F559" s="21" t="n">
        <f aca="false">F556+F558</f>
        <v>20.8218089429088</v>
      </c>
      <c r="G559" s="21" t="n">
        <f aca="false">G556+G558</f>
        <v>23.8887837222493</v>
      </c>
    </row>
    <row r="560" customFormat="false" ht="15" hidden="false" customHeight="false" outlineLevel="0" collapsed="false">
      <c r="A560" s="3" t="s">
        <v>591</v>
      </c>
      <c r="B560" s="0" t="s">
        <v>379</v>
      </c>
      <c r="E560" s="21" t="n">
        <f aca="false">E559*tax</f>
        <v>2.11035403655846</v>
      </c>
      <c r="F560" s="21" t="n">
        <f aca="false">F559*tax</f>
        <v>2.49861707314906</v>
      </c>
      <c r="G560" s="21" t="n">
        <f aca="false">G559*tax</f>
        <v>2.86665404666992</v>
      </c>
    </row>
    <row r="561" customFormat="false" ht="15" hidden="false" customHeight="false" outlineLevel="0" collapsed="false">
      <c r="A561" s="3" t="s">
        <v>592</v>
      </c>
      <c r="B561" s="0" t="s">
        <v>379</v>
      </c>
      <c r="C561" s="21" t="n">
        <f aca="false">a25_nic</f>
        <v>2.71712</v>
      </c>
      <c r="D561" s="21" t="n">
        <f aca="false">a26_nic</f>
        <v>8.39979776</v>
      </c>
      <c r="E561" s="21" t="n">
        <f aca="false">E559-E560</f>
        <v>15.4759296014287</v>
      </c>
      <c r="F561" s="21" t="n">
        <f aca="false">F559-F560</f>
        <v>18.3231918697597</v>
      </c>
      <c r="G561" s="21" t="n">
        <f aca="false">G559-G560</f>
        <v>21.0221296755794</v>
      </c>
    </row>
    <row r="562" customFormat="false" ht="17.15" hidden="false" customHeight="false" outlineLevel="0" collapsed="false">
      <c r="A562" s="3" t="s">
        <v>747</v>
      </c>
      <c r="B562" s="0" t="s">
        <v>379</v>
      </c>
      <c r="C562" s="21" t="n">
        <f aca="false">a25_nci</f>
        <v>1.12112</v>
      </c>
      <c r="D562" s="21" t="n">
        <f aca="false">a26_nci</f>
        <v>1.43839238487797</v>
      </c>
      <c r="E562" s="21" t="n">
        <f aca="false">E543*nm_lens*nci_sh</f>
        <v>1.57074538036261</v>
      </c>
      <c r="F562" s="21" t="n">
        <f aca="false">F543*nm_lens*nci_sh</f>
        <v>1.72781991839887</v>
      </c>
      <c r="G562" s="21" t="n">
        <f aca="false">G543*nm_lens*nci_sh</f>
        <v>1.90060191023875</v>
      </c>
      <c r="K562" s="3" t="s">
        <v>748</v>
      </c>
    </row>
    <row r="563" customFormat="false" ht="15" hidden="false" customHeight="false" outlineLevel="0" collapsed="false">
      <c r="A563" s="3" t="s">
        <v>598</v>
      </c>
      <c r="B563" s="0" t="s">
        <v>379</v>
      </c>
      <c r="C563" s="21" t="n">
        <f aca="false">a25_ni</f>
        <v>1.596</v>
      </c>
      <c r="D563" s="21" t="n">
        <f aca="false">a26_ni</f>
        <v>6.96140537512203</v>
      </c>
      <c r="E563" s="21" t="n">
        <f aca="false">E561-E562</f>
        <v>13.9051842210661</v>
      </c>
      <c r="F563" s="21" t="n">
        <f aca="false">F561-F562</f>
        <v>16.5953719513609</v>
      </c>
      <c r="G563" s="21" t="n">
        <f aca="false">G561-G562</f>
        <v>19.1215277653406</v>
      </c>
      <c r="H563" s="30" t="n">
        <f aca="false">H544*H567</f>
        <v>22.1094109130919</v>
      </c>
      <c r="I563" s="30" t="n">
        <f aca="false">I544*I567</f>
        <v>24.8999759257542</v>
      </c>
      <c r="J563" s="30" t="n">
        <f aca="false">J544*J567</f>
        <v>27.2988869112315</v>
      </c>
    </row>
    <row r="564" customFormat="false" ht="15" hidden="false" customHeight="false" outlineLevel="0" collapsed="false">
      <c r="A564" s="3" t="s">
        <v>749</v>
      </c>
      <c r="B564" s="3" t="s">
        <v>465</v>
      </c>
      <c r="C564" s="29" t="n">
        <f aca="false">a25_sh</f>
        <v>0.454700854700855</v>
      </c>
      <c r="D564" s="29" t="n">
        <f aca="false">a26_sh</f>
        <v>0.508341020486215</v>
      </c>
      <c r="E564" s="29" t="n">
        <f aca="false">a26_shend*(1+sh_g)</f>
        <v>0.52691</v>
      </c>
      <c r="F564" s="29" t="n">
        <f aca="false">E564*(1+sh_g)</f>
        <v>0.52691</v>
      </c>
      <c r="G564" s="29" t="n">
        <f aca="false">F564*(1+sh_g)</f>
        <v>0.52691</v>
      </c>
      <c r="H564" s="31" t="n">
        <f aca="false">G564*(1+sh_g)</f>
        <v>0.52691</v>
      </c>
      <c r="I564" s="31" t="n">
        <f aca="false">H564*(1+sh_g)</f>
        <v>0.52691</v>
      </c>
      <c r="J564" s="31" t="n">
        <f aca="false">I564*(1+sh_g)</f>
        <v>0.52691</v>
      </c>
    </row>
    <row r="565" customFormat="false" ht="17.15" hidden="false" customHeight="false" outlineLevel="0" collapsed="false">
      <c r="A565" s="0" t="s">
        <v>603</v>
      </c>
      <c r="B565" s="0" t="s">
        <v>471</v>
      </c>
      <c r="C565" s="18" t="n">
        <f aca="false">C563/C564</f>
        <v>3.51</v>
      </c>
      <c r="D565" s="18" t="n">
        <f aca="false">D563/D564</f>
        <v>13.6943608612652</v>
      </c>
      <c r="E565" s="18" t="n">
        <f aca="false">E563/E564</f>
        <v>26.3900556471998</v>
      </c>
      <c r="F565" s="18" t="n">
        <f aca="false">F563/F564</f>
        <v>31.4956481208572</v>
      </c>
      <c r="G565" s="18" t="n">
        <f aca="false">G563/G564</f>
        <v>36.2899314215723</v>
      </c>
      <c r="H565" s="28" t="n">
        <f aca="false">H563/H564</f>
        <v>41.960507322108</v>
      </c>
      <c r="I565" s="28" t="n">
        <f aca="false">I563/I564</f>
        <v>47.2566015557765</v>
      </c>
      <c r="J565" s="28" t="n">
        <f aca="false">J563/J564</f>
        <v>51.8093923274022</v>
      </c>
    </row>
    <row r="566" customFormat="false" ht="17.15" hidden="false" customHeight="false" outlineLevel="0" collapsed="false">
      <c r="A566" s="0" t="s">
        <v>750</v>
      </c>
      <c r="B566" s="0" t="s">
        <v>43</v>
      </c>
      <c r="D566" s="20" t="n">
        <f aca="false">D565/C565-1</f>
        <v>2.90152731090177</v>
      </c>
      <c r="E566" s="20" t="n">
        <f aca="false">E565/D565-1</f>
        <v>0.927074648795382</v>
      </c>
      <c r="F566" s="20" t="n">
        <f aca="false">F565/E565-1</f>
        <v>0.193466529283318</v>
      </c>
      <c r="G566" s="20" t="n">
        <f aca="false">G565/F565-1</f>
        <v>0.152220499870906</v>
      </c>
      <c r="H566" s="26" t="n">
        <f aca="false">H565/G565-1</f>
        <v>0.156257553497742</v>
      </c>
      <c r="I566" s="26" t="n">
        <f aca="false">I565/H565-1</f>
        <v>0.126216163046202</v>
      </c>
      <c r="J566" s="26" t="n">
        <f aca="false">J565/I565-1</f>
        <v>0.0963418997926047</v>
      </c>
    </row>
    <row r="567" customFormat="false" ht="17.15" hidden="false" customHeight="false" outlineLevel="0" collapsed="false">
      <c r="A567" s="3" t="s">
        <v>751</v>
      </c>
      <c r="B567" s="0" t="s">
        <v>43</v>
      </c>
      <c r="C567" s="16" t="n">
        <f aca="false">C563/C544</f>
        <v>0.0405580544331783</v>
      </c>
      <c r="D567" s="16" t="n">
        <f aca="false">D563/D544</f>
        <v>0.127906349105057</v>
      </c>
      <c r="E567" s="16" t="n">
        <f aca="false">E563/E544</f>
        <v>0.193036436623225</v>
      </c>
      <c r="F567" s="16" t="n">
        <f aca="false">F563/F544</f>
        <v>0.197323765672687</v>
      </c>
      <c r="G567" s="16" t="n">
        <f aca="false">G563/G544</f>
        <v>0.198948256866416</v>
      </c>
      <c r="H567" s="27" t="n">
        <f aca="false">$G567+(fade_mA-$G567)*1/3</f>
        <v>0.206271298473467</v>
      </c>
      <c r="I567" s="27" t="n">
        <f aca="false">$G567+(fade_mA-$G567)*2/3</f>
        <v>0.213594340080517</v>
      </c>
      <c r="J567" s="27" t="n">
        <f aca="false">$G567+(fade_mA-$G567)*3/3</f>
        <v>0.220917381687568</v>
      </c>
    </row>
    <row r="568" customFormat="false" ht="17.15" hidden="false" customHeight="false" outlineLevel="0" collapsed="false">
      <c r="A568" s="3" t="s">
        <v>752</v>
      </c>
      <c r="B568" s="0" t="s">
        <v>43</v>
      </c>
      <c r="C568" s="20" t="n">
        <f aca="false">C549/C544</f>
        <v>0.155421717364235</v>
      </c>
      <c r="D568" s="20" t="n">
        <f aca="false">D549/D544</f>
        <v>0.202110028699624</v>
      </c>
      <c r="E568" s="20" t="n">
        <f aca="false">E549/E544</f>
        <v>0.235999708484498</v>
      </c>
      <c r="F568" s="20" t="n">
        <f aca="false">F549/F544</f>
        <v>0.190244621212247</v>
      </c>
      <c r="G568" s="20" t="n">
        <f aca="false">G549/G544</f>
        <v>0.124852946464054</v>
      </c>
      <c r="H568" s="26" t="n">
        <f aca="false">$G568+($G551*(1+tp_g)^(life/2)-$G568)*1/3</f>
        <v>0.125778843252168</v>
      </c>
      <c r="I568" s="26" t="n">
        <f aca="false">$G568+($G551*(1+tp_g)^(life/2)-$G568)*2/3</f>
        <v>0.126704740040282</v>
      </c>
      <c r="J568" s="26" t="n">
        <f aca="false">$G568+($G551*(1+tp_g)^(life/2)-$G568)*3/3</f>
        <v>0.127630636828396</v>
      </c>
      <c r="K568" s="7" t="s">
        <v>753</v>
      </c>
    </row>
    <row r="569" customFormat="false" ht="15" hidden="false" customHeight="false" outlineLevel="0" collapsed="false">
      <c r="A569" s="3" t="s">
        <v>754</v>
      </c>
      <c r="B569" s="0" t="s">
        <v>379</v>
      </c>
      <c r="D569" s="21" t="n">
        <f aca="false">D563+D550-D549</f>
        <v>4.28140537512203</v>
      </c>
      <c r="E569" s="21" t="n">
        <f aca="false">E563+E550-E549</f>
        <v>5.56018422106607</v>
      </c>
      <c r="F569" s="21" t="n">
        <f aca="false">F563+F550-F549</f>
        <v>10.2934969513609</v>
      </c>
      <c r="G569" s="21" t="n">
        <f aca="false">G563+G550-G549</f>
        <v>17.6073871403406</v>
      </c>
      <c r="H569" s="30" t="n">
        <f aca="false">H563+H550-H549</f>
        <v>20.321585766819</v>
      </c>
      <c r="I569" s="30" t="n">
        <f aca="false">I563+I550-I549</f>
        <v>22.8475926945011</v>
      </c>
      <c r="J569" s="30" t="n">
        <f aca="false">J563+J550-J549</f>
        <v>25.0089470916765</v>
      </c>
      <c r="K569" s="3" t="s">
        <v>755</v>
      </c>
    </row>
    <row r="570" customFormat="false" ht="15" hidden="false" customHeight="false" outlineLevel="0" collapsed="false">
      <c r="A570" s="3" t="s">
        <v>756</v>
      </c>
      <c r="B570" s="0" t="s">
        <v>471</v>
      </c>
      <c r="D570" s="18" t="n">
        <f aca="false">D569/D564</f>
        <v>8.42230943909854</v>
      </c>
      <c r="E570" s="18" t="n">
        <f aca="false">E569/E564</f>
        <v>10.5524363194209</v>
      </c>
      <c r="F570" s="18" t="n">
        <f aca="false">F569/F564</f>
        <v>19.5355885281374</v>
      </c>
      <c r="G570" s="18" t="n">
        <f aca="false">G569/G564</f>
        <v>33.4163085542894</v>
      </c>
      <c r="H570" s="28" t="n">
        <f aca="false">H569/H564</f>
        <v>38.5674702830065</v>
      </c>
      <c r="I570" s="28" t="n">
        <f aca="false">I569/I564</f>
        <v>43.3614710187719</v>
      </c>
      <c r="J570" s="28" t="n">
        <f aca="false">J569/J564</f>
        <v>47.4634132805916</v>
      </c>
    </row>
    <row r="573" customFormat="false" ht="17.15" hidden="false" customHeight="false" outlineLevel="0" collapsed="false">
      <c r="A573" s="1" t="s">
        <v>1099</v>
      </c>
    </row>
    <row r="574" customFormat="false" ht="17.15" hidden="false" customHeight="false" outlineLevel="0" collapsed="false">
      <c r="A574" s="4" t="s">
        <v>20</v>
      </c>
      <c r="B574" s="4" t="s">
        <v>21</v>
      </c>
      <c r="C574" s="13" t="s">
        <v>566</v>
      </c>
      <c r="D574" s="13" t="s">
        <v>670</v>
      </c>
      <c r="E574" s="13" t="s">
        <v>671</v>
      </c>
      <c r="F574" s="13" t="s">
        <v>672</v>
      </c>
      <c r="G574" s="13" t="s">
        <v>673</v>
      </c>
      <c r="H574" s="13" t="s">
        <v>674</v>
      </c>
      <c r="I574" s="13" t="s">
        <v>675</v>
      </c>
      <c r="J574" s="13" t="s">
        <v>676</v>
      </c>
      <c r="K574" s="4" t="s">
        <v>630</v>
      </c>
    </row>
    <row r="575" customFormat="false" ht="17.15" hidden="false" customHeight="false" outlineLevel="0" collapsed="false">
      <c r="A575" s="5" t="s">
        <v>694</v>
      </c>
    </row>
    <row r="576" customFormat="false" ht="17.15" hidden="false" customHeight="false" outlineLevel="0" collapsed="false">
      <c r="A576" s="0" t="s">
        <v>695</v>
      </c>
      <c r="B576" s="3" t="s">
        <v>31</v>
      </c>
      <c r="D576" s="21" t="n">
        <f aca="false">(u_bw_26+u_rb_26+u_ru_26+u_hp_26)*1</f>
        <v>7.6</v>
      </c>
      <c r="E576" s="21" t="n">
        <f aca="false">(u_bw_27+u_rb_27+u_ru_27+u_hp_27)*1*1</f>
        <v>9.7</v>
      </c>
      <c r="F576" s="21" t="n">
        <f aca="false">(u_bw_28+u_rb_28+u_ru_28+u_hp_28)*um28_A*1</f>
        <v>9.5</v>
      </c>
      <c r="G576" s="21" t="n">
        <f aca="false">(u_bw_28*(1+g29_bw)+u_rb_28*(1+g29_rb)+u_ru_28*(1+g29_ru)+u_hp_28*(1+g29_hp))*um29_A*1</f>
        <v>10.6</v>
      </c>
      <c r="K576" s="7" t="s">
        <v>696</v>
      </c>
    </row>
    <row r="577" customFormat="false" ht="17.15" hidden="false" customHeight="false" outlineLevel="0" collapsed="false">
      <c r="A577" s="3" t="s">
        <v>697</v>
      </c>
      <c r="B577" s="3" t="s">
        <v>31</v>
      </c>
      <c r="D577" s="21" t="n">
        <f aca="false">(u_amd_26+u_tpu_26+u_trn_26+u_oth_26)*1</f>
        <v>7.6</v>
      </c>
      <c r="E577" s="21" t="n">
        <f aca="false">(u_amd_27+u_tpu_27+u_trn_27+u_oth_27)*1*1</f>
        <v>14</v>
      </c>
      <c r="F577" s="21" t="n">
        <f aca="false">(u_amd_28+u_tpu_28+u_trn_28+u_oth_28)*um28_A*1</f>
        <v>17</v>
      </c>
      <c r="G577" s="21" t="n">
        <f aca="false">(u_amd_28*(1+g29_amd)+u_tpu_28*(1+g29_tpu)+u_trn_28*(1+g29_trn)+u_oth_28*(1+g29_oth))*um29_A*1</f>
        <v>19.55</v>
      </c>
      <c r="K577" s="7" t="s">
        <v>698</v>
      </c>
    </row>
    <row r="578" customFormat="false" ht="17.15" hidden="false" customHeight="false" outlineLevel="0" collapsed="false">
      <c r="A578" s="0" t="s">
        <v>699</v>
      </c>
      <c r="B578" s="3" t="s">
        <v>31</v>
      </c>
      <c r="D578" s="21" t="n">
        <f aca="false">D576*cpu_r</f>
        <v>3.04</v>
      </c>
      <c r="E578" s="21" t="n">
        <f aca="false">E576*cpu_r</f>
        <v>3.88</v>
      </c>
      <c r="F578" s="21" t="n">
        <f aca="false">F576*cpu_r</f>
        <v>3.8</v>
      </c>
      <c r="G578" s="21" t="n">
        <f aca="false">G576*cpu_r</f>
        <v>4.24</v>
      </c>
      <c r="K578" s="7" t="s">
        <v>700</v>
      </c>
    </row>
    <row r="579" customFormat="false" ht="17.15" hidden="false" customHeight="false" outlineLevel="0" collapsed="false">
      <c r="A579" s="3" t="s">
        <v>701</v>
      </c>
      <c r="B579" s="0" t="s">
        <v>153</v>
      </c>
      <c r="D579" s="19" t="n">
        <f aca="false">1</f>
        <v>1</v>
      </c>
      <c r="E579" s="19" t="n">
        <f aca="false">D579*(1+g_asp)</f>
        <v>1.18</v>
      </c>
      <c r="F579" s="19" t="n">
        <f aca="false">E579*(1+g_asp)</f>
        <v>1.3924</v>
      </c>
      <c r="G579" s="19" t="n">
        <f aca="false">F579*(1+g_asp)</f>
        <v>1.643032</v>
      </c>
      <c r="K579" s="7" t="s">
        <v>702</v>
      </c>
    </row>
    <row r="580" customFormat="false" ht="17.15" hidden="false" customHeight="false" outlineLevel="0" collapsed="false">
      <c r="A580" s="0" t="s">
        <v>703</v>
      </c>
      <c r="B580" s="0" t="s">
        <v>153</v>
      </c>
      <c r="D580" s="18" t="n">
        <f aca="false">1</f>
        <v>1</v>
      </c>
      <c r="E580" s="18" t="n">
        <f aca="false">ibpp_27</f>
        <v>1</v>
      </c>
      <c r="F580" s="18" t="n">
        <f aca="false">ibpp_28</f>
        <v>0.95</v>
      </c>
      <c r="G580" s="18" t="n">
        <f aca="false">ibpp_29</f>
        <v>0.9</v>
      </c>
      <c r="K580" s="7" t="s">
        <v>704</v>
      </c>
    </row>
    <row r="581" customFormat="false" ht="17.15" hidden="false" customHeight="false" outlineLevel="0" collapsed="false">
      <c r="A581" s="3" t="s">
        <v>705</v>
      </c>
      <c r="B581" s="0" t="s">
        <v>153</v>
      </c>
      <c r="D581" s="18" t="n">
        <f aca="false">1</f>
        <v>1</v>
      </c>
      <c r="E581" s="18" t="n">
        <f aca="false">1+carry</f>
        <v>1.15</v>
      </c>
      <c r="F581" s="18" t="n">
        <f aca="false">1+carry</f>
        <v>1.15</v>
      </c>
      <c r="G581" s="18" t="n">
        <f aca="false">1+carry</f>
        <v>1.15</v>
      </c>
      <c r="K581" s="7" t="s">
        <v>706</v>
      </c>
    </row>
    <row r="582" customFormat="false" ht="17.15" hidden="false" customHeight="false" outlineLevel="0" collapsed="false">
      <c r="A582" s="3" t="s">
        <v>707</v>
      </c>
      <c r="B582" s="0" t="s">
        <v>708</v>
      </c>
      <c r="D582" s="23" t="n">
        <f aca="false">v26*D579*D580</f>
        <v>215.308596</v>
      </c>
      <c r="E582" s="23" t="n">
        <f aca="false">v26*E579*E580</f>
        <v>254.06414328</v>
      </c>
      <c r="F582" s="23" t="n">
        <f aca="false">v26*F579*F580</f>
        <v>284.80590461688</v>
      </c>
      <c r="G582" s="23" t="n">
        <f aca="false">v26*G579*G580</f>
        <v>318.383021792765</v>
      </c>
      <c r="K582" s="7" t="s">
        <v>709</v>
      </c>
    </row>
    <row r="583" customFormat="false" ht="17.15" hidden="false" customHeight="false" outlineLevel="0" collapsed="false">
      <c r="A583" s="3" t="s">
        <v>710</v>
      </c>
      <c r="B583" s="0" t="s">
        <v>43</v>
      </c>
      <c r="D583" s="20" t="n">
        <f aca="false">sh_nv_26</f>
        <v>0.02</v>
      </c>
      <c r="E583" s="20" t="n">
        <f aca="false">sh_nv_27</f>
        <v>0.03</v>
      </c>
      <c r="F583" s="20" t="n">
        <f aca="false">sh_nv_28</f>
        <v>0.05</v>
      </c>
      <c r="G583" s="20" t="n">
        <f aca="false">sh_nv_29</f>
        <v>0.06</v>
      </c>
    </row>
    <row r="584" customFormat="false" ht="17.15" hidden="false" customHeight="false" outlineLevel="0" collapsed="false">
      <c r="A584" s="3" t="s">
        <v>711</v>
      </c>
      <c r="B584" s="0" t="s">
        <v>43</v>
      </c>
      <c r="D584" s="20" t="n">
        <f aca="false">sh_ot_26</f>
        <v>0.03</v>
      </c>
      <c r="E584" s="20" t="n">
        <f aca="false">sh_ot_27</f>
        <v>0.05</v>
      </c>
      <c r="F584" s="20" t="n">
        <f aca="false">sh_ot_28</f>
        <v>0.06</v>
      </c>
      <c r="G584" s="20" t="n">
        <f aca="false">sh_ot_29</f>
        <v>0.06</v>
      </c>
    </row>
    <row r="585" customFormat="false" ht="17.15" hidden="false" customHeight="false" outlineLevel="0" collapsed="false">
      <c r="A585" s="3" t="s">
        <v>712</v>
      </c>
      <c r="B585" s="0" t="s">
        <v>43</v>
      </c>
      <c r="D585" s="20" t="n">
        <f aca="false">sh_cpu_26</f>
        <v>0.35</v>
      </c>
      <c r="E585" s="20" t="n">
        <f aca="false">sh_cpu_27</f>
        <v>0.7</v>
      </c>
      <c r="F585" s="20" t="n">
        <f aca="false">sh_cpu_28</f>
        <v>0.75</v>
      </c>
      <c r="G585" s="20" t="n">
        <f aca="false">sh_cpu_29</f>
        <v>0.7</v>
      </c>
    </row>
    <row r="586" customFormat="false" ht="17.15" hidden="false" customHeight="false" outlineLevel="0" collapsed="false">
      <c r="A586" s="3" t="s">
        <v>713</v>
      </c>
      <c r="B586" s="0" t="s">
        <v>660</v>
      </c>
      <c r="D586" s="22" t="n">
        <f aca="false">(D576*D582*D583+D577*D582*v_ot*D584+D578*D582*v_cpu*D585)*D581</f>
        <v>140.7256983456</v>
      </c>
      <c r="E586" s="22" t="n">
        <f aca="false">(E576*E582*E583+E577*E582*v_ot*E584+E578*E582*v_cpu*E585)*E581</f>
        <v>486.703057357198</v>
      </c>
      <c r="F586" s="22" t="n">
        <f aca="false">(F576*F582*F583+F577*F582*v_ot*F584+F578*F582*v_cpu*F585)*F581</f>
        <v>702.872492003998</v>
      </c>
      <c r="G586" s="22" t="n">
        <f aca="false">(G576*G582*G583+G577*G582*v_ot*G584+G578*G582*v_cpu*G585)*G581</f>
        <v>902.463042932027</v>
      </c>
    </row>
    <row r="587" customFormat="false" ht="17.15" hidden="false" customHeight="false" outlineLevel="0" collapsed="false">
      <c r="A587" s="3" t="s">
        <v>714</v>
      </c>
      <c r="B587" s="0" t="s">
        <v>379</v>
      </c>
      <c r="D587" s="21" t="n">
        <f aca="false">D586*fx/1000</f>
        <v>4.573585196232</v>
      </c>
      <c r="E587" s="21" t="n">
        <f aca="false">E586*fx/1000</f>
        <v>15.8178493641089</v>
      </c>
      <c r="F587" s="21" t="n">
        <f aca="false">F586*fx/1000</f>
        <v>22.8433559901299</v>
      </c>
      <c r="G587" s="21" t="n">
        <f aca="false">G586*fx/1000</f>
        <v>29.3300488952909</v>
      </c>
    </row>
    <row r="588" customFormat="false" ht="17.15" hidden="false" customHeight="false" outlineLevel="0" collapsed="false">
      <c r="A588" s="5" t="s">
        <v>715</v>
      </c>
    </row>
    <row r="589" customFormat="false" ht="17.15" hidden="false" customHeight="false" outlineLevel="0" collapsed="false">
      <c r="A589" s="0" t="s">
        <v>716</v>
      </c>
      <c r="B589" s="0" t="s">
        <v>379</v>
      </c>
      <c r="D589" s="21" t="n">
        <f aca="false">a26_abf*ai_abf</f>
        <v>5.714709</v>
      </c>
      <c r="K589" s="3" t="s">
        <v>717</v>
      </c>
    </row>
    <row r="590" customFormat="false" ht="17.15" hidden="false" customHeight="false" outlineLevel="0" collapsed="false">
      <c r="A590" s="3" t="s">
        <v>718</v>
      </c>
      <c r="B590" s="0" t="s">
        <v>379</v>
      </c>
      <c r="D590" s="21" t="n">
        <f aca="false">D589-D587</f>
        <v>1.141123803768</v>
      </c>
      <c r="E590" s="21" t="n">
        <f aca="false">$D590*(swm_27/swm_26)^el_o*1*1*E580*E581</f>
        <v>1.83552013039205</v>
      </c>
      <c r="F590" s="21" t="n">
        <f aca="false">$D590*(swm_28/swm_26)^el_o*um28_A*1*F580*F581</f>
        <v>1.87583060833026</v>
      </c>
      <c r="G590" s="21" t="n">
        <f aca="false">$D590*(swm_29/swm_26)^el_o*um29_A*1*G580*G581</f>
        <v>1.89582733342525</v>
      </c>
      <c r="K590" s="7" t="s">
        <v>719</v>
      </c>
    </row>
    <row r="591" customFormat="false" ht="17.15" hidden="false" customHeight="false" outlineLevel="0" collapsed="false">
      <c r="A591" s="3" t="s">
        <v>720</v>
      </c>
      <c r="B591" s="0" t="s">
        <v>379</v>
      </c>
      <c r="D591" s="21" t="n">
        <f aca="false">a26_abf-D589</f>
        <v>17.144127</v>
      </c>
      <c r="E591" s="21" t="n">
        <f aca="false">$D591*(1+g_nai)^1*E581</f>
        <v>20.898690813</v>
      </c>
      <c r="F591" s="21" t="n">
        <f aca="false">$D591*(1+g_nai)^2*F581</f>
        <v>22.15261226178</v>
      </c>
      <c r="G591" s="21" t="n">
        <f aca="false">$D591*(1+g_nai)^3*G581</f>
        <v>23.4817689974868</v>
      </c>
      <c r="K591" s="3" t="s">
        <v>721</v>
      </c>
    </row>
    <row r="592" customFormat="false" ht="17.15" hidden="false" customHeight="false" outlineLevel="0" collapsed="false">
      <c r="A592" s="0" t="s">
        <v>722</v>
      </c>
      <c r="B592" s="0" t="s">
        <v>379</v>
      </c>
      <c r="D592" s="21" t="n">
        <f aca="false">D587+D590+D591</f>
        <v>22.858836</v>
      </c>
      <c r="E592" s="21" t="n">
        <f aca="false">E587+E590+E591</f>
        <v>38.552060307501</v>
      </c>
      <c r="F592" s="21" t="n">
        <f aca="false">F587+F590+F591</f>
        <v>46.8717988602402</v>
      </c>
      <c r="G592" s="21" t="n">
        <f aca="false">G587+G590+G591</f>
        <v>54.7076452262029</v>
      </c>
    </row>
    <row r="593" customFormat="false" ht="17.15" hidden="false" customHeight="false" outlineLevel="0" collapsed="false">
      <c r="A593" s="0" t="s">
        <v>723</v>
      </c>
      <c r="B593" s="0" t="s">
        <v>379</v>
      </c>
      <c r="D593" s="21" t="n">
        <f aca="false">a26_abf</f>
        <v>22.858836</v>
      </c>
      <c r="E593" s="21" t="n">
        <f aca="false">$D592*cap_27*(1+g_mix)^1*E580*E581</f>
        <v>33.122453364</v>
      </c>
      <c r="F593" s="21" t="n">
        <f aca="false">$D592*cap_28*(1+g_mix)^2*F580*F581</f>
        <v>41.2995590382375</v>
      </c>
      <c r="G593" s="21" t="n">
        <f aca="false">$D592*cap_29*(1+g_mix)^3*G580*G581</f>
        <v>50.6680379569114</v>
      </c>
      <c r="K593" s="7" t="s">
        <v>724</v>
      </c>
    </row>
    <row r="594" customFormat="false" ht="17.15" hidden="false" customHeight="false" outlineLevel="0" collapsed="false">
      <c r="A594" s="0" t="s">
        <v>725</v>
      </c>
      <c r="B594" s="0" t="s">
        <v>379</v>
      </c>
      <c r="D594" s="21" t="n">
        <f aca="false">a26_abf</f>
        <v>22.858836</v>
      </c>
      <c r="E594" s="21" t="n">
        <f aca="false">MIN(E592,E593)</f>
        <v>33.122453364</v>
      </c>
      <c r="F594" s="21" t="n">
        <f aca="false">MIN(F592,F593)</f>
        <v>41.2995590382375</v>
      </c>
      <c r="G594" s="21" t="n">
        <f aca="false">MIN(G592,G593)</f>
        <v>50.6680379569114</v>
      </c>
    </row>
    <row r="595" customFormat="false" ht="17.15" hidden="false" customHeight="false" outlineLevel="0" collapsed="false">
      <c r="A595" s="3" t="s">
        <v>726</v>
      </c>
      <c r="B595" s="0" t="s">
        <v>43</v>
      </c>
      <c r="D595" s="20" t="n">
        <f aca="false">D594/D592</f>
        <v>1</v>
      </c>
      <c r="E595" s="20" t="n">
        <f aca="false">E594/E592</f>
        <v>0.85916169200315</v>
      </c>
      <c r="F595" s="20" t="n">
        <f aca="false">F594/F592</f>
        <v>0.881117431856676</v>
      </c>
      <c r="G595" s="20" t="n">
        <f aca="false">G594/G592</f>
        <v>0.926160096041627</v>
      </c>
    </row>
    <row r="596" customFormat="false" ht="17.15" hidden="false" customHeight="false" outlineLevel="0" collapsed="false">
      <c r="A596" s="0" t="s">
        <v>727</v>
      </c>
      <c r="B596" s="0" t="s">
        <v>379</v>
      </c>
      <c r="D596" s="21" t="n">
        <f aca="false">(D587+D590)*D595</f>
        <v>5.714709</v>
      </c>
      <c r="E596" s="21" t="n">
        <f aca="false">(E587+E590)*E595</f>
        <v>15.1670988044522</v>
      </c>
      <c r="F596" s="21" t="n">
        <f aca="false">(F587+F590)*F595</f>
        <v>21.7805062132212</v>
      </c>
      <c r="G596" s="21" t="n">
        <f aca="false">(G587+G590)*G595</f>
        <v>28.9201605269717</v>
      </c>
    </row>
    <row r="597" customFormat="false" ht="17.15" hidden="false" customHeight="false" outlineLevel="0" collapsed="false">
      <c r="A597" s="3" t="s">
        <v>728</v>
      </c>
      <c r="B597" s="0" t="s">
        <v>43</v>
      </c>
      <c r="D597" s="20" t="n">
        <f aca="false">D587/(D587+D590)</f>
        <v>0.800318125775433</v>
      </c>
      <c r="E597" s="20" t="n">
        <f aca="false">E587/(E587+E590)</f>
        <v>0.896024374782173</v>
      </c>
      <c r="F597" s="20" t="n">
        <f aca="false">F587/(F587+F590)</f>
        <v>0.924114387791097</v>
      </c>
      <c r="G597" s="20" t="n">
        <f aca="false">G587/(G587+G590)</f>
        <v>0.939286657016792</v>
      </c>
    </row>
    <row r="598" customFormat="false" ht="17.15" hidden="false" customHeight="false" outlineLevel="0" collapsed="false">
      <c r="A598" s="5" t="s">
        <v>729</v>
      </c>
    </row>
    <row r="599" customFormat="false" ht="17.15" hidden="false" customHeight="false" outlineLevel="0" collapsed="false">
      <c r="A599" s="0" t="s">
        <v>730</v>
      </c>
      <c r="B599" s="0" t="s">
        <v>379</v>
      </c>
      <c r="D599" s="21" t="n">
        <f aca="false">a26_bt</f>
        <v>23.265964</v>
      </c>
      <c r="E599" s="21" t="n">
        <f aca="false">D599*(1+g_bt27_A)</f>
        <v>29.78043392</v>
      </c>
      <c r="F599" s="21" t="n">
        <f aca="false">E599*(1+g_bt28_A)</f>
        <v>32.758477312</v>
      </c>
      <c r="G599" s="21" t="n">
        <f aca="false">F599*(1+g_bt29_A)</f>
        <v>34.3964011776</v>
      </c>
      <c r="K599" s="7" t="s">
        <v>731</v>
      </c>
    </row>
    <row r="600" customFormat="false" ht="17.15" hidden="false" customHeight="false" outlineLevel="0" collapsed="false">
      <c r="A600" s="3" t="s">
        <v>616</v>
      </c>
      <c r="B600" s="0" t="s">
        <v>379</v>
      </c>
      <c r="C600" s="21" t="n">
        <f aca="false">a25_lens</f>
        <v>7.039</v>
      </c>
      <c r="D600" s="21" t="n">
        <f aca="false">a26_lens</f>
        <v>8.301</v>
      </c>
      <c r="E600" s="21" t="n">
        <f aca="false">D600*(1+g_lens)</f>
        <v>9.1311</v>
      </c>
      <c r="F600" s="21" t="n">
        <f aca="false">E600*(1+g_lens)</f>
        <v>10.04421</v>
      </c>
      <c r="G600" s="21" t="n">
        <f aca="false">F600*(1+g_lens)</f>
        <v>11.048631</v>
      </c>
      <c r="K600" s="3" t="s">
        <v>732</v>
      </c>
    </row>
    <row r="601" customFormat="false" ht="17.15" hidden="false" customHeight="false" outlineLevel="0" collapsed="false">
      <c r="A601" s="3" t="s">
        <v>573</v>
      </c>
      <c r="B601" s="0" t="s">
        <v>379</v>
      </c>
      <c r="C601" s="23" t="n">
        <f aca="false">a25_rev</f>
        <v>39.351</v>
      </c>
      <c r="D601" s="23" t="n">
        <f aca="false">D594+D599+D600</f>
        <v>54.4258</v>
      </c>
      <c r="E601" s="23" t="n">
        <f aca="false">E594+E599+E600</f>
        <v>72.033987284</v>
      </c>
      <c r="F601" s="23" t="n">
        <f aca="false">F594+F599+F600</f>
        <v>84.1022463502375</v>
      </c>
      <c r="G601" s="23" t="n">
        <f aca="false">G594+G599+G600</f>
        <v>96.1130701345114</v>
      </c>
      <c r="H601" s="25" t="n">
        <f aca="false">G601*(1+H602)</f>
        <v>107.186075216063</v>
      </c>
      <c r="I601" s="25" t="n">
        <f aca="false">H601*(1+I602)</f>
        <v>116.576010002736</v>
      </c>
      <c r="J601" s="25" t="n">
        <f aca="false">I601*(1+J602)</f>
        <v>123.5705706029</v>
      </c>
      <c r="K601" s="7" t="s">
        <v>733</v>
      </c>
    </row>
    <row r="602" customFormat="false" ht="15" hidden="false" customHeight="false" outlineLevel="0" collapsed="false">
      <c r="A602" s="3" t="s">
        <v>734</v>
      </c>
      <c r="B602" s="0" t="s">
        <v>43</v>
      </c>
      <c r="D602" s="20" t="n">
        <f aca="false">D601/C601-1</f>
        <v>0.383085563263958</v>
      </c>
      <c r="E602" s="20" t="n">
        <f aca="false">E601/D601-1</f>
        <v>0.323526476119781</v>
      </c>
      <c r="F602" s="20" t="n">
        <f aca="false">F601/E601-1</f>
        <v>0.167535624796909</v>
      </c>
      <c r="G602" s="20" t="n">
        <f aca="false">G601/F601-1</f>
        <v>0.142812163830389</v>
      </c>
      <c r="H602" s="26" t="n">
        <f aca="false">$G602+(fade_gA-$G602)*1/3</f>
        <v>0.115208109220259</v>
      </c>
      <c r="I602" s="26" t="n">
        <f aca="false">$G602+(fade_gA-$G602)*2/3</f>
        <v>0.0876040546101297</v>
      </c>
      <c r="J602" s="26" t="n">
        <f aca="false">$G602+(fade_gA-$G602)*3/3</f>
        <v>0.06</v>
      </c>
    </row>
    <row r="603" customFormat="false" ht="17.15" hidden="false" customHeight="false" outlineLevel="0" collapsed="false">
      <c r="A603" s="0" t="s">
        <v>735</v>
      </c>
      <c r="B603" s="0" t="s">
        <v>43</v>
      </c>
      <c r="D603" s="20" t="n">
        <f aca="false">D594/D601</f>
        <v>0.42</v>
      </c>
      <c r="E603" s="20" t="n">
        <f aca="false">E594/E601</f>
        <v>0.459817019893845</v>
      </c>
      <c r="F603" s="20" t="n">
        <f aca="false">F594/F601</f>
        <v>0.491063685341395</v>
      </c>
      <c r="G603" s="20" t="n">
        <f aca="false">G594/G601</f>
        <v>0.527171152539409</v>
      </c>
    </row>
    <row r="604" customFormat="false" ht="17.15" hidden="false" customHeight="false" outlineLevel="0" collapsed="false">
      <c r="A604" s="0" t="s">
        <v>736</v>
      </c>
      <c r="B604" s="0" t="s">
        <v>43</v>
      </c>
      <c r="D604" s="20" t="n">
        <f aca="false">D596/D601</f>
        <v>0.105</v>
      </c>
      <c r="E604" s="20" t="n">
        <f aca="false">E596/E601</f>
        <v>0.210554758612135</v>
      </c>
      <c r="F604" s="20" t="n">
        <f aca="false">F596/F601</f>
        <v>0.258976509646579</v>
      </c>
      <c r="G604" s="20" t="n">
        <f aca="false">G596/G601</f>
        <v>0.300897271167153</v>
      </c>
      <c r="K604" s="3" t="s">
        <v>737</v>
      </c>
    </row>
    <row r="605" customFormat="false" ht="17.15" hidden="false" customHeight="false" outlineLevel="0" collapsed="false">
      <c r="A605" s="5" t="s">
        <v>738</v>
      </c>
    </row>
    <row r="606" customFormat="false" ht="15" hidden="false" customHeight="false" outlineLevel="0" collapsed="false">
      <c r="A606" s="3" t="s">
        <v>739</v>
      </c>
      <c r="B606" s="0" t="s">
        <v>379</v>
      </c>
      <c r="C606" s="23" t="n">
        <f aca="false">a25_cx</f>
        <v>6.116</v>
      </c>
      <c r="D606" s="23" t="n">
        <f aca="false">capex26</f>
        <v>11</v>
      </c>
      <c r="E606" s="23" t="n">
        <f aca="false">cx27</f>
        <v>17</v>
      </c>
      <c r="F606" s="23" t="n">
        <f aca="false">cx28</f>
        <v>16</v>
      </c>
      <c r="G606" s="23" t="n">
        <f aca="false">cx29</f>
        <v>12</v>
      </c>
      <c r="H606" s="25" t="n">
        <f aca="false">H601*H625</f>
        <v>13.4817405534162</v>
      </c>
      <c r="I606" s="25" t="n">
        <f aca="false">I601*I625</f>
        <v>14.77073304233</v>
      </c>
      <c r="J606" s="25" t="n">
        <f aca="false">J601*J625</f>
        <v>15.7713906192965</v>
      </c>
    </row>
    <row r="607" customFormat="false" ht="17.15" hidden="false" customHeight="false" outlineLevel="0" collapsed="false">
      <c r="A607" s="3" t="s">
        <v>740</v>
      </c>
      <c r="B607" s="0" t="s">
        <v>379</v>
      </c>
      <c r="C607" s="23" t="n">
        <f aca="false">a25_da</f>
        <v>7.158</v>
      </c>
      <c r="D607" s="23" t="n">
        <f aca="false">da26</f>
        <v>8.32</v>
      </c>
      <c r="E607" s="23" t="n">
        <f aca="false">D607*(1-1/life)+D606/life</f>
        <v>8.655</v>
      </c>
      <c r="F607" s="23" t="n">
        <f aca="false">E607*(1-1/life)+E606/life</f>
        <v>9.698125</v>
      </c>
      <c r="G607" s="23" t="n">
        <f aca="false">F607*(1-1/life)+F606/life</f>
        <v>10.485859375</v>
      </c>
      <c r="H607" s="25" t="n">
        <f aca="false">H601*H608</f>
        <v>11.6939154071433</v>
      </c>
      <c r="I607" s="25" t="n">
        <f aca="false">I601*I608</f>
        <v>12.7183498110769</v>
      </c>
      <c r="J607" s="25" t="n">
        <f aca="false">J601*J608</f>
        <v>13.4814507997415</v>
      </c>
      <c r="K607" s="3" t="s">
        <v>741</v>
      </c>
    </row>
    <row r="608" customFormat="false" ht="17.15" hidden="false" customHeight="false" outlineLevel="0" collapsed="false">
      <c r="A608" s="3" t="s">
        <v>742</v>
      </c>
      <c r="B608" s="0" t="s">
        <v>43</v>
      </c>
      <c r="C608" s="20" t="n">
        <f aca="false">C607/C601</f>
        <v>0.181901349393916</v>
      </c>
      <c r="D608" s="20" t="n">
        <f aca="false">D607/D601</f>
        <v>0.152868676252807</v>
      </c>
      <c r="E608" s="20" t="n">
        <f aca="false">E607/E601</f>
        <v>0.120151616290196</v>
      </c>
      <c r="F608" s="20" t="n">
        <f aca="false">F607/F601</f>
        <v>0.115313507318376</v>
      </c>
      <c r="G608" s="20" t="n">
        <f aca="false">G607/G601</f>
        <v>0.109099203264706</v>
      </c>
      <c r="H608" s="26" t="n">
        <f aca="false">$G608</f>
        <v>0.109099203264706</v>
      </c>
      <c r="I608" s="26" t="n">
        <f aca="false">$G608</f>
        <v>0.109099203264706</v>
      </c>
      <c r="J608" s="26" t="n">
        <f aca="false">$G608</f>
        <v>0.109099203264706</v>
      </c>
    </row>
    <row r="609" customFormat="false" ht="17.15" hidden="false" customHeight="false" outlineLevel="0" collapsed="false">
      <c r="A609" s="0" t="s">
        <v>743</v>
      </c>
      <c r="B609" s="0" t="s">
        <v>379</v>
      </c>
      <c r="E609" s="21" t="n">
        <f aca="false">E595*((E587+E590)*(1-1/(E580*E581))+E591*(1-1/E581))</f>
        <v>4.320320004</v>
      </c>
      <c r="F609" s="21" t="n">
        <f aca="false">F595*((F587+F590)*(1-1/(F580*F581))+F591*(1-1/F581))</f>
        <v>4.39007949866158</v>
      </c>
      <c r="G609" s="21" t="n">
        <f aca="false">G595*((G587+G590)*(1-1/(G580*G581))+G591*(1-1/G581))</f>
        <v>3.81465610771581</v>
      </c>
      <c r="K609" s="7" t="s">
        <v>744</v>
      </c>
    </row>
    <row r="610" customFormat="false" ht="17.15" hidden="false" customHeight="false" outlineLevel="0" collapsed="false">
      <c r="A610" s="3" t="s">
        <v>745</v>
      </c>
      <c r="B610" s="0" t="s">
        <v>379</v>
      </c>
      <c r="C610" s="21" t="n">
        <f aca="false">a25_gp</f>
        <v>8.314</v>
      </c>
      <c r="D610" s="21" t="n">
        <f aca="false">a26_gp</f>
        <v>15.328536</v>
      </c>
      <c r="E610" s="21" t="n">
        <f aca="false">$D610+ft_abf_hi*(E594-E609-$D594)+ft_bt*(E599-$D599)+ft_lens*(E600-$D600)+E609-(E607-$D607)</f>
        <v>26.184890884</v>
      </c>
      <c r="F610" s="21" t="n">
        <f aca="false">$D610+ft_abf_hi*(F594-F609-$D594)+ft_bt*(F599-$D599)+ft_lens*(F600-$D600)+F609-(F607-$D607)</f>
        <v>31.8269521128071</v>
      </c>
      <c r="G610" s="21" t="n">
        <f aca="false">$D610+ft_abf_hi*(G594-G609-$D594)+ft_bt*(G599-$D599)+ft_lens*(G600-$D600)+G609-(G607-$D607)</f>
        <v>37.6191909221532</v>
      </c>
      <c r="K610" s="3" t="s">
        <v>746</v>
      </c>
    </row>
    <row r="611" customFormat="false" ht="15" hidden="false" customHeight="false" outlineLevel="0" collapsed="false">
      <c r="A611" s="3" t="s">
        <v>580</v>
      </c>
      <c r="B611" s="0" t="s">
        <v>43</v>
      </c>
      <c r="C611" s="16" t="n">
        <f aca="false">C610/C601</f>
        <v>0.211277985311682</v>
      </c>
      <c r="D611" s="16" t="n">
        <f aca="false">D610/D601</f>
        <v>0.281640986443929</v>
      </c>
      <c r="E611" s="16" t="n">
        <f aca="false">E610/E601</f>
        <v>0.36350744796014</v>
      </c>
      <c r="F611" s="16" t="n">
        <f aca="false">F610/F601</f>
        <v>0.378431653065082</v>
      </c>
      <c r="G611" s="16" t="n">
        <f aca="false">G610/G601</f>
        <v>0.391405569185384</v>
      </c>
    </row>
    <row r="612" customFormat="false" ht="15" hidden="false" customHeight="false" outlineLevel="0" collapsed="false">
      <c r="A612" s="3" t="s">
        <v>582</v>
      </c>
      <c r="B612" s="0" t="s">
        <v>379</v>
      </c>
      <c r="C612" s="21" t="n">
        <f aca="false">a25_opx</f>
        <v>5.644</v>
      </c>
      <c r="D612" s="21" t="n">
        <f aca="false">a26_opx</f>
        <v>6.54036</v>
      </c>
      <c r="E612" s="21" t="n">
        <f aca="false">D612*(1+phi*E602)</f>
        <v>7.80994777401287</v>
      </c>
      <c r="F612" s="21" t="n">
        <f aca="false">E612*(1+phi*F602)</f>
        <v>8.59501446198315</v>
      </c>
      <c r="G612" s="21" t="n">
        <f aca="false">F612*(1+phi*G602)</f>
        <v>9.33149803006473</v>
      </c>
    </row>
    <row r="613" customFormat="false" ht="15" hidden="false" customHeight="false" outlineLevel="0" collapsed="false">
      <c r="A613" s="3" t="s">
        <v>585</v>
      </c>
      <c r="B613" s="0" t="s">
        <v>379</v>
      </c>
      <c r="C613" s="21" t="n">
        <f aca="false">C610-C612</f>
        <v>2.67</v>
      </c>
      <c r="D613" s="21" t="n">
        <f aca="false">D610-D612</f>
        <v>8.788176</v>
      </c>
      <c r="E613" s="21" t="n">
        <f aca="false">E610-E612</f>
        <v>18.3749431099871</v>
      </c>
      <c r="F613" s="21" t="n">
        <f aca="false">F610-F612</f>
        <v>23.231937650824</v>
      </c>
      <c r="G613" s="21" t="n">
        <f aca="false">G610-G612</f>
        <v>28.2876928920884</v>
      </c>
    </row>
    <row r="614" customFormat="false" ht="15" hidden="false" customHeight="false" outlineLevel="0" collapsed="false">
      <c r="A614" s="3" t="s">
        <v>683</v>
      </c>
      <c r="B614" s="0" t="s">
        <v>43</v>
      </c>
      <c r="C614" s="16" t="n">
        <f aca="false">C613/C601</f>
        <v>0.0678508805367081</v>
      </c>
      <c r="D614" s="16" t="n">
        <f aca="false">D613/D601</f>
        <v>0.161470773052486</v>
      </c>
      <c r="E614" s="16" t="n">
        <f aca="false">E613/E601</f>
        <v>0.255087130433893</v>
      </c>
      <c r="F614" s="16" t="n">
        <f aca="false">F613/F601</f>
        <v>0.276234448650472</v>
      </c>
      <c r="G614" s="16" t="n">
        <f aca="false">G613/G601</f>
        <v>0.294316817187293</v>
      </c>
    </row>
    <row r="615" customFormat="false" ht="15" hidden="false" customHeight="false" outlineLevel="0" collapsed="false">
      <c r="A615" s="3" t="s">
        <v>588</v>
      </c>
      <c r="B615" s="0" t="s">
        <v>379</v>
      </c>
      <c r="C615" s="21" t="n">
        <f aca="false">a25_nonop</f>
        <v>0.417</v>
      </c>
      <c r="D615" s="21" t="n">
        <f aca="false">a26_nonop</f>
        <v>0.37882</v>
      </c>
      <c r="E615" s="21" t="n">
        <f aca="false">nonop27</f>
        <v>0.4</v>
      </c>
      <c r="F615" s="21" t="n">
        <f aca="false">nonop28</f>
        <v>0.4</v>
      </c>
      <c r="G615" s="21" t="n">
        <f aca="false">nonop29</f>
        <v>0.4</v>
      </c>
    </row>
    <row r="616" customFormat="false" ht="15" hidden="false" customHeight="false" outlineLevel="0" collapsed="false">
      <c r="A616" s="3" t="s">
        <v>590</v>
      </c>
      <c r="B616" s="0" t="s">
        <v>379</v>
      </c>
      <c r="C616" s="21" t="n">
        <f aca="false">C613+C615</f>
        <v>3.087</v>
      </c>
      <c r="D616" s="21" t="n">
        <f aca="false">D613+D615</f>
        <v>9.166996</v>
      </c>
      <c r="E616" s="21" t="n">
        <f aca="false">E613+E615</f>
        <v>18.7749431099871</v>
      </c>
      <c r="F616" s="21" t="n">
        <f aca="false">F613+F615</f>
        <v>23.631937650824</v>
      </c>
      <c r="G616" s="21" t="n">
        <f aca="false">G613+G615</f>
        <v>28.6876928920884</v>
      </c>
    </row>
    <row r="617" customFormat="false" ht="15" hidden="false" customHeight="false" outlineLevel="0" collapsed="false">
      <c r="A617" s="3" t="s">
        <v>591</v>
      </c>
      <c r="B617" s="0" t="s">
        <v>379</v>
      </c>
      <c r="E617" s="21" t="n">
        <f aca="false">E616*tax</f>
        <v>2.25299317319846</v>
      </c>
      <c r="F617" s="21" t="n">
        <f aca="false">F616*tax</f>
        <v>2.83583251809888</v>
      </c>
      <c r="G617" s="21" t="n">
        <f aca="false">G616*tax</f>
        <v>3.44252314705061</v>
      </c>
    </row>
    <row r="618" customFormat="false" ht="15" hidden="false" customHeight="false" outlineLevel="0" collapsed="false">
      <c r="A618" s="3" t="s">
        <v>592</v>
      </c>
      <c r="B618" s="0" t="s">
        <v>379</v>
      </c>
      <c r="C618" s="21" t="n">
        <f aca="false">a25_nic</f>
        <v>2.71712</v>
      </c>
      <c r="D618" s="21" t="n">
        <f aca="false">a26_nic</f>
        <v>8.39979776</v>
      </c>
      <c r="E618" s="21" t="n">
        <f aca="false">E616-E617</f>
        <v>16.5219499367887</v>
      </c>
      <c r="F618" s="21" t="n">
        <f aca="false">F616-F617</f>
        <v>20.7961051327251</v>
      </c>
      <c r="G618" s="21" t="n">
        <f aca="false">G616-G617</f>
        <v>25.2451697450378</v>
      </c>
    </row>
    <row r="619" customFormat="false" ht="17.15" hidden="false" customHeight="false" outlineLevel="0" collapsed="false">
      <c r="A619" s="3" t="s">
        <v>747</v>
      </c>
      <c r="B619" s="0" t="s">
        <v>379</v>
      </c>
      <c r="C619" s="21" t="n">
        <f aca="false">a25_nci</f>
        <v>1.12112</v>
      </c>
      <c r="D619" s="21" t="n">
        <f aca="false">a26_nci</f>
        <v>1.43839238487797</v>
      </c>
      <c r="E619" s="21" t="n">
        <f aca="false">E600*nm_lens*nci_sh</f>
        <v>1.57074538036261</v>
      </c>
      <c r="F619" s="21" t="n">
        <f aca="false">F600*nm_lens*nci_sh</f>
        <v>1.72781991839887</v>
      </c>
      <c r="G619" s="21" t="n">
        <f aca="false">G600*nm_lens*nci_sh</f>
        <v>1.90060191023875</v>
      </c>
      <c r="K619" s="3" t="s">
        <v>748</v>
      </c>
    </row>
    <row r="620" customFormat="false" ht="15" hidden="false" customHeight="false" outlineLevel="0" collapsed="false">
      <c r="A620" s="3" t="s">
        <v>598</v>
      </c>
      <c r="B620" s="0" t="s">
        <v>379</v>
      </c>
      <c r="C620" s="21" t="n">
        <f aca="false">a25_ni</f>
        <v>1.596</v>
      </c>
      <c r="D620" s="21" t="n">
        <f aca="false">a26_ni</f>
        <v>6.96140537512203</v>
      </c>
      <c r="E620" s="21" t="n">
        <f aca="false">E618-E619</f>
        <v>14.9512045564261</v>
      </c>
      <c r="F620" s="21" t="n">
        <f aca="false">F618-F619</f>
        <v>19.0682852143262</v>
      </c>
      <c r="G620" s="21" t="n">
        <f aca="false">G618-G619</f>
        <v>23.3445678347991</v>
      </c>
      <c r="H620" s="30" t="n">
        <f aca="false">H601*H624</f>
        <v>25.2491232671067</v>
      </c>
      <c r="I620" s="30" t="n">
        <f aca="false">I601*I624</f>
        <v>26.6073578690222</v>
      </c>
      <c r="J620" s="30" t="n">
        <f aca="false">J601*J624</f>
        <v>27.2988869112315</v>
      </c>
    </row>
    <row r="621" customFormat="false" ht="15" hidden="false" customHeight="false" outlineLevel="0" collapsed="false">
      <c r="A621" s="3" t="s">
        <v>749</v>
      </c>
      <c r="B621" s="3" t="s">
        <v>465</v>
      </c>
      <c r="C621" s="29" t="n">
        <f aca="false">a25_sh</f>
        <v>0.454700854700855</v>
      </c>
      <c r="D621" s="29" t="n">
        <f aca="false">a26_sh</f>
        <v>0.508341020486215</v>
      </c>
      <c r="E621" s="29" t="n">
        <f aca="false">a26_shend*(1+sh_g)</f>
        <v>0.52691</v>
      </c>
      <c r="F621" s="29" t="n">
        <f aca="false">E621*(1+sh_g)</f>
        <v>0.52691</v>
      </c>
      <c r="G621" s="29" t="n">
        <f aca="false">F621*(1+sh_g)</f>
        <v>0.52691</v>
      </c>
      <c r="H621" s="31" t="n">
        <f aca="false">G621*(1+sh_g)</f>
        <v>0.52691</v>
      </c>
      <c r="I621" s="31" t="n">
        <f aca="false">H621*(1+sh_g)</f>
        <v>0.52691</v>
      </c>
      <c r="J621" s="31" t="n">
        <f aca="false">I621*(1+sh_g)</f>
        <v>0.52691</v>
      </c>
    </row>
    <row r="622" customFormat="false" ht="17.15" hidden="false" customHeight="false" outlineLevel="0" collapsed="false">
      <c r="A622" s="0" t="s">
        <v>603</v>
      </c>
      <c r="B622" s="0" t="s">
        <v>471</v>
      </c>
      <c r="C622" s="18" t="n">
        <f aca="false">C620/C621</f>
        <v>3.51</v>
      </c>
      <c r="D622" s="18" t="n">
        <f aca="false">D620/D621</f>
        <v>13.6943608612652</v>
      </c>
      <c r="E622" s="18" t="n">
        <f aca="false">E620/E621</f>
        <v>28.3752529965764</v>
      </c>
      <c r="F622" s="18" t="n">
        <f aca="false">F620/F621</f>
        <v>36.1888846564427</v>
      </c>
      <c r="G622" s="18" t="n">
        <f aca="false">G620/G621</f>
        <v>44.3046589261905</v>
      </c>
      <c r="H622" s="28" t="n">
        <f aca="false">H620/H621</f>
        <v>47.9192333930019</v>
      </c>
      <c r="I622" s="28" t="n">
        <f aca="false">I620/I621</f>
        <v>50.4969688732842</v>
      </c>
      <c r="J622" s="28" t="n">
        <f aca="false">J620/J621</f>
        <v>51.8093923274022</v>
      </c>
    </row>
    <row r="623" customFormat="false" ht="17.15" hidden="false" customHeight="false" outlineLevel="0" collapsed="false">
      <c r="A623" s="0" t="s">
        <v>750</v>
      </c>
      <c r="B623" s="0" t="s">
        <v>43</v>
      </c>
      <c r="D623" s="20" t="n">
        <f aca="false">D622/C622-1</f>
        <v>2.90152731090177</v>
      </c>
      <c r="E623" s="20" t="n">
        <f aca="false">E622/D622-1</f>
        <v>1.07203923454627</v>
      </c>
      <c r="F623" s="20" t="n">
        <f aca="false">F622/E622-1</f>
        <v>0.27536782353303</v>
      </c>
      <c r="G623" s="20" t="n">
        <f aca="false">G622/F622-1</f>
        <v>0.224261519712323</v>
      </c>
      <c r="H623" s="26" t="n">
        <f aca="false">H622/G622-1</f>
        <v>0.0815845230370267</v>
      </c>
      <c r="I623" s="26" t="n">
        <f aca="false">I622/H622-1</f>
        <v>0.0537933372001458</v>
      </c>
      <c r="J623" s="26" t="n">
        <f aca="false">J622/I622-1</f>
        <v>0.0259901432383265</v>
      </c>
    </row>
    <row r="624" customFormat="false" ht="17.15" hidden="false" customHeight="false" outlineLevel="0" collapsed="false">
      <c r="A624" s="3" t="s">
        <v>751</v>
      </c>
      <c r="B624" s="0" t="s">
        <v>43</v>
      </c>
      <c r="C624" s="16" t="n">
        <f aca="false">C620/C601</f>
        <v>0.0405580544331783</v>
      </c>
      <c r="D624" s="16" t="n">
        <f aca="false">D620/D601</f>
        <v>0.127906349105057</v>
      </c>
      <c r="E624" s="16" t="n">
        <f aca="false">E620/E601</f>
        <v>0.207557642165214</v>
      </c>
      <c r="F624" s="16" t="n">
        <f aca="false">F620/F601</f>
        <v>0.226727418610411</v>
      </c>
      <c r="G624" s="16" t="n">
        <f aca="false">G620/G601</f>
        <v>0.24288650650872</v>
      </c>
      <c r="H624" s="27" t="n">
        <f aca="false">$G624+(fade_mA-$G624)*1/3</f>
        <v>0.235563464901669</v>
      </c>
      <c r="I624" s="27" t="n">
        <f aca="false">$G624+(fade_mA-$G624)*2/3</f>
        <v>0.228240423294619</v>
      </c>
      <c r="J624" s="27" t="n">
        <f aca="false">$G624+(fade_mA-$G624)*3/3</f>
        <v>0.220917381687568</v>
      </c>
    </row>
    <row r="625" customFormat="false" ht="17.15" hidden="false" customHeight="false" outlineLevel="0" collapsed="false">
      <c r="A625" s="3" t="s">
        <v>752</v>
      </c>
      <c r="B625" s="0" t="s">
        <v>43</v>
      </c>
      <c r="C625" s="20" t="n">
        <f aca="false">C606/C601</f>
        <v>0.155421717364235</v>
      </c>
      <c r="D625" s="20" t="n">
        <f aca="false">D606/D601</f>
        <v>0.202110028699624</v>
      </c>
      <c r="E625" s="20" t="n">
        <f aca="false">E606/E601</f>
        <v>0.235999708484498</v>
      </c>
      <c r="F625" s="20" t="n">
        <f aca="false">F606/F601</f>
        <v>0.190244621212247</v>
      </c>
      <c r="G625" s="20" t="n">
        <f aca="false">G606/G601</f>
        <v>0.124852946464054</v>
      </c>
      <c r="H625" s="26" t="n">
        <f aca="false">$G625+($G608*(1+tp_g)^(life/2)-$G625)*1/3</f>
        <v>0.125778843252168</v>
      </c>
      <c r="I625" s="26" t="n">
        <f aca="false">$G625+($G608*(1+tp_g)^(life/2)-$G625)*2/3</f>
        <v>0.126704740040282</v>
      </c>
      <c r="J625" s="26" t="n">
        <f aca="false">$G625+($G608*(1+tp_g)^(life/2)-$G625)*3/3</f>
        <v>0.127630636828396</v>
      </c>
      <c r="K625" s="7" t="s">
        <v>753</v>
      </c>
    </row>
    <row r="626" customFormat="false" ht="15" hidden="false" customHeight="false" outlineLevel="0" collapsed="false">
      <c r="A626" s="3" t="s">
        <v>754</v>
      </c>
      <c r="B626" s="0" t="s">
        <v>379</v>
      </c>
      <c r="D626" s="21" t="n">
        <f aca="false">D620+D607-D606</f>
        <v>4.28140537512203</v>
      </c>
      <c r="E626" s="21" t="n">
        <f aca="false">E620+E607-E606</f>
        <v>6.60620455642607</v>
      </c>
      <c r="F626" s="21" t="n">
        <f aca="false">F620+F607-F606</f>
        <v>12.7664102143262</v>
      </c>
      <c r="G626" s="21" t="n">
        <f aca="false">G620+G607-G606</f>
        <v>21.8304272097991</v>
      </c>
      <c r="H626" s="30" t="n">
        <f aca="false">H620+H607-H606</f>
        <v>23.4612981208337</v>
      </c>
      <c r="I626" s="30" t="n">
        <f aca="false">I620+I607-I606</f>
        <v>24.5549746377691</v>
      </c>
      <c r="J626" s="30" t="n">
        <f aca="false">J620+J607-J606</f>
        <v>25.0089470916765</v>
      </c>
      <c r="K626" s="3" t="s">
        <v>755</v>
      </c>
    </row>
    <row r="627" customFormat="false" ht="15" hidden="false" customHeight="false" outlineLevel="0" collapsed="false">
      <c r="A627" s="3" t="s">
        <v>756</v>
      </c>
      <c r="B627" s="0" t="s">
        <v>471</v>
      </c>
      <c r="D627" s="18" t="n">
        <f aca="false">D626/D621</f>
        <v>8.42230943909854</v>
      </c>
      <c r="E627" s="18" t="n">
        <f aca="false">E626/E621</f>
        <v>12.5376336687975</v>
      </c>
      <c r="F627" s="18" t="n">
        <f aca="false">F626/F621</f>
        <v>24.2288250637229</v>
      </c>
      <c r="G627" s="18" t="n">
        <f aca="false">G626/G621</f>
        <v>41.4310360589077</v>
      </c>
      <c r="H627" s="28" t="n">
        <f aca="false">H626/H621</f>
        <v>44.5261963539005</v>
      </c>
      <c r="I627" s="28" t="n">
        <f aca="false">I626/I621</f>
        <v>46.6018383362796</v>
      </c>
      <c r="J627" s="28" t="n">
        <f aca="false">J626/J621</f>
        <v>47.4634132805916</v>
      </c>
    </row>
    <row r="630" customFormat="false" ht="17.15" hidden="false" customHeight="false" outlineLevel="0" collapsed="false">
      <c r="A630" s="1" t="s">
        <v>1100</v>
      </c>
    </row>
    <row r="631" customFormat="false" ht="17.15" hidden="false" customHeight="false" outlineLevel="0" collapsed="false">
      <c r="A631" s="4" t="s">
        <v>20</v>
      </c>
      <c r="B631" s="4" t="s">
        <v>21</v>
      </c>
      <c r="C631" s="13" t="s">
        <v>566</v>
      </c>
      <c r="D631" s="13" t="s">
        <v>670</v>
      </c>
      <c r="E631" s="13" t="s">
        <v>671</v>
      </c>
      <c r="F631" s="13" t="s">
        <v>672</v>
      </c>
      <c r="G631" s="13" t="s">
        <v>673</v>
      </c>
      <c r="H631" s="13" t="s">
        <v>674</v>
      </c>
      <c r="I631" s="13" t="s">
        <v>675</v>
      </c>
      <c r="J631" s="13" t="s">
        <v>676</v>
      </c>
      <c r="K631" s="4" t="s">
        <v>630</v>
      </c>
    </row>
    <row r="632" customFormat="false" ht="17.15" hidden="false" customHeight="false" outlineLevel="0" collapsed="false">
      <c r="A632" s="5" t="s">
        <v>694</v>
      </c>
    </row>
    <row r="633" customFormat="false" ht="17.15" hidden="false" customHeight="false" outlineLevel="0" collapsed="false">
      <c r="A633" s="0" t="s">
        <v>695</v>
      </c>
      <c r="B633" s="3" t="s">
        <v>31</v>
      </c>
      <c r="D633" s="21" t="n">
        <f aca="false">(u_bw_26+u_rb_26+u_ru_26+u_hp_26)*1</f>
        <v>7.6</v>
      </c>
      <c r="E633" s="21" t="n">
        <f aca="false">(u_bw_27+u_rb_27+u_ru_27+u_hp_27)*1*1</f>
        <v>9.7</v>
      </c>
      <c r="F633" s="21" t="n">
        <f aca="false">(u_bw_28+u_rb_28+u_ru_28+u_hp_28)*um28_A*1</f>
        <v>9.5</v>
      </c>
      <c r="G633" s="21" t="n">
        <f aca="false">(u_bw_28*(1+g29_bw)+u_rb_28*(1+g29_rb)+u_ru_28*(1+g29_ru)+u_hp_28*(1+g29_hp))*um29_A*1</f>
        <v>10.6</v>
      </c>
      <c r="K633" s="7" t="s">
        <v>696</v>
      </c>
    </row>
    <row r="634" customFormat="false" ht="17.15" hidden="false" customHeight="false" outlineLevel="0" collapsed="false">
      <c r="A634" s="3" t="s">
        <v>697</v>
      </c>
      <c r="B634" s="3" t="s">
        <v>31</v>
      </c>
      <c r="D634" s="21" t="n">
        <f aca="false">(u_amd_26+u_tpu_26+u_trn_26+u_oth_26)*1</f>
        <v>7.6</v>
      </c>
      <c r="E634" s="21" t="n">
        <f aca="false">(u_amd_27+u_tpu_27+u_trn_27+u_oth_27)*1*1</f>
        <v>14</v>
      </c>
      <c r="F634" s="21" t="n">
        <f aca="false">(u_amd_28+u_tpu_28+u_trn_28+u_oth_28)*um28_A*1</f>
        <v>17</v>
      </c>
      <c r="G634" s="21" t="n">
        <f aca="false">(u_amd_28*(1+g29_amd)+u_tpu_28*(1+g29_tpu)+u_trn_28*(1+g29_trn)+u_oth_28*(1+g29_oth))*um29_A*1</f>
        <v>19.55</v>
      </c>
      <c r="K634" s="7" t="s">
        <v>698</v>
      </c>
    </row>
    <row r="635" customFormat="false" ht="17.15" hidden="false" customHeight="false" outlineLevel="0" collapsed="false">
      <c r="A635" s="0" t="s">
        <v>699</v>
      </c>
      <c r="B635" s="3" t="s">
        <v>31</v>
      </c>
      <c r="D635" s="21" t="n">
        <f aca="false">D633*cpu_r</f>
        <v>3.04</v>
      </c>
      <c r="E635" s="21" t="n">
        <f aca="false">E633*cpu_r</f>
        <v>3.88</v>
      </c>
      <c r="F635" s="21" t="n">
        <f aca="false">F633*cpu_r</f>
        <v>3.8</v>
      </c>
      <c r="G635" s="21" t="n">
        <f aca="false">G633*cpu_r</f>
        <v>4.24</v>
      </c>
      <c r="K635" s="7" t="s">
        <v>700</v>
      </c>
    </row>
    <row r="636" customFormat="false" ht="17.15" hidden="false" customHeight="false" outlineLevel="0" collapsed="false">
      <c r="A636" s="3" t="s">
        <v>701</v>
      </c>
      <c r="B636" s="0" t="s">
        <v>153</v>
      </c>
      <c r="D636" s="19" t="n">
        <f aca="false">1</f>
        <v>1</v>
      </c>
      <c r="E636" s="19" t="n">
        <f aca="false">D636*(1+g_asp)</f>
        <v>1.18</v>
      </c>
      <c r="F636" s="19" t="n">
        <f aca="false">E636*(1+g_asp)</f>
        <v>1.3924</v>
      </c>
      <c r="G636" s="19" t="n">
        <f aca="false">F636*(1+g_asp)</f>
        <v>1.643032</v>
      </c>
      <c r="K636" s="7" t="s">
        <v>702</v>
      </c>
    </row>
    <row r="637" customFormat="false" ht="17.15" hidden="false" customHeight="false" outlineLevel="0" collapsed="false">
      <c r="A637" s="0" t="s">
        <v>703</v>
      </c>
      <c r="B637" s="0" t="s">
        <v>153</v>
      </c>
      <c r="D637" s="18" t="n">
        <f aca="false">1</f>
        <v>1</v>
      </c>
      <c r="E637" s="18" t="n">
        <f aca="false">ibpp_27</f>
        <v>1</v>
      </c>
      <c r="F637" s="18" t="n">
        <f aca="false">ibpp_28</f>
        <v>0.95</v>
      </c>
      <c r="G637" s="18" t="n">
        <f aca="false">ibpp_29</f>
        <v>0.9</v>
      </c>
      <c r="K637" s="7" t="s">
        <v>704</v>
      </c>
    </row>
    <row r="638" customFormat="false" ht="17.15" hidden="false" customHeight="false" outlineLevel="0" collapsed="false">
      <c r="A638" s="3" t="s">
        <v>705</v>
      </c>
      <c r="B638" s="0" t="s">
        <v>153</v>
      </c>
      <c r="D638" s="18" t="n">
        <f aca="false">1</f>
        <v>1</v>
      </c>
      <c r="E638" s="18" t="n">
        <f aca="false">1+carry</f>
        <v>1.15</v>
      </c>
      <c r="F638" s="18" t="n">
        <f aca="false">1+carry</f>
        <v>1.15</v>
      </c>
      <c r="G638" s="18" t="n">
        <f aca="false">1+carry</f>
        <v>1.15</v>
      </c>
      <c r="K638" s="7" t="s">
        <v>706</v>
      </c>
    </row>
    <row r="639" customFormat="false" ht="17.15" hidden="false" customHeight="false" outlineLevel="0" collapsed="false">
      <c r="A639" s="3" t="s">
        <v>707</v>
      </c>
      <c r="B639" s="0" t="s">
        <v>708</v>
      </c>
      <c r="D639" s="23" t="n">
        <f aca="false">v26*D636*D637</f>
        <v>215.308596</v>
      </c>
      <c r="E639" s="23" t="n">
        <f aca="false">v26*E636*E637</f>
        <v>254.06414328</v>
      </c>
      <c r="F639" s="23" t="n">
        <f aca="false">v26*F636*F637</f>
        <v>284.80590461688</v>
      </c>
      <c r="G639" s="23" t="n">
        <f aca="false">v26*G636*G637</f>
        <v>318.383021792765</v>
      </c>
      <c r="K639" s="7" t="s">
        <v>709</v>
      </c>
    </row>
    <row r="640" customFormat="false" ht="17.15" hidden="false" customHeight="false" outlineLevel="0" collapsed="false">
      <c r="A640" s="3" t="s">
        <v>710</v>
      </c>
      <c r="B640" s="0" t="s">
        <v>43</v>
      </c>
      <c r="D640" s="20" t="n">
        <f aca="false">sh_nv_26</f>
        <v>0.02</v>
      </c>
      <c r="E640" s="20" t="n">
        <f aca="false">sh_nv_27</f>
        <v>0.03</v>
      </c>
      <c r="F640" s="20" t="n">
        <f aca="false">sh_nv_28</f>
        <v>0.05</v>
      </c>
      <c r="G640" s="20" t="n">
        <f aca="false">sh_nv_29</f>
        <v>0.06</v>
      </c>
    </row>
    <row r="641" customFormat="false" ht="17.15" hidden="false" customHeight="false" outlineLevel="0" collapsed="false">
      <c r="A641" s="3" t="s">
        <v>711</v>
      </c>
      <c r="B641" s="0" t="s">
        <v>43</v>
      </c>
      <c r="D641" s="20" t="n">
        <f aca="false">sh_ot_26</f>
        <v>0.03</v>
      </c>
      <c r="E641" s="20" t="n">
        <f aca="false">sh_ot_27</f>
        <v>0.05</v>
      </c>
      <c r="F641" s="20" t="n">
        <f aca="false">sh_ot_28</f>
        <v>0.06</v>
      </c>
      <c r="G641" s="20" t="n">
        <f aca="false">sh_ot_29</f>
        <v>0.06</v>
      </c>
    </row>
    <row r="642" customFormat="false" ht="17.15" hidden="false" customHeight="false" outlineLevel="0" collapsed="false">
      <c r="A642" s="3" t="s">
        <v>712</v>
      </c>
      <c r="B642" s="0" t="s">
        <v>43</v>
      </c>
      <c r="D642" s="20" t="n">
        <f aca="false">sh_cpu_26</f>
        <v>0.35</v>
      </c>
      <c r="E642" s="20" t="n">
        <f aca="false">sh_cpu_27</f>
        <v>0.7</v>
      </c>
      <c r="F642" s="20" t="n">
        <f aca="false">sh_cpu_28</f>
        <v>0.75</v>
      </c>
      <c r="G642" s="20" t="n">
        <f aca="false">sh_cpu_29</f>
        <v>0.7</v>
      </c>
    </row>
    <row r="643" customFormat="false" ht="17.15" hidden="false" customHeight="false" outlineLevel="0" collapsed="false">
      <c r="A643" s="3" t="s">
        <v>713</v>
      </c>
      <c r="B643" s="0" t="s">
        <v>660</v>
      </c>
      <c r="D643" s="22" t="n">
        <f aca="false">(D633*D639*D640+D634*D639*v_ot*D641+D635*D639*v_cpu*D642)*D638</f>
        <v>140.7256983456</v>
      </c>
      <c r="E643" s="22" t="n">
        <f aca="false">(E633*E639*E640+E634*E639*v_ot*E641+E635*E639*v_cpu*E642)*E638</f>
        <v>486.703057357198</v>
      </c>
      <c r="F643" s="22" t="n">
        <f aca="false">(F633*F639*F640+F634*F639*v_ot*F641+F635*F639*v_cpu*F642)*F638</f>
        <v>702.872492003998</v>
      </c>
      <c r="G643" s="22" t="n">
        <f aca="false">(G633*G639*G640+G634*G639*v_ot*G641+G635*G639*v_cpu*G642)*G638</f>
        <v>902.463042932027</v>
      </c>
    </row>
    <row r="644" customFormat="false" ht="17.15" hidden="false" customHeight="false" outlineLevel="0" collapsed="false">
      <c r="A644" s="3" t="s">
        <v>714</v>
      </c>
      <c r="B644" s="0" t="s">
        <v>379</v>
      </c>
      <c r="D644" s="21" t="n">
        <f aca="false">D643*fx/1000</f>
        <v>4.573585196232</v>
      </c>
      <c r="E644" s="21" t="n">
        <f aca="false">E643*fx/1000</f>
        <v>15.8178493641089</v>
      </c>
      <c r="F644" s="21" t="n">
        <f aca="false">F643*fx/1000</f>
        <v>22.8433559901299</v>
      </c>
      <c r="G644" s="21" t="n">
        <f aca="false">G643*fx/1000</f>
        <v>29.3300488952909</v>
      </c>
    </row>
    <row r="645" customFormat="false" ht="17.15" hidden="false" customHeight="false" outlineLevel="0" collapsed="false">
      <c r="A645" s="5" t="s">
        <v>715</v>
      </c>
    </row>
    <row r="646" customFormat="false" ht="17.15" hidden="false" customHeight="false" outlineLevel="0" collapsed="false">
      <c r="A646" s="0" t="s">
        <v>716</v>
      </c>
      <c r="B646" s="0" t="s">
        <v>379</v>
      </c>
      <c r="D646" s="21" t="n">
        <f aca="false">a26_abf*ai_abf</f>
        <v>5.714709</v>
      </c>
      <c r="K646" s="3" t="s">
        <v>717</v>
      </c>
    </row>
    <row r="647" customFormat="false" ht="17.15" hidden="false" customHeight="false" outlineLevel="0" collapsed="false">
      <c r="A647" s="3" t="s">
        <v>718</v>
      </c>
      <c r="B647" s="0" t="s">
        <v>379</v>
      </c>
      <c r="D647" s="21" t="n">
        <f aca="false">D646-D644</f>
        <v>1.141123803768</v>
      </c>
      <c r="E647" s="21" t="n">
        <f aca="false">$D647*(swm_27/swm_26)^el_o*1*1*E637*E638</f>
        <v>1.83552013039205</v>
      </c>
      <c r="F647" s="21" t="n">
        <f aca="false">$D647*(swm_28/swm_26)^el_o*um28_A*1*F637*F638</f>
        <v>1.87583060833026</v>
      </c>
      <c r="G647" s="21" t="n">
        <f aca="false">$D647*(swm_29/swm_26)^el_o*um29_A*1*G637*G638</f>
        <v>1.89582733342525</v>
      </c>
      <c r="K647" s="7" t="s">
        <v>719</v>
      </c>
    </row>
    <row r="648" customFormat="false" ht="17.15" hidden="false" customHeight="false" outlineLevel="0" collapsed="false">
      <c r="A648" s="3" t="s">
        <v>720</v>
      </c>
      <c r="B648" s="0" t="s">
        <v>379</v>
      </c>
      <c r="D648" s="21" t="n">
        <f aca="false">a26_abf-D646</f>
        <v>17.144127</v>
      </c>
      <c r="E648" s="21" t="n">
        <f aca="false">$D648*(1+g_nai)^1*E638</f>
        <v>20.898690813</v>
      </c>
      <c r="F648" s="21" t="n">
        <f aca="false">$D648*(1+g_nai)^2*F638</f>
        <v>22.15261226178</v>
      </c>
      <c r="G648" s="21" t="n">
        <f aca="false">$D648*(1+g_nai)^3*G638</f>
        <v>23.4817689974868</v>
      </c>
      <c r="K648" s="3" t="s">
        <v>721</v>
      </c>
    </row>
    <row r="649" customFormat="false" ht="17.15" hidden="false" customHeight="false" outlineLevel="0" collapsed="false">
      <c r="A649" s="0" t="s">
        <v>722</v>
      </c>
      <c r="B649" s="0" t="s">
        <v>379</v>
      </c>
      <c r="D649" s="21" t="n">
        <f aca="false">D644+D647+D648</f>
        <v>22.858836</v>
      </c>
      <c r="E649" s="21" t="n">
        <f aca="false">E644+E647+E648</f>
        <v>38.552060307501</v>
      </c>
      <c r="F649" s="21" t="n">
        <f aca="false">F644+F647+F648</f>
        <v>46.8717988602402</v>
      </c>
      <c r="G649" s="21" t="n">
        <f aca="false">G644+G647+G648</f>
        <v>54.7076452262029</v>
      </c>
    </row>
    <row r="650" customFormat="false" ht="17.15" hidden="false" customHeight="false" outlineLevel="0" collapsed="false">
      <c r="A650" s="0" t="s">
        <v>723</v>
      </c>
      <c r="B650" s="0" t="s">
        <v>379</v>
      </c>
      <c r="D650" s="21" t="n">
        <f aca="false">a26_abf</f>
        <v>22.858836</v>
      </c>
      <c r="E650" s="21" t="n">
        <f aca="false">$D649*cap_27*(1+g_mix)^1*E637*E638</f>
        <v>33.122453364</v>
      </c>
      <c r="F650" s="21" t="n">
        <f aca="false">$D649*cap_28*(1+g_mix)^2*F637*F638</f>
        <v>41.2995590382375</v>
      </c>
      <c r="G650" s="21" t="n">
        <f aca="false">$D649*cap_29*(1+g_mix)^3*G637*G638</f>
        <v>50.6680379569114</v>
      </c>
      <c r="K650" s="7" t="s">
        <v>724</v>
      </c>
    </row>
    <row r="651" customFormat="false" ht="17.15" hidden="false" customHeight="false" outlineLevel="0" collapsed="false">
      <c r="A651" s="0" t="s">
        <v>725</v>
      </c>
      <c r="B651" s="0" t="s">
        <v>379</v>
      </c>
      <c r="D651" s="21" t="n">
        <f aca="false">a26_abf</f>
        <v>22.858836</v>
      </c>
      <c r="E651" s="21" t="n">
        <f aca="false">MIN(E649,E650)</f>
        <v>33.122453364</v>
      </c>
      <c r="F651" s="21" t="n">
        <f aca="false">MIN(F649,F650)</f>
        <v>41.2995590382375</v>
      </c>
      <c r="G651" s="21" t="n">
        <f aca="false">MIN(G649,G650)</f>
        <v>50.6680379569114</v>
      </c>
    </row>
    <row r="652" customFormat="false" ht="17.15" hidden="false" customHeight="false" outlineLevel="0" collapsed="false">
      <c r="A652" s="3" t="s">
        <v>726</v>
      </c>
      <c r="B652" s="0" t="s">
        <v>43</v>
      </c>
      <c r="D652" s="20" t="n">
        <f aca="false">D651/D649</f>
        <v>1</v>
      </c>
      <c r="E652" s="20" t="n">
        <f aca="false">E651/E649</f>
        <v>0.85916169200315</v>
      </c>
      <c r="F652" s="20" t="n">
        <f aca="false">F651/F649</f>
        <v>0.881117431856676</v>
      </c>
      <c r="G652" s="20" t="n">
        <f aca="false">G651/G649</f>
        <v>0.926160096041627</v>
      </c>
    </row>
    <row r="653" customFormat="false" ht="17.15" hidden="false" customHeight="false" outlineLevel="0" collapsed="false">
      <c r="A653" s="0" t="s">
        <v>727</v>
      </c>
      <c r="B653" s="0" t="s">
        <v>379</v>
      </c>
      <c r="D653" s="21" t="n">
        <f aca="false">(D644+D647)*D652</f>
        <v>5.714709</v>
      </c>
      <c r="E653" s="21" t="n">
        <f aca="false">(E644+E647)*E652</f>
        <v>15.1670988044522</v>
      </c>
      <c r="F653" s="21" t="n">
        <f aca="false">(F644+F647)*F652</f>
        <v>21.7805062132212</v>
      </c>
      <c r="G653" s="21" t="n">
        <f aca="false">(G644+G647)*G652</f>
        <v>28.9201605269717</v>
      </c>
    </row>
    <row r="654" customFormat="false" ht="17.15" hidden="false" customHeight="false" outlineLevel="0" collapsed="false">
      <c r="A654" s="3" t="s">
        <v>728</v>
      </c>
      <c r="B654" s="0" t="s">
        <v>43</v>
      </c>
      <c r="D654" s="20" t="n">
        <f aca="false">D644/(D644+D647)</f>
        <v>0.800318125775433</v>
      </c>
      <c r="E654" s="20" t="n">
        <f aca="false">E644/(E644+E647)</f>
        <v>0.896024374782173</v>
      </c>
      <c r="F654" s="20" t="n">
        <f aca="false">F644/(F644+F647)</f>
        <v>0.924114387791097</v>
      </c>
      <c r="G654" s="20" t="n">
        <f aca="false">G644/(G644+G647)</f>
        <v>0.939286657016792</v>
      </c>
    </row>
    <row r="655" customFormat="false" ht="17.15" hidden="false" customHeight="false" outlineLevel="0" collapsed="false">
      <c r="A655" s="5" t="s">
        <v>729</v>
      </c>
    </row>
    <row r="656" customFormat="false" ht="17.15" hidden="false" customHeight="false" outlineLevel="0" collapsed="false">
      <c r="A656" s="0" t="s">
        <v>730</v>
      </c>
      <c r="B656" s="0" t="s">
        <v>379</v>
      </c>
      <c r="D656" s="21" t="n">
        <f aca="false">a26_bt</f>
        <v>23.265964</v>
      </c>
      <c r="E656" s="21" t="n">
        <f aca="false">D656*(1+g_bt27_A)</f>
        <v>29.78043392</v>
      </c>
      <c r="F656" s="21" t="n">
        <f aca="false">E656*(1+g_bt28_A)</f>
        <v>32.758477312</v>
      </c>
      <c r="G656" s="21" t="n">
        <f aca="false">F656*(1+g_bt29_A)</f>
        <v>34.3964011776</v>
      </c>
      <c r="K656" s="7" t="s">
        <v>731</v>
      </c>
    </row>
    <row r="657" customFormat="false" ht="17.15" hidden="false" customHeight="false" outlineLevel="0" collapsed="false">
      <c r="A657" s="3" t="s">
        <v>616</v>
      </c>
      <c r="B657" s="0" t="s">
        <v>379</v>
      </c>
      <c r="C657" s="21" t="n">
        <f aca="false">a25_lens</f>
        <v>7.039</v>
      </c>
      <c r="D657" s="21" t="n">
        <f aca="false">a26_lens</f>
        <v>8.301</v>
      </c>
      <c r="E657" s="21" t="n">
        <f aca="false">D657*(1+g_lens)</f>
        <v>9.1311</v>
      </c>
      <c r="F657" s="21" t="n">
        <f aca="false">E657*(1+g_lens)</f>
        <v>10.04421</v>
      </c>
      <c r="G657" s="21" t="n">
        <f aca="false">F657*(1+g_lens)</f>
        <v>11.048631</v>
      </c>
      <c r="K657" s="3" t="s">
        <v>732</v>
      </c>
    </row>
    <row r="658" customFormat="false" ht="17.15" hidden="false" customHeight="false" outlineLevel="0" collapsed="false">
      <c r="A658" s="3" t="s">
        <v>573</v>
      </c>
      <c r="B658" s="0" t="s">
        <v>379</v>
      </c>
      <c r="C658" s="23" t="n">
        <f aca="false">a25_rev</f>
        <v>39.351</v>
      </c>
      <c r="D658" s="23" t="n">
        <f aca="false">D651+D656+D657</f>
        <v>54.4258</v>
      </c>
      <c r="E658" s="23" t="n">
        <f aca="false">E651+E656+E657</f>
        <v>72.033987284</v>
      </c>
      <c r="F658" s="23" t="n">
        <f aca="false">F651+F656+F657</f>
        <v>84.1022463502375</v>
      </c>
      <c r="G658" s="23" t="n">
        <f aca="false">G651+G656+G657</f>
        <v>96.1130701345114</v>
      </c>
      <c r="H658" s="25" t="n">
        <f aca="false">G658*(1+H659)</f>
        <v>107.186075216063</v>
      </c>
      <c r="I658" s="25" t="n">
        <f aca="false">H658*(1+I659)</f>
        <v>116.576010002736</v>
      </c>
      <c r="J658" s="25" t="n">
        <f aca="false">I658*(1+J659)</f>
        <v>123.5705706029</v>
      </c>
      <c r="K658" s="7" t="s">
        <v>733</v>
      </c>
    </row>
    <row r="659" customFormat="false" ht="15" hidden="false" customHeight="false" outlineLevel="0" collapsed="false">
      <c r="A659" s="3" t="s">
        <v>734</v>
      </c>
      <c r="B659" s="0" t="s">
        <v>43</v>
      </c>
      <c r="D659" s="20" t="n">
        <f aca="false">D658/C658-1</f>
        <v>0.383085563263958</v>
      </c>
      <c r="E659" s="20" t="n">
        <f aca="false">E658/D658-1</f>
        <v>0.323526476119781</v>
      </c>
      <c r="F659" s="20" t="n">
        <f aca="false">F658/E658-1</f>
        <v>0.167535624796909</v>
      </c>
      <c r="G659" s="20" t="n">
        <f aca="false">G658/F658-1</f>
        <v>0.142812163830389</v>
      </c>
      <c r="H659" s="26" t="n">
        <f aca="false">$G659+(fade_gA-$G659)*1/3</f>
        <v>0.115208109220259</v>
      </c>
      <c r="I659" s="26" t="n">
        <f aca="false">$G659+(fade_gA-$G659)*2/3</f>
        <v>0.0876040546101297</v>
      </c>
      <c r="J659" s="26" t="n">
        <f aca="false">$G659+(fade_gA-$G659)*3/3</f>
        <v>0.06</v>
      </c>
    </row>
    <row r="660" customFormat="false" ht="17.15" hidden="false" customHeight="false" outlineLevel="0" collapsed="false">
      <c r="A660" s="0" t="s">
        <v>735</v>
      </c>
      <c r="B660" s="0" t="s">
        <v>43</v>
      </c>
      <c r="D660" s="20" t="n">
        <f aca="false">D651/D658</f>
        <v>0.42</v>
      </c>
      <c r="E660" s="20" t="n">
        <f aca="false">E651/E658</f>
        <v>0.459817019893845</v>
      </c>
      <c r="F660" s="20" t="n">
        <f aca="false">F651/F658</f>
        <v>0.491063685341395</v>
      </c>
      <c r="G660" s="20" t="n">
        <f aca="false">G651/G658</f>
        <v>0.527171152539409</v>
      </c>
    </row>
    <row r="661" customFormat="false" ht="17.15" hidden="false" customHeight="false" outlineLevel="0" collapsed="false">
      <c r="A661" s="0" t="s">
        <v>736</v>
      </c>
      <c r="B661" s="0" t="s">
        <v>43</v>
      </c>
      <c r="D661" s="20" t="n">
        <f aca="false">D653/D658</f>
        <v>0.105</v>
      </c>
      <c r="E661" s="20" t="n">
        <f aca="false">E653/E658</f>
        <v>0.210554758612135</v>
      </c>
      <c r="F661" s="20" t="n">
        <f aca="false">F653/F658</f>
        <v>0.258976509646579</v>
      </c>
      <c r="G661" s="20" t="n">
        <f aca="false">G653/G658</f>
        <v>0.300897271167153</v>
      </c>
      <c r="K661" s="3" t="s">
        <v>737</v>
      </c>
    </row>
    <row r="662" customFormat="false" ht="17.15" hidden="false" customHeight="false" outlineLevel="0" collapsed="false">
      <c r="A662" s="5" t="s">
        <v>738</v>
      </c>
    </row>
    <row r="663" customFormat="false" ht="15" hidden="false" customHeight="false" outlineLevel="0" collapsed="false">
      <c r="A663" s="3" t="s">
        <v>739</v>
      </c>
      <c r="B663" s="0" t="s">
        <v>379</v>
      </c>
      <c r="C663" s="23" t="n">
        <f aca="false">a25_cx</f>
        <v>6.116</v>
      </c>
      <c r="D663" s="23" t="n">
        <f aca="false">capex26</f>
        <v>11</v>
      </c>
      <c r="E663" s="23" t="n">
        <f aca="false">cx27</f>
        <v>17</v>
      </c>
      <c r="F663" s="23" t="n">
        <f aca="false">cx28</f>
        <v>16</v>
      </c>
      <c r="G663" s="23" t="n">
        <f aca="false">cx29</f>
        <v>12</v>
      </c>
      <c r="H663" s="25" t="n">
        <f aca="false">H658*H682</f>
        <v>13.4817405534162</v>
      </c>
      <c r="I663" s="25" t="n">
        <f aca="false">I658*I682</f>
        <v>14.77073304233</v>
      </c>
      <c r="J663" s="25" t="n">
        <f aca="false">J658*J682</f>
        <v>15.7713906192965</v>
      </c>
    </row>
    <row r="664" customFormat="false" ht="17.15" hidden="false" customHeight="false" outlineLevel="0" collapsed="false">
      <c r="A664" s="3" t="s">
        <v>740</v>
      </c>
      <c r="B664" s="0" t="s">
        <v>379</v>
      </c>
      <c r="C664" s="23" t="n">
        <f aca="false">a25_da</f>
        <v>7.158</v>
      </c>
      <c r="D664" s="23" t="n">
        <f aca="false">da26</f>
        <v>8.32</v>
      </c>
      <c r="E664" s="23" t="n">
        <f aca="false">D664*(1-1/life)+D663/life</f>
        <v>8.655</v>
      </c>
      <c r="F664" s="23" t="n">
        <f aca="false">E664*(1-1/life)+E663/life</f>
        <v>9.698125</v>
      </c>
      <c r="G664" s="23" t="n">
        <f aca="false">F664*(1-1/life)+F663/life</f>
        <v>10.485859375</v>
      </c>
      <c r="H664" s="25" t="n">
        <f aca="false">H658*H665</f>
        <v>11.6939154071433</v>
      </c>
      <c r="I664" s="25" t="n">
        <f aca="false">I658*I665</f>
        <v>12.7183498110769</v>
      </c>
      <c r="J664" s="25" t="n">
        <f aca="false">J658*J665</f>
        <v>13.4814507997415</v>
      </c>
      <c r="K664" s="3" t="s">
        <v>741</v>
      </c>
    </row>
    <row r="665" customFormat="false" ht="17.15" hidden="false" customHeight="false" outlineLevel="0" collapsed="false">
      <c r="A665" s="3" t="s">
        <v>742</v>
      </c>
      <c r="B665" s="0" t="s">
        <v>43</v>
      </c>
      <c r="C665" s="20" t="n">
        <f aca="false">C664/C658</f>
        <v>0.181901349393916</v>
      </c>
      <c r="D665" s="20" t="n">
        <f aca="false">D664/D658</f>
        <v>0.152868676252807</v>
      </c>
      <c r="E665" s="20" t="n">
        <f aca="false">E664/E658</f>
        <v>0.120151616290196</v>
      </c>
      <c r="F665" s="20" t="n">
        <f aca="false">F664/F658</f>
        <v>0.115313507318376</v>
      </c>
      <c r="G665" s="20" t="n">
        <f aca="false">G664/G658</f>
        <v>0.109099203264706</v>
      </c>
      <c r="H665" s="26" t="n">
        <f aca="false">$G665</f>
        <v>0.109099203264706</v>
      </c>
      <c r="I665" s="26" t="n">
        <f aca="false">$G665</f>
        <v>0.109099203264706</v>
      </c>
      <c r="J665" s="26" t="n">
        <f aca="false">$G665</f>
        <v>0.109099203264706</v>
      </c>
    </row>
    <row r="666" customFormat="false" ht="17.15" hidden="false" customHeight="false" outlineLevel="0" collapsed="false">
      <c r="A666" s="0" t="s">
        <v>743</v>
      </c>
      <c r="B666" s="0" t="s">
        <v>379</v>
      </c>
      <c r="E666" s="21" t="n">
        <f aca="false">E652*((E644+E647)*(1-1/(E637*E638))+E648*(1-1/E638))</f>
        <v>4.320320004</v>
      </c>
      <c r="F666" s="21" t="n">
        <f aca="false">F652*((F644+F647)*(1-1/(F637*F638))+F648*(1-1/F638))</f>
        <v>4.39007949866158</v>
      </c>
      <c r="G666" s="21" t="n">
        <f aca="false">G652*((G644+G647)*(1-1/(G637*G638))+G648*(1-1/G638))</f>
        <v>3.81465610771581</v>
      </c>
      <c r="K666" s="7" t="s">
        <v>744</v>
      </c>
    </row>
    <row r="667" customFormat="false" ht="17.15" hidden="false" customHeight="false" outlineLevel="0" collapsed="false">
      <c r="A667" s="3" t="s">
        <v>745</v>
      </c>
      <c r="B667" s="0" t="s">
        <v>379</v>
      </c>
      <c r="C667" s="21" t="n">
        <f aca="false">a25_gp</f>
        <v>8.314</v>
      </c>
      <c r="D667" s="21" t="n">
        <f aca="false">a26_gp</f>
        <v>15.328536</v>
      </c>
      <c r="E667" s="21" t="n">
        <f aca="false">$D667+ft_abf*(E651-E666-$D651)+ft_bt_lo*(E656-$D656)+ft_lens*(E657-$D657)+E666-(E664-$D664)</f>
        <v>24.61339066</v>
      </c>
      <c r="F667" s="21" t="n">
        <f aca="false">$D667+ft_abf*(F651-F666-$D651)+ft_bt_lo*(F656-$D656)+ft_lens*(F657-$D657)+F666-(F664-$D664)</f>
        <v>28.9980107620495</v>
      </c>
      <c r="G667" s="21" t="n">
        <f aca="false">$D667+ft_abf*(G651-G666-$D651)+ft_bt_lo*(G656-$D656)+ft_lens*(G657-$D657)+G666-(G664-$D664)</f>
        <v>33.5501707605936</v>
      </c>
      <c r="K667" s="3" t="s">
        <v>746</v>
      </c>
    </row>
    <row r="668" customFormat="false" ht="15" hidden="false" customHeight="false" outlineLevel="0" collapsed="false">
      <c r="A668" s="3" t="s">
        <v>580</v>
      </c>
      <c r="B668" s="0" t="s">
        <v>43</v>
      </c>
      <c r="C668" s="16" t="n">
        <f aca="false">C667/C658</f>
        <v>0.211277985311682</v>
      </c>
      <c r="D668" s="16" t="n">
        <f aca="false">D667/D658</f>
        <v>0.281640986443929</v>
      </c>
      <c r="E668" s="16" t="n">
        <f aca="false">E667/E658</f>
        <v>0.341691354151474</v>
      </c>
      <c r="F668" s="16" t="n">
        <f aca="false">F667/F658</f>
        <v>0.344794723333423</v>
      </c>
      <c r="G668" s="16" t="n">
        <f aca="false">G667/G658</f>
        <v>0.349069806152688</v>
      </c>
    </row>
    <row r="669" customFormat="false" ht="15" hidden="false" customHeight="false" outlineLevel="0" collapsed="false">
      <c r="A669" s="3" t="s">
        <v>582</v>
      </c>
      <c r="B669" s="0" t="s">
        <v>379</v>
      </c>
      <c r="C669" s="21" t="n">
        <f aca="false">a25_opx</f>
        <v>5.644</v>
      </c>
      <c r="D669" s="21" t="n">
        <f aca="false">a26_opx</f>
        <v>6.54036</v>
      </c>
      <c r="E669" s="21" t="n">
        <f aca="false">D669*(1+phi*E659)</f>
        <v>7.80994777401287</v>
      </c>
      <c r="F669" s="21" t="n">
        <f aca="false">E669*(1+phi*F659)</f>
        <v>8.59501446198315</v>
      </c>
      <c r="G669" s="21" t="n">
        <f aca="false">F669*(1+phi*G659)</f>
        <v>9.33149803006473</v>
      </c>
    </row>
    <row r="670" customFormat="false" ht="15" hidden="false" customHeight="false" outlineLevel="0" collapsed="false">
      <c r="A670" s="3" t="s">
        <v>585</v>
      </c>
      <c r="B670" s="0" t="s">
        <v>379</v>
      </c>
      <c r="C670" s="21" t="n">
        <f aca="false">C667-C669</f>
        <v>2.67</v>
      </c>
      <c r="D670" s="21" t="n">
        <f aca="false">D667-D669</f>
        <v>8.788176</v>
      </c>
      <c r="E670" s="21" t="n">
        <f aca="false">E667-E669</f>
        <v>16.8034428859871</v>
      </c>
      <c r="F670" s="21" t="n">
        <f aca="false">F667-F669</f>
        <v>20.4029963000664</v>
      </c>
      <c r="G670" s="21" t="n">
        <f aca="false">G667-G669</f>
        <v>24.2186727305289</v>
      </c>
    </row>
    <row r="671" customFormat="false" ht="15" hidden="false" customHeight="false" outlineLevel="0" collapsed="false">
      <c r="A671" s="3" t="s">
        <v>683</v>
      </c>
      <c r="B671" s="0" t="s">
        <v>43</v>
      </c>
      <c r="C671" s="16" t="n">
        <f aca="false">C670/C658</f>
        <v>0.0678508805367081</v>
      </c>
      <c r="D671" s="16" t="n">
        <f aca="false">D670/D658</f>
        <v>0.161470773052486</v>
      </c>
      <c r="E671" s="16" t="n">
        <f aca="false">E670/E658</f>
        <v>0.233271036625227</v>
      </c>
      <c r="F671" s="16" t="n">
        <f aca="false">F670/F658</f>
        <v>0.242597518918813</v>
      </c>
      <c r="G671" s="16" t="n">
        <f aca="false">G670/G658</f>
        <v>0.251981054154597</v>
      </c>
    </row>
    <row r="672" customFormat="false" ht="15" hidden="false" customHeight="false" outlineLevel="0" collapsed="false">
      <c r="A672" s="3" t="s">
        <v>588</v>
      </c>
      <c r="B672" s="0" t="s">
        <v>379</v>
      </c>
      <c r="C672" s="21" t="n">
        <f aca="false">a25_nonop</f>
        <v>0.417</v>
      </c>
      <c r="D672" s="21" t="n">
        <f aca="false">a26_nonop</f>
        <v>0.37882</v>
      </c>
      <c r="E672" s="21" t="n">
        <f aca="false">nonop27</f>
        <v>0.4</v>
      </c>
      <c r="F672" s="21" t="n">
        <f aca="false">nonop28</f>
        <v>0.4</v>
      </c>
      <c r="G672" s="21" t="n">
        <f aca="false">nonop29</f>
        <v>0.4</v>
      </c>
    </row>
    <row r="673" customFormat="false" ht="15" hidden="false" customHeight="false" outlineLevel="0" collapsed="false">
      <c r="A673" s="3" t="s">
        <v>590</v>
      </c>
      <c r="B673" s="0" t="s">
        <v>379</v>
      </c>
      <c r="C673" s="21" t="n">
        <f aca="false">C670+C672</f>
        <v>3.087</v>
      </c>
      <c r="D673" s="21" t="n">
        <f aca="false">D670+D672</f>
        <v>9.166996</v>
      </c>
      <c r="E673" s="21" t="n">
        <f aca="false">E670+E672</f>
        <v>17.2034428859871</v>
      </c>
      <c r="F673" s="21" t="n">
        <f aca="false">F670+F672</f>
        <v>20.8029963000664</v>
      </c>
      <c r="G673" s="21" t="n">
        <f aca="false">G670+G672</f>
        <v>24.6186727305289</v>
      </c>
    </row>
    <row r="674" customFormat="false" ht="15" hidden="false" customHeight="false" outlineLevel="0" collapsed="false">
      <c r="A674" s="3" t="s">
        <v>591</v>
      </c>
      <c r="B674" s="0" t="s">
        <v>379</v>
      </c>
      <c r="E674" s="21" t="n">
        <f aca="false">E673*tax</f>
        <v>2.06441314631846</v>
      </c>
      <c r="F674" s="21" t="n">
        <f aca="false">F673*tax</f>
        <v>2.49635955600797</v>
      </c>
      <c r="G674" s="21" t="n">
        <f aca="false">G673*tax</f>
        <v>2.95424072766346</v>
      </c>
    </row>
    <row r="675" customFormat="false" ht="15" hidden="false" customHeight="false" outlineLevel="0" collapsed="false">
      <c r="A675" s="3" t="s">
        <v>592</v>
      </c>
      <c r="B675" s="0" t="s">
        <v>379</v>
      </c>
      <c r="C675" s="21" t="n">
        <f aca="false">a25_nic</f>
        <v>2.71712</v>
      </c>
      <c r="D675" s="21" t="n">
        <f aca="false">a26_nic</f>
        <v>8.39979776</v>
      </c>
      <c r="E675" s="21" t="n">
        <f aca="false">E673-E674</f>
        <v>15.1390297396687</v>
      </c>
      <c r="F675" s="21" t="n">
        <f aca="false">F673-F674</f>
        <v>18.3066367440584</v>
      </c>
      <c r="G675" s="21" t="n">
        <f aca="false">G673-G674</f>
        <v>21.6644320028654</v>
      </c>
    </row>
    <row r="676" customFormat="false" ht="17.15" hidden="false" customHeight="false" outlineLevel="0" collapsed="false">
      <c r="A676" s="3" t="s">
        <v>747</v>
      </c>
      <c r="B676" s="0" t="s">
        <v>379</v>
      </c>
      <c r="C676" s="21" t="n">
        <f aca="false">a25_nci</f>
        <v>1.12112</v>
      </c>
      <c r="D676" s="21" t="n">
        <f aca="false">a26_nci</f>
        <v>1.43839238487797</v>
      </c>
      <c r="E676" s="21" t="n">
        <f aca="false">E657*nm_lens*nci_sh</f>
        <v>1.57074538036261</v>
      </c>
      <c r="F676" s="21" t="n">
        <f aca="false">F657*nm_lens*nci_sh</f>
        <v>1.72781991839887</v>
      </c>
      <c r="G676" s="21" t="n">
        <f aca="false">G657*nm_lens*nci_sh</f>
        <v>1.90060191023875</v>
      </c>
      <c r="K676" s="3" t="s">
        <v>748</v>
      </c>
    </row>
    <row r="677" customFormat="false" ht="15" hidden="false" customHeight="false" outlineLevel="0" collapsed="false">
      <c r="A677" s="3" t="s">
        <v>598</v>
      </c>
      <c r="B677" s="0" t="s">
        <v>379</v>
      </c>
      <c r="C677" s="21" t="n">
        <f aca="false">a25_ni</f>
        <v>1.596</v>
      </c>
      <c r="D677" s="21" t="n">
        <f aca="false">a26_ni</f>
        <v>6.96140537512203</v>
      </c>
      <c r="E677" s="21" t="n">
        <f aca="false">E675-E676</f>
        <v>13.5682843593061</v>
      </c>
      <c r="F677" s="21" t="n">
        <f aca="false">F675-F676</f>
        <v>16.5788168256596</v>
      </c>
      <c r="G677" s="21" t="n">
        <f aca="false">G675-G676</f>
        <v>19.7638300926267</v>
      </c>
      <c r="H677" s="30" t="n">
        <f aca="false">H658*H681</f>
        <v>22.5869447557322</v>
      </c>
      <c r="I677" s="30" t="n">
        <f aca="false">I658*I681</f>
        <v>25.1596597974888</v>
      </c>
      <c r="J677" s="30" t="n">
        <f aca="false">J658*J681</f>
        <v>27.2988869112315</v>
      </c>
    </row>
    <row r="678" customFormat="false" ht="15" hidden="false" customHeight="false" outlineLevel="0" collapsed="false">
      <c r="A678" s="3" t="s">
        <v>749</v>
      </c>
      <c r="B678" s="3" t="s">
        <v>465</v>
      </c>
      <c r="C678" s="29" t="n">
        <f aca="false">a25_sh</f>
        <v>0.454700854700855</v>
      </c>
      <c r="D678" s="29" t="n">
        <f aca="false">a26_sh</f>
        <v>0.508341020486215</v>
      </c>
      <c r="E678" s="29" t="n">
        <f aca="false">a26_shend*(1+sh_g)</f>
        <v>0.52691</v>
      </c>
      <c r="F678" s="29" t="n">
        <f aca="false">E678*(1+sh_g)</f>
        <v>0.52691</v>
      </c>
      <c r="G678" s="29" t="n">
        <f aca="false">F678*(1+sh_g)</f>
        <v>0.52691</v>
      </c>
      <c r="H678" s="31" t="n">
        <f aca="false">G678*(1+sh_g)</f>
        <v>0.52691</v>
      </c>
      <c r="I678" s="31" t="n">
        <f aca="false">H678*(1+sh_g)</f>
        <v>0.52691</v>
      </c>
      <c r="J678" s="31" t="n">
        <f aca="false">I678*(1+sh_g)</f>
        <v>0.52691</v>
      </c>
    </row>
    <row r="679" customFormat="false" ht="17.15" hidden="false" customHeight="false" outlineLevel="0" collapsed="false">
      <c r="A679" s="0" t="s">
        <v>603</v>
      </c>
      <c r="B679" s="0" t="s">
        <v>471</v>
      </c>
      <c r="C679" s="18" t="n">
        <f aca="false">C677/C678</f>
        <v>3.51</v>
      </c>
      <c r="D679" s="18" t="n">
        <f aca="false">D677/D678</f>
        <v>13.6943608612652</v>
      </c>
      <c r="E679" s="18" t="n">
        <f aca="false">E677/E678</f>
        <v>25.7506677787593</v>
      </c>
      <c r="F679" s="18" t="n">
        <f aca="false">F677/F678</f>
        <v>31.4642288543766</v>
      </c>
      <c r="G679" s="18" t="n">
        <f aca="false">G677/G678</f>
        <v>37.5089295944785</v>
      </c>
      <c r="H679" s="28" t="n">
        <f aca="false">H677/H678</f>
        <v>42.8667984204744</v>
      </c>
      <c r="I679" s="28" t="n">
        <f aca="false">I677/I678</f>
        <v>47.7494444923967</v>
      </c>
      <c r="J679" s="28" t="n">
        <f aca="false">J677/J678</f>
        <v>51.8093923274022</v>
      </c>
    </row>
    <row r="680" customFormat="false" ht="17.15" hidden="false" customHeight="false" outlineLevel="0" collapsed="false">
      <c r="A680" s="0" t="s">
        <v>750</v>
      </c>
      <c r="B680" s="0" t="s">
        <v>43</v>
      </c>
      <c r="D680" s="20" t="n">
        <f aca="false">D679/C679-1</f>
        <v>2.90152731090177</v>
      </c>
      <c r="E680" s="20" t="n">
        <f aca="false">E679/D679-1</f>
        <v>0.880384783169812</v>
      </c>
      <c r="F680" s="20" t="n">
        <f aca="false">F679/E679-1</f>
        <v>0.221880112962746</v>
      </c>
      <c r="G680" s="20" t="n">
        <f aca="false">G679/F679-1</f>
        <v>0.192113424043479</v>
      </c>
      <c r="H680" s="26" t="n">
        <f aca="false">H679/G679-1</f>
        <v>0.142842488013432</v>
      </c>
      <c r="I680" s="26" t="n">
        <f aca="false">I679/H679-1</f>
        <v>0.113902746457272</v>
      </c>
      <c r="J680" s="26" t="n">
        <f aca="false">J679/I679-1</f>
        <v>0.0850260747148988</v>
      </c>
    </row>
    <row r="681" customFormat="false" ht="17.15" hidden="false" customHeight="false" outlineLevel="0" collapsed="false">
      <c r="A681" s="3" t="s">
        <v>751</v>
      </c>
      <c r="B681" s="0" t="s">
        <v>43</v>
      </c>
      <c r="C681" s="16" t="n">
        <f aca="false">C677/C658</f>
        <v>0.0405580544331783</v>
      </c>
      <c r="D681" s="16" t="n">
        <f aca="false">D677/D658</f>
        <v>0.127906349105057</v>
      </c>
      <c r="E681" s="16" t="n">
        <f aca="false">E677/E658</f>
        <v>0.188359479613588</v>
      </c>
      <c r="F681" s="16" t="n">
        <f aca="false">F677/F658</f>
        <v>0.197126920446552</v>
      </c>
      <c r="G681" s="16" t="n">
        <f aca="false">G677/G658</f>
        <v>0.205631035039948</v>
      </c>
      <c r="H681" s="27" t="n">
        <f aca="false">$G681+(fade_mA-$G681)*1/3</f>
        <v>0.210726483922488</v>
      </c>
      <c r="I681" s="27" t="n">
        <f aca="false">$G681+(fade_mA-$G681)*2/3</f>
        <v>0.215821932805028</v>
      </c>
      <c r="J681" s="27" t="n">
        <f aca="false">$G681+(fade_mA-$G681)*3/3</f>
        <v>0.220917381687568</v>
      </c>
    </row>
    <row r="682" customFormat="false" ht="17.15" hidden="false" customHeight="false" outlineLevel="0" collapsed="false">
      <c r="A682" s="3" t="s">
        <v>752</v>
      </c>
      <c r="B682" s="0" t="s">
        <v>43</v>
      </c>
      <c r="C682" s="20" t="n">
        <f aca="false">C663/C658</f>
        <v>0.155421717364235</v>
      </c>
      <c r="D682" s="20" t="n">
        <f aca="false">D663/D658</f>
        <v>0.202110028699624</v>
      </c>
      <c r="E682" s="20" t="n">
        <f aca="false">E663/E658</f>
        <v>0.235999708484498</v>
      </c>
      <c r="F682" s="20" t="n">
        <f aca="false">F663/F658</f>
        <v>0.190244621212247</v>
      </c>
      <c r="G682" s="20" t="n">
        <f aca="false">G663/G658</f>
        <v>0.124852946464054</v>
      </c>
      <c r="H682" s="26" t="n">
        <f aca="false">$G682+($G665*(1+tp_g)^(life/2)-$G682)*1/3</f>
        <v>0.125778843252168</v>
      </c>
      <c r="I682" s="26" t="n">
        <f aca="false">$G682+($G665*(1+tp_g)^(life/2)-$G682)*2/3</f>
        <v>0.126704740040282</v>
      </c>
      <c r="J682" s="26" t="n">
        <f aca="false">$G682+($G665*(1+tp_g)^(life/2)-$G682)*3/3</f>
        <v>0.127630636828396</v>
      </c>
      <c r="K682" s="7" t="s">
        <v>753</v>
      </c>
    </row>
    <row r="683" customFormat="false" ht="15" hidden="false" customHeight="false" outlineLevel="0" collapsed="false">
      <c r="A683" s="3" t="s">
        <v>754</v>
      </c>
      <c r="B683" s="0" t="s">
        <v>379</v>
      </c>
      <c r="D683" s="21" t="n">
        <f aca="false">D677+D664-D663</f>
        <v>4.28140537512203</v>
      </c>
      <c r="E683" s="21" t="n">
        <f aca="false">E677+E664-E663</f>
        <v>5.22328435930607</v>
      </c>
      <c r="F683" s="21" t="n">
        <f aca="false">F677+F664-F663</f>
        <v>10.2769418256596</v>
      </c>
      <c r="G683" s="21" t="n">
        <f aca="false">G677+G664-G663</f>
        <v>18.2496894676267</v>
      </c>
      <c r="H683" s="30" t="n">
        <f aca="false">H677+H664-H663</f>
        <v>20.7991196094592</v>
      </c>
      <c r="I683" s="30" t="n">
        <f aca="false">I677+I664-I663</f>
        <v>23.1072765662356</v>
      </c>
      <c r="J683" s="30" t="n">
        <f aca="false">J677+J664-J663</f>
        <v>25.0089470916765</v>
      </c>
      <c r="K683" s="3" t="s">
        <v>755</v>
      </c>
    </row>
    <row r="684" customFormat="false" ht="15" hidden="false" customHeight="false" outlineLevel="0" collapsed="false">
      <c r="A684" s="3" t="s">
        <v>756</v>
      </c>
      <c r="B684" s="0" t="s">
        <v>471</v>
      </c>
      <c r="D684" s="18" t="n">
        <f aca="false">D683/D678</f>
        <v>8.42230943909854</v>
      </c>
      <c r="E684" s="18" t="n">
        <f aca="false">E683/E678</f>
        <v>9.91304845098038</v>
      </c>
      <c r="F684" s="18" t="n">
        <f aca="false">F683/F678</f>
        <v>19.5041692616568</v>
      </c>
      <c r="G684" s="18" t="n">
        <f aca="false">G683/G678</f>
        <v>34.6353067271956</v>
      </c>
      <c r="H684" s="28" t="n">
        <f aca="false">H683/H678</f>
        <v>39.473761381373</v>
      </c>
      <c r="I684" s="28" t="n">
        <f aca="false">I683/I678</f>
        <v>43.8543139553921</v>
      </c>
      <c r="J684" s="28" t="n">
        <f aca="false">J683/J678</f>
        <v>47.4634132805916</v>
      </c>
    </row>
    <row r="687" customFormat="false" ht="17.15" hidden="false" customHeight="false" outlineLevel="0" collapsed="false">
      <c r="A687" s="1" t="s">
        <v>1101</v>
      </c>
    </row>
    <row r="688" customFormat="false" ht="17.15" hidden="false" customHeight="false" outlineLevel="0" collapsed="false">
      <c r="A688" s="4" t="s">
        <v>20</v>
      </c>
      <c r="B688" s="4" t="s">
        <v>21</v>
      </c>
      <c r="C688" s="13" t="s">
        <v>566</v>
      </c>
      <c r="D688" s="13" t="s">
        <v>670</v>
      </c>
      <c r="E688" s="13" t="s">
        <v>671</v>
      </c>
      <c r="F688" s="13" t="s">
        <v>672</v>
      </c>
      <c r="G688" s="13" t="s">
        <v>673</v>
      </c>
      <c r="H688" s="13" t="s">
        <v>674</v>
      </c>
      <c r="I688" s="13" t="s">
        <v>675</v>
      </c>
      <c r="J688" s="13" t="s">
        <v>676</v>
      </c>
      <c r="K688" s="4" t="s">
        <v>630</v>
      </c>
    </row>
    <row r="689" customFormat="false" ht="17.15" hidden="false" customHeight="false" outlineLevel="0" collapsed="false">
      <c r="A689" s="5" t="s">
        <v>694</v>
      </c>
    </row>
    <row r="690" customFormat="false" ht="17.15" hidden="false" customHeight="false" outlineLevel="0" collapsed="false">
      <c r="A690" s="0" t="s">
        <v>695</v>
      </c>
      <c r="B690" s="3" t="s">
        <v>31</v>
      </c>
      <c r="D690" s="21" t="n">
        <f aca="false">(u_bw_26+u_rb_26+u_ru_26+u_hp_26)*1</f>
        <v>7.6</v>
      </c>
      <c r="E690" s="21" t="n">
        <f aca="false">(u_bw_27+u_rb_27+u_ru_27+u_hp_27)*1*1</f>
        <v>9.7</v>
      </c>
      <c r="F690" s="21" t="n">
        <f aca="false">(u_bw_28+u_rb_28+u_ru_28+u_hp_28)*um28_A*1</f>
        <v>9.5</v>
      </c>
      <c r="G690" s="21" t="n">
        <f aca="false">(u_bw_28*(1+g29_bw)+u_rb_28*(1+g29_rb)+u_ru_28*(1+g29_ru)+u_hp_28*(1+g29_hp))*um29_A*1</f>
        <v>10.6</v>
      </c>
      <c r="K690" s="7" t="s">
        <v>696</v>
      </c>
    </row>
    <row r="691" customFormat="false" ht="17.15" hidden="false" customHeight="false" outlineLevel="0" collapsed="false">
      <c r="A691" s="3" t="s">
        <v>697</v>
      </c>
      <c r="B691" s="3" t="s">
        <v>31</v>
      </c>
      <c r="D691" s="21" t="n">
        <f aca="false">(u_amd_26+u_tpu_26+u_trn_26+u_oth_26)*1</f>
        <v>7.6</v>
      </c>
      <c r="E691" s="21" t="n">
        <f aca="false">(u_amd_27+u_tpu_27+u_trn_27+u_oth_27)*1*1</f>
        <v>14</v>
      </c>
      <c r="F691" s="21" t="n">
        <f aca="false">(u_amd_28+u_tpu_28+u_trn_28+u_oth_28)*um28_A*1</f>
        <v>17</v>
      </c>
      <c r="G691" s="21" t="n">
        <f aca="false">(u_amd_28*(1+g29_amd)+u_tpu_28*(1+g29_tpu)+u_trn_28*(1+g29_trn)+u_oth_28*(1+g29_oth))*um29_A*1</f>
        <v>19.55</v>
      </c>
      <c r="K691" s="7" t="s">
        <v>698</v>
      </c>
    </row>
    <row r="692" customFormat="false" ht="17.15" hidden="false" customHeight="false" outlineLevel="0" collapsed="false">
      <c r="A692" s="0" t="s">
        <v>699</v>
      </c>
      <c r="B692" s="3" t="s">
        <v>31</v>
      </c>
      <c r="D692" s="21" t="n">
        <f aca="false">D690*cpu_r</f>
        <v>3.04</v>
      </c>
      <c r="E692" s="21" t="n">
        <f aca="false">E690*cpu_r</f>
        <v>3.88</v>
      </c>
      <c r="F692" s="21" t="n">
        <f aca="false">F690*cpu_r</f>
        <v>3.8</v>
      </c>
      <c r="G692" s="21" t="n">
        <f aca="false">G690*cpu_r</f>
        <v>4.24</v>
      </c>
      <c r="K692" s="7" t="s">
        <v>700</v>
      </c>
    </row>
    <row r="693" customFormat="false" ht="17.15" hidden="false" customHeight="false" outlineLevel="0" collapsed="false">
      <c r="A693" s="3" t="s">
        <v>701</v>
      </c>
      <c r="B693" s="0" t="s">
        <v>153</v>
      </c>
      <c r="D693" s="19" t="n">
        <f aca="false">1</f>
        <v>1</v>
      </c>
      <c r="E693" s="19" t="n">
        <f aca="false">D693*(1+g_asp)</f>
        <v>1.18</v>
      </c>
      <c r="F693" s="19" t="n">
        <f aca="false">E693*(1+g_asp)</f>
        <v>1.3924</v>
      </c>
      <c r="G693" s="19" t="n">
        <f aca="false">F693*(1+g_asp)</f>
        <v>1.643032</v>
      </c>
      <c r="K693" s="7" t="s">
        <v>702</v>
      </c>
    </row>
    <row r="694" customFormat="false" ht="17.15" hidden="false" customHeight="false" outlineLevel="0" collapsed="false">
      <c r="A694" s="0" t="s">
        <v>703</v>
      </c>
      <c r="B694" s="0" t="s">
        <v>153</v>
      </c>
      <c r="D694" s="18" t="n">
        <f aca="false">1</f>
        <v>1</v>
      </c>
      <c r="E694" s="18" t="n">
        <f aca="false">ibpp_27</f>
        <v>1</v>
      </c>
      <c r="F694" s="18" t="n">
        <f aca="false">ibpp_28</f>
        <v>0.95</v>
      </c>
      <c r="G694" s="18" t="n">
        <f aca="false">ibpp_29</f>
        <v>0.9</v>
      </c>
      <c r="K694" s="7" t="s">
        <v>704</v>
      </c>
    </row>
    <row r="695" customFormat="false" ht="17.15" hidden="false" customHeight="false" outlineLevel="0" collapsed="false">
      <c r="A695" s="3" t="s">
        <v>705</v>
      </c>
      <c r="B695" s="0" t="s">
        <v>153</v>
      </c>
      <c r="D695" s="18" t="n">
        <f aca="false">1</f>
        <v>1</v>
      </c>
      <c r="E695" s="18" t="n">
        <f aca="false">1+carry</f>
        <v>1.15</v>
      </c>
      <c r="F695" s="18" t="n">
        <f aca="false">1+carry</f>
        <v>1.15</v>
      </c>
      <c r="G695" s="18" t="n">
        <f aca="false">1+carry</f>
        <v>1.15</v>
      </c>
      <c r="K695" s="7" t="s">
        <v>706</v>
      </c>
    </row>
    <row r="696" customFormat="false" ht="17.15" hidden="false" customHeight="false" outlineLevel="0" collapsed="false">
      <c r="A696" s="3" t="s">
        <v>707</v>
      </c>
      <c r="B696" s="0" t="s">
        <v>708</v>
      </c>
      <c r="D696" s="23" t="n">
        <f aca="false">v26*D693*D694</f>
        <v>215.308596</v>
      </c>
      <c r="E696" s="23" t="n">
        <f aca="false">v26*E693*E694</f>
        <v>254.06414328</v>
      </c>
      <c r="F696" s="23" t="n">
        <f aca="false">v26*F693*F694</f>
        <v>284.80590461688</v>
      </c>
      <c r="G696" s="23" t="n">
        <f aca="false">v26*G693*G694</f>
        <v>318.383021792765</v>
      </c>
      <c r="K696" s="7" t="s">
        <v>709</v>
      </c>
    </row>
    <row r="697" customFormat="false" ht="17.15" hidden="false" customHeight="false" outlineLevel="0" collapsed="false">
      <c r="A697" s="3" t="s">
        <v>710</v>
      </c>
      <c r="B697" s="0" t="s">
        <v>43</v>
      </c>
      <c r="D697" s="20" t="n">
        <f aca="false">sh_nv_26</f>
        <v>0.02</v>
      </c>
      <c r="E697" s="20" t="n">
        <f aca="false">sh_nv_27</f>
        <v>0.03</v>
      </c>
      <c r="F697" s="20" t="n">
        <f aca="false">sh_nv_28</f>
        <v>0.05</v>
      </c>
      <c r="G697" s="20" t="n">
        <f aca="false">sh_nv_29</f>
        <v>0.06</v>
      </c>
    </row>
    <row r="698" customFormat="false" ht="17.15" hidden="false" customHeight="false" outlineLevel="0" collapsed="false">
      <c r="A698" s="3" t="s">
        <v>711</v>
      </c>
      <c r="B698" s="0" t="s">
        <v>43</v>
      </c>
      <c r="D698" s="20" t="n">
        <f aca="false">sh_ot_26</f>
        <v>0.03</v>
      </c>
      <c r="E698" s="20" t="n">
        <f aca="false">sh_ot_27</f>
        <v>0.05</v>
      </c>
      <c r="F698" s="20" t="n">
        <f aca="false">sh_ot_28</f>
        <v>0.06</v>
      </c>
      <c r="G698" s="20" t="n">
        <f aca="false">sh_ot_29</f>
        <v>0.06</v>
      </c>
    </row>
    <row r="699" customFormat="false" ht="17.15" hidden="false" customHeight="false" outlineLevel="0" collapsed="false">
      <c r="A699" s="3" t="s">
        <v>712</v>
      </c>
      <c r="B699" s="0" t="s">
        <v>43</v>
      </c>
      <c r="D699" s="20" t="n">
        <f aca="false">sh_cpu_26</f>
        <v>0.35</v>
      </c>
      <c r="E699" s="20" t="n">
        <f aca="false">sh_cpu_27</f>
        <v>0.7</v>
      </c>
      <c r="F699" s="20" t="n">
        <f aca="false">sh_cpu_28</f>
        <v>0.75</v>
      </c>
      <c r="G699" s="20" t="n">
        <f aca="false">sh_cpu_29</f>
        <v>0.7</v>
      </c>
    </row>
    <row r="700" customFormat="false" ht="17.15" hidden="false" customHeight="false" outlineLevel="0" collapsed="false">
      <c r="A700" s="3" t="s">
        <v>713</v>
      </c>
      <c r="B700" s="0" t="s">
        <v>660</v>
      </c>
      <c r="D700" s="22" t="n">
        <f aca="false">(D690*D696*D697+D691*D696*v_ot*D698+D692*D696*v_cpu*D699)*D695</f>
        <v>140.7256983456</v>
      </c>
      <c r="E700" s="22" t="n">
        <f aca="false">(E690*E696*E697+E691*E696*v_ot*E698+E692*E696*v_cpu*E699)*E695</f>
        <v>486.703057357198</v>
      </c>
      <c r="F700" s="22" t="n">
        <f aca="false">(F690*F696*F697+F691*F696*v_ot*F698+F692*F696*v_cpu*F699)*F695</f>
        <v>702.872492003998</v>
      </c>
      <c r="G700" s="22" t="n">
        <f aca="false">(G690*G696*G697+G691*G696*v_ot*G698+G692*G696*v_cpu*G699)*G695</f>
        <v>902.463042932027</v>
      </c>
    </row>
    <row r="701" customFormat="false" ht="17.15" hidden="false" customHeight="false" outlineLevel="0" collapsed="false">
      <c r="A701" s="3" t="s">
        <v>714</v>
      </c>
      <c r="B701" s="0" t="s">
        <v>379</v>
      </c>
      <c r="D701" s="21" t="n">
        <f aca="false">D700*fx/1000</f>
        <v>4.573585196232</v>
      </c>
      <c r="E701" s="21" t="n">
        <f aca="false">E700*fx/1000</f>
        <v>15.8178493641089</v>
      </c>
      <c r="F701" s="21" t="n">
        <f aca="false">F700*fx/1000</f>
        <v>22.8433559901299</v>
      </c>
      <c r="G701" s="21" t="n">
        <f aca="false">G700*fx/1000</f>
        <v>29.3300488952909</v>
      </c>
    </row>
    <row r="702" customFormat="false" ht="17.15" hidden="false" customHeight="false" outlineLevel="0" collapsed="false">
      <c r="A702" s="5" t="s">
        <v>715</v>
      </c>
    </row>
    <row r="703" customFormat="false" ht="17.15" hidden="false" customHeight="false" outlineLevel="0" collapsed="false">
      <c r="A703" s="0" t="s">
        <v>716</v>
      </c>
      <c r="B703" s="0" t="s">
        <v>379</v>
      </c>
      <c r="D703" s="21" t="n">
        <f aca="false">a26_abf*ai_abf</f>
        <v>5.714709</v>
      </c>
      <c r="K703" s="3" t="s">
        <v>717</v>
      </c>
    </row>
    <row r="704" customFormat="false" ht="17.15" hidden="false" customHeight="false" outlineLevel="0" collapsed="false">
      <c r="A704" s="3" t="s">
        <v>718</v>
      </c>
      <c r="B704" s="0" t="s">
        <v>379</v>
      </c>
      <c r="D704" s="21" t="n">
        <f aca="false">D703-D701</f>
        <v>1.141123803768</v>
      </c>
      <c r="E704" s="21" t="n">
        <f aca="false">$D704*(swm_27/swm_26)^el_o*1*1*E694*E695</f>
        <v>1.83552013039205</v>
      </c>
      <c r="F704" s="21" t="n">
        <f aca="false">$D704*(swm_28/swm_26)^el_o*um28_A*1*F694*F695</f>
        <v>1.87583060833026</v>
      </c>
      <c r="G704" s="21" t="n">
        <f aca="false">$D704*(swm_29/swm_26)^el_o*um29_A*1*G694*G695</f>
        <v>1.89582733342525</v>
      </c>
      <c r="K704" s="7" t="s">
        <v>719</v>
      </c>
    </row>
    <row r="705" customFormat="false" ht="17.15" hidden="false" customHeight="false" outlineLevel="0" collapsed="false">
      <c r="A705" s="3" t="s">
        <v>720</v>
      </c>
      <c r="B705" s="0" t="s">
        <v>379</v>
      </c>
      <c r="D705" s="21" t="n">
        <f aca="false">a26_abf-D703</f>
        <v>17.144127</v>
      </c>
      <c r="E705" s="21" t="n">
        <f aca="false">$D705*(1+g_nai)^1*E695</f>
        <v>20.898690813</v>
      </c>
      <c r="F705" s="21" t="n">
        <f aca="false">$D705*(1+g_nai)^2*F695</f>
        <v>22.15261226178</v>
      </c>
      <c r="G705" s="21" t="n">
        <f aca="false">$D705*(1+g_nai)^3*G695</f>
        <v>23.4817689974868</v>
      </c>
      <c r="K705" s="3" t="s">
        <v>721</v>
      </c>
    </row>
    <row r="706" customFormat="false" ht="17.15" hidden="false" customHeight="false" outlineLevel="0" collapsed="false">
      <c r="A706" s="0" t="s">
        <v>722</v>
      </c>
      <c r="B706" s="0" t="s">
        <v>379</v>
      </c>
      <c r="D706" s="21" t="n">
        <f aca="false">D701+D704+D705</f>
        <v>22.858836</v>
      </c>
      <c r="E706" s="21" t="n">
        <f aca="false">E701+E704+E705</f>
        <v>38.552060307501</v>
      </c>
      <c r="F706" s="21" t="n">
        <f aca="false">F701+F704+F705</f>
        <v>46.8717988602402</v>
      </c>
      <c r="G706" s="21" t="n">
        <f aca="false">G701+G704+G705</f>
        <v>54.7076452262029</v>
      </c>
    </row>
    <row r="707" customFormat="false" ht="17.15" hidden="false" customHeight="false" outlineLevel="0" collapsed="false">
      <c r="A707" s="0" t="s">
        <v>723</v>
      </c>
      <c r="B707" s="0" t="s">
        <v>379</v>
      </c>
      <c r="D707" s="21" t="n">
        <f aca="false">a26_abf</f>
        <v>22.858836</v>
      </c>
      <c r="E707" s="21" t="n">
        <f aca="false">$D706*cap_27*(1+g_mix)^1*E694*E695</f>
        <v>33.122453364</v>
      </c>
      <c r="F707" s="21" t="n">
        <f aca="false">$D706*cap_28*(1+g_mix)^2*F694*F695</f>
        <v>41.2995590382375</v>
      </c>
      <c r="G707" s="21" t="n">
        <f aca="false">$D706*cap_29*(1+g_mix)^3*G694*G695</f>
        <v>50.6680379569114</v>
      </c>
      <c r="K707" s="7" t="s">
        <v>724</v>
      </c>
    </row>
    <row r="708" customFormat="false" ht="17.15" hidden="false" customHeight="false" outlineLevel="0" collapsed="false">
      <c r="A708" s="0" t="s">
        <v>725</v>
      </c>
      <c r="B708" s="0" t="s">
        <v>379</v>
      </c>
      <c r="D708" s="21" t="n">
        <f aca="false">a26_abf</f>
        <v>22.858836</v>
      </c>
      <c r="E708" s="21" t="n">
        <f aca="false">MIN(E706,E707)</f>
        <v>33.122453364</v>
      </c>
      <c r="F708" s="21" t="n">
        <f aca="false">MIN(F706,F707)</f>
        <v>41.2995590382375</v>
      </c>
      <c r="G708" s="21" t="n">
        <f aca="false">MIN(G706,G707)</f>
        <v>50.6680379569114</v>
      </c>
    </row>
    <row r="709" customFormat="false" ht="17.15" hidden="false" customHeight="false" outlineLevel="0" collapsed="false">
      <c r="A709" s="3" t="s">
        <v>726</v>
      </c>
      <c r="B709" s="0" t="s">
        <v>43</v>
      </c>
      <c r="D709" s="20" t="n">
        <f aca="false">D708/D706</f>
        <v>1</v>
      </c>
      <c r="E709" s="20" t="n">
        <f aca="false">E708/E706</f>
        <v>0.85916169200315</v>
      </c>
      <c r="F709" s="20" t="n">
        <f aca="false">F708/F706</f>
        <v>0.881117431856676</v>
      </c>
      <c r="G709" s="20" t="n">
        <f aca="false">G708/G706</f>
        <v>0.926160096041627</v>
      </c>
    </row>
    <row r="710" customFormat="false" ht="17.15" hidden="false" customHeight="false" outlineLevel="0" collapsed="false">
      <c r="A710" s="0" t="s">
        <v>727</v>
      </c>
      <c r="B710" s="0" t="s">
        <v>379</v>
      </c>
      <c r="D710" s="21" t="n">
        <f aca="false">(D701+D704)*D709</f>
        <v>5.714709</v>
      </c>
      <c r="E710" s="21" t="n">
        <f aca="false">(E701+E704)*E709</f>
        <v>15.1670988044522</v>
      </c>
      <c r="F710" s="21" t="n">
        <f aca="false">(F701+F704)*F709</f>
        <v>21.7805062132212</v>
      </c>
      <c r="G710" s="21" t="n">
        <f aca="false">(G701+G704)*G709</f>
        <v>28.9201605269717</v>
      </c>
    </row>
    <row r="711" customFormat="false" ht="17.15" hidden="false" customHeight="false" outlineLevel="0" collapsed="false">
      <c r="A711" s="3" t="s">
        <v>728</v>
      </c>
      <c r="B711" s="0" t="s">
        <v>43</v>
      </c>
      <c r="D711" s="20" t="n">
        <f aca="false">D701/(D701+D704)</f>
        <v>0.800318125775433</v>
      </c>
      <c r="E711" s="20" t="n">
        <f aca="false">E701/(E701+E704)</f>
        <v>0.896024374782173</v>
      </c>
      <c r="F711" s="20" t="n">
        <f aca="false">F701/(F701+F704)</f>
        <v>0.924114387791097</v>
      </c>
      <c r="G711" s="20" t="n">
        <f aca="false">G701/(G701+G704)</f>
        <v>0.939286657016792</v>
      </c>
    </row>
    <row r="712" customFormat="false" ht="17.15" hidden="false" customHeight="false" outlineLevel="0" collapsed="false">
      <c r="A712" s="5" t="s">
        <v>729</v>
      </c>
    </row>
    <row r="713" customFormat="false" ht="17.15" hidden="false" customHeight="false" outlineLevel="0" collapsed="false">
      <c r="A713" s="0" t="s">
        <v>730</v>
      </c>
      <c r="B713" s="0" t="s">
        <v>379</v>
      </c>
      <c r="D713" s="21" t="n">
        <f aca="false">a26_bt</f>
        <v>23.265964</v>
      </c>
      <c r="E713" s="21" t="n">
        <f aca="false">D713*(1+g_bt27_A)</f>
        <v>29.78043392</v>
      </c>
      <c r="F713" s="21" t="n">
        <f aca="false">E713*(1+g_bt28_A)</f>
        <v>32.758477312</v>
      </c>
      <c r="G713" s="21" t="n">
        <f aca="false">F713*(1+g_bt29_A)</f>
        <v>34.3964011776</v>
      </c>
      <c r="K713" s="7" t="s">
        <v>731</v>
      </c>
    </row>
    <row r="714" customFormat="false" ht="17.15" hidden="false" customHeight="false" outlineLevel="0" collapsed="false">
      <c r="A714" s="3" t="s">
        <v>616</v>
      </c>
      <c r="B714" s="0" t="s">
        <v>379</v>
      </c>
      <c r="C714" s="21" t="n">
        <f aca="false">a25_lens</f>
        <v>7.039</v>
      </c>
      <c r="D714" s="21" t="n">
        <f aca="false">a26_lens</f>
        <v>8.301</v>
      </c>
      <c r="E714" s="21" t="n">
        <f aca="false">D714*(1+g_lens)</f>
        <v>9.1311</v>
      </c>
      <c r="F714" s="21" t="n">
        <f aca="false">E714*(1+g_lens)</f>
        <v>10.04421</v>
      </c>
      <c r="G714" s="21" t="n">
        <f aca="false">F714*(1+g_lens)</f>
        <v>11.048631</v>
      </c>
      <c r="K714" s="3" t="s">
        <v>732</v>
      </c>
    </row>
    <row r="715" customFormat="false" ht="17.15" hidden="false" customHeight="false" outlineLevel="0" collapsed="false">
      <c r="A715" s="3" t="s">
        <v>573</v>
      </c>
      <c r="B715" s="0" t="s">
        <v>379</v>
      </c>
      <c r="C715" s="23" t="n">
        <f aca="false">a25_rev</f>
        <v>39.351</v>
      </c>
      <c r="D715" s="23" t="n">
        <f aca="false">D708+D713+D714</f>
        <v>54.4258</v>
      </c>
      <c r="E715" s="23" t="n">
        <f aca="false">E708+E713+E714</f>
        <v>72.033987284</v>
      </c>
      <c r="F715" s="23" t="n">
        <f aca="false">F708+F713+F714</f>
        <v>84.1022463502375</v>
      </c>
      <c r="G715" s="23" t="n">
        <f aca="false">G708+G713+G714</f>
        <v>96.1130701345114</v>
      </c>
      <c r="H715" s="25" t="n">
        <f aca="false">G715*(1+H716)</f>
        <v>107.186075216063</v>
      </c>
      <c r="I715" s="25" t="n">
        <f aca="false">H715*(1+I716)</f>
        <v>116.576010002736</v>
      </c>
      <c r="J715" s="25" t="n">
        <f aca="false">I715*(1+J716)</f>
        <v>123.5705706029</v>
      </c>
      <c r="K715" s="7" t="s">
        <v>733</v>
      </c>
    </row>
    <row r="716" customFormat="false" ht="15" hidden="false" customHeight="false" outlineLevel="0" collapsed="false">
      <c r="A716" s="3" t="s">
        <v>734</v>
      </c>
      <c r="B716" s="0" t="s">
        <v>43</v>
      </c>
      <c r="D716" s="20" t="n">
        <f aca="false">D715/C715-1</f>
        <v>0.383085563263958</v>
      </c>
      <c r="E716" s="20" t="n">
        <f aca="false">E715/D715-1</f>
        <v>0.323526476119781</v>
      </c>
      <c r="F716" s="20" t="n">
        <f aca="false">F715/E715-1</f>
        <v>0.167535624796909</v>
      </c>
      <c r="G716" s="20" t="n">
        <f aca="false">G715/F715-1</f>
        <v>0.142812163830389</v>
      </c>
      <c r="H716" s="26" t="n">
        <f aca="false">$G716+(fade_gA-$G716)*1/3</f>
        <v>0.115208109220259</v>
      </c>
      <c r="I716" s="26" t="n">
        <f aca="false">$G716+(fade_gA-$G716)*2/3</f>
        <v>0.0876040546101297</v>
      </c>
      <c r="J716" s="26" t="n">
        <f aca="false">$G716+(fade_gA-$G716)*3/3</f>
        <v>0.06</v>
      </c>
    </row>
    <row r="717" customFormat="false" ht="17.15" hidden="false" customHeight="false" outlineLevel="0" collapsed="false">
      <c r="A717" s="0" t="s">
        <v>735</v>
      </c>
      <c r="B717" s="0" t="s">
        <v>43</v>
      </c>
      <c r="D717" s="20" t="n">
        <f aca="false">D708/D715</f>
        <v>0.42</v>
      </c>
      <c r="E717" s="20" t="n">
        <f aca="false">E708/E715</f>
        <v>0.459817019893845</v>
      </c>
      <c r="F717" s="20" t="n">
        <f aca="false">F708/F715</f>
        <v>0.491063685341395</v>
      </c>
      <c r="G717" s="20" t="n">
        <f aca="false">G708/G715</f>
        <v>0.527171152539409</v>
      </c>
    </row>
    <row r="718" customFormat="false" ht="17.15" hidden="false" customHeight="false" outlineLevel="0" collapsed="false">
      <c r="A718" s="0" t="s">
        <v>736</v>
      </c>
      <c r="B718" s="0" t="s">
        <v>43</v>
      </c>
      <c r="D718" s="20" t="n">
        <f aca="false">D710/D715</f>
        <v>0.105</v>
      </c>
      <c r="E718" s="20" t="n">
        <f aca="false">E710/E715</f>
        <v>0.210554758612135</v>
      </c>
      <c r="F718" s="20" t="n">
        <f aca="false">F710/F715</f>
        <v>0.258976509646579</v>
      </c>
      <c r="G718" s="20" t="n">
        <f aca="false">G710/G715</f>
        <v>0.300897271167153</v>
      </c>
      <c r="K718" s="3" t="s">
        <v>737</v>
      </c>
    </row>
    <row r="719" customFormat="false" ht="17.15" hidden="false" customHeight="false" outlineLevel="0" collapsed="false">
      <c r="A719" s="5" t="s">
        <v>738</v>
      </c>
    </row>
    <row r="720" customFormat="false" ht="15" hidden="false" customHeight="false" outlineLevel="0" collapsed="false">
      <c r="A720" s="3" t="s">
        <v>739</v>
      </c>
      <c r="B720" s="0" t="s">
        <v>379</v>
      </c>
      <c r="C720" s="23" t="n">
        <f aca="false">a25_cx</f>
        <v>6.116</v>
      </c>
      <c r="D720" s="23" t="n">
        <f aca="false">capex26</f>
        <v>11</v>
      </c>
      <c r="E720" s="23" t="n">
        <f aca="false">cx27</f>
        <v>17</v>
      </c>
      <c r="F720" s="23" t="n">
        <f aca="false">cx28</f>
        <v>16</v>
      </c>
      <c r="G720" s="23" t="n">
        <f aca="false">cx29</f>
        <v>12</v>
      </c>
      <c r="H720" s="25" t="n">
        <f aca="false">H715*H739</f>
        <v>13.4817405534162</v>
      </c>
      <c r="I720" s="25" t="n">
        <f aca="false">I715*I739</f>
        <v>14.77073304233</v>
      </c>
      <c r="J720" s="25" t="n">
        <f aca="false">J715*J739</f>
        <v>15.7713906192965</v>
      </c>
    </row>
    <row r="721" customFormat="false" ht="17.15" hidden="false" customHeight="false" outlineLevel="0" collapsed="false">
      <c r="A721" s="3" t="s">
        <v>740</v>
      </c>
      <c r="B721" s="0" t="s">
        <v>379</v>
      </c>
      <c r="C721" s="23" t="n">
        <f aca="false">a25_da</f>
        <v>7.158</v>
      </c>
      <c r="D721" s="23" t="n">
        <f aca="false">da26</f>
        <v>8.32</v>
      </c>
      <c r="E721" s="23" t="n">
        <f aca="false">D721*(1-1/life)+D720/life</f>
        <v>8.655</v>
      </c>
      <c r="F721" s="23" t="n">
        <f aca="false">E721*(1-1/life)+E720/life</f>
        <v>9.698125</v>
      </c>
      <c r="G721" s="23" t="n">
        <f aca="false">F721*(1-1/life)+F720/life</f>
        <v>10.485859375</v>
      </c>
      <c r="H721" s="25" t="n">
        <f aca="false">H715*H722</f>
        <v>11.6939154071433</v>
      </c>
      <c r="I721" s="25" t="n">
        <f aca="false">I715*I722</f>
        <v>12.7183498110769</v>
      </c>
      <c r="J721" s="25" t="n">
        <f aca="false">J715*J722</f>
        <v>13.4814507997415</v>
      </c>
      <c r="K721" s="3" t="s">
        <v>741</v>
      </c>
    </row>
    <row r="722" customFormat="false" ht="17.15" hidden="false" customHeight="false" outlineLevel="0" collapsed="false">
      <c r="A722" s="3" t="s">
        <v>742</v>
      </c>
      <c r="B722" s="0" t="s">
        <v>43</v>
      </c>
      <c r="C722" s="20" t="n">
        <f aca="false">C721/C715</f>
        <v>0.181901349393916</v>
      </c>
      <c r="D722" s="20" t="n">
        <f aca="false">D721/D715</f>
        <v>0.152868676252807</v>
      </c>
      <c r="E722" s="20" t="n">
        <f aca="false">E721/E715</f>
        <v>0.120151616290196</v>
      </c>
      <c r="F722" s="20" t="n">
        <f aca="false">F721/F715</f>
        <v>0.115313507318376</v>
      </c>
      <c r="G722" s="20" t="n">
        <f aca="false">G721/G715</f>
        <v>0.109099203264706</v>
      </c>
      <c r="H722" s="26" t="n">
        <f aca="false">$G722</f>
        <v>0.109099203264706</v>
      </c>
      <c r="I722" s="26" t="n">
        <f aca="false">$G722</f>
        <v>0.109099203264706</v>
      </c>
      <c r="J722" s="26" t="n">
        <f aca="false">$G722</f>
        <v>0.109099203264706</v>
      </c>
    </row>
    <row r="723" customFormat="false" ht="17.15" hidden="false" customHeight="false" outlineLevel="0" collapsed="false">
      <c r="A723" s="0" t="s">
        <v>743</v>
      </c>
      <c r="B723" s="0" t="s">
        <v>379</v>
      </c>
      <c r="E723" s="21" t="n">
        <f aca="false">E709*((E701+E704)*(1-1/(E694*E695))+E705*(1-1/E695))</f>
        <v>4.320320004</v>
      </c>
      <c r="F723" s="21" t="n">
        <f aca="false">F709*((F701+F704)*(1-1/(F694*F695))+F705*(1-1/F695))</f>
        <v>4.39007949866158</v>
      </c>
      <c r="G723" s="21" t="n">
        <f aca="false">G709*((G701+G704)*(1-1/(G694*G695))+G705*(1-1/G695))</f>
        <v>3.81465610771581</v>
      </c>
      <c r="K723" s="7" t="s">
        <v>744</v>
      </c>
    </row>
    <row r="724" customFormat="false" ht="17.15" hidden="false" customHeight="false" outlineLevel="0" collapsed="false">
      <c r="A724" s="3" t="s">
        <v>745</v>
      </c>
      <c r="B724" s="0" t="s">
        <v>379</v>
      </c>
      <c r="C724" s="21" t="n">
        <f aca="false">a25_gp</f>
        <v>8.314</v>
      </c>
      <c r="D724" s="21" t="n">
        <f aca="false">a26_gp</f>
        <v>15.328536</v>
      </c>
      <c r="E724" s="21" t="n">
        <f aca="false">$D724+ft_abf*(E708-E723-$D708)+ft_bt_hi*(E713-$D713)+ft_lens*(E714-$D714)+E723-(E721-$D721)</f>
        <v>26.567731636</v>
      </c>
      <c r="F724" s="21" t="n">
        <f aca="false">$D724+ft_abf*(F708-F723-$D708)+ft_bt_hi*(F713-$D713)+ft_lens*(F714-$D714)+F723-(F721-$D721)</f>
        <v>31.8457647556495</v>
      </c>
      <c r="G724" s="21" t="n">
        <f aca="false">$D724+ft_abf*(G708-G723-$D708)+ft_bt_hi*(G713-$D713)+ft_lens*(G714-$D714)+G723-(G721-$D721)</f>
        <v>36.8893019138736</v>
      </c>
      <c r="K724" s="3" t="s">
        <v>746</v>
      </c>
    </row>
    <row r="725" customFormat="false" ht="15" hidden="false" customHeight="false" outlineLevel="0" collapsed="false">
      <c r="A725" s="3" t="s">
        <v>580</v>
      </c>
      <c r="B725" s="0" t="s">
        <v>43</v>
      </c>
      <c r="C725" s="16" t="n">
        <f aca="false">C724/C715</f>
        <v>0.211277985311682</v>
      </c>
      <c r="D725" s="16" t="n">
        <f aca="false">D724/D715</f>
        <v>0.281640986443929</v>
      </c>
      <c r="E725" s="16" t="n">
        <f aca="false">E724/E715</f>
        <v>0.368822171834727</v>
      </c>
      <c r="F725" s="16" t="n">
        <f aca="false">F724/F715</f>
        <v>0.378655340822054</v>
      </c>
      <c r="G725" s="16" t="n">
        <f aca="false">G724/G715</f>
        <v>0.383811503079098</v>
      </c>
    </row>
    <row r="726" customFormat="false" ht="15" hidden="false" customHeight="false" outlineLevel="0" collapsed="false">
      <c r="A726" s="3" t="s">
        <v>582</v>
      </c>
      <c r="B726" s="0" t="s">
        <v>379</v>
      </c>
      <c r="C726" s="21" t="n">
        <f aca="false">a25_opx</f>
        <v>5.644</v>
      </c>
      <c r="D726" s="21" t="n">
        <f aca="false">a26_opx</f>
        <v>6.54036</v>
      </c>
      <c r="E726" s="21" t="n">
        <f aca="false">D726*(1+phi*E716)</f>
        <v>7.80994777401287</v>
      </c>
      <c r="F726" s="21" t="n">
        <f aca="false">E726*(1+phi*F716)</f>
        <v>8.59501446198315</v>
      </c>
      <c r="G726" s="21" t="n">
        <f aca="false">F726*(1+phi*G716)</f>
        <v>9.33149803006473</v>
      </c>
    </row>
    <row r="727" customFormat="false" ht="15" hidden="false" customHeight="false" outlineLevel="0" collapsed="false">
      <c r="A727" s="3" t="s">
        <v>585</v>
      </c>
      <c r="B727" s="0" t="s">
        <v>379</v>
      </c>
      <c r="C727" s="21" t="n">
        <f aca="false">C724-C726</f>
        <v>2.67</v>
      </c>
      <c r="D727" s="21" t="n">
        <f aca="false">D724-D726</f>
        <v>8.788176</v>
      </c>
      <c r="E727" s="21" t="n">
        <f aca="false">E724-E726</f>
        <v>18.7577838619871</v>
      </c>
      <c r="F727" s="21" t="n">
        <f aca="false">F724-F726</f>
        <v>23.2507502936664</v>
      </c>
      <c r="G727" s="21" t="n">
        <f aca="false">G724-G726</f>
        <v>27.5578038838089</v>
      </c>
    </row>
    <row r="728" customFormat="false" ht="15" hidden="false" customHeight="false" outlineLevel="0" collapsed="false">
      <c r="A728" s="3" t="s">
        <v>683</v>
      </c>
      <c r="B728" s="0" t="s">
        <v>43</v>
      </c>
      <c r="C728" s="16" t="n">
        <f aca="false">C727/C715</f>
        <v>0.0678508805367081</v>
      </c>
      <c r="D728" s="16" t="n">
        <f aca="false">D727/D715</f>
        <v>0.161470773052486</v>
      </c>
      <c r="E728" s="16" t="n">
        <f aca="false">E727/E715</f>
        <v>0.260401854308481</v>
      </c>
      <c r="F728" s="16" t="n">
        <f aca="false">F727/F715</f>
        <v>0.276458136407444</v>
      </c>
      <c r="G728" s="16" t="n">
        <f aca="false">G727/G715</f>
        <v>0.286722751081007</v>
      </c>
    </row>
    <row r="729" customFormat="false" ht="15" hidden="false" customHeight="false" outlineLevel="0" collapsed="false">
      <c r="A729" s="3" t="s">
        <v>588</v>
      </c>
      <c r="B729" s="0" t="s">
        <v>379</v>
      </c>
      <c r="C729" s="21" t="n">
        <f aca="false">a25_nonop</f>
        <v>0.417</v>
      </c>
      <c r="D729" s="21" t="n">
        <f aca="false">a26_nonop</f>
        <v>0.37882</v>
      </c>
      <c r="E729" s="21" t="n">
        <f aca="false">nonop27</f>
        <v>0.4</v>
      </c>
      <c r="F729" s="21" t="n">
        <f aca="false">nonop28</f>
        <v>0.4</v>
      </c>
      <c r="G729" s="21" t="n">
        <f aca="false">nonop29</f>
        <v>0.4</v>
      </c>
    </row>
    <row r="730" customFormat="false" ht="15" hidden="false" customHeight="false" outlineLevel="0" collapsed="false">
      <c r="A730" s="3" t="s">
        <v>590</v>
      </c>
      <c r="B730" s="0" t="s">
        <v>379</v>
      </c>
      <c r="C730" s="21" t="n">
        <f aca="false">C727+C729</f>
        <v>3.087</v>
      </c>
      <c r="D730" s="21" t="n">
        <f aca="false">D727+D729</f>
        <v>9.166996</v>
      </c>
      <c r="E730" s="21" t="n">
        <f aca="false">E727+E729</f>
        <v>19.1577838619871</v>
      </c>
      <c r="F730" s="21" t="n">
        <f aca="false">F727+F729</f>
        <v>23.6507502936664</v>
      </c>
      <c r="G730" s="21" t="n">
        <f aca="false">G727+G729</f>
        <v>27.9578038838089</v>
      </c>
    </row>
    <row r="731" customFormat="false" ht="15" hidden="false" customHeight="false" outlineLevel="0" collapsed="false">
      <c r="A731" s="3" t="s">
        <v>591</v>
      </c>
      <c r="B731" s="0" t="s">
        <v>379</v>
      </c>
      <c r="E731" s="21" t="n">
        <f aca="false">E730*tax</f>
        <v>2.29893406343846</v>
      </c>
      <c r="F731" s="21" t="n">
        <f aca="false">F730*tax</f>
        <v>2.83809003523997</v>
      </c>
      <c r="G731" s="21" t="n">
        <f aca="false">G730*tax</f>
        <v>3.35493646605706</v>
      </c>
    </row>
    <row r="732" customFormat="false" ht="15" hidden="false" customHeight="false" outlineLevel="0" collapsed="false">
      <c r="A732" s="3" t="s">
        <v>592</v>
      </c>
      <c r="B732" s="0" t="s">
        <v>379</v>
      </c>
      <c r="C732" s="21" t="n">
        <f aca="false">a25_nic</f>
        <v>2.71712</v>
      </c>
      <c r="D732" s="21" t="n">
        <f aca="false">a26_nic</f>
        <v>8.39979776</v>
      </c>
      <c r="E732" s="21" t="n">
        <f aca="false">E730-E731</f>
        <v>16.8588497985487</v>
      </c>
      <c r="F732" s="21" t="n">
        <f aca="false">F730-F731</f>
        <v>20.8126602584264</v>
      </c>
      <c r="G732" s="21" t="n">
        <f aca="false">G730-G731</f>
        <v>24.6028674177518</v>
      </c>
    </row>
    <row r="733" customFormat="false" ht="17.15" hidden="false" customHeight="false" outlineLevel="0" collapsed="false">
      <c r="A733" s="3" t="s">
        <v>747</v>
      </c>
      <c r="B733" s="0" t="s">
        <v>379</v>
      </c>
      <c r="C733" s="21" t="n">
        <f aca="false">a25_nci</f>
        <v>1.12112</v>
      </c>
      <c r="D733" s="21" t="n">
        <f aca="false">a26_nci</f>
        <v>1.43839238487797</v>
      </c>
      <c r="E733" s="21" t="n">
        <f aca="false">E714*nm_lens*nci_sh</f>
        <v>1.57074538036261</v>
      </c>
      <c r="F733" s="21" t="n">
        <f aca="false">F714*nm_lens*nci_sh</f>
        <v>1.72781991839887</v>
      </c>
      <c r="G733" s="21" t="n">
        <f aca="false">G714*nm_lens*nci_sh</f>
        <v>1.90060191023875</v>
      </c>
      <c r="K733" s="3" t="s">
        <v>748</v>
      </c>
    </row>
    <row r="734" customFormat="false" ht="15" hidden="false" customHeight="false" outlineLevel="0" collapsed="false">
      <c r="A734" s="3" t="s">
        <v>598</v>
      </c>
      <c r="B734" s="0" t="s">
        <v>379</v>
      </c>
      <c r="C734" s="21" t="n">
        <f aca="false">a25_ni</f>
        <v>1.596</v>
      </c>
      <c r="D734" s="21" t="n">
        <f aca="false">a26_ni</f>
        <v>6.96140537512203</v>
      </c>
      <c r="E734" s="21" t="n">
        <f aca="false">E732-E733</f>
        <v>15.2881044181861</v>
      </c>
      <c r="F734" s="21" t="n">
        <f aca="false">F732-F733</f>
        <v>19.0848403400276</v>
      </c>
      <c r="G734" s="21" t="n">
        <f aca="false">G732-G733</f>
        <v>22.702265507513</v>
      </c>
      <c r="H734" s="30" t="n">
        <f aca="false">H715*H738</f>
        <v>24.7715894244664</v>
      </c>
      <c r="I734" s="30" t="n">
        <f aca="false">I715*I738</f>
        <v>26.3476739972876</v>
      </c>
      <c r="J734" s="30" t="n">
        <f aca="false">J715*J738</f>
        <v>27.2988869112315</v>
      </c>
    </row>
    <row r="735" customFormat="false" ht="15" hidden="false" customHeight="false" outlineLevel="0" collapsed="false">
      <c r="A735" s="3" t="s">
        <v>749</v>
      </c>
      <c r="B735" s="3" t="s">
        <v>465</v>
      </c>
      <c r="C735" s="29" t="n">
        <f aca="false">a25_sh</f>
        <v>0.454700854700855</v>
      </c>
      <c r="D735" s="29" t="n">
        <f aca="false">a26_sh</f>
        <v>0.508341020486215</v>
      </c>
      <c r="E735" s="29" t="n">
        <f aca="false">a26_shend*(1+sh_g)</f>
        <v>0.52691</v>
      </c>
      <c r="F735" s="29" t="n">
        <f aca="false">E735*(1+sh_g)</f>
        <v>0.52691</v>
      </c>
      <c r="G735" s="29" t="n">
        <f aca="false">F735*(1+sh_g)</f>
        <v>0.52691</v>
      </c>
      <c r="H735" s="31" t="n">
        <f aca="false">G735*(1+sh_g)</f>
        <v>0.52691</v>
      </c>
      <c r="I735" s="31" t="n">
        <f aca="false">H735*(1+sh_g)</f>
        <v>0.52691</v>
      </c>
      <c r="J735" s="31" t="n">
        <f aca="false">I735*(1+sh_g)</f>
        <v>0.52691</v>
      </c>
    </row>
    <row r="736" customFormat="false" ht="17.15" hidden="false" customHeight="false" outlineLevel="0" collapsed="false">
      <c r="A736" s="0" t="s">
        <v>603</v>
      </c>
      <c r="B736" s="0" t="s">
        <v>471</v>
      </c>
      <c r="C736" s="18" t="n">
        <f aca="false">C734/C735</f>
        <v>3.51</v>
      </c>
      <c r="D736" s="18" t="n">
        <f aca="false">D734/D735</f>
        <v>13.6943608612652</v>
      </c>
      <c r="E736" s="18" t="n">
        <f aca="false">E734/E735</f>
        <v>29.0146408650169</v>
      </c>
      <c r="F736" s="18" t="n">
        <f aca="false">F734/F735</f>
        <v>36.2203039229234</v>
      </c>
      <c r="G736" s="18" t="n">
        <f aca="false">G734/G735</f>
        <v>43.0856607532843</v>
      </c>
      <c r="H736" s="28" t="n">
        <f aca="false">H734/H735</f>
        <v>47.0129422946355</v>
      </c>
      <c r="I736" s="28" t="n">
        <f aca="false">I734/I735</f>
        <v>50.004125936664</v>
      </c>
      <c r="J736" s="28" t="n">
        <f aca="false">J734/J735</f>
        <v>51.8093923274022</v>
      </c>
    </row>
    <row r="737" customFormat="false" ht="17.15" hidden="false" customHeight="false" outlineLevel="0" collapsed="false">
      <c r="A737" s="0" t="s">
        <v>750</v>
      </c>
      <c r="B737" s="0" t="s">
        <v>43</v>
      </c>
      <c r="D737" s="20" t="n">
        <f aca="false">D736/C736-1</f>
        <v>2.90152731090177</v>
      </c>
      <c r="E737" s="20" t="n">
        <f aca="false">E736/D736-1</f>
        <v>1.11872910017184</v>
      </c>
      <c r="F737" s="20" t="n">
        <f aca="false">F736/E736-1</f>
        <v>0.248345760729175</v>
      </c>
      <c r="G737" s="20" t="n">
        <f aca="false">G736/F736-1</f>
        <v>0.189544429140363</v>
      </c>
      <c r="H737" s="26" t="n">
        <f aca="false">H736/G736-1</f>
        <v>0.0911505469032823</v>
      </c>
      <c r="I737" s="26" t="n">
        <f aca="false">I736/H736-1</f>
        <v>0.0636246849491444</v>
      </c>
      <c r="J737" s="26" t="n">
        <f aca="false">J736/I736-1</f>
        <v>0.0361023486946808</v>
      </c>
    </row>
    <row r="738" customFormat="false" ht="17.15" hidden="false" customHeight="false" outlineLevel="0" collapsed="false">
      <c r="A738" s="3" t="s">
        <v>751</v>
      </c>
      <c r="B738" s="0" t="s">
        <v>43</v>
      </c>
      <c r="C738" s="16" t="n">
        <f aca="false">C734/C715</f>
        <v>0.0405580544331783</v>
      </c>
      <c r="D738" s="16" t="n">
        <f aca="false">D734/D715</f>
        <v>0.127906349105057</v>
      </c>
      <c r="E738" s="16" t="n">
        <f aca="false">E734/E715</f>
        <v>0.212234599174851</v>
      </c>
      <c r="F738" s="16" t="n">
        <f aca="false">F734/F715</f>
        <v>0.226924263836547</v>
      </c>
      <c r="G738" s="16" t="n">
        <f aca="false">G734/G715</f>
        <v>0.236203728335189</v>
      </c>
      <c r="H738" s="27" t="n">
        <f aca="false">$G738+(fade_mA-$G738)*1/3</f>
        <v>0.231108279452648</v>
      </c>
      <c r="I738" s="27" t="n">
        <f aca="false">$G738+(fade_mA-$G738)*2/3</f>
        <v>0.226012830570108</v>
      </c>
      <c r="J738" s="27" t="n">
        <f aca="false">$G738+(fade_mA-$G738)*3/3</f>
        <v>0.220917381687568</v>
      </c>
    </row>
    <row r="739" customFormat="false" ht="17.15" hidden="false" customHeight="false" outlineLevel="0" collapsed="false">
      <c r="A739" s="3" t="s">
        <v>752</v>
      </c>
      <c r="B739" s="0" t="s">
        <v>43</v>
      </c>
      <c r="C739" s="20" t="n">
        <f aca="false">C720/C715</f>
        <v>0.155421717364235</v>
      </c>
      <c r="D739" s="20" t="n">
        <f aca="false">D720/D715</f>
        <v>0.202110028699624</v>
      </c>
      <c r="E739" s="20" t="n">
        <f aca="false">E720/E715</f>
        <v>0.235999708484498</v>
      </c>
      <c r="F739" s="20" t="n">
        <f aca="false">F720/F715</f>
        <v>0.190244621212247</v>
      </c>
      <c r="G739" s="20" t="n">
        <f aca="false">G720/G715</f>
        <v>0.124852946464054</v>
      </c>
      <c r="H739" s="26" t="n">
        <f aca="false">$G739+($G722*(1+tp_g)^(life/2)-$G739)*1/3</f>
        <v>0.125778843252168</v>
      </c>
      <c r="I739" s="26" t="n">
        <f aca="false">$G739+($G722*(1+tp_g)^(life/2)-$G739)*2/3</f>
        <v>0.126704740040282</v>
      </c>
      <c r="J739" s="26" t="n">
        <f aca="false">$G739+($G722*(1+tp_g)^(life/2)-$G739)*3/3</f>
        <v>0.127630636828396</v>
      </c>
      <c r="K739" s="7" t="s">
        <v>753</v>
      </c>
    </row>
    <row r="740" customFormat="false" ht="15" hidden="false" customHeight="false" outlineLevel="0" collapsed="false">
      <c r="A740" s="3" t="s">
        <v>754</v>
      </c>
      <c r="B740" s="0" t="s">
        <v>379</v>
      </c>
      <c r="D740" s="21" t="n">
        <f aca="false">D734+D721-D720</f>
        <v>4.28140537512203</v>
      </c>
      <c r="E740" s="21" t="n">
        <f aca="false">E734+E721-E720</f>
        <v>6.94310441818607</v>
      </c>
      <c r="F740" s="21" t="n">
        <f aca="false">F734+F721-F720</f>
        <v>12.7829653400276</v>
      </c>
      <c r="G740" s="21" t="n">
        <f aca="false">G734+G721-G720</f>
        <v>21.1881248825131</v>
      </c>
      <c r="H740" s="30" t="n">
        <f aca="false">H734+H721-H720</f>
        <v>22.9837642781934</v>
      </c>
      <c r="I740" s="30" t="n">
        <f aca="false">I734+I721-I720</f>
        <v>24.2952907660345</v>
      </c>
      <c r="J740" s="30" t="n">
        <f aca="false">J734+J721-J720</f>
        <v>25.0089470916765</v>
      </c>
      <c r="K740" s="3" t="s">
        <v>755</v>
      </c>
    </row>
    <row r="741" customFormat="false" ht="15" hidden="false" customHeight="false" outlineLevel="0" collapsed="false">
      <c r="A741" s="3" t="s">
        <v>756</v>
      </c>
      <c r="B741" s="0" t="s">
        <v>471</v>
      </c>
      <c r="D741" s="18" t="n">
        <f aca="false">D740/D735</f>
        <v>8.42230943909854</v>
      </c>
      <c r="E741" s="18" t="n">
        <f aca="false">E740/E735</f>
        <v>13.177021537238</v>
      </c>
      <c r="F741" s="18" t="n">
        <f aca="false">F740/F735</f>
        <v>24.2602443302036</v>
      </c>
      <c r="G741" s="18" t="n">
        <f aca="false">G740/G735</f>
        <v>40.2120378860015</v>
      </c>
      <c r="H741" s="28" t="n">
        <f aca="false">H740/H735</f>
        <v>43.619905255534</v>
      </c>
      <c r="I741" s="28" t="n">
        <f aca="false">I740/I735</f>
        <v>46.1089953996594</v>
      </c>
      <c r="J741" s="28" t="n">
        <f aca="false">J740/J735</f>
        <v>47.4634132805916</v>
      </c>
    </row>
    <row r="744" customFormat="false" ht="17.15" hidden="false" customHeight="false" outlineLevel="0" collapsed="false">
      <c r="A744" s="1" t="s">
        <v>1102</v>
      </c>
    </row>
    <row r="745" customFormat="false" ht="17.15" hidden="false" customHeight="false" outlineLevel="0" collapsed="false">
      <c r="A745" s="4" t="s">
        <v>20</v>
      </c>
      <c r="B745" s="4" t="s">
        <v>21</v>
      </c>
      <c r="C745" s="13" t="s">
        <v>566</v>
      </c>
      <c r="D745" s="13" t="s">
        <v>670</v>
      </c>
      <c r="E745" s="13" t="s">
        <v>671</v>
      </c>
      <c r="F745" s="13" t="s">
        <v>672</v>
      </c>
      <c r="G745" s="13" t="s">
        <v>673</v>
      </c>
      <c r="H745" s="13" t="s">
        <v>674</v>
      </c>
      <c r="I745" s="13" t="s">
        <v>675</v>
      </c>
      <c r="J745" s="13" t="s">
        <v>676</v>
      </c>
      <c r="K745" s="4" t="s">
        <v>630</v>
      </c>
    </row>
    <row r="746" customFormat="false" ht="17.15" hidden="false" customHeight="false" outlineLevel="0" collapsed="false">
      <c r="A746" s="5" t="s">
        <v>694</v>
      </c>
    </row>
    <row r="747" customFormat="false" ht="17.15" hidden="false" customHeight="false" outlineLevel="0" collapsed="false">
      <c r="A747" s="0" t="s">
        <v>695</v>
      </c>
      <c r="B747" s="3" t="s">
        <v>31</v>
      </c>
      <c r="D747" s="21" t="n">
        <f aca="false">(u_bw_26+u_rb_26+u_ru_26+u_hp_26)*1</f>
        <v>7.6</v>
      </c>
      <c r="E747" s="21" t="n">
        <f aca="false">(u_bw_27+u_rb_27+u_ru_27+u_hp_27)*1*1</f>
        <v>9.7</v>
      </c>
      <c r="F747" s="21" t="n">
        <f aca="false">(u_bw_28+u_rb_28+u_ru_28+u_hp_28)*um28_A*1</f>
        <v>9.5</v>
      </c>
      <c r="G747" s="21" t="n">
        <f aca="false">(u_bw_28*(1+g29_bw)+u_rb_28*(1+g29_rb)+u_ru_28*(1+g29_ru)+u_hp_28*(1+g29_hp))*um29_A*1</f>
        <v>10.6</v>
      </c>
      <c r="K747" s="7" t="s">
        <v>696</v>
      </c>
    </row>
    <row r="748" customFormat="false" ht="17.15" hidden="false" customHeight="false" outlineLevel="0" collapsed="false">
      <c r="A748" s="3" t="s">
        <v>697</v>
      </c>
      <c r="B748" s="3" t="s">
        <v>31</v>
      </c>
      <c r="D748" s="21" t="n">
        <f aca="false">(u_amd_26+u_tpu_26+u_trn_26+u_oth_26)*1</f>
        <v>7.6</v>
      </c>
      <c r="E748" s="21" t="n">
        <f aca="false">(u_amd_27+u_tpu_27+u_trn_27+u_oth_27)*1*1</f>
        <v>14</v>
      </c>
      <c r="F748" s="21" t="n">
        <f aca="false">(u_amd_28+u_tpu_28+u_trn_28+u_oth_28)*um28_A*1</f>
        <v>17</v>
      </c>
      <c r="G748" s="21" t="n">
        <f aca="false">(u_amd_28*(1+g29_amd)+u_tpu_28*(1+g29_tpu)+u_trn_28*(1+g29_trn)+u_oth_28*(1+g29_oth))*um29_A*1</f>
        <v>19.55</v>
      </c>
      <c r="K748" s="7" t="s">
        <v>698</v>
      </c>
    </row>
    <row r="749" customFormat="false" ht="17.15" hidden="false" customHeight="false" outlineLevel="0" collapsed="false">
      <c r="A749" s="0" t="s">
        <v>699</v>
      </c>
      <c r="B749" s="3" t="s">
        <v>31</v>
      </c>
      <c r="D749" s="21" t="n">
        <f aca="false">D747*cpu_r</f>
        <v>3.04</v>
      </c>
      <c r="E749" s="21" t="n">
        <f aca="false">E747*cpu_r</f>
        <v>3.88</v>
      </c>
      <c r="F749" s="21" t="n">
        <f aca="false">F747*cpu_r</f>
        <v>3.8</v>
      </c>
      <c r="G749" s="21" t="n">
        <f aca="false">G747*cpu_r</f>
        <v>4.24</v>
      </c>
      <c r="K749" s="7" t="s">
        <v>700</v>
      </c>
    </row>
    <row r="750" customFormat="false" ht="17.15" hidden="false" customHeight="false" outlineLevel="0" collapsed="false">
      <c r="A750" s="3" t="s">
        <v>701</v>
      </c>
      <c r="B750" s="0" t="s">
        <v>153</v>
      </c>
      <c r="D750" s="19" t="n">
        <f aca="false">1</f>
        <v>1</v>
      </c>
      <c r="E750" s="19" t="n">
        <f aca="false">D750*(1+g_asp)</f>
        <v>1.18</v>
      </c>
      <c r="F750" s="19" t="n">
        <f aca="false">E750*(1+g_asp)</f>
        <v>1.3924</v>
      </c>
      <c r="G750" s="19" t="n">
        <f aca="false">F750*(1+g_asp)</f>
        <v>1.643032</v>
      </c>
      <c r="K750" s="7" t="s">
        <v>702</v>
      </c>
    </row>
    <row r="751" customFormat="false" ht="17.15" hidden="false" customHeight="false" outlineLevel="0" collapsed="false">
      <c r="A751" s="0" t="s">
        <v>703</v>
      </c>
      <c r="B751" s="0" t="s">
        <v>153</v>
      </c>
      <c r="D751" s="18" t="n">
        <f aca="false">1</f>
        <v>1</v>
      </c>
      <c r="E751" s="18" t="n">
        <f aca="false">ibpp_27</f>
        <v>1</v>
      </c>
      <c r="F751" s="18" t="n">
        <f aca="false">ibpp_28</f>
        <v>0.95</v>
      </c>
      <c r="G751" s="18" t="n">
        <f aca="false">ibpp_29</f>
        <v>0.9</v>
      </c>
      <c r="K751" s="7" t="s">
        <v>704</v>
      </c>
    </row>
    <row r="752" customFormat="false" ht="17.15" hidden="false" customHeight="false" outlineLevel="0" collapsed="false">
      <c r="A752" s="3" t="s">
        <v>705</v>
      </c>
      <c r="B752" s="0" t="s">
        <v>153</v>
      </c>
      <c r="D752" s="18" t="n">
        <f aca="false">1</f>
        <v>1</v>
      </c>
      <c r="E752" s="18" t="n">
        <f aca="false">1+carry</f>
        <v>1.15</v>
      </c>
      <c r="F752" s="18" t="n">
        <f aca="false">1+carry</f>
        <v>1.15</v>
      </c>
      <c r="G752" s="18" t="n">
        <f aca="false">1+carry</f>
        <v>1.15</v>
      </c>
      <c r="K752" s="7" t="s">
        <v>706</v>
      </c>
    </row>
    <row r="753" customFormat="false" ht="17.15" hidden="false" customHeight="false" outlineLevel="0" collapsed="false">
      <c r="A753" s="3" t="s">
        <v>707</v>
      </c>
      <c r="B753" s="0" t="s">
        <v>708</v>
      </c>
      <c r="D753" s="23" t="n">
        <f aca="false">v26*D750*D751</f>
        <v>215.308596</v>
      </c>
      <c r="E753" s="23" t="n">
        <f aca="false">v26*E750*E751</f>
        <v>254.06414328</v>
      </c>
      <c r="F753" s="23" t="n">
        <f aca="false">v26*F750*F751</f>
        <v>284.80590461688</v>
      </c>
      <c r="G753" s="23" t="n">
        <f aca="false">v26*G750*G751</f>
        <v>318.383021792765</v>
      </c>
      <c r="K753" s="7" t="s">
        <v>709</v>
      </c>
    </row>
    <row r="754" customFormat="false" ht="17.15" hidden="false" customHeight="false" outlineLevel="0" collapsed="false">
      <c r="A754" s="3" t="s">
        <v>710</v>
      </c>
      <c r="B754" s="0" t="s">
        <v>43</v>
      </c>
      <c r="D754" s="20" t="n">
        <f aca="false">sh_nv_26</f>
        <v>0.02</v>
      </c>
      <c r="E754" s="20" t="n">
        <f aca="false">sh_nv_27</f>
        <v>0.03</v>
      </c>
      <c r="F754" s="20" t="n">
        <f aca="false">sh_nv_28</f>
        <v>0.05</v>
      </c>
      <c r="G754" s="20" t="n">
        <f aca="false">sh_nv_29</f>
        <v>0.06</v>
      </c>
    </row>
    <row r="755" customFormat="false" ht="17.15" hidden="false" customHeight="false" outlineLevel="0" collapsed="false">
      <c r="A755" s="3" t="s">
        <v>711</v>
      </c>
      <c r="B755" s="0" t="s">
        <v>43</v>
      </c>
      <c r="D755" s="20" t="n">
        <f aca="false">sh_ot_26</f>
        <v>0.03</v>
      </c>
      <c r="E755" s="20" t="n">
        <f aca="false">sh_ot_27</f>
        <v>0.05</v>
      </c>
      <c r="F755" s="20" t="n">
        <f aca="false">sh_ot_28</f>
        <v>0.06</v>
      </c>
      <c r="G755" s="20" t="n">
        <f aca="false">sh_ot_29</f>
        <v>0.06</v>
      </c>
    </row>
    <row r="756" customFormat="false" ht="17.15" hidden="false" customHeight="false" outlineLevel="0" collapsed="false">
      <c r="A756" s="3" t="s">
        <v>712</v>
      </c>
      <c r="B756" s="0" t="s">
        <v>43</v>
      </c>
      <c r="D756" s="20" t="n">
        <f aca="false">sh_cpu_26</f>
        <v>0.35</v>
      </c>
      <c r="E756" s="20" t="n">
        <f aca="false">sh_cpu_27</f>
        <v>0.7</v>
      </c>
      <c r="F756" s="20" t="n">
        <f aca="false">sh_cpu_28</f>
        <v>0.75</v>
      </c>
      <c r="G756" s="20" t="n">
        <f aca="false">sh_cpu_29</f>
        <v>0.7</v>
      </c>
    </row>
    <row r="757" customFormat="false" ht="17.15" hidden="false" customHeight="false" outlineLevel="0" collapsed="false">
      <c r="A757" s="3" t="s">
        <v>713</v>
      </c>
      <c r="B757" s="0" t="s">
        <v>660</v>
      </c>
      <c r="D757" s="22" t="n">
        <f aca="false">(D747*D753*D754+D748*D753*v_ot*D755+D749*D753*v_cpu*D756)*D752</f>
        <v>140.7256983456</v>
      </c>
      <c r="E757" s="22" t="n">
        <f aca="false">(E747*E753*E754+E748*E753*v_ot*E755+E749*E753*v_cpu*E756)*E752</f>
        <v>486.703057357198</v>
      </c>
      <c r="F757" s="22" t="n">
        <f aca="false">(F747*F753*F754+F748*F753*v_ot*F755+F749*F753*v_cpu*F756)*F752</f>
        <v>702.872492003998</v>
      </c>
      <c r="G757" s="22" t="n">
        <f aca="false">(G747*G753*G754+G748*G753*v_ot*G755+G749*G753*v_cpu*G756)*G752</f>
        <v>902.463042932027</v>
      </c>
    </row>
    <row r="758" customFormat="false" ht="17.15" hidden="false" customHeight="false" outlineLevel="0" collapsed="false">
      <c r="A758" s="3" t="s">
        <v>714</v>
      </c>
      <c r="B758" s="0" t="s">
        <v>379</v>
      </c>
      <c r="D758" s="21" t="n">
        <f aca="false">D757*fx/1000</f>
        <v>4.573585196232</v>
      </c>
      <c r="E758" s="21" t="n">
        <f aca="false">E757*fx/1000</f>
        <v>15.8178493641089</v>
      </c>
      <c r="F758" s="21" t="n">
        <f aca="false">F757*fx/1000</f>
        <v>22.8433559901299</v>
      </c>
      <c r="G758" s="21" t="n">
        <f aca="false">G757*fx/1000</f>
        <v>29.3300488952909</v>
      </c>
    </row>
    <row r="759" customFormat="false" ht="17.15" hidden="false" customHeight="false" outlineLevel="0" collapsed="false">
      <c r="A759" s="5" t="s">
        <v>715</v>
      </c>
    </row>
    <row r="760" customFormat="false" ht="17.15" hidden="false" customHeight="false" outlineLevel="0" collapsed="false">
      <c r="A760" s="0" t="s">
        <v>716</v>
      </c>
      <c r="B760" s="0" t="s">
        <v>379</v>
      </c>
      <c r="D760" s="21" t="n">
        <f aca="false">a26_abf*ai_abf</f>
        <v>5.714709</v>
      </c>
      <c r="K760" s="3" t="s">
        <v>717</v>
      </c>
    </row>
    <row r="761" customFormat="false" ht="17.15" hidden="false" customHeight="false" outlineLevel="0" collapsed="false">
      <c r="A761" s="3" t="s">
        <v>718</v>
      </c>
      <c r="B761" s="0" t="s">
        <v>379</v>
      </c>
      <c r="D761" s="21" t="n">
        <f aca="false">D760-D758</f>
        <v>1.141123803768</v>
      </c>
      <c r="E761" s="21" t="n">
        <f aca="false">$D761*(swm_27/swm_26)^el_o*1*1*E751*E752</f>
        <v>1.83552013039205</v>
      </c>
      <c r="F761" s="21" t="n">
        <f aca="false">$D761*(swm_28/swm_26)^el_o*um28_A*1*F751*F752</f>
        <v>1.87583060833026</v>
      </c>
      <c r="G761" s="21" t="n">
        <f aca="false">$D761*(swm_29/swm_26)^el_o*um29_A*1*G751*G752</f>
        <v>1.89582733342525</v>
      </c>
      <c r="K761" s="7" t="s">
        <v>719</v>
      </c>
    </row>
    <row r="762" customFormat="false" ht="17.15" hidden="false" customHeight="false" outlineLevel="0" collapsed="false">
      <c r="A762" s="3" t="s">
        <v>720</v>
      </c>
      <c r="B762" s="0" t="s">
        <v>379</v>
      </c>
      <c r="D762" s="21" t="n">
        <f aca="false">a26_abf-D760</f>
        <v>17.144127</v>
      </c>
      <c r="E762" s="21" t="n">
        <f aca="false">$D762*(1+g_nai)^1*E752</f>
        <v>20.898690813</v>
      </c>
      <c r="F762" s="21" t="n">
        <f aca="false">$D762*(1+g_nai)^2*F752</f>
        <v>22.15261226178</v>
      </c>
      <c r="G762" s="21" t="n">
        <f aca="false">$D762*(1+g_nai)^3*G752</f>
        <v>23.4817689974868</v>
      </c>
      <c r="K762" s="3" t="s">
        <v>721</v>
      </c>
    </row>
    <row r="763" customFormat="false" ht="17.15" hidden="false" customHeight="false" outlineLevel="0" collapsed="false">
      <c r="A763" s="0" t="s">
        <v>722</v>
      </c>
      <c r="B763" s="0" t="s">
        <v>379</v>
      </c>
      <c r="D763" s="21" t="n">
        <f aca="false">D758+D761+D762</f>
        <v>22.858836</v>
      </c>
      <c r="E763" s="21" t="n">
        <f aca="false">E758+E761+E762</f>
        <v>38.552060307501</v>
      </c>
      <c r="F763" s="21" t="n">
        <f aca="false">F758+F761+F762</f>
        <v>46.8717988602402</v>
      </c>
      <c r="G763" s="21" t="n">
        <f aca="false">G758+G761+G762</f>
        <v>54.7076452262029</v>
      </c>
    </row>
    <row r="764" customFormat="false" ht="17.15" hidden="false" customHeight="false" outlineLevel="0" collapsed="false">
      <c r="A764" s="0" t="s">
        <v>723</v>
      </c>
      <c r="B764" s="0" t="s">
        <v>379</v>
      </c>
      <c r="D764" s="21" t="n">
        <f aca="false">a26_abf</f>
        <v>22.858836</v>
      </c>
      <c r="E764" s="21" t="n">
        <f aca="false">$D763*cap_27*(1+g_mix)^1*E751*E752</f>
        <v>33.122453364</v>
      </c>
      <c r="F764" s="21" t="n">
        <f aca="false">$D763*cap_28*(1+g_mix)^2*F751*F752</f>
        <v>41.2995590382375</v>
      </c>
      <c r="G764" s="21" t="n">
        <f aca="false">$D763*cap_29*(1+g_mix)^3*G751*G752</f>
        <v>50.6680379569114</v>
      </c>
      <c r="K764" s="7" t="s">
        <v>724</v>
      </c>
    </row>
    <row r="765" customFormat="false" ht="17.15" hidden="false" customHeight="false" outlineLevel="0" collapsed="false">
      <c r="A765" s="0" t="s">
        <v>725</v>
      </c>
      <c r="B765" s="0" t="s">
        <v>379</v>
      </c>
      <c r="D765" s="21" t="n">
        <f aca="false">a26_abf</f>
        <v>22.858836</v>
      </c>
      <c r="E765" s="21" t="n">
        <f aca="false">MIN(E763,E764)</f>
        <v>33.122453364</v>
      </c>
      <c r="F765" s="21" t="n">
        <f aca="false">MIN(F763,F764)</f>
        <v>41.2995590382375</v>
      </c>
      <c r="G765" s="21" t="n">
        <f aca="false">MIN(G763,G764)</f>
        <v>50.6680379569114</v>
      </c>
    </row>
    <row r="766" customFormat="false" ht="17.15" hidden="false" customHeight="false" outlineLevel="0" collapsed="false">
      <c r="A766" s="3" t="s">
        <v>726</v>
      </c>
      <c r="B766" s="0" t="s">
        <v>43</v>
      </c>
      <c r="D766" s="20" t="n">
        <f aca="false">D765/D763</f>
        <v>1</v>
      </c>
      <c r="E766" s="20" t="n">
        <f aca="false">E765/E763</f>
        <v>0.85916169200315</v>
      </c>
      <c r="F766" s="20" t="n">
        <f aca="false">F765/F763</f>
        <v>0.881117431856676</v>
      </c>
      <c r="G766" s="20" t="n">
        <f aca="false">G765/G763</f>
        <v>0.926160096041627</v>
      </c>
    </row>
    <row r="767" customFormat="false" ht="17.15" hidden="false" customHeight="false" outlineLevel="0" collapsed="false">
      <c r="A767" s="0" t="s">
        <v>727</v>
      </c>
      <c r="B767" s="0" t="s">
        <v>379</v>
      </c>
      <c r="D767" s="21" t="n">
        <f aca="false">(D758+D761)*D766</f>
        <v>5.714709</v>
      </c>
      <c r="E767" s="21" t="n">
        <f aca="false">(E758+E761)*E766</f>
        <v>15.1670988044522</v>
      </c>
      <c r="F767" s="21" t="n">
        <f aca="false">(F758+F761)*F766</f>
        <v>21.7805062132212</v>
      </c>
      <c r="G767" s="21" t="n">
        <f aca="false">(G758+G761)*G766</f>
        <v>28.9201605269717</v>
      </c>
    </row>
    <row r="768" customFormat="false" ht="17.15" hidden="false" customHeight="false" outlineLevel="0" collapsed="false">
      <c r="A768" s="3" t="s">
        <v>728</v>
      </c>
      <c r="B768" s="0" t="s">
        <v>43</v>
      </c>
      <c r="D768" s="20" t="n">
        <f aca="false">D758/(D758+D761)</f>
        <v>0.800318125775433</v>
      </c>
      <c r="E768" s="20" t="n">
        <f aca="false">E758/(E758+E761)</f>
        <v>0.896024374782173</v>
      </c>
      <c r="F768" s="20" t="n">
        <f aca="false">F758/(F758+F761)</f>
        <v>0.924114387791097</v>
      </c>
      <c r="G768" s="20" t="n">
        <f aca="false">G758/(G758+G761)</f>
        <v>0.939286657016792</v>
      </c>
    </row>
    <row r="769" customFormat="false" ht="17.15" hidden="false" customHeight="false" outlineLevel="0" collapsed="false">
      <c r="A769" s="5" t="s">
        <v>729</v>
      </c>
    </row>
    <row r="770" customFormat="false" ht="17.15" hidden="false" customHeight="false" outlineLevel="0" collapsed="false">
      <c r="A770" s="0" t="s">
        <v>730</v>
      </c>
      <c r="B770" s="0" t="s">
        <v>379</v>
      </c>
      <c r="D770" s="21" t="n">
        <f aca="false">a26_bt</f>
        <v>23.265964</v>
      </c>
      <c r="E770" s="21" t="n">
        <f aca="false">D770*(1+g_bt27_C)</f>
        <v>26.05787968</v>
      </c>
      <c r="F770" s="21" t="n">
        <f aca="false">E770*(1+g_bt28_C)</f>
        <v>26.05787968</v>
      </c>
      <c r="G770" s="21" t="n">
        <f aca="false">F770*(1+g_bt29_C)</f>
        <v>25.2761432896</v>
      </c>
      <c r="K770" s="7" t="s">
        <v>731</v>
      </c>
    </row>
    <row r="771" customFormat="false" ht="17.15" hidden="false" customHeight="false" outlineLevel="0" collapsed="false">
      <c r="A771" s="3" t="s">
        <v>616</v>
      </c>
      <c r="B771" s="0" t="s">
        <v>379</v>
      </c>
      <c r="C771" s="21" t="n">
        <f aca="false">a25_lens</f>
        <v>7.039</v>
      </c>
      <c r="D771" s="21" t="n">
        <f aca="false">a26_lens</f>
        <v>8.301</v>
      </c>
      <c r="E771" s="21" t="n">
        <f aca="false">D771*(1+g_lens)</f>
        <v>9.1311</v>
      </c>
      <c r="F771" s="21" t="n">
        <f aca="false">E771*(1+g_lens)</f>
        <v>10.04421</v>
      </c>
      <c r="G771" s="21" t="n">
        <f aca="false">F771*(1+g_lens)</f>
        <v>11.048631</v>
      </c>
      <c r="K771" s="3" t="s">
        <v>732</v>
      </c>
    </row>
    <row r="772" customFormat="false" ht="17.15" hidden="false" customHeight="false" outlineLevel="0" collapsed="false">
      <c r="A772" s="3" t="s">
        <v>573</v>
      </c>
      <c r="B772" s="0" t="s">
        <v>379</v>
      </c>
      <c r="C772" s="23" t="n">
        <f aca="false">a25_rev</f>
        <v>39.351</v>
      </c>
      <c r="D772" s="23" t="n">
        <f aca="false">D765+D770+D771</f>
        <v>54.4258</v>
      </c>
      <c r="E772" s="23" t="n">
        <f aca="false">E765+E770+E771</f>
        <v>68.311433044</v>
      </c>
      <c r="F772" s="23" t="n">
        <f aca="false">F765+F770+F771</f>
        <v>77.4016487182375</v>
      </c>
      <c r="G772" s="23" t="n">
        <f aca="false">G765+G770+G771</f>
        <v>86.9928122465114</v>
      </c>
      <c r="H772" s="25" t="n">
        <f aca="false">G772*(1+H773)</f>
        <v>95.9190984263561</v>
      </c>
      <c r="I772" s="25" t="n">
        <f aca="false">H772*(1+I773)</f>
        <v>103.717775206898</v>
      </c>
      <c r="J772" s="25" t="n">
        <f aca="false">I772*(1+J773)</f>
        <v>109.940841719312</v>
      </c>
      <c r="K772" s="7" t="s">
        <v>733</v>
      </c>
    </row>
    <row r="773" customFormat="false" ht="15" hidden="false" customHeight="false" outlineLevel="0" collapsed="false">
      <c r="A773" s="3" t="s">
        <v>734</v>
      </c>
      <c r="B773" s="0" t="s">
        <v>43</v>
      </c>
      <c r="D773" s="20" t="n">
        <f aca="false">D772/C772-1</f>
        <v>0.383085563263958</v>
      </c>
      <c r="E773" s="20" t="n">
        <f aca="false">E772/D772-1</f>
        <v>0.255129608457753</v>
      </c>
      <c r="F773" s="20" t="n">
        <f aca="false">F772/E772-1</f>
        <v>0.13307019439019</v>
      </c>
      <c r="G773" s="20" t="n">
        <f aca="false">G772/F772-1</f>
        <v>0.123914201920792</v>
      </c>
      <c r="H773" s="26" t="n">
        <f aca="false">$G773+(fade_gA-$G773)*1/3</f>
        <v>0.102609467947195</v>
      </c>
      <c r="I773" s="26" t="n">
        <f aca="false">$G773+(fade_gA-$G773)*2/3</f>
        <v>0.0813047339735973</v>
      </c>
      <c r="J773" s="26" t="n">
        <f aca="false">$G773+(fade_gA-$G773)*3/3</f>
        <v>0.06</v>
      </c>
    </row>
    <row r="774" customFormat="false" ht="17.15" hidden="false" customHeight="false" outlineLevel="0" collapsed="false">
      <c r="A774" s="0" t="s">
        <v>735</v>
      </c>
      <c r="B774" s="0" t="s">
        <v>43</v>
      </c>
      <c r="D774" s="20" t="n">
        <f aca="false">D765/D772</f>
        <v>0.42</v>
      </c>
      <c r="E774" s="20" t="n">
        <f aca="false">E765/E772</f>
        <v>0.48487422804709</v>
      </c>
      <c r="F774" s="20" t="n">
        <f aca="false">F765/F772</f>
        <v>0.533574668268099</v>
      </c>
      <c r="G774" s="20" t="n">
        <f aca="false">G765/G772</f>
        <v>0.582439360775387</v>
      </c>
    </row>
    <row r="775" customFormat="false" ht="17.15" hidden="false" customHeight="false" outlineLevel="0" collapsed="false">
      <c r="A775" s="0" t="s">
        <v>736</v>
      </c>
      <c r="B775" s="0" t="s">
        <v>43</v>
      </c>
      <c r="D775" s="20" t="n">
        <f aca="false">D767/D772</f>
        <v>0.105</v>
      </c>
      <c r="E775" s="20" t="n">
        <f aca="false">E767/E772</f>
        <v>0.222028701911186</v>
      </c>
      <c r="F775" s="20" t="n">
        <f aca="false">F767/F772</f>
        <v>0.28139589496999</v>
      </c>
      <c r="G775" s="20" t="n">
        <f aca="false">G767/G772</f>
        <v>0.33244310397761</v>
      </c>
      <c r="K775" s="3" t="s">
        <v>737</v>
      </c>
    </row>
    <row r="776" customFormat="false" ht="17.15" hidden="false" customHeight="false" outlineLevel="0" collapsed="false">
      <c r="A776" s="5" t="s">
        <v>738</v>
      </c>
    </row>
    <row r="777" customFormat="false" ht="15" hidden="false" customHeight="false" outlineLevel="0" collapsed="false">
      <c r="A777" s="3" t="s">
        <v>739</v>
      </c>
      <c r="B777" s="0" t="s">
        <v>379</v>
      </c>
      <c r="C777" s="23" t="n">
        <f aca="false">a25_cx</f>
        <v>6.116</v>
      </c>
      <c r="D777" s="23" t="n">
        <f aca="false">capex26</f>
        <v>11</v>
      </c>
      <c r="E777" s="23" t="n">
        <f aca="false">cx27</f>
        <v>17</v>
      </c>
      <c r="F777" s="23" t="n">
        <f aca="false">cx28</f>
        <v>16</v>
      </c>
      <c r="G777" s="23" t="n">
        <f aca="false">cx29</f>
        <v>12</v>
      </c>
      <c r="H777" s="25" t="n">
        <f aca="false">H772*H796</f>
        <v>13.3294356951887</v>
      </c>
      <c r="I777" s="25" t="n">
        <f aca="false">I772*I796</f>
        <v>14.5192817878234</v>
      </c>
      <c r="J777" s="25" t="n">
        <f aca="false">J772*J796</f>
        <v>15.5029045566771</v>
      </c>
    </row>
    <row r="778" customFormat="false" ht="17.15" hidden="false" customHeight="false" outlineLevel="0" collapsed="false">
      <c r="A778" s="3" t="s">
        <v>740</v>
      </c>
      <c r="B778" s="0" t="s">
        <v>379</v>
      </c>
      <c r="C778" s="23" t="n">
        <f aca="false">a25_da</f>
        <v>7.158</v>
      </c>
      <c r="D778" s="23" t="n">
        <f aca="false">da26</f>
        <v>8.32</v>
      </c>
      <c r="E778" s="23" t="n">
        <f aca="false">D778*(1-1/life)+D777/life</f>
        <v>8.655</v>
      </c>
      <c r="F778" s="23" t="n">
        <f aca="false">E778*(1-1/life)+E777/life</f>
        <v>9.698125</v>
      </c>
      <c r="G778" s="23" t="n">
        <f aca="false">F778*(1-1/life)+F777/life</f>
        <v>10.485859375</v>
      </c>
      <c r="H778" s="25" t="n">
        <f aca="false">H772*H779</f>
        <v>11.5618078264379</v>
      </c>
      <c r="I778" s="25" t="n">
        <f aca="false">I772*I779</f>
        <v>12.5018375360202</v>
      </c>
      <c r="J778" s="25" t="n">
        <f aca="false">J772*J779</f>
        <v>13.2519477881815</v>
      </c>
      <c r="K778" s="3" t="s">
        <v>741</v>
      </c>
    </row>
    <row r="779" customFormat="false" ht="17.15" hidden="false" customHeight="false" outlineLevel="0" collapsed="false">
      <c r="A779" s="3" t="s">
        <v>742</v>
      </c>
      <c r="B779" s="0" t="s">
        <v>43</v>
      </c>
      <c r="C779" s="20" t="n">
        <f aca="false">C778/C772</f>
        <v>0.181901349393916</v>
      </c>
      <c r="D779" s="20" t="n">
        <f aca="false">D778/D772</f>
        <v>0.152868676252807</v>
      </c>
      <c r="E779" s="20" t="n">
        <f aca="false">E778/E772</f>
        <v>0.126699142651937</v>
      </c>
      <c r="F779" s="20" t="n">
        <f aca="false">F778/F772</f>
        <v>0.125296103643783</v>
      </c>
      <c r="G779" s="20" t="n">
        <f aca="false">G778/G772</f>
        <v>0.12053707776783</v>
      </c>
      <c r="H779" s="26" t="n">
        <f aca="false">$G779</f>
        <v>0.12053707776783</v>
      </c>
      <c r="I779" s="26" t="n">
        <f aca="false">$G779</f>
        <v>0.12053707776783</v>
      </c>
      <c r="J779" s="26" t="n">
        <f aca="false">$G779</f>
        <v>0.12053707776783</v>
      </c>
    </row>
    <row r="780" customFormat="false" ht="17.15" hidden="false" customHeight="false" outlineLevel="0" collapsed="false">
      <c r="A780" s="0" t="s">
        <v>743</v>
      </c>
      <c r="B780" s="0" t="s">
        <v>379</v>
      </c>
      <c r="E780" s="21" t="n">
        <f aca="false">E766*((E758+E761)*(1-1/(E751*E752))+E762*(1-1/E752))</f>
        <v>4.320320004</v>
      </c>
      <c r="F780" s="21" t="n">
        <f aca="false">F766*((F758+F761)*(1-1/(F751*F752))+F762*(1-1/F752))</f>
        <v>4.39007949866158</v>
      </c>
      <c r="G780" s="21" t="n">
        <f aca="false">G766*((G758+G761)*(1-1/(G751*G752))+G762*(1-1/G752))</f>
        <v>3.81465610771581</v>
      </c>
      <c r="K780" s="7" t="s">
        <v>744</v>
      </c>
    </row>
    <row r="781" customFormat="false" ht="17.15" hidden="false" customHeight="false" outlineLevel="0" collapsed="false">
      <c r="A781" s="3" t="s">
        <v>745</v>
      </c>
      <c r="B781" s="0" t="s">
        <v>379</v>
      </c>
      <c r="C781" s="21" t="n">
        <f aca="false">a25_gp</f>
        <v>8.314</v>
      </c>
      <c r="D781" s="21" t="n">
        <f aca="false">a26_gp</f>
        <v>15.328536</v>
      </c>
      <c r="E781" s="21" t="n">
        <f aca="false">$D781+ft_abf*(E765-E780-$D765)+ft_bt*(E770-$D770)+ft_lens*(E771-$D771)+E780-(E778-$D778)</f>
        <v>23.91541174</v>
      </c>
      <c r="F781" s="21" t="n">
        <f aca="false">$D781+ft_abf*(F765-F780-$D765)+ft_bt*(F770-$D770)+ft_lens*(F771-$D771)+F780-(F778-$D778)</f>
        <v>27.4066188244495</v>
      </c>
      <c r="G781" s="21" t="n">
        <f aca="false">$D781+ft_abf*(G765-G780-$D765)+ft_bt*(G770-$D770)+ft_lens*(G771-$D771)+G780-(G778-$D778)</f>
        <v>31.1156202876336</v>
      </c>
      <c r="K781" s="3" t="s">
        <v>746</v>
      </c>
    </row>
    <row r="782" customFormat="false" ht="15" hidden="false" customHeight="false" outlineLevel="0" collapsed="false">
      <c r="A782" s="3" t="s">
        <v>580</v>
      </c>
      <c r="B782" s="0" t="s">
        <v>43</v>
      </c>
      <c r="C782" s="16" t="n">
        <f aca="false">C781/C772</f>
        <v>0.211277985311682</v>
      </c>
      <c r="D782" s="16" t="n">
        <f aca="false">D781/D772</f>
        <v>0.281640986443929</v>
      </c>
      <c r="E782" s="16" t="n">
        <f aca="false">E781/E772</f>
        <v>0.350093837507345</v>
      </c>
      <c r="F782" s="16" t="n">
        <f aca="false">F781/F772</f>
        <v>0.354083140066136</v>
      </c>
      <c r="G782" s="16" t="n">
        <f aca="false">G781/G772</f>
        <v>0.357680358688271</v>
      </c>
    </row>
    <row r="783" customFormat="false" ht="15" hidden="false" customHeight="false" outlineLevel="0" collapsed="false">
      <c r="A783" s="3" t="s">
        <v>582</v>
      </c>
      <c r="B783" s="0" t="s">
        <v>379</v>
      </c>
      <c r="C783" s="21" t="n">
        <f aca="false">a25_opx</f>
        <v>5.644</v>
      </c>
      <c r="D783" s="21" t="n">
        <f aca="false">a26_opx</f>
        <v>6.54036</v>
      </c>
      <c r="E783" s="21" t="n">
        <f aca="false">D783*(1+phi*E773)</f>
        <v>7.54154369158365</v>
      </c>
      <c r="F783" s="21" t="n">
        <f aca="false">E783*(1+phi*F773)</f>
        <v>8.14367650260834</v>
      </c>
      <c r="G783" s="21" t="n">
        <f aca="false">F783*(1+phi*G773)</f>
        <v>8.74914680732143</v>
      </c>
    </row>
    <row r="784" customFormat="false" ht="15" hidden="false" customHeight="false" outlineLevel="0" collapsed="false">
      <c r="A784" s="3" t="s">
        <v>585</v>
      </c>
      <c r="B784" s="0" t="s">
        <v>379</v>
      </c>
      <c r="C784" s="21" t="n">
        <f aca="false">C781-C783</f>
        <v>2.67</v>
      </c>
      <c r="D784" s="21" t="n">
        <f aca="false">D781-D783</f>
        <v>8.788176</v>
      </c>
      <c r="E784" s="21" t="n">
        <f aca="false">E781-E783</f>
        <v>16.3738680484163</v>
      </c>
      <c r="F784" s="21" t="n">
        <f aca="false">F781-F783</f>
        <v>19.2629423218412</v>
      </c>
      <c r="G784" s="21" t="n">
        <f aca="false">G781-G783</f>
        <v>22.3664734803122</v>
      </c>
    </row>
    <row r="785" customFormat="false" ht="15" hidden="false" customHeight="false" outlineLevel="0" collapsed="false">
      <c r="A785" s="3" t="s">
        <v>683</v>
      </c>
      <c r="B785" s="0" t="s">
        <v>43</v>
      </c>
      <c r="C785" s="16" t="n">
        <f aca="false">C784/C772</f>
        <v>0.0678508805367081</v>
      </c>
      <c r="D785" s="16" t="n">
        <f aca="false">D784/D772</f>
        <v>0.161470773052486</v>
      </c>
      <c r="E785" s="16" t="n">
        <f aca="false">E784/E772</f>
        <v>0.239694401343766</v>
      </c>
      <c r="F785" s="16" t="n">
        <f aca="false">F784/F772</f>
        <v>0.248869922551177</v>
      </c>
      <c r="G785" s="16" t="n">
        <f aca="false">G784/G772</f>
        <v>0.257107143713579</v>
      </c>
    </row>
    <row r="786" customFormat="false" ht="15" hidden="false" customHeight="false" outlineLevel="0" collapsed="false">
      <c r="A786" s="3" t="s">
        <v>588</v>
      </c>
      <c r="B786" s="0" t="s">
        <v>379</v>
      </c>
      <c r="C786" s="21" t="n">
        <f aca="false">a25_nonop</f>
        <v>0.417</v>
      </c>
      <c r="D786" s="21" t="n">
        <f aca="false">a26_nonop</f>
        <v>0.37882</v>
      </c>
      <c r="E786" s="21" t="n">
        <f aca="false">nonop27</f>
        <v>0.4</v>
      </c>
      <c r="F786" s="21" t="n">
        <f aca="false">nonop28</f>
        <v>0.4</v>
      </c>
      <c r="G786" s="21" t="n">
        <f aca="false">nonop29</f>
        <v>0.4</v>
      </c>
    </row>
    <row r="787" customFormat="false" ht="15" hidden="false" customHeight="false" outlineLevel="0" collapsed="false">
      <c r="A787" s="3" t="s">
        <v>590</v>
      </c>
      <c r="B787" s="0" t="s">
        <v>379</v>
      </c>
      <c r="C787" s="21" t="n">
        <f aca="false">C784+C786</f>
        <v>3.087</v>
      </c>
      <c r="D787" s="21" t="n">
        <f aca="false">D784+D786</f>
        <v>9.166996</v>
      </c>
      <c r="E787" s="21" t="n">
        <f aca="false">E784+E786</f>
        <v>16.7738680484163</v>
      </c>
      <c r="F787" s="21" t="n">
        <f aca="false">F784+F786</f>
        <v>19.6629423218412</v>
      </c>
      <c r="G787" s="21" t="n">
        <f aca="false">G784+G786</f>
        <v>22.7664734803122</v>
      </c>
    </row>
    <row r="788" customFormat="false" ht="15" hidden="false" customHeight="false" outlineLevel="0" collapsed="false">
      <c r="A788" s="3" t="s">
        <v>591</v>
      </c>
      <c r="B788" s="0" t="s">
        <v>379</v>
      </c>
      <c r="E788" s="21" t="n">
        <f aca="false">E787*tax</f>
        <v>2.01286416580996</v>
      </c>
      <c r="F788" s="21" t="n">
        <f aca="false">F787*tax</f>
        <v>2.35955307862094</v>
      </c>
      <c r="G788" s="21" t="n">
        <f aca="false">G787*tax</f>
        <v>2.73197681763746</v>
      </c>
    </row>
    <row r="789" customFormat="false" ht="15" hidden="false" customHeight="false" outlineLevel="0" collapsed="false">
      <c r="A789" s="3" t="s">
        <v>592</v>
      </c>
      <c r="B789" s="0" t="s">
        <v>379</v>
      </c>
      <c r="C789" s="21" t="n">
        <f aca="false">a25_nic</f>
        <v>2.71712</v>
      </c>
      <c r="D789" s="21" t="n">
        <f aca="false">a26_nic</f>
        <v>8.39979776</v>
      </c>
      <c r="E789" s="21" t="n">
        <f aca="false">E787-E788</f>
        <v>14.7610038826064</v>
      </c>
      <c r="F789" s="21" t="n">
        <f aca="false">F787-F788</f>
        <v>17.3033892432203</v>
      </c>
      <c r="G789" s="21" t="n">
        <f aca="false">G787-G788</f>
        <v>20.0344966626747</v>
      </c>
    </row>
    <row r="790" customFormat="false" ht="17.15" hidden="false" customHeight="false" outlineLevel="0" collapsed="false">
      <c r="A790" s="3" t="s">
        <v>747</v>
      </c>
      <c r="B790" s="0" t="s">
        <v>379</v>
      </c>
      <c r="C790" s="21" t="n">
        <f aca="false">a25_nci</f>
        <v>1.12112</v>
      </c>
      <c r="D790" s="21" t="n">
        <f aca="false">a26_nci</f>
        <v>1.43839238487797</v>
      </c>
      <c r="E790" s="21" t="n">
        <f aca="false">E771*nm_lens*nci_sh</f>
        <v>1.57074538036261</v>
      </c>
      <c r="F790" s="21" t="n">
        <f aca="false">F771*nm_lens*nci_sh</f>
        <v>1.72781991839887</v>
      </c>
      <c r="G790" s="21" t="n">
        <f aca="false">G771*nm_lens*nci_sh</f>
        <v>1.90060191023875</v>
      </c>
      <c r="K790" s="3" t="s">
        <v>748</v>
      </c>
    </row>
    <row r="791" customFormat="false" ht="15" hidden="false" customHeight="false" outlineLevel="0" collapsed="false">
      <c r="A791" s="3" t="s">
        <v>598</v>
      </c>
      <c r="B791" s="0" t="s">
        <v>379</v>
      </c>
      <c r="C791" s="21" t="n">
        <f aca="false">a25_ni</f>
        <v>1.596</v>
      </c>
      <c r="D791" s="21" t="n">
        <f aca="false">a26_ni</f>
        <v>6.96140537512203</v>
      </c>
      <c r="E791" s="21" t="n">
        <f aca="false">E789-E790</f>
        <v>13.1902585022438</v>
      </c>
      <c r="F791" s="21" t="n">
        <f aca="false">F789-F790</f>
        <v>15.5755693248214</v>
      </c>
      <c r="G791" s="21" t="n">
        <f aca="false">G789-G790</f>
        <v>18.133894752436</v>
      </c>
      <c r="H791" s="30" t="n">
        <f aca="false">H772*H795</f>
        <v>20.3931347225901</v>
      </c>
      <c r="I791" s="30" t="n">
        <f aca="false">I772*I795</f>
        <v>22.4821262246329</v>
      </c>
      <c r="J791" s="30" t="n">
        <f aca="false">J772*J795</f>
        <v>24.2878428931578</v>
      </c>
    </row>
    <row r="792" customFormat="false" ht="15" hidden="false" customHeight="false" outlineLevel="0" collapsed="false">
      <c r="A792" s="3" t="s">
        <v>749</v>
      </c>
      <c r="B792" s="3" t="s">
        <v>465</v>
      </c>
      <c r="C792" s="29" t="n">
        <f aca="false">a25_sh</f>
        <v>0.454700854700855</v>
      </c>
      <c r="D792" s="29" t="n">
        <f aca="false">a26_sh</f>
        <v>0.508341020486215</v>
      </c>
      <c r="E792" s="29" t="n">
        <f aca="false">a26_shend*(1+sh_g)</f>
        <v>0.52691</v>
      </c>
      <c r="F792" s="29" t="n">
        <f aca="false">E792*(1+sh_g)</f>
        <v>0.52691</v>
      </c>
      <c r="G792" s="29" t="n">
        <f aca="false">F792*(1+sh_g)</f>
        <v>0.52691</v>
      </c>
      <c r="H792" s="31" t="n">
        <f aca="false">G792*(1+sh_g)</f>
        <v>0.52691</v>
      </c>
      <c r="I792" s="31" t="n">
        <f aca="false">H792*(1+sh_g)</f>
        <v>0.52691</v>
      </c>
      <c r="J792" s="31" t="n">
        <f aca="false">I792*(1+sh_g)</f>
        <v>0.52691</v>
      </c>
    </row>
    <row r="793" customFormat="false" ht="17.15" hidden="false" customHeight="false" outlineLevel="0" collapsed="false">
      <c r="A793" s="0" t="s">
        <v>603</v>
      </c>
      <c r="B793" s="0" t="s">
        <v>471</v>
      </c>
      <c r="C793" s="18" t="n">
        <f aca="false">C791/C792</f>
        <v>3.51</v>
      </c>
      <c r="D793" s="18" t="n">
        <f aca="false">D791/D792</f>
        <v>13.6943608612652</v>
      </c>
      <c r="E793" s="18" t="n">
        <f aca="false">E791/E792</f>
        <v>25.0332286391296</v>
      </c>
      <c r="F793" s="18" t="n">
        <f aca="false">F791/F792</f>
        <v>29.5602082420554</v>
      </c>
      <c r="G793" s="18" t="n">
        <f aca="false">G791/G792</f>
        <v>34.4155448794594</v>
      </c>
      <c r="H793" s="28" t="n">
        <f aca="false">H791/H792</f>
        <v>38.7032599923898</v>
      </c>
      <c r="I793" s="28" t="n">
        <f aca="false">I791/I792</f>
        <v>42.6678678040517</v>
      </c>
      <c r="J793" s="28" t="n">
        <f aca="false">J791/J792</f>
        <v>46.0948603996086</v>
      </c>
    </row>
    <row r="794" customFormat="false" ht="17.15" hidden="false" customHeight="false" outlineLevel="0" collapsed="false">
      <c r="A794" s="0" t="s">
        <v>750</v>
      </c>
      <c r="B794" s="0" t="s">
        <v>43</v>
      </c>
      <c r="D794" s="20" t="n">
        <f aca="false">D793/C793-1</f>
        <v>2.90152731090177</v>
      </c>
      <c r="E794" s="20" t="n">
        <f aca="false">E793/D793-1</f>
        <v>0.827995398451683</v>
      </c>
      <c r="F794" s="20" t="n">
        <f aca="false">F793/E793-1</f>
        <v>0.18083882299743</v>
      </c>
      <c r="G794" s="20" t="n">
        <f aca="false">G793/F793-1</f>
        <v>0.164252450376732</v>
      </c>
      <c r="H794" s="26" t="n">
        <f aca="false">H793/G793-1</f>
        <v>0.124586582253693</v>
      </c>
      <c r="I794" s="26" t="n">
        <f aca="false">I793/H793-1</f>
        <v>0.102436017339145</v>
      </c>
      <c r="J794" s="26" t="n">
        <f aca="false">J793/I793-1</f>
        <v>0.0803178778769798</v>
      </c>
    </row>
    <row r="795" customFormat="false" ht="17.15" hidden="false" customHeight="false" outlineLevel="0" collapsed="false">
      <c r="A795" s="3" t="s">
        <v>751</v>
      </c>
      <c r="B795" s="0" t="s">
        <v>43</v>
      </c>
      <c r="C795" s="16" t="n">
        <f aca="false">C791/C772</f>
        <v>0.0405580544331783</v>
      </c>
      <c r="D795" s="16" t="n">
        <f aca="false">D791/D772</f>
        <v>0.127906349105057</v>
      </c>
      <c r="E795" s="16" t="n">
        <f aca="false">E791/E772</f>
        <v>0.19309005702966</v>
      </c>
      <c r="F795" s="16" t="n">
        <f aca="false">F791/F772</f>
        <v>0.201230459334537</v>
      </c>
      <c r="G795" s="16" t="n">
        <f aca="false">G791/G772</f>
        <v>0.20845279379002</v>
      </c>
      <c r="H795" s="27" t="n">
        <f aca="false">$G795+(fade_mA-$G795)*1/3</f>
        <v>0.212607656422536</v>
      </c>
      <c r="I795" s="27" t="n">
        <f aca="false">$G795+(fade_mA-$G795)*2/3</f>
        <v>0.216762519055052</v>
      </c>
      <c r="J795" s="27" t="n">
        <f aca="false">$G795+(fade_mA-$G795)*3/3</f>
        <v>0.220917381687568</v>
      </c>
    </row>
    <row r="796" customFormat="false" ht="17.15" hidden="false" customHeight="false" outlineLevel="0" collapsed="false">
      <c r="A796" s="3" t="s">
        <v>752</v>
      </c>
      <c r="B796" s="0" t="s">
        <v>43</v>
      </c>
      <c r="C796" s="20" t="n">
        <f aca="false">C777/C772</f>
        <v>0.155421717364235</v>
      </c>
      <c r="D796" s="20" t="n">
        <f aca="false">D777/D772</f>
        <v>0.202110028699624</v>
      </c>
      <c r="E796" s="20" t="n">
        <f aca="false">E777/E772</f>
        <v>0.248860245532401</v>
      </c>
      <c r="F796" s="20" t="n">
        <f aca="false">F777/F772</f>
        <v>0.206713942983879</v>
      </c>
      <c r="G796" s="20" t="n">
        <f aca="false">G777/G772</f>
        <v>0.137942430990685</v>
      </c>
      <c r="H796" s="26" t="n">
        <f aca="false">$G796+($G779*(1+tp_g)^(life/2)-$G796)*1/3</f>
        <v>0.138965398068484</v>
      </c>
      <c r="I796" s="26" t="n">
        <f aca="false">$G796+($G779*(1+tp_g)^(life/2)-$G796)*2/3</f>
        <v>0.139988365146283</v>
      </c>
      <c r="J796" s="26" t="n">
        <f aca="false">$G796+($G779*(1+tp_g)^(life/2)-$G796)*3/3</f>
        <v>0.141011332224082</v>
      </c>
      <c r="K796" s="7" t="s">
        <v>753</v>
      </c>
    </row>
    <row r="797" customFormat="false" ht="15" hidden="false" customHeight="false" outlineLevel="0" collapsed="false">
      <c r="A797" s="3" t="s">
        <v>754</v>
      </c>
      <c r="B797" s="0" t="s">
        <v>379</v>
      </c>
      <c r="D797" s="21" t="n">
        <f aca="false">D791+D778-D777</f>
        <v>4.28140537512203</v>
      </c>
      <c r="E797" s="21" t="n">
        <f aca="false">E791+E778-E777</f>
        <v>4.84525850224378</v>
      </c>
      <c r="F797" s="21" t="n">
        <f aca="false">F791+F778-F777</f>
        <v>9.27369432482139</v>
      </c>
      <c r="G797" s="21" t="n">
        <f aca="false">G791+G778-G777</f>
        <v>16.619754127436</v>
      </c>
      <c r="H797" s="30" t="n">
        <f aca="false">H791+H778-H777</f>
        <v>18.6255068538393</v>
      </c>
      <c r="I797" s="30" t="n">
        <f aca="false">I791+I778-I777</f>
        <v>20.4646819728297</v>
      </c>
      <c r="J797" s="30" t="n">
        <f aca="false">J791+J778-J777</f>
        <v>22.0368861246621</v>
      </c>
      <c r="K797" s="3" t="s">
        <v>755</v>
      </c>
    </row>
    <row r="798" customFormat="false" ht="15" hidden="false" customHeight="false" outlineLevel="0" collapsed="false">
      <c r="A798" s="3" t="s">
        <v>756</v>
      </c>
      <c r="B798" s="0" t="s">
        <v>471</v>
      </c>
      <c r="D798" s="18" t="n">
        <f aca="false">D797/D792</f>
        <v>8.42230943909854</v>
      </c>
      <c r="E798" s="18" t="n">
        <f aca="false">E797/E792</f>
        <v>9.19560931135066</v>
      </c>
      <c r="F798" s="18" t="n">
        <f aca="false">F797/F792</f>
        <v>17.6001486493355</v>
      </c>
      <c r="G798" s="18" t="n">
        <f aca="false">G797/G792</f>
        <v>31.5419220121766</v>
      </c>
      <c r="H798" s="28" t="n">
        <f aca="false">H797/H792</f>
        <v>35.3485545042594</v>
      </c>
      <c r="I798" s="28" t="n">
        <f aca="false">I797/I792</f>
        <v>38.8390464649176</v>
      </c>
      <c r="J798" s="28" t="n">
        <f aca="false">J797/J792</f>
        <v>41.8228656215712</v>
      </c>
    </row>
    <row r="801" customFormat="false" ht="17.15" hidden="false" customHeight="false" outlineLevel="0" collapsed="false">
      <c r="A801" s="1" t="s">
        <v>1103</v>
      </c>
    </row>
    <row r="802" customFormat="false" ht="17.15" hidden="false" customHeight="false" outlineLevel="0" collapsed="false">
      <c r="A802" s="4" t="s">
        <v>20</v>
      </c>
      <c r="B802" s="4" t="s">
        <v>21</v>
      </c>
      <c r="C802" s="13" t="s">
        <v>566</v>
      </c>
      <c r="D802" s="13" t="s">
        <v>670</v>
      </c>
      <c r="E802" s="13" t="s">
        <v>671</v>
      </c>
      <c r="F802" s="13" t="s">
        <v>672</v>
      </c>
      <c r="G802" s="13" t="s">
        <v>673</v>
      </c>
      <c r="H802" s="13" t="s">
        <v>674</v>
      </c>
      <c r="I802" s="13" t="s">
        <v>675</v>
      </c>
      <c r="J802" s="13" t="s">
        <v>676</v>
      </c>
      <c r="K802" s="4" t="s">
        <v>630</v>
      </c>
    </row>
    <row r="803" customFormat="false" ht="17.15" hidden="false" customHeight="false" outlineLevel="0" collapsed="false">
      <c r="A803" s="5" t="s">
        <v>694</v>
      </c>
    </row>
    <row r="804" customFormat="false" ht="17.15" hidden="false" customHeight="false" outlineLevel="0" collapsed="false">
      <c r="A804" s="0" t="s">
        <v>695</v>
      </c>
      <c r="B804" s="3" t="s">
        <v>31</v>
      </c>
      <c r="D804" s="21" t="n">
        <f aca="false">(u_bw_26+u_rb_26+u_ru_26+u_hp_26)*1</f>
        <v>7.6</v>
      </c>
      <c r="E804" s="21" t="n">
        <f aca="false">(u_bw_27+u_rb_27+u_ru_27+u_hp_27)*1*1</f>
        <v>9.7</v>
      </c>
      <c r="F804" s="21" t="n">
        <f aca="false">(u_bw_28+u_rb_28+u_ru_28+u_hp_28)*um28_A*1</f>
        <v>9.5</v>
      </c>
      <c r="G804" s="21" t="n">
        <f aca="false">(u_bw_28*(1+g29_bw)+u_rb_28*(1+g29_rb)+u_ru_28*(1+g29_ru)+u_hp_28*(1+g29_hp))*um29_A*1</f>
        <v>10.6</v>
      </c>
      <c r="K804" s="7" t="s">
        <v>696</v>
      </c>
    </row>
    <row r="805" customFormat="false" ht="17.15" hidden="false" customHeight="false" outlineLevel="0" collapsed="false">
      <c r="A805" s="3" t="s">
        <v>697</v>
      </c>
      <c r="B805" s="3" t="s">
        <v>31</v>
      </c>
      <c r="D805" s="21" t="n">
        <f aca="false">(u_amd_26+u_tpu_26+u_trn_26+u_oth_26)*1</f>
        <v>7.6</v>
      </c>
      <c r="E805" s="21" t="n">
        <f aca="false">(u_amd_27+u_tpu_27+u_trn_27+u_oth_27)*1*1</f>
        <v>14</v>
      </c>
      <c r="F805" s="21" t="n">
        <f aca="false">(u_amd_28+u_tpu_28+u_trn_28+u_oth_28)*um28_A*1</f>
        <v>17</v>
      </c>
      <c r="G805" s="21" t="n">
        <f aca="false">(u_amd_28*(1+g29_amd)+u_tpu_28*(1+g29_tpu)+u_trn_28*(1+g29_trn)+u_oth_28*(1+g29_oth))*um29_A*1</f>
        <v>19.55</v>
      </c>
      <c r="K805" s="7" t="s">
        <v>698</v>
      </c>
    </row>
    <row r="806" customFormat="false" ht="17.15" hidden="false" customHeight="false" outlineLevel="0" collapsed="false">
      <c r="A806" s="0" t="s">
        <v>699</v>
      </c>
      <c r="B806" s="3" t="s">
        <v>31</v>
      </c>
      <c r="D806" s="21" t="n">
        <f aca="false">D804*cpu_r</f>
        <v>3.04</v>
      </c>
      <c r="E806" s="21" t="n">
        <f aca="false">E804*cpu_r</f>
        <v>3.88</v>
      </c>
      <c r="F806" s="21" t="n">
        <f aca="false">F804*cpu_r</f>
        <v>3.8</v>
      </c>
      <c r="G806" s="21" t="n">
        <f aca="false">G804*cpu_r</f>
        <v>4.24</v>
      </c>
      <c r="K806" s="7" t="s">
        <v>700</v>
      </c>
    </row>
    <row r="807" customFormat="false" ht="17.15" hidden="false" customHeight="false" outlineLevel="0" collapsed="false">
      <c r="A807" s="3" t="s">
        <v>701</v>
      </c>
      <c r="B807" s="0" t="s">
        <v>153</v>
      </c>
      <c r="D807" s="19" t="n">
        <f aca="false">1</f>
        <v>1</v>
      </c>
      <c r="E807" s="19" t="n">
        <f aca="false">D807*(1+g_asp)</f>
        <v>1.18</v>
      </c>
      <c r="F807" s="19" t="n">
        <f aca="false">E807*(1+g_asp)</f>
        <v>1.3924</v>
      </c>
      <c r="G807" s="19" t="n">
        <f aca="false">F807*(1+g_asp)</f>
        <v>1.643032</v>
      </c>
      <c r="K807" s="7" t="s">
        <v>702</v>
      </c>
    </row>
    <row r="808" customFormat="false" ht="17.15" hidden="false" customHeight="false" outlineLevel="0" collapsed="false">
      <c r="A808" s="0" t="s">
        <v>703</v>
      </c>
      <c r="B808" s="0" t="s">
        <v>153</v>
      </c>
      <c r="D808" s="18" t="n">
        <f aca="false">1</f>
        <v>1</v>
      </c>
      <c r="E808" s="18" t="n">
        <f aca="false">ibpp_27</f>
        <v>1</v>
      </c>
      <c r="F808" s="18" t="n">
        <f aca="false">ibpp_28</f>
        <v>0.95</v>
      </c>
      <c r="G808" s="18" t="n">
        <f aca="false">ibpp_29</f>
        <v>0.9</v>
      </c>
      <c r="K808" s="7" t="s">
        <v>704</v>
      </c>
    </row>
    <row r="809" customFormat="false" ht="17.15" hidden="false" customHeight="false" outlineLevel="0" collapsed="false">
      <c r="A809" s="3" t="s">
        <v>705</v>
      </c>
      <c r="B809" s="0" t="s">
        <v>153</v>
      </c>
      <c r="D809" s="18" t="n">
        <f aca="false">1</f>
        <v>1</v>
      </c>
      <c r="E809" s="18" t="n">
        <f aca="false">1+carry</f>
        <v>1.15</v>
      </c>
      <c r="F809" s="18" t="n">
        <f aca="false">1+carry</f>
        <v>1.15</v>
      </c>
      <c r="G809" s="18" t="n">
        <f aca="false">1+carry</f>
        <v>1.15</v>
      </c>
      <c r="K809" s="7" t="s">
        <v>706</v>
      </c>
    </row>
    <row r="810" customFormat="false" ht="17.15" hidden="false" customHeight="false" outlineLevel="0" collapsed="false">
      <c r="A810" s="3" t="s">
        <v>707</v>
      </c>
      <c r="B810" s="0" t="s">
        <v>708</v>
      </c>
      <c r="D810" s="23" t="n">
        <f aca="false">v26*D807*D808</f>
        <v>215.308596</v>
      </c>
      <c r="E810" s="23" t="n">
        <f aca="false">v26*E807*E808</f>
        <v>254.06414328</v>
      </c>
      <c r="F810" s="23" t="n">
        <f aca="false">v26*F807*F808</f>
        <v>284.80590461688</v>
      </c>
      <c r="G810" s="23" t="n">
        <f aca="false">v26*G807*G808</f>
        <v>318.383021792765</v>
      </c>
      <c r="K810" s="7" t="s">
        <v>709</v>
      </c>
    </row>
    <row r="811" customFormat="false" ht="17.15" hidden="false" customHeight="false" outlineLevel="0" collapsed="false">
      <c r="A811" s="3" t="s">
        <v>710</v>
      </c>
      <c r="B811" s="0" t="s">
        <v>43</v>
      </c>
      <c r="D811" s="20" t="n">
        <f aca="false">sh_nv_26</f>
        <v>0.02</v>
      </c>
      <c r="E811" s="20" t="n">
        <f aca="false">sh_nv_27</f>
        <v>0.03</v>
      </c>
      <c r="F811" s="20" t="n">
        <f aca="false">sh_nv_28</f>
        <v>0.05</v>
      </c>
      <c r="G811" s="20" t="n">
        <f aca="false">sh_nv_29</f>
        <v>0.06</v>
      </c>
    </row>
    <row r="812" customFormat="false" ht="17.15" hidden="false" customHeight="false" outlineLevel="0" collapsed="false">
      <c r="A812" s="3" t="s">
        <v>711</v>
      </c>
      <c r="B812" s="0" t="s">
        <v>43</v>
      </c>
      <c r="D812" s="20" t="n">
        <f aca="false">sh_ot_26</f>
        <v>0.03</v>
      </c>
      <c r="E812" s="20" t="n">
        <f aca="false">sh_ot_27</f>
        <v>0.05</v>
      </c>
      <c r="F812" s="20" t="n">
        <f aca="false">sh_ot_28</f>
        <v>0.06</v>
      </c>
      <c r="G812" s="20" t="n">
        <f aca="false">sh_ot_29</f>
        <v>0.06</v>
      </c>
    </row>
    <row r="813" customFormat="false" ht="17.15" hidden="false" customHeight="false" outlineLevel="0" collapsed="false">
      <c r="A813" s="3" t="s">
        <v>712</v>
      </c>
      <c r="B813" s="0" t="s">
        <v>43</v>
      </c>
      <c r="D813" s="20" t="n">
        <f aca="false">sh_cpu_26</f>
        <v>0.35</v>
      </c>
      <c r="E813" s="20" t="n">
        <f aca="false">sh_cpu_27</f>
        <v>0.7</v>
      </c>
      <c r="F813" s="20" t="n">
        <f aca="false">sh_cpu_28</f>
        <v>0.75</v>
      </c>
      <c r="G813" s="20" t="n">
        <f aca="false">sh_cpu_29</f>
        <v>0.7</v>
      </c>
    </row>
    <row r="814" customFormat="false" ht="17.15" hidden="false" customHeight="false" outlineLevel="0" collapsed="false">
      <c r="A814" s="3" t="s">
        <v>713</v>
      </c>
      <c r="B814" s="0" t="s">
        <v>660</v>
      </c>
      <c r="D814" s="22" t="n">
        <f aca="false">(D804*D810*D811+D805*D810*v_ot*D812+D806*D810*v_cpu*D813)*D809</f>
        <v>140.7256983456</v>
      </c>
      <c r="E814" s="22" t="n">
        <f aca="false">(E804*E810*E811+E805*E810*v_ot*E812+E806*E810*v_cpu*E813)*E809</f>
        <v>486.703057357198</v>
      </c>
      <c r="F814" s="22" t="n">
        <f aca="false">(F804*F810*F811+F805*F810*v_ot*F812+F806*F810*v_cpu*F813)*F809</f>
        <v>702.872492003998</v>
      </c>
      <c r="G814" s="22" t="n">
        <f aca="false">(G804*G810*G811+G805*G810*v_ot*G812+G806*G810*v_cpu*G813)*G809</f>
        <v>902.463042932027</v>
      </c>
    </row>
    <row r="815" customFormat="false" ht="17.15" hidden="false" customHeight="false" outlineLevel="0" collapsed="false">
      <c r="A815" s="3" t="s">
        <v>714</v>
      </c>
      <c r="B815" s="0" t="s">
        <v>379</v>
      </c>
      <c r="D815" s="21" t="n">
        <f aca="false">D814*fx/1000</f>
        <v>4.573585196232</v>
      </c>
      <c r="E815" s="21" t="n">
        <f aca="false">E814*fx/1000</f>
        <v>15.8178493641089</v>
      </c>
      <c r="F815" s="21" t="n">
        <f aca="false">F814*fx/1000</f>
        <v>22.8433559901299</v>
      </c>
      <c r="G815" s="21" t="n">
        <f aca="false">G814*fx/1000</f>
        <v>29.3300488952909</v>
      </c>
    </row>
    <row r="816" customFormat="false" ht="17.15" hidden="false" customHeight="false" outlineLevel="0" collapsed="false">
      <c r="A816" s="5" t="s">
        <v>715</v>
      </c>
    </row>
    <row r="817" customFormat="false" ht="17.15" hidden="false" customHeight="false" outlineLevel="0" collapsed="false">
      <c r="A817" s="0" t="s">
        <v>716</v>
      </c>
      <c r="B817" s="0" t="s">
        <v>379</v>
      </c>
      <c r="D817" s="21" t="n">
        <f aca="false">a26_abf*ai_abf</f>
        <v>5.714709</v>
      </c>
      <c r="K817" s="3" t="s">
        <v>717</v>
      </c>
    </row>
    <row r="818" customFormat="false" ht="17.15" hidden="false" customHeight="false" outlineLevel="0" collapsed="false">
      <c r="A818" s="3" t="s">
        <v>718</v>
      </c>
      <c r="B818" s="0" t="s">
        <v>379</v>
      </c>
      <c r="D818" s="21" t="n">
        <f aca="false">D817-D815</f>
        <v>1.141123803768</v>
      </c>
      <c r="E818" s="21" t="n">
        <f aca="false">$D818*(swm_27/swm_26)^el_o*1*1*E808*E809</f>
        <v>1.83552013039205</v>
      </c>
      <c r="F818" s="21" t="n">
        <f aca="false">$D818*(swm_28/swm_26)^el_o*um28_A*1*F808*F809</f>
        <v>1.87583060833026</v>
      </c>
      <c r="G818" s="21" t="n">
        <f aca="false">$D818*(swm_29/swm_26)^el_o*um29_A*1*G808*G809</f>
        <v>1.89582733342525</v>
      </c>
      <c r="K818" s="7" t="s">
        <v>719</v>
      </c>
    </row>
    <row r="819" customFormat="false" ht="17.15" hidden="false" customHeight="false" outlineLevel="0" collapsed="false">
      <c r="A819" s="3" t="s">
        <v>720</v>
      </c>
      <c r="B819" s="0" t="s">
        <v>379</v>
      </c>
      <c r="D819" s="21" t="n">
        <f aca="false">a26_abf-D817</f>
        <v>17.144127</v>
      </c>
      <c r="E819" s="21" t="n">
        <f aca="false">$D819*(1+g_nai_lo)^1*E809</f>
        <v>20.110060971</v>
      </c>
      <c r="F819" s="21" t="n">
        <f aca="false">$D819*(1+g_nai_lo)^2*F809</f>
        <v>20.51226219042</v>
      </c>
      <c r="G819" s="21" t="n">
        <f aca="false">$D819*(1+g_nai_lo)^3*G809</f>
        <v>20.9225074342284</v>
      </c>
      <c r="K819" s="3" t="s">
        <v>721</v>
      </c>
    </row>
    <row r="820" customFormat="false" ht="17.15" hidden="false" customHeight="false" outlineLevel="0" collapsed="false">
      <c r="A820" s="0" t="s">
        <v>722</v>
      </c>
      <c r="B820" s="0" t="s">
        <v>379</v>
      </c>
      <c r="D820" s="21" t="n">
        <f aca="false">D815+D818+D819</f>
        <v>22.858836</v>
      </c>
      <c r="E820" s="21" t="n">
        <f aca="false">E815+E818+E819</f>
        <v>37.763430465501</v>
      </c>
      <c r="F820" s="21" t="n">
        <f aca="false">F815+F818+F819</f>
        <v>45.2314487888802</v>
      </c>
      <c r="G820" s="21" t="n">
        <f aca="false">G815+G818+G819</f>
        <v>52.1483836629445</v>
      </c>
    </row>
    <row r="821" customFormat="false" ht="17.15" hidden="false" customHeight="false" outlineLevel="0" collapsed="false">
      <c r="A821" s="0" t="s">
        <v>723</v>
      </c>
      <c r="B821" s="0" t="s">
        <v>379</v>
      </c>
      <c r="D821" s="21" t="n">
        <f aca="false">a26_abf</f>
        <v>22.858836</v>
      </c>
      <c r="E821" s="21" t="n">
        <f aca="false">$D820*cap_27*(1+g_mix)^1*E808*E809</f>
        <v>33.122453364</v>
      </c>
      <c r="F821" s="21" t="n">
        <f aca="false">$D820*cap_28*(1+g_mix)^2*F808*F809</f>
        <v>41.2995590382375</v>
      </c>
      <c r="G821" s="21" t="n">
        <f aca="false">$D820*cap_29*(1+g_mix)^3*G808*G809</f>
        <v>50.6680379569114</v>
      </c>
      <c r="K821" s="7" t="s">
        <v>724</v>
      </c>
    </row>
    <row r="822" customFormat="false" ht="17.15" hidden="false" customHeight="false" outlineLevel="0" collapsed="false">
      <c r="A822" s="0" t="s">
        <v>725</v>
      </c>
      <c r="B822" s="0" t="s">
        <v>379</v>
      </c>
      <c r="D822" s="21" t="n">
        <f aca="false">a26_abf</f>
        <v>22.858836</v>
      </c>
      <c r="E822" s="21" t="n">
        <f aca="false">MIN(E820,E821)</f>
        <v>33.122453364</v>
      </c>
      <c r="F822" s="21" t="n">
        <f aca="false">MIN(F820,F821)</f>
        <v>41.2995590382375</v>
      </c>
      <c r="G822" s="21" t="n">
        <f aca="false">MIN(G820,G821)</f>
        <v>50.6680379569114</v>
      </c>
    </row>
    <row r="823" customFormat="false" ht="17.15" hidden="false" customHeight="false" outlineLevel="0" collapsed="false">
      <c r="A823" s="3" t="s">
        <v>726</v>
      </c>
      <c r="B823" s="0" t="s">
        <v>43</v>
      </c>
      <c r="D823" s="20" t="n">
        <f aca="false">D822/D820</f>
        <v>1</v>
      </c>
      <c r="E823" s="20" t="n">
        <f aca="false">E822/E820</f>
        <v>0.877103932447537</v>
      </c>
      <c r="F823" s="20" t="n">
        <f aca="false">F822/F820</f>
        <v>0.913071770727598</v>
      </c>
      <c r="G823" s="20" t="n">
        <f aca="false">G822/G820</f>
        <v>0.971612817079793</v>
      </c>
    </row>
    <row r="824" customFormat="false" ht="17.15" hidden="false" customHeight="false" outlineLevel="0" collapsed="false">
      <c r="A824" s="0" t="s">
        <v>727</v>
      </c>
      <c r="B824" s="0" t="s">
        <v>379</v>
      </c>
      <c r="D824" s="21" t="n">
        <f aca="false">(D815+D818)*D823</f>
        <v>5.714709</v>
      </c>
      <c r="E824" s="21" t="n">
        <f aca="false">(E815+E818)*E823</f>
        <v>15.4838398045762</v>
      </c>
      <c r="F824" s="21" t="n">
        <f aca="false">(F815+F818)*F823</f>
        <v>22.570391478402</v>
      </c>
      <c r="G824" s="21" t="n">
        <f aca="false">(G815+G818)*G823</f>
        <v>30.3394615683678</v>
      </c>
    </row>
    <row r="825" customFormat="false" ht="17.15" hidden="false" customHeight="false" outlineLevel="0" collapsed="false">
      <c r="A825" s="3" t="s">
        <v>728</v>
      </c>
      <c r="B825" s="0" t="s">
        <v>43</v>
      </c>
      <c r="D825" s="20" t="n">
        <f aca="false">D815/(D815+D818)</f>
        <v>0.800318125775433</v>
      </c>
      <c r="E825" s="20" t="n">
        <f aca="false">E815/(E815+E818)</f>
        <v>0.896024374782173</v>
      </c>
      <c r="F825" s="20" t="n">
        <f aca="false">F815/(F815+F818)</f>
        <v>0.924114387791097</v>
      </c>
      <c r="G825" s="20" t="n">
        <f aca="false">G815/(G815+G818)</f>
        <v>0.939286657016792</v>
      </c>
    </row>
    <row r="826" customFormat="false" ht="17.15" hidden="false" customHeight="false" outlineLevel="0" collapsed="false">
      <c r="A826" s="5" t="s">
        <v>729</v>
      </c>
    </row>
    <row r="827" customFormat="false" ht="17.15" hidden="false" customHeight="false" outlineLevel="0" collapsed="false">
      <c r="A827" s="0" t="s">
        <v>730</v>
      </c>
      <c r="B827" s="0" t="s">
        <v>379</v>
      </c>
      <c r="D827" s="21" t="n">
        <f aca="false">a26_bt</f>
        <v>23.265964</v>
      </c>
      <c r="E827" s="21" t="n">
        <f aca="false">D827*(1+g_bt27_A)</f>
        <v>29.78043392</v>
      </c>
      <c r="F827" s="21" t="n">
        <f aca="false">E827*(1+g_bt28_A)</f>
        <v>32.758477312</v>
      </c>
      <c r="G827" s="21" t="n">
        <f aca="false">F827*(1+g_bt29_A)</f>
        <v>34.3964011776</v>
      </c>
      <c r="K827" s="7" t="s">
        <v>731</v>
      </c>
    </row>
    <row r="828" customFormat="false" ht="17.15" hidden="false" customHeight="false" outlineLevel="0" collapsed="false">
      <c r="A828" s="3" t="s">
        <v>616</v>
      </c>
      <c r="B828" s="0" t="s">
        <v>379</v>
      </c>
      <c r="C828" s="21" t="n">
        <f aca="false">a25_lens</f>
        <v>7.039</v>
      </c>
      <c r="D828" s="21" t="n">
        <f aca="false">a26_lens</f>
        <v>8.301</v>
      </c>
      <c r="E828" s="21" t="n">
        <f aca="false">D828*(1+g_lens)</f>
        <v>9.1311</v>
      </c>
      <c r="F828" s="21" t="n">
        <f aca="false">E828*(1+g_lens)</f>
        <v>10.04421</v>
      </c>
      <c r="G828" s="21" t="n">
        <f aca="false">F828*(1+g_lens)</f>
        <v>11.048631</v>
      </c>
      <c r="K828" s="3" t="s">
        <v>732</v>
      </c>
    </row>
    <row r="829" customFormat="false" ht="17.15" hidden="false" customHeight="false" outlineLevel="0" collapsed="false">
      <c r="A829" s="3" t="s">
        <v>573</v>
      </c>
      <c r="B829" s="0" t="s">
        <v>379</v>
      </c>
      <c r="C829" s="23" t="n">
        <f aca="false">a25_rev</f>
        <v>39.351</v>
      </c>
      <c r="D829" s="23" t="n">
        <f aca="false">D822+D827+D828</f>
        <v>54.4258</v>
      </c>
      <c r="E829" s="23" t="n">
        <f aca="false">E822+E827+E828</f>
        <v>72.033987284</v>
      </c>
      <c r="F829" s="23" t="n">
        <f aca="false">F822+F827+F828</f>
        <v>84.1022463502375</v>
      </c>
      <c r="G829" s="23" t="n">
        <f aca="false">G822+G827+G828</f>
        <v>96.1130701345114</v>
      </c>
      <c r="H829" s="25" t="n">
        <f aca="false">G829*(1+H830)</f>
        <v>107.186075216063</v>
      </c>
      <c r="I829" s="25" t="n">
        <f aca="false">H829*(1+I830)</f>
        <v>116.576010002736</v>
      </c>
      <c r="J829" s="25" t="n">
        <f aca="false">I829*(1+J830)</f>
        <v>123.5705706029</v>
      </c>
      <c r="K829" s="7" t="s">
        <v>733</v>
      </c>
    </row>
    <row r="830" customFormat="false" ht="15" hidden="false" customHeight="false" outlineLevel="0" collapsed="false">
      <c r="A830" s="3" t="s">
        <v>734</v>
      </c>
      <c r="B830" s="0" t="s">
        <v>43</v>
      </c>
      <c r="D830" s="20" t="n">
        <f aca="false">D829/C829-1</f>
        <v>0.383085563263958</v>
      </c>
      <c r="E830" s="20" t="n">
        <f aca="false">E829/D829-1</f>
        <v>0.323526476119781</v>
      </c>
      <c r="F830" s="20" t="n">
        <f aca="false">F829/E829-1</f>
        <v>0.167535624796909</v>
      </c>
      <c r="G830" s="20" t="n">
        <f aca="false">G829/F829-1</f>
        <v>0.142812163830389</v>
      </c>
      <c r="H830" s="26" t="n">
        <f aca="false">$G830+(fade_gA-$G830)*1/3</f>
        <v>0.115208109220259</v>
      </c>
      <c r="I830" s="26" t="n">
        <f aca="false">$G830+(fade_gA-$G830)*2/3</f>
        <v>0.0876040546101297</v>
      </c>
      <c r="J830" s="26" t="n">
        <f aca="false">$G830+(fade_gA-$G830)*3/3</f>
        <v>0.06</v>
      </c>
    </row>
    <row r="831" customFormat="false" ht="17.15" hidden="false" customHeight="false" outlineLevel="0" collapsed="false">
      <c r="A831" s="0" t="s">
        <v>735</v>
      </c>
      <c r="B831" s="0" t="s">
        <v>43</v>
      </c>
      <c r="D831" s="20" t="n">
        <f aca="false">D822/D829</f>
        <v>0.42</v>
      </c>
      <c r="E831" s="20" t="n">
        <f aca="false">E822/E829</f>
        <v>0.459817019893845</v>
      </c>
      <c r="F831" s="20" t="n">
        <f aca="false">F822/F829</f>
        <v>0.491063685341395</v>
      </c>
      <c r="G831" s="20" t="n">
        <f aca="false">G822/G829</f>
        <v>0.527171152539409</v>
      </c>
    </row>
    <row r="832" customFormat="false" ht="17.15" hidden="false" customHeight="false" outlineLevel="0" collapsed="false">
      <c r="A832" s="0" t="s">
        <v>736</v>
      </c>
      <c r="B832" s="0" t="s">
        <v>43</v>
      </c>
      <c r="D832" s="20" t="n">
        <f aca="false">D824/D829</f>
        <v>0.105</v>
      </c>
      <c r="E832" s="20" t="n">
        <f aca="false">E824/E829</f>
        <v>0.214951863535332</v>
      </c>
      <c r="F832" s="20" t="n">
        <f aca="false">F824/F829</f>
        <v>0.268368473588794</v>
      </c>
      <c r="G832" s="20" t="n">
        <f aca="false">G824/G829</f>
        <v>0.315664264245304</v>
      </c>
      <c r="K832" s="3" t="s">
        <v>737</v>
      </c>
    </row>
    <row r="833" customFormat="false" ht="17.15" hidden="false" customHeight="false" outlineLevel="0" collapsed="false">
      <c r="A833" s="5" t="s">
        <v>738</v>
      </c>
    </row>
    <row r="834" customFormat="false" ht="15" hidden="false" customHeight="false" outlineLevel="0" collapsed="false">
      <c r="A834" s="3" t="s">
        <v>739</v>
      </c>
      <c r="B834" s="0" t="s">
        <v>379</v>
      </c>
      <c r="C834" s="23" t="n">
        <f aca="false">a25_cx</f>
        <v>6.116</v>
      </c>
      <c r="D834" s="23" t="n">
        <f aca="false">capex26</f>
        <v>11</v>
      </c>
      <c r="E834" s="23" t="n">
        <f aca="false">cx27</f>
        <v>17</v>
      </c>
      <c r="F834" s="23" t="n">
        <f aca="false">cx28</f>
        <v>16</v>
      </c>
      <c r="G834" s="23" t="n">
        <f aca="false">cx29</f>
        <v>12</v>
      </c>
      <c r="H834" s="25" t="n">
        <f aca="false">H829*H853</f>
        <v>13.4817405534162</v>
      </c>
      <c r="I834" s="25" t="n">
        <f aca="false">I829*I853</f>
        <v>14.77073304233</v>
      </c>
      <c r="J834" s="25" t="n">
        <f aca="false">J829*J853</f>
        <v>15.7713906192965</v>
      </c>
    </row>
    <row r="835" customFormat="false" ht="17.15" hidden="false" customHeight="false" outlineLevel="0" collapsed="false">
      <c r="A835" s="3" t="s">
        <v>740</v>
      </c>
      <c r="B835" s="0" t="s">
        <v>379</v>
      </c>
      <c r="C835" s="23" t="n">
        <f aca="false">a25_da</f>
        <v>7.158</v>
      </c>
      <c r="D835" s="23" t="n">
        <f aca="false">da26</f>
        <v>8.32</v>
      </c>
      <c r="E835" s="23" t="n">
        <f aca="false">D835*(1-1/life)+D834/life</f>
        <v>8.655</v>
      </c>
      <c r="F835" s="23" t="n">
        <f aca="false">E835*(1-1/life)+E834/life</f>
        <v>9.698125</v>
      </c>
      <c r="G835" s="23" t="n">
        <f aca="false">F835*(1-1/life)+F834/life</f>
        <v>10.485859375</v>
      </c>
      <c r="H835" s="25" t="n">
        <f aca="false">H829*H836</f>
        <v>11.6939154071433</v>
      </c>
      <c r="I835" s="25" t="n">
        <f aca="false">I829*I836</f>
        <v>12.7183498110769</v>
      </c>
      <c r="J835" s="25" t="n">
        <f aca="false">J829*J836</f>
        <v>13.4814507997415</v>
      </c>
      <c r="K835" s="3" t="s">
        <v>741</v>
      </c>
    </row>
    <row r="836" customFormat="false" ht="17.15" hidden="false" customHeight="false" outlineLevel="0" collapsed="false">
      <c r="A836" s="3" t="s">
        <v>742</v>
      </c>
      <c r="B836" s="0" t="s">
        <v>43</v>
      </c>
      <c r="C836" s="20" t="n">
        <f aca="false">C835/C829</f>
        <v>0.181901349393916</v>
      </c>
      <c r="D836" s="20" t="n">
        <f aca="false">D835/D829</f>
        <v>0.152868676252807</v>
      </c>
      <c r="E836" s="20" t="n">
        <f aca="false">E835/E829</f>
        <v>0.120151616290196</v>
      </c>
      <c r="F836" s="20" t="n">
        <f aca="false">F835/F829</f>
        <v>0.115313507318376</v>
      </c>
      <c r="G836" s="20" t="n">
        <f aca="false">G835/G829</f>
        <v>0.109099203264706</v>
      </c>
      <c r="H836" s="26" t="n">
        <f aca="false">$G836</f>
        <v>0.109099203264706</v>
      </c>
      <c r="I836" s="26" t="n">
        <f aca="false">$G836</f>
        <v>0.109099203264706</v>
      </c>
      <c r="J836" s="26" t="n">
        <f aca="false">$G836</f>
        <v>0.109099203264706</v>
      </c>
    </row>
    <row r="837" customFormat="false" ht="17.15" hidden="false" customHeight="false" outlineLevel="0" collapsed="false">
      <c r="A837" s="0" t="s">
        <v>743</v>
      </c>
      <c r="B837" s="0" t="s">
        <v>379</v>
      </c>
      <c r="E837" s="21" t="n">
        <f aca="false">E823*((E815+E818)*(1-1/(E808*E809))+E819*(1-1/E809))</f>
        <v>4.320320004</v>
      </c>
      <c r="F837" s="21" t="n">
        <f aca="false">F823*((F815+F818)*(1-1/(F808*F809))+F819*(1-1/F809))</f>
        <v>4.35392914327573</v>
      </c>
      <c r="G837" s="21" t="n">
        <f aca="false">G823*((G815+G818)*(1-1/(G808*G809))+G819*(1-1/G809))</f>
        <v>3.67752557231522</v>
      </c>
      <c r="K837" s="7" t="s">
        <v>744</v>
      </c>
    </row>
    <row r="838" customFormat="false" ht="17.15" hidden="false" customHeight="false" outlineLevel="0" collapsed="false">
      <c r="A838" s="3" t="s">
        <v>745</v>
      </c>
      <c r="B838" s="0" t="s">
        <v>379</v>
      </c>
      <c r="C838" s="21" t="n">
        <f aca="false">a25_gp</f>
        <v>8.314</v>
      </c>
      <c r="D838" s="21" t="n">
        <f aca="false">a26_gp</f>
        <v>15.328536</v>
      </c>
      <c r="E838" s="21" t="n">
        <f aca="false">$D838+ft_abf*(E822-E837-$D822)+ft_bt*(E827-$D827)+ft_lens*(E828-$D828)+E837-(E835-$D835)</f>
        <v>25.590561148</v>
      </c>
      <c r="F838" s="21" t="n">
        <f aca="false">$D838+ft_abf*(F822-F837-$D822)+ft_bt*(F827-$D827)+ft_lens*(F828-$D828)+F837-(F835-$D835)</f>
        <v>30.4038125811566</v>
      </c>
      <c r="G838" s="21" t="n">
        <f aca="false">$D838+ft_abf*(G822-G837-$D822)+ft_bt*(G827-$D827)+ft_lens*(G828-$D828)+G837-(G835-$D835)</f>
        <v>35.1511710695333</v>
      </c>
      <c r="K838" s="3" t="s">
        <v>746</v>
      </c>
    </row>
    <row r="839" customFormat="false" ht="15" hidden="false" customHeight="false" outlineLevel="0" collapsed="false">
      <c r="A839" s="3" t="s">
        <v>580</v>
      </c>
      <c r="B839" s="0" t="s">
        <v>43</v>
      </c>
      <c r="C839" s="16" t="n">
        <f aca="false">C838/C829</f>
        <v>0.211277985311682</v>
      </c>
      <c r="D839" s="16" t="n">
        <f aca="false">D838/D829</f>
        <v>0.281640986443929</v>
      </c>
      <c r="E839" s="16" t="n">
        <f aca="false">E838/E829</f>
        <v>0.355256762993101</v>
      </c>
      <c r="F839" s="16" t="n">
        <f aca="false">F838/F829</f>
        <v>0.361510112994393</v>
      </c>
      <c r="G839" s="16" t="n">
        <f aca="false">G838/G829</f>
        <v>0.36572727330777</v>
      </c>
    </row>
    <row r="840" customFormat="false" ht="15" hidden="false" customHeight="false" outlineLevel="0" collapsed="false">
      <c r="A840" s="3" t="s">
        <v>582</v>
      </c>
      <c r="B840" s="0" t="s">
        <v>379</v>
      </c>
      <c r="C840" s="21" t="n">
        <f aca="false">a25_opx</f>
        <v>5.644</v>
      </c>
      <c r="D840" s="21" t="n">
        <f aca="false">a26_opx</f>
        <v>6.54036</v>
      </c>
      <c r="E840" s="21" t="n">
        <f aca="false">D840*(1+phi*E830)</f>
        <v>7.80994777401287</v>
      </c>
      <c r="F840" s="21" t="n">
        <f aca="false">E840*(1+phi*F830)</f>
        <v>8.59501446198315</v>
      </c>
      <c r="G840" s="21" t="n">
        <f aca="false">F840*(1+phi*G830)</f>
        <v>9.33149803006473</v>
      </c>
    </row>
    <row r="841" customFormat="false" ht="15" hidden="false" customHeight="false" outlineLevel="0" collapsed="false">
      <c r="A841" s="3" t="s">
        <v>585</v>
      </c>
      <c r="B841" s="0" t="s">
        <v>379</v>
      </c>
      <c r="C841" s="21" t="n">
        <f aca="false">C838-C840</f>
        <v>2.67</v>
      </c>
      <c r="D841" s="21" t="n">
        <f aca="false">D838-D840</f>
        <v>8.788176</v>
      </c>
      <c r="E841" s="21" t="n">
        <f aca="false">E838-E840</f>
        <v>17.7806133739871</v>
      </c>
      <c r="F841" s="21" t="n">
        <f aca="false">F838-F840</f>
        <v>21.8087981191735</v>
      </c>
      <c r="G841" s="21" t="n">
        <f aca="false">G838-G840</f>
        <v>25.8196730394686</v>
      </c>
    </row>
    <row r="842" customFormat="false" ht="15" hidden="false" customHeight="false" outlineLevel="0" collapsed="false">
      <c r="A842" s="3" t="s">
        <v>683</v>
      </c>
      <c r="B842" s="0" t="s">
        <v>43</v>
      </c>
      <c r="C842" s="16" t="n">
        <f aca="false">C841/C829</f>
        <v>0.0678508805367081</v>
      </c>
      <c r="D842" s="16" t="n">
        <f aca="false">D841/D829</f>
        <v>0.161470773052486</v>
      </c>
      <c r="E842" s="16" t="n">
        <f aca="false">E841/E829</f>
        <v>0.246836445466854</v>
      </c>
      <c r="F842" s="16" t="n">
        <f aca="false">F841/F829</f>
        <v>0.259312908579782</v>
      </c>
      <c r="G842" s="16" t="n">
        <f aca="false">G841/G829</f>
        <v>0.268638521309679</v>
      </c>
    </row>
    <row r="843" customFormat="false" ht="15" hidden="false" customHeight="false" outlineLevel="0" collapsed="false">
      <c r="A843" s="3" t="s">
        <v>588</v>
      </c>
      <c r="B843" s="0" t="s">
        <v>379</v>
      </c>
      <c r="C843" s="21" t="n">
        <f aca="false">a25_nonop</f>
        <v>0.417</v>
      </c>
      <c r="D843" s="21" t="n">
        <f aca="false">a26_nonop</f>
        <v>0.37882</v>
      </c>
      <c r="E843" s="21" t="n">
        <f aca="false">nonop27</f>
        <v>0.4</v>
      </c>
      <c r="F843" s="21" t="n">
        <f aca="false">nonop28</f>
        <v>0.4</v>
      </c>
      <c r="G843" s="21" t="n">
        <f aca="false">nonop29</f>
        <v>0.4</v>
      </c>
    </row>
    <row r="844" customFormat="false" ht="15" hidden="false" customHeight="false" outlineLevel="0" collapsed="false">
      <c r="A844" s="3" t="s">
        <v>590</v>
      </c>
      <c r="B844" s="0" t="s">
        <v>379</v>
      </c>
      <c r="C844" s="21" t="n">
        <f aca="false">C841+C843</f>
        <v>3.087</v>
      </c>
      <c r="D844" s="21" t="n">
        <f aca="false">D841+D843</f>
        <v>9.166996</v>
      </c>
      <c r="E844" s="21" t="n">
        <f aca="false">E841+E843</f>
        <v>18.1806133739871</v>
      </c>
      <c r="F844" s="21" t="n">
        <f aca="false">F841+F843</f>
        <v>22.2087981191735</v>
      </c>
      <c r="G844" s="21" t="n">
        <f aca="false">G841+G843</f>
        <v>26.2196730394686</v>
      </c>
    </row>
    <row r="845" customFormat="false" ht="15" hidden="false" customHeight="false" outlineLevel="0" collapsed="false">
      <c r="A845" s="3" t="s">
        <v>591</v>
      </c>
      <c r="B845" s="0" t="s">
        <v>379</v>
      </c>
      <c r="E845" s="21" t="n">
        <f aca="false">E844*tax</f>
        <v>2.18167360487846</v>
      </c>
      <c r="F845" s="21" t="n">
        <f aca="false">F844*tax</f>
        <v>2.66505577430082</v>
      </c>
      <c r="G845" s="21" t="n">
        <f aca="false">G844*tax</f>
        <v>3.14636076473623</v>
      </c>
    </row>
    <row r="846" customFormat="false" ht="15" hidden="false" customHeight="false" outlineLevel="0" collapsed="false">
      <c r="A846" s="3" t="s">
        <v>592</v>
      </c>
      <c r="B846" s="0" t="s">
        <v>379</v>
      </c>
      <c r="C846" s="21" t="n">
        <f aca="false">a25_nic</f>
        <v>2.71712</v>
      </c>
      <c r="D846" s="21" t="n">
        <f aca="false">a26_nic</f>
        <v>8.39979776</v>
      </c>
      <c r="E846" s="21" t="n">
        <f aca="false">E844-E845</f>
        <v>15.9989397691087</v>
      </c>
      <c r="F846" s="21" t="n">
        <f aca="false">F844-F845</f>
        <v>19.5437423448727</v>
      </c>
      <c r="G846" s="21" t="n">
        <f aca="false">G844-G845</f>
        <v>23.0733122747323</v>
      </c>
    </row>
    <row r="847" customFormat="false" ht="17.15" hidden="false" customHeight="false" outlineLevel="0" collapsed="false">
      <c r="A847" s="3" t="s">
        <v>747</v>
      </c>
      <c r="B847" s="0" t="s">
        <v>379</v>
      </c>
      <c r="C847" s="21" t="n">
        <f aca="false">a25_nci</f>
        <v>1.12112</v>
      </c>
      <c r="D847" s="21" t="n">
        <f aca="false">a26_nci</f>
        <v>1.43839238487797</v>
      </c>
      <c r="E847" s="21" t="n">
        <f aca="false">E828*nm_lens*nci_sh</f>
        <v>1.57074538036261</v>
      </c>
      <c r="F847" s="21" t="n">
        <f aca="false">F828*nm_lens*nci_sh</f>
        <v>1.72781991839887</v>
      </c>
      <c r="G847" s="21" t="n">
        <f aca="false">G828*nm_lens*nci_sh</f>
        <v>1.90060191023875</v>
      </c>
      <c r="K847" s="3" t="s">
        <v>748</v>
      </c>
    </row>
    <row r="848" customFormat="false" ht="15" hidden="false" customHeight="false" outlineLevel="0" collapsed="false">
      <c r="A848" s="3" t="s">
        <v>598</v>
      </c>
      <c r="B848" s="0" t="s">
        <v>379</v>
      </c>
      <c r="C848" s="21" t="n">
        <f aca="false">a25_ni</f>
        <v>1.596</v>
      </c>
      <c r="D848" s="21" t="n">
        <f aca="false">a26_ni</f>
        <v>6.96140537512203</v>
      </c>
      <c r="E848" s="21" t="n">
        <f aca="false">E846-E847</f>
        <v>14.4281943887461</v>
      </c>
      <c r="F848" s="21" t="n">
        <f aca="false">F846-F847</f>
        <v>17.8159224264738</v>
      </c>
      <c r="G848" s="21" t="n">
        <f aca="false">G846-G847</f>
        <v>21.1727103644936</v>
      </c>
      <c r="H848" s="30" t="n">
        <f aca="false">H829*H852</f>
        <v>23.6344078918031</v>
      </c>
      <c r="I848" s="30" t="n">
        <f aca="false">I829*I852</f>
        <v>25.7292723744115</v>
      </c>
      <c r="J848" s="30" t="n">
        <f aca="false">J829*J852</f>
        <v>27.2988869112315</v>
      </c>
    </row>
    <row r="849" customFormat="false" ht="15" hidden="false" customHeight="false" outlineLevel="0" collapsed="false">
      <c r="A849" s="3" t="s">
        <v>749</v>
      </c>
      <c r="B849" s="3" t="s">
        <v>465</v>
      </c>
      <c r="C849" s="29" t="n">
        <f aca="false">a25_sh</f>
        <v>0.454700854700855</v>
      </c>
      <c r="D849" s="29" t="n">
        <f aca="false">a26_sh</f>
        <v>0.508341020486215</v>
      </c>
      <c r="E849" s="29" t="n">
        <f aca="false">a26_shend*(1+sh_g)</f>
        <v>0.52691</v>
      </c>
      <c r="F849" s="29" t="n">
        <f aca="false">E849*(1+sh_g)</f>
        <v>0.52691</v>
      </c>
      <c r="G849" s="29" t="n">
        <f aca="false">F849*(1+sh_g)</f>
        <v>0.52691</v>
      </c>
      <c r="H849" s="31" t="n">
        <f aca="false">G849*(1+sh_g)</f>
        <v>0.52691</v>
      </c>
      <c r="I849" s="31" t="n">
        <f aca="false">H849*(1+sh_g)</f>
        <v>0.52691</v>
      </c>
      <c r="J849" s="31" t="n">
        <f aca="false">I849*(1+sh_g)</f>
        <v>0.52691</v>
      </c>
    </row>
    <row r="850" customFormat="false" ht="17.15" hidden="false" customHeight="false" outlineLevel="0" collapsed="false">
      <c r="A850" s="0" t="s">
        <v>603</v>
      </c>
      <c r="B850" s="0" t="s">
        <v>471</v>
      </c>
      <c r="C850" s="18" t="n">
        <f aca="false">C848/C849</f>
        <v>3.51</v>
      </c>
      <c r="D850" s="18" t="n">
        <f aca="false">D848/D849</f>
        <v>13.6943608612652</v>
      </c>
      <c r="E850" s="18" t="n">
        <f aca="false">E848/E849</f>
        <v>27.3826543218881</v>
      </c>
      <c r="F850" s="18" t="n">
        <f aca="false">F848/F849</f>
        <v>33.8120787733651</v>
      </c>
      <c r="G850" s="18" t="n">
        <f aca="false">G848/G849</f>
        <v>40.1827833301581</v>
      </c>
      <c r="H850" s="28" t="n">
        <f aca="false">H848/H849</f>
        <v>44.8547339997403</v>
      </c>
      <c r="I850" s="28" t="n">
        <f aca="false">I848/I849</f>
        <v>48.8304878905533</v>
      </c>
      <c r="J850" s="28" t="n">
        <f aca="false">J848/J849</f>
        <v>51.8093923274022</v>
      </c>
    </row>
    <row r="851" customFormat="false" ht="17.15" hidden="false" customHeight="false" outlineLevel="0" collapsed="false">
      <c r="A851" s="0" t="s">
        <v>750</v>
      </c>
      <c r="B851" s="0" t="s">
        <v>43</v>
      </c>
      <c r="D851" s="20" t="n">
        <f aca="false">D850/C850-1</f>
        <v>2.90152731090177</v>
      </c>
      <c r="E851" s="20" t="n">
        <f aca="false">E850/D850-1</f>
        <v>0.999556941670829</v>
      </c>
      <c r="F851" s="20" t="n">
        <f aca="false">F850/E850-1</f>
        <v>0.234799167965891</v>
      </c>
      <c r="G851" s="20" t="n">
        <f aca="false">G850/F850-1</f>
        <v>0.188415051304429</v>
      </c>
      <c r="H851" s="26" t="n">
        <f aca="false">H850/G850-1</f>
        <v>0.116267472842674</v>
      </c>
      <c r="I851" s="26" t="n">
        <f aca="false">I850/H850-1</f>
        <v>0.0886362159863905</v>
      </c>
      <c r="J851" s="26" t="n">
        <f aca="false">J850/I850-1</f>
        <v>0.0610050107122748</v>
      </c>
    </row>
    <row r="852" customFormat="false" ht="17.15" hidden="false" customHeight="false" outlineLevel="0" collapsed="false">
      <c r="A852" s="3" t="s">
        <v>751</v>
      </c>
      <c r="B852" s="0" t="s">
        <v>43</v>
      </c>
      <c r="C852" s="16" t="n">
        <f aca="false">C848/C829</f>
        <v>0.0405580544331783</v>
      </c>
      <c r="D852" s="16" t="n">
        <f aca="false">D848/D829</f>
        <v>0.127906349105057</v>
      </c>
      <c r="E852" s="16" t="n">
        <f aca="false">E848/E829</f>
        <v>0.20029703939422</v>
      </c>
      <c r="F852" s="16" t="n">
        <f aca="false">F848/F829</f>
        <v>0.211836463348205</v>
      </c>
      <c r="G852" s="16" t="n">
        <f aca="false">G848/G829</f>
        <v>0.22028960613642</v>
      </c>
      <c r="H852" s="27" t="n">
        <f aca="false">$G852+(fade_mA-$G852)*1/3</f>
        <v>0.220498864653469</v>
      </c>
      <c r="I852" s="27" t="n">
        <f aca="false">$G852+(fade_mA-$G852)*2/3</f>
        <v>0.220708123170518</v>
      </c>
      <c r="J852" s="27" t="n">
        <f aca="false">$G852+(fade_mA-$G852)*3/3</f>
        <v>0.220917381687568</v>
      </c>
    </row>
    <row r="853" customFormat="false" ht="17.15" hidden="false" customHeight="false" outlineLevel="0" collapsed="false">
      <c r="A853" s="3" t="s">
        <v>752</v>
      </c>
      <c r="B853" s="0" t="s">
        <v>43</v>
      </c>
      <c r="C853" s="20" t="n">
        <f aca="false">C834/C829</f>
        <v>0.155421717364235</v>
      </c>
      <c r="D853" s="20" t="n">
        <f aca="false">D834/D829</f>
        <v>0.202110028699624</v>
      </c>
      <c r="E853" s="20" t="n">
        <f aca="false">E834/E829</f>
        <v>0.235999708484498</v>
      </c>
      <c r="F853" s="20" t="n">
        <f aca="false">F834/F829</f>
        <v>0.190244621212247</v>
      </c>
      <c r="G853" s="20" t="n">
        <f aca="false">G834/G829</f>
        <v>0.124852946464054</v>
      </c>
      <c r="H853" s="26" t="n">
        <f aca="false">$G853+($G836*(1+tp_g)^(life/2)-$G853)*1/3</f>
        <v>0.125778843252168</v>
      </c>
      <c r="I853" s="26" t="n">
        <f aca="false">$G853+($G836*(1+tp_g)^(life/2)-$G853)*2/3</f>
        <v>0.126704740040282</v>
      </c>
      <c r="J853" s="26" t="n">
        <f aca="false">$G853+($G836*(1+tp_g)^(life/2)-$G853)*3/3</f>
        <v>0.127630636828396</v>
      </c>
      <c r="K853" s="7" t="s">
        <v>753</v>
      </c>
    </row>
    <row r="854" customFormat="false" ht="15" hidden="false" customHeight="false" outlineLevel="0" collapsed="false">
      <c r="A854" s="3" t="s">
        <v>754</v>
      </c>
      <c r="B854" s="0" t="s">
        <v>379</v>
      </c>
      <c r="D854" s="21" t="n">
        <f aca="false">D848+D835-D834</f>
        <v>4.28140537512203</v>
      </c>
      <c r="E854" s="21" t="n">
        <f aca="false">E848+E835-E834</f>
        <v>6.08319438874607</v>
      </c>
      <c r="F854" s="21" t="n">
        <f aca="false">F848+F835-F834</f>
        <v>11.5140474264738</v>
      </c>
      <c r="G854" s="21" t="n">
        <f aca="false">G848+G835-G834</f>
        <v>19.6585697394936</v>
      </c>
      <c r="H854" s="30" t="n">
        <f aca="false">H848+H835-H834</f>
        <v>21.8465827455302</v>
      </c>
      <c r="I854" s="30" t="n">
        <f aca="false">I848+I835-I834</f>
        <v>23.6768891431584</v>
      </c>
      <c r="J854" s="30" t="n">
        <f aca="false">J848+J835-J834</f>
        <v>25.0089470916765</v>
      </c>
      <c r="K854" s="3" t="s">
        <v>755</v>
      </c>
    </row>
    <row r="855" customFormat="false" ht="15" hidden="false" customHeight="false" outlineLevel="0" collapsed="false">
      <c r="A855" s="3" t="s">
        <v>756</v>
      </c>
      <c r="B855" s="0" t="s">
        <v>471</v>
      </c>
      <c r="D855" s="18" t="n">
        <f aca="false">D854/D849</f>
        <v>8.42230943909854</v>
      </c>
      <c r="E855" s="18" t="n">
        <f aca="false">E854/E849</f>
        <v>11.5450349941092</v>
      </c>
      <c r="F855" s="18" t="n">
        <f aca="false">F854/F849</f>
        <v>21.8520191806452</v>
      </c>
      <c r="G855" s="18" t="n">
        <f aca="false">G854/G849</f>
        <v>37.3091604628752</v>
      </c>
      <c r="H855" s="28" t="n">
        <f aca="false">H854/H849</f>
        <v>41.4616969606388</v>
      </c>
      <c r="I855" s="28" t="n">
        <f aca="false">I854/I849</f>
        <v>44.9353573535487</v>
      </c>
      <c r="J855" s="28" t="n">
        <f aca="false">J854/J849</f>
        <v>47.4634132805916</v>
      </c>
    </row>
    <row r="858" customFormat="false" ht="17.15" hidden="false" customHeight="false" outlineLevel="0" collapsed="false">
      <c r="A858" s="1" t="s">
        <v>1104</v>
      </c>
    </row>
    <row r="859" customFormat="false" ht="17.15" hidden="false" customHeight="false" outlineLevel="0" collapsed="false">
      <c r="A859" s="4" t="s">
        <v>20</v>
      </c>
      <c r="B859" s="4" t="s">
        <v>21</v>
      </c>
      <c r="C859" s="13" t="s">
        <v>566</v>
      </c>
      <c r="D859" s="13" t="s">
        <v>670</v>
      </c>
      <c r="E859" s="13" t="s">
        <v>671</v>
      </c>
      <c r="F859" s="13" t="s">
        <v>672</v>
      </c>
      <c r="G859" s="13" t="s">
        <v>673</v>
      </c>
      <c r="H859" s="13" t="s">
        <v>674</v>
      </c>
      <c r="I859" s="13" t="s">
        <v>675</v>
      </c>
      <c r="J859" s="13" t="s">
        <v>676</v>
      </c>
      <c r="K859" s="4" t="s">
        <v>630</v>
      </c>
    </row>
    <row r="860" customFormat="false" ht="17.15" hidden="false" customHeight="false" outlineLevel="0" collapsed="false">
      <c r="A860" s="5" t="s">
        <v>694</v>
      </c>
    </row>
    <row r="861" customFormat="false" ht="17.15" hidden="false" customHeight="false" outlineLevel="0" collapsed="false">
      <c r="A861" s="0" t="s">
        <v>695</v>
      </c>
      <c r="B861" s="3" t="s">
        <v>31</v>
      </c>
      <c r="D861" s="21" t="n">
        <f aca="false">(u_bw_26+u_rb_26+u_ru_26+u_hp_26)*1</f>
        <v>7.6</v>
      </c>
      <c r="E861" s="21" t="n">
        <f aca="false">(u_bw_27+u_rb_27+u_ru_27+u_hp_27)*1*1</f>
        <v>9.7</v>
      </c>
      <c r="F861" s="21" t="n">
        <f aca="false">(u_bw_28+u_rb_28+u_ru_28+u_hp_28)*um28_A*1</f>
        <v>9.5</v>
      </c>
      <c r="G861" s="21" t="n">
        <f aca="false">(u_bw_28*(1+g29_bw)+u_rb_28*(1+g29_rb)+u_ru_28*(1+g29_ru)+u_hp_28*(1+g29_hp))*um29_A*1</f>
        <v>10.6</v>
      </c>
      <c r="K861" s="7" t="s">
        <v>696</v>
      </c>
    </row>
    <row r="862" customFormat="false" ht="17.15" hidden="false" customHeight="false" outlineLevel="0" collapsed="false">
      <c r="A862" s="3" t="s">
        <v>697</v>
      </c>
      <c r="B862" s="3" t="s">
        <v>31</v>
      </c>
      <c r="D862" s="21" t="n">
        <f aca="false">(u_amd_26+u_tpu_26+u_trn_26+u_oth_26)*1</f>
        <v>7.6</v>
      </c>
      <c r="E862" s="21" t="n">
        <f aca="false">(u_amd_27+u_tpu_27+u_trn_27+u_oth_27)*1*1</f>
        <v>14</v>
      </c>
      <c r="F862" s="21" t="n">
        <f aca="false">(u_amd_28+u_tpu_28+u_trn_28+u_oth_28)*um28_A*1</f>
        <v>17</v>
      </c>
      <c r="G862" s="21" t="n">
        <f aca="false">(u_amd_28*(1+g29_amd)+u_tpu_28*(1+g29_tpu)+u_trn_28*(1+g29_trn)+u_oth_28*(1+g29_oth))*um29_A*1</f>
        <v>19.55</v>
      </c>
      <c r="K862" s="7" t="s">
        <v>698</v>
      </c>
    </row>
    <row r="863" customFormat="false" ht="17.15" hidden="false" customHeight="false" outlineLevel="0" collapsed="false">
      <c r="A863" s="0" t="s">
        <v>699</v>
      </c>
      <c r="B863" s="3" t="s">
        <v>31</v>
      </c>
      <c r="D863" s="21" t="n">
        <f aca="false">D861*cpu_r</f>
        <v>3.04</v>
      </c>
      <c r="E863" s="21" t="n">
        <f aca="false">E861*cpu_r</f>
        <v>3.88</v>
      </c>
      <c r="F863" s="21" t="n">
        <f aca="false">F861*cpu_r</f>
        <v>3.8</v>
      </c>
      <c r="G863" s="21" t="n">
        <f aca="false">G861*cpu_r</f>
        <v>4.24</v>
      </c>
      <c r="K863" s="7" t="s">
        <v>700</v>
      </c>
    </row>
    <row r="864" customFormat="false" ht="17.15" hidden="false" customHeight="false" outlineLevel="0" collapsed="false">
      <c r="A864" s="3" t="s">
        <v>701</v>
      </c>
      <c r="B864" s="0" t="s">
        <v>153</v>
      </c>
      <c r="D864" s="19" t="n">
        <f aca="false">1</f>
        <v>1</v>
      </c>
      <c r="E864" s="19" t="n">
        <f aca="false">D864*(1+g_asp)</f>
        <v>1.18</v>
      </c>
      <c r="F864" s="19" t="n">
        <f aca="false">E864*(1+g_asp)</f>
        <v>1.3924</v>
      </c>
      <c r="G864" s="19" t="n">
        <f aca="false">F864*(1+g_asp)</f>
        <v>1.643032</v>
      </c>
      <c r="K864" s="7" t="s">
        <v>702</v>
      </c>
    </row>
    <row r="865" customFormat="false" ht="17.15" hidden="false" customHeight="false" outlineLevel="0" collapsed="false">
      <c r="A865" s="0" t="s">
        <v>703</v>
      </c>
      <c r="B865" s="0" t="s">
        <v>153</v>
      </c>
      <c r="D865" s="18" t="n">
        <f aca="false">1</f>
        <v>1</v>
      </c>
      <c r="E865" s="18" t="n">
        <f aca="false">ibpp_27</f>
        <v>1</v>
      </c>
      <c r="F865" s="18" t="n">
        <f aca="false">ibpp_28</f>
        <v>0.95</v>
      </c>
      <c r="G865" s="18" t="n">
        <f aca="false">ibpp_29</f>
        <v>0.9</v>
      </c>
      <c r="K865" s="7" t="s">
        <v>704</v>
      </c>
    </row>
    <row r="866" customFormat="false" ht="17.15" hidden="false" customHeight="false" outlineLevel="0" collapsed="false">
      <c r="A866" s="3" t="s">
        <v>705</v>
      </c>
      <c r="B866" s="0" t="s">
        <v>153</v>
      </c>
      <c r="D866" s="18" t="n">
        <f aca="false">1</f>
        <v>1</v>
      </c>
      <c r="E866" s="18" t="n">
        <f aca="false">1+carry</f>
        <v>1.15</v>
      </c>
      <c r="F866" s="18" t="n">
        <f aca="false">1+carry</f>
        <v>1.15</v>
      </c>
      <c r="G866" s="18" t="n">
        <f aca="false">1+carry</f>
        <v>1.15</v>
      </c>
      <c r="K866" s="7" t="s">
        <v>706</v>
      </c>
    </row>
    <row r="867" customFormat="false" ht="17.15" hidden="false" customHeight="false" outlineLevel="0" collapsed="false">
      <c r="A867" s="3" t="s">
        <v>707</v>
      </c>
      <c r="B867" s="0" t="s">
        <v>708</v>
      </c>
      <c r="D867" s="23" t="n">
        <f aca="false">v26*D864*D865</f>
        <v>215.308596</v>
      </c>
      <c r="E867" s="23" t="n">
        <f aca="false">v26*E864*E865</f>
        <v>254.06414328</v>
      </c>
      <c r="F867" s="23" t="n">
        <f aca="false">v26*F864*F865</f>
        <v>284.80590461688</v>
      </c>
      <c r="G867" s="23" t="n">
        <f aca="false">v26*G864*G865</f>
        <v>318.383021792765</v>
      </c>
      <c r="K867" s="7" t="s">
        <v>709</v>
      </c>
    </row>
    <row r="868" customFormat="false" ht="17.15" hidden="false" customHeight="false" outlineLevel="0" collapsed="false">
      <c r="A868" s="3" t="s">
        <v>710</v>
      </c>
      <c r="B868" s="0" t="s">
        <v>43</v>
      </c>
      <c r="D868" s="20" t="n">
        <f aca="false">sh_nv_26</f>
        <v>0.02</v>
      </c>
      <c r="E868" s="20" t="n">
        <f aca="false">sh_nv_27</f>
        <v>0.03</v>
      </c>
      <c r="F868" s="20" t="n">
        <f aca="false">sh_nv_28</f>
        <v>0.05</v>
      </c>
      <c r="G868" s="20" t="n">
        <f aca="false">sh_nv_29</f>
        <v>0.06</v>
      </c>
    </row>
    <row r="869" customFormat="false" ht="17.15" hidden="false" customHeight="false" outlineLevel="0" collapsed="false">
      <c r="A869" s="3" t="s">
        <v>711</v>
      </c>
      <c r="B869" s="0" t="s">
        <v>43</v>
      </c>
      <c r="D869" s="20" t="n">
        <f aca="false">sh_ot_26</f>
        <v>0.03</v>
      </c>
      <c r="E869" s="20" t="n">
        <f aca="false">sh_ot_27</f>
        <v>0.05</v>
      </c>
      <c r="F869" s="20" t="n">
        <f aca="false">sh_ot_28</f>
        <v>0.06</v>
      </c>
      <c r="G869" s="20" t="n">
        <f aca="false">sh_ot_29</f>
        <v>0.06</v>
      </c>
    </row>
    <row r="870" customFormat="false" ht="17.15" hidden="false" customHeight="false" outlineLevel="0" collapsed="false">
      <c r="A870" s="3" t="s">
        <v>712</v>
      </c>
      <c r="B870" s="0" t="s">
        <v>43</v>
      </c>
      <c r="D870" s="20" t="n">
        <f aca="false">sh_cpu_26</f>
        <v>0.35</v>
      </c>
      <c r="E870" s="20" t="n">
        <f aca="false">sh_cpu_27</f>
        <v>0.7</v>
      </c>
      <c r="F870" s="20" t="n">
        <f aca="false">sh_cpu_28</f>
        <v>0.75</v>
      </c>
      <c r="G870" s="20" t="n">
        <f aca="false">sh_cpu_29</f>
        <v>0.7</v>
      </c>
    </row>
    <row r="871" customFormat="false" ht="17.15" hidden="false" customHeight="false" outlineLevel="0" collapsed="false">
      <c r="A871" s="3" t="s">
        <v>713</v>
      </c>
      <c r="B871" s="0" t="s">
        <v>660</v>
      </c>
      <c r="D871" s="22" t="n">
        <f aca="false">(D861*D867*D868+D862*D867*v_ot*D869+D863*D867*v_cpu*D870)*D866</f>
        <v>140.7256983456</v>
      </c>
      <c r="E871" s="22" t="n">
        <f aca="false">(E861*E867*E868+E862*E867*v_ot*E869+E863*E867*v_cpu*E870)*E866</f>
        <v>486.703057357198</v>
      </c>
      <c r="F871" s="22" t="n">
        <f aca="false">(F861*F867*F868+F862*F867*v_ot*F869+F863*F867*v_cpu*F870)*F866</f>
        <v>702.872492003998</v>
      </c>
      <c r="G871" s="22" t="n">
        <f aca="false">(G861*G867*G868+G862*G867*v_ot*G869+G863*G867*v_cpu*G870)*G866</f>
        <v>902.463042932027</v>
      </c>
    </row>
    <row r="872" customFormat="false" ht="17.15" hidden="false" customHeight="false" outlineLevel="0" collapsed="false">
      <c r="A872" s="3" t="s">
        <v>714</v>
      </c>
      <c r="B872" s="0" t="s">
        <v>379</v>
      </c>
      <c r="D872" s="21" t="n">
        <f aca="false">D871*fx/1000</f>
        <v>4.573585196232</v>
      </c>
      <c r="E872" s="21" t="n">
        <f aca="false">E871*fx/1000</f>
        <v>15.8178493641089</v>
      </c>
      <c r="F872" s="21" t="n">
        <f aca="false">F871*fx/1000</f>
        <v>22.8433559901299</v>
      </c>
      <c r="G872" s="21" t="n">
        <f aca="false">G871*fx/1000</f>
        <v>29.3300488952909</v>
      </c>
    </row>
    <row r="873" customFormat="false" ht="17.15" hidden="false" customHeight="false" outlineLevel="0" collapsed="false">
      <c r="A873" s="5" t="s">
        <v>715</v>
      </c>
    </row>
    <row r="874" customFormat="false" ht="17.15" hidden="false" customHeight="false" outlineLevel="0" collapsed="false">
      <c r="A874" s="0" t="s">
        <v>716</v>
      </c>
      <c r="B874" s="0" t="s">
        <v>379</v>
      </c>
      <c r="D874" s="21" t="n">
        <f aca="false">a26_abf*ai_abf</f>
        <v>5.714709</v>
      </c>
      <c r="K874" s="3" t="s">
        <v>717</v>
      </c>
    </row>
    <row r="875" customFormat="false" ht="17.15" hidden="false" customHeight="false" outlineLevel="0" collapsed="false">
      <c r="A875" s="3" t="s">
        <v>718</v>
      </c>
      <c r="B875" s="0" t="s">
        <v>379</v>
      </c>
      <c r="D875" s="21" t="n">
        <f aca="false">D874-D872</f>
        <v>1.141123803768</v>
      </c>
      <c r="E875" s="21" t="n">
        <f aca="false">$D875*(swm_27/swm_26)^el_o*1*1*E865*E866</f>
        <v>1.83552013039205</v>
      </c>
      <c r="F875" s="21" t="n">
        <f aca="false">$D875*(swm_28/swm_26)^el_o*um28_A*1*F865*F866</f>
        <v>1.87583060833026</v>
      </c>
      <c r="G875" s="21" t="n">
        <f aca="false">$D875*(swm_29/swm_26)^el_o*um29_A*1*G865*G866</f>
        <v>1.89582733342525</v>
      </c>
      <c r="K875" s="7" t="s">
        <v>719</v>
      </c>
    </row>
    <row r="876" customFormat="false" ht="17.15" hidden="false" customHeight="false" outlineLevel="0" collapsed="false">
      <c r="A876" s="3" t="s">
        <v>720</v>
      </c>
      <c r="B876" s="0" t="s">
        <v>379</v>
      </c>
      <c r="D876" s="21" t="n">
        <f aca="false">a26_abf-D874</f>
        <v>17.144127</v>
      </c>
      <c r="E876" s="21" t="n">
        <f aca="false">$D876*(1+g_nai_hi)^1*E866</f>
        <v>21.687320655</v>
      </c>
      <c r="F876" s="21" t="n">
        <f aca="false">$D876*(1+g_nai_hi)^2*F866</f>
        <v>23.8560527205</v>
      </c>
      <c r="G876" s="21" t="n">
        <f aca="false">$D876*(1+g_nai_hi)^3*G866</f>
        <v>26.24165799255</v>
      </c>
      <c r="K876" s="3" t="s">
        <v>721</v>
      </c>
    </row>
    <row r="877" customFormat="false" ht="17.15" hidden="false" customHeight="false" outlineLevel="0" collapsed="false">
      <c r="A877" s="0" t="s">
        <v>722</v>
      </c>
      <c r="B877" s="0" t="s">
        <v>379</v>
      </c>
      <c r="D877" s="21" t="n">
        <f aca="false">D872+D875+D876</f>
        <v>22.858836</v>
      </c>
      <c r="E877" s="21" t="n">
        <f aca="false">E872+E875+E876</f>
        <v>39.340690149501</v>
      </c>
      <c r="F877" s="21" t="n">
        <f aca="false">F872+F875+F876</f>
        <v>48.5752393189602</v>
      </c>
      <c r="G877" s="21" t="n">
        <f aca="false">G872+G875+G876</f>
        <v>57.4675342212661</v>
      </c>
    </row>
    <row r="878" customFormat="false" ht="17.15" hidden="false" customHeight="false" outlineLevel="0" collapsed="false">
      <c r="A878" s="0" t="s">
        <v>723</v>
      </c>
      <c r="B878" s="0" t="s">
        <v>379</v>
      </c>
      <c r="D878" s="21" t="n">
        <f aca="false">a26_abf</f>
        <v>22.858836</v>
      </c>
      <c r="E878" s="21" t="n">
        <f aca="false">$D877*cap_27*(1+g_mix)^1*E865*E866</f>
        <v>33.122453364</v>
      </c>
      <c r="F878" s="21" t="n">
        <f aca="false">$D877*cap_28*(1+g_mix)^2*F865*F866</f>
        <v>41.2995590382375</v>
      </c>
      <c r="G878" s="21" t="n">
        <f aca="false">$D877*cap_29*(1+g_mix)^3*G865*G866</f>
        <v>50.6680379569114</v>
      </c>
      <c r="K878" s="7" t="s">
        <v>724</v>
      </c>
    </row>
    <row r="879" customFormat="false" ht="17.15" hidden="false" customHeight="false" outlineLevel="0" collapsed="false">
      <c r="A879" s="0" t="s">
        <v>725</v>
      </c>
      <c r="B879" s="0" t="s">
        <v>379</v>
      </c>
      <c r="D879" s="21" t="n">
        <f aca="false">a26_abf</f>
        <v>22.858836</v>
      </c>
      <c r="E879" s="21" t="n">
        <f aca="false">MIN(E877,E878)</f>
        <v>33.122453364</v>
      </c>
      <c r="F879" s="21" t="n">
        <f aca="false">MIN(F877,F878)</f>
        <v>41.2995590382375</v>
      </c>
      <c r="G879" s="21" t="n">
        <f aca="false">MIN(G877,G878)</f>
        <v>50.6680379569114</v>
      </c>
    </row>
    <row r="880" customFormat="false" ht="17.15" hidden="false" customHeight="false" outlineLevel="0" collapsed="false">
      <c r="A880" s="3" t="s">
        <v>726</v>
      </c>
      <c r="B880" s="0" t="s">
        <v>43</v>
      </c>
      <c r="D880" s="20" t="n">
        <f aca="false">D879/D877</f>
        <v>1</v>
      </c>
      <c r="E880" s="20" t="n">
        <f aca="false">E879/E877</f>
        <v>0.841938797670537</v>
      </c>
      <c r="F880" s="20" t="n">
        <f aca="false">F879/F877</f>
        <v>0.850218333811012</v>
      </c>
      <c r="G880" s="20" t="n">
        <f aca="false">G879/G877</f>
        <v>0.881681085564333</v>
      </c>
    </row>
    <row r="881" customFormat="false" ht="17.15" hidden="false" customHeight="false" outlineLevel="0" collapsed="false">
      <c r="A881" s="0" t="s">
        <v>727</v>
      </c>
      <c r="B881" s="0" t="s">
        <v>379</v>
      </c>
      <c r="D881" s="21" t="n">
        <f aca="false">(D872+D875)*D880</f>
        <v>5.714709</v>
      </c>
      <c r="E881" s="21" t="n">
        <f aca="false">(E872+E875)*E880</f>
        <v>14.8630566870339</v>
      </c>
      <c r="F881" s="21" t="n">
        <f aca="false">(F872+F875)*F880</f>
        <v>21.0167056429063</v>
      </c>
      <c r="G881" s="21" t="n">
        <f aca="false">(G872+G875)*G880</f>
        <v>27.5312644510319</v>
      </c>
    </row>
    <row r="882" customFormat="false" ht="17.15" hidden="false" customHeight="false" outlineLevel="0" collapsed="false">
      <c r="A882" s="3" t="s">
        <v>728</v>
      </c>
      <c r="B882" s="0" t="s">
        <v>43</v>
      </c>
      <c r="D882" s="20" t="n">
        <f aca="false">D872/(D872+D875)</f>
        <v>0.800318125775433</v>
      </c>
      <c r="E882" s="20" t="n">
        <f aca="false">E872/(E872+E875)</f>
        <v>0.896024374782173</v>
      </c>
      <c r="F882" s="20" t="n">
        <f aca="false">F872/(F872+F875)</f>
        <v>0.924114387791097</v>
      </c>
      <c r="G882" s="20" t="n">
        <f aca="false">G872/(G872+G875)</f>
        <v>0.939286657016792</v>
      </c>
    </row>
    <row r="883" customFormat="false" ht="17.15" hidden="false" customHeight="false" outlineLevel="0" collapsed="false">
      <c r="A883" s="5" t="s">
        <v>729</v>
      </c>
    </row>
    <row r="884" customFormat="false" ht="17.15" hidden="false" customHeight="false" outlineLevel="0" collapsed="false">
      <c r="A884" s="0" t="s">
        <v>730</v>
      </c>
      <c r="B884" s="0" t="s">
        <v>379</v>
      </c>
      <c r="D884" s="21" t="n">
        <f aca="false">a26_bt</f>
        <v>23.265964</v>
      </c>
      <c r="E884" s="21" t="n">
        <f aca="false">D884*(1+g_bt27_A)</f>
        <v>29.78043392</v>
      </c>
      <c r="F884" s="21" t="n">
        <f aca="false">E884*(1+g_bt28_A)</f>
        <v>32.758477312</v>
      </c>
      <c r="G884" s="21" t="n">
        <f aca="false">F884*(1+g_bt29_A)</f>
        <v>34.3964011776</v>
      </c>
      <c r="K884" s="7" t="s">
        <v>731</v>
      </c>
    </row>
    <row r="885" customFormat="false" ht="17.15" hidden="false" customHeight="false" outlineLevel="0" collapsed="false">
      <c r="A885" s="3" t="s">
        <v>616</v>
      </c>
      <c r="B885" s="0" t="s">
        <v>379</v>
      </c>
      <c r="C885" s="21" t="n">
        <f aca="false">a25_lens</f>
        <v>7.039</v>
      </c>
      <c r="D885" s="21" t="n">
        <f aca="false">a26_lens</f>
        <v>8.301</v>
      </c>
      <c r="E885" s="21" t="n">
        <f aca="false">D885*(1+g_lens)</f>
        <v>9.1311</v>
      </c>
      <c r="F885" s="21" t="n">
        <f aca="false">E885*(1+g_lens)</f>
        <v>10.04421</v>
      </c>
      <c r="G885" s="21" t="n">
        <f aca="false">F885*(1+g_lens)</f>
        <v>11.048631</v>
      </c>
      <c r="K885" s="3" t="s">
        <v>732</v>
      </c>
    </row>
    <row r="886" customFormat="false" ht="17.15" hidden="false" customHeight="false" outlineLevel="0" collapsed="false">
      <c r="A886" s="3" t="s">
        <v>573</v>
      </c>
      <c r="B886" s="0" t="s">
        <v>379</v>
      </c>
      <c r="C886" s="23" t="n">
        <f aca="false">a25_rev</f>
        <v>39.351</v>
      </c>
      <c r="D886" s="23" t="n">
        <f aca="false">D879+D884+D885</f>
        <v>54.4258</v>
      </c>
      <c r="E886" s="23" t="n">
        <f aca="false">E879+E884+E885</f>
        <v>72.033987284</v>
      </c>
      <c r="F886" s="23" t="n">
        <f aca="false">F879+F884+F885</f>
        <v>84.1022463502375</v>
      </c>
      <c r="G886" s="23" t="n">
        <f aca="false">G879+G884+G885</f>
        <v>96.1130701345114</v>
      </c>
      <c r="H886" s="25" t="n">
        <f aca="false">G886*(1+H887)</f>
        <v>107.186075216063</v>
      </c>
      <c r="I886" s="25" t="n">
        <f aca="false">H886*(1+I887)</f>
        <v>116.576010002736</v>
      </c>
      <c r="J886" s="25" t="n">
        <f aca="false">I886*(1+J887)</f>
        <v>123.5705706029</v>
      </c>
      <c r="K886" s="7" t="s">
        <v>733</v>
      </c>
    </row>
    <row r="887" customFormat="false" ht="15" hidden="false" customHeight="false" outlineLevel="0" collapsed="false">
      <c r="A887" s="3" t="s">
        <v>734</v>
      </c>
      <c r="B887" s="0" t="s">
        <v>43</v>
      </c>
      <c r="D887" s="20" t="n">
        <f aca="false">D886/C886-1</f>
        <v>0.383085563263958</v>
      </c>
      <c r="E887" s="20" t="n">
        <f aca="false">E886/D886-1</f>
        <v>0.323526476119781</v>
      </c>
      <c r="F887" s="20" t="n">
        <f aca="false">F886/E886-1</f>
        <v>0.167535624796909</v>
      </c>
      <c r="G887" s="20" t="n">
        <f aca="false">G886/F886-1</f>
        <v>0.142812163830389</v>
      </c>
      <c r="H887" s="26" t="n">
        <f aca="false">$G887+(fade_gA-$G887)*1/3</f>
        <v>0.115208109220259</v>
      </c>
      <c r="I887" s="26" t="n">
        <f aca="false">$G887+(fade_gA-$G887)*2/3</f>
        <v>0.0876040546101297</v>
      </c>
      <c r="J887" s="26" t="n">
        <f aca="false">$G887+(fade_gA-$G887)*3/3</f>
        <v>0.06</v>
      </c>
    </row>
    <row r="888" customFormat="false" ht="17.15" hidden="false" customHeight="false" outlineLevel="0" collapsed="false">
      <c r="A888" s="0" t="s">
        <v>735</v>
      </c>
      <c r="B888" s="0" t="s">
        <v>43</v>
      </c>
      <c r="D888" s="20" t="n">
        <f aca="false">D879/D886</f>
        <v>0.42</v>
      </c>
      <c r="E888" s="20" t="n">
        <f aca="false">E879/E886</f>
        <v>0.459817019893845</v>
      </c>
      <c r="F888" s="20" t="n">
        <f aca="false">F879/F886</f>
        <v>0.491063685341395</v>
      </c>
      <c r="G888" s="20" t="n">
        <f aca="false">G879/G886</f>
        <v>0.527171152539409</v>
      </c>
    </row>
    <row r="889" customFormat="false" ht="17.15" hidden="false" customHeight="false" outlineLevel="0" collapsed="false">
      <c r="A889" s="0" t="s">
        <v>736</v>
      </c>
      <c r="B889" s="0" t="s">
        <v>43</v>
      </c>
      <c r="D889" s="20" t="n">
        <f aca="false">D881/D886</f>
        <v>0.105</v>
      </c>
      <c r="E889" s="20" t="n">
        <f aca="false">E881/E886</f>
        <v>0.206333943842856</v>
      </c>
      <c r="F889" s="20" t="n">
        <f aca="false">F881/F886</f>
        <v>0.24989470026025</v>
      </c>
      <c r="G889" s="20" t="n">
        <f aca="false">G881/G886</f>
        <v>0.2864466238827</v>
      </c>
      <c r="K889" s="3" t="s">
        <v>737</v>
      </c>
    </row>
    <row r="890" customFormat="false" ht="17.15" hidden="false" customHeight="false" outlineLevel="0" collapsed="false">
      <c r="A890" s="5" t="s">
        <v>738</v>
      </c>
    </row>
    <row r="891" customFormat="false" ht="15" hidden="false" customHeight="false" outlineLevel="0" collapsed="false">
      <c r="A891" s="3" t="s">
        <v>739</v>
      </c>
      <c r="B891" s="0" t="s">
        <v>379</v>
      </c>
      <c r="C891" s="23" t="n">
        <f aca="false">a25_cx</f>
        <v>6.116</v>
      </c>
      <c r="D891" s="23" t="n">
        <f aca="false">capex26</f>
        <v>11</v>
      </c>
      <c r="E891" s="23" t="n">
        <f aca="false">cx27</f>
        <v>17</v>
      </c>
      <c r="F891" s="23" t="n">
        <f aca="false">cx28</f>
        <v>16</v>
      </c>
      <c r="G891" s="23" t="n">
        <f aca="false">cx29</f>
        <v>12</v>
      </c>
      <c r="H891" s="25" t="n">
        <f aca="false">H886*H910</f>
        <v>13.4817405534162</v>
      </c>
      <c r="I891" s="25" t="n">
        <f aca="false">I886*I910</f>
        <v>14.77073304233</v>
      </c>
      <c r="J891" s="25" t="n">
        <f aca="false">J886*J910</f>
        <v>15.7713906192965</v>
      </c>
    </row>
    <row r="892" customFormat="false" ht="17.15" hidden="false" customHeight="false" outlineLevel="0" collapsed="false">
      <c r="A892" s="3" t="s">
        <v>740</v>
      </c>
      <c r="B892" s="0" t="s">
        <v>379</v>
      </c>
      <c r="C892" s="23" t="n">
        <f aca="false">a25_da</f>
        <v>7.158</v>
      </c>
      <c r="D892" s="23" t="n">
        <f aca="false">da26</f>
        <v>8.32</v>
      </c>
      <c r="E892" s="23" t="n">
        <f aca="false">D892*(1-1/life)+D891/life</f>
        <v>8.655</v>
      </c>
      <c r="F892" s="23" t="n">
        <f aca="false">E892*(1-1/life)+E891/life</f>
        <v>9.698125</v>
      </c>
      <c r="G892" s="23" t="n">
        <f aca="false">F892*(1-1/life)+F891/life</f>
        <v>10.485859375</v>
      </c>
      <c r="H892" s="25" t="n">
        <f aca="false">H886*H893</f>
        <v>11.6939154071433</v>
      </c>
      <c r="I892" s="25" t="n">
        <f aca="false">I886*I893</f>
        <v>12.7183498110769</v>
      </c>
      <c r="J892" s="25" t="n">
        <f aca="false">J886*J893</f>
        <v>13.4814507997415</v>
      </c>
      <c r="K892" s="3" t="s">
        <v>741</v>
      </c>
    </row>
    <row r="893" customFormat="false" ht="17.15" hidden="false" customHeight="false" outlineLevel="0" collapsed="false">
      <c r="A893" s="3" t="s">
        <v>742</v>
      </c>
      <c r="B893" s="0" t="s">
        <v>43</v>
      </c>
      <c r="C893" s="20" t="n">
        <f aca="false">C892/C886</f>
        <v>0.181901349393916</v>
      </c>
      <c r="D893" s="20" t="n">
        <f aca="false">D892/D886</f>
        <v>0.152868676252807</v>
      </c>
      <c r="E893" s="20" t="n">
        <f aca="false">E892/E886</f>
        <v>0.120151616290196</v>
      </c>
      <c r="F893" s="20" t="n">
        <f aca="false">F892/F886</f>
        <v>0.115313507318376</v>
      </c>
      <c r="G893" s="20" t="n">
        <f aca="false">G892/G886</f>
        <v>0.109099203264706</v>
      </c>
      <c r="H893" s="26" t="n">
        <f aca="false">$G893</f>
        <v>0.109099203264706</v>
      </c>
      <c r="I893" s="26" t="n">
        <f aca="false">$G893</f>
        <v>0.109099203264706</v>
      </c>
      <c r="J893" s="26" t="n">
        <f aca="false">$G893</f>
        <v>0.109099203264706</v>
      </c>
    </row>
    <row r="894" customFormat="false" ht="17.15" hidden="false" customHeight="false" outlineLevel="0" collapsed="false">
      <c r="A894" s="0" t="s">
        <v>743</v>
      </c>
      <c r="B894" s="0" t="s">
        <v>379</v>
      </c>
      <c r="E894" s="21" t="n">
        <f aca="false">E880*((E872+E875)*(1-1/(E865*E866))+E876*(1-1/E866))</f>
        <v>4.320320004</v>
      </c>
      <c r="F894" s="21" t="n">
        <f aca="false">F880*((F872+F875)*(1-1/(F865*F866))+F876*(1-1/F866))</f>
        <v>4.42503604650208</v>
      </c>
      <c r="G894" s="21" t="n">
        <f aca="false">G880*((G872+G875)*(1-1/(G865*G866))+G876*(1-1/G866))</f>
        <v>3.94884896529453</v>
      </c>
      <c r="K894" s="7" t="s">
        <v>744</v>
      </c>
    </row>
    <row r="895" customFormat="false" ht="17.15" hidden="false" customHeight="false" outlineLevel="0" collapsed="false">
      <c r="A895" s="3" t="s">
        <v>745</v>
      </c>
      <c r="B895" s="0" t="s">
        <v>379</v>
      </c>
      <c r="C895" s="21" t="n">
        <f aca="false">a25_gp</f>
        <v>8.314</v>
      </c>
      <c r="D895" s="21" t="n">
        <f aca="false">a26_gp</f>
        <v>15.328536</v>
      </c>
      <c r="E895" s="21" t="n">
        <f aca="false">$D895+ft_abf*(E879-E894-$D879)+ft_bt*(E884-$D884)+ft_lens*(E885-$D885)+E894-(E892-$D892)</f>
        <v>25.590561148</v>
      </c>
      <c r="F895" s="21" t="n">
        <f aca="false">$D895+ft_abf*(F879-F894-$D879)+ft_bt*(F884-$D884)+ft_lens*(F885-$D885)+F894-(F892-$D892)</f>
        <v>30.4393660327698</v>
      </c>
      <c r="G895" s="21" t="n">
        <f aca="false">$D895+ft_abf*(G879-G894-$D879)+ft_bt*(G884-$D884)+ft_lens*(G885-$D885)+G894-(G892-$D892)</f>
        <v>35.286832766023</v>
      </c>
      <c r="K895" s="3" t="s">
        <v>746</v>
      </c>
    </row>
    <row r="896" customFormat="false" ht="15" hidden="false" customHeight="false" outlineLevel="0" collapsed="false">
      <c r="A896" s="3" t="s">
        <v>580</v>
      </c>
      <c r="B896" s="0" t="s">
        <v>43</v>
      </c>
      <c r="C896" s="16" t="n">
        <f aca="false">C895/C886</f>
        <v>0.211277985311682</v>
      </c>
      <c r="D896" s="16" t="n">
        <f aca="false">D895/D886</f>
        <v>0.281640986443929</v>
      </c>
      <c r="E896" s="16" t="n">
        <f aca="false">E895/E886</f>
        <v>0.3552567629931</v>
      </c>
      <c r="F896" s="16" t="n">
        <f aca="false">F895/F886</f>
        <v>0.361932853802826</v>
      </c>
      <c r="G896" s="16" t="n">
        <f aca="false">G895/G886</f>
        <v>0.367138753518524</v>
      </c>
    </row>
    <row r="897" customFormat="false" ht="15" hidden="false" customHeight="false" outlineLevel="0" collapsed="false">
      <c r="A897" s="3" t="s">
        <v>582</v>
      </c>
      <c r="B897" s="0" t="s">
        <v>379</v>
      </c>
      <c r="C897" s="21" t="n">
        <f aca="false">a25_opx</f>
        <v>5.644</v>
      </c>
      <c r="D897" s="21" t="n">
        <f aca="false">a26_opx</f>
        <v>6.54036</v>
      </c>
      <c r="E897" s="21" t="n">
        <f aca="false">D897*(1+phi*E887)</f>
        <v>7.80994777401287</v>
      </c>
      <c r="F897" s="21" t="n">
        <f aca="false">E897*(1+phi*F887)</f>
        <v>8.59501446198315</v>
      </c>
      <c r="G897" s="21" t="n">
        <f aca="false">F897*(1+phi*G887)</f>
        <v>9.33149803006473</v>
      </c>
    </row>
    <row r="898" customFormat="false" ht="15" hidden="false" customHeight="false" outlineLevel="0" collapsed="false">
      <c r="A898" s="3" t="s">
        <v>585</v>
      </c>
      <c r="B898" s="0" t="s">
        <v>379</v>
      </c>
      <c r="C898" s="21" t="n">
        <f aca="false">C895-C897</f>
        <v>2.67</v>
      </c>
      <c r="D898" s="21" t="n">
        <f aca="false">D895-D897</f>
        <v>8.788176</v>
      </c>
      <c r="E898" s="21" t="n">
        <f aca="false">E895-E897</f>
        <v>17.7806133739871</v>
      </c>
      <c r="F898" s="21" t="n">
        <f aca="false">F895-F897</f>
        <v>21.8443515707866</v>
      </c>
      <c r="G898" s="21" t="n">
        <f aca="false">G895-G897</f>
        <v>25.9553347359582</v>
      </c>
    </row>
    <row r="899" customFormat="false" ht="15" hidden="false" customHeight="false" outlineLevel="0" collapsed="false">
      <c r="A899" s="3" t="s">
        <v>683</v>
      </c>
      <c r="B899" s="0" t="s">
        <v>43</v>
      </c>
      <c r="C899" s="16" t="n">
        <f aca="false">C898/C886</f>
        <v>0.0678508805367081</v>
      </c>
      <c r="D899" s="16" t="n">
        <f aca="false">D898/D886</f>
        <v>0.161470773052486</v>
      </c>
      <c r="E899" s="16" t="n">
        <f aca="false">E898/E886</f>
        <v>0.246836445466854</v>
      </c>
      <c r="F899" s="16" t="n">
        <f aca="false">F898/F886</f>
        <v>0.259735649388216</v>
      </c>
      <c r="G899" s="16" t="n">
        <f aca="false">G898/G886</f>
        <v>0.270050001520432</v>
      </c>
    </row>
    <row r="900" customFormat="false" ht="15" hidden="false" customHeight="false" outlineLevel="0" collapsed="false">
      <c r="A900" s="3" t="s">
        <v>588</v>
      </c>
      <c r="B900" s="0" t="s">
        <v>379</v>
      </c>
      <c r="C900" s="21" t="n">
        <f aca="false">a25_nonop</f>
        <v>0.417</v>
      </c>
      <c r="D900" s="21" t="n">
        <f aca="false">a26_nonop</f>
        <v>0.37882</v>
      </c>
      <c r="E900" s="21" t="n">
        <f aca="false">nonop27</f>
        <v>0.4</v>
      </c>
      <c r="F900" s="21" t="n">
        <f aca="false">nonop28</f>
        <v>0.4</v>
      </c>
      <c r="G900" s="21" t="n">
        <f aca="false">nonop29</f>
        <v>0.4</v>
      </c>
    </row>
    <row r="901" customFormat="false" ht="15" hidden="false" customHeight="false" outlineLevel="0" collapsed="false">
      <c r="A901" s="3" t="s">
        <v>590</v>
      </c>
      <c r="B901" s="0" t="s">
        <v>379</v>
      </c>
      <c r="C901" s="21" t="n">
        <f aca="false">C898+C900</f>
        <v>3.087</v>
      </c>
      <c r="D901" s="21" t="n">
        <f aca="false">D898+D900</f>
        <v>9.166996</v>
      </c>
      <c r="E901" s="21" t="n">
        <f aca="false">E898+E900</f>
        <v>18.1806133739871</v>
      </c>
      <c r="F901" s="21" t="n">
        <f aca="false">F898+F900</f>
        <v>22.2443515707866</v>
      </c>
      <c r="G901" s="21" t="n">
        <f aca="false">G898+G900</f>
        <v>26.3553347359582</v>
      </c>
    </row>
    <row r="902" customFormat="false" ht="15" hidden="false" customHeight="false" outlineLevel="0" collapsed="false">
      <c r="A902" s="3" t="s">
        <v>591</v>
      </c>
      <c r="B902" s="0" t="s">
        <v>379</v>
      </c>
      <c r="E902" s="21" t="n">
        <f aca="false">E901*tax</f>
        <v>2.18167360487846</v>
      </c>
      <c r="F902" s="21" t="n">
        <f aca="false">F901*tax</f>
        <v>2.6693221884944</v>
      </c>
      <c r="G902" s="21" t="n">
        <f aca="false">G901*tax</f>
        <v>3.16264016831499</v>
      </c>
    </row>
    <row r="903" customFormat="false" ht="15" hidden="false" customHeight="false" outlineLevel="0" collapsed="false">
      <c r="A903" s="3" t="s">
        <v>592</v>
      </c>
      <c r="B903" s="0" t="s">
        <v>379</v>
      </c>
      <c r="C903" s="21" t="n">
        <f aca="false">a25_nic</f>
        <v>2.71712</v>
      </c>
      <c r="D903" s="21" t="n">
        <f aca="false">a26_nic</f>
        <v>8.39979776</v>
      </c>
      <c r="E903" s="21" t="n">
        <f aca="false">E901-E902</f>
        <v>15.9989397691087</v>
      </c>
      <c r="F903" s="21" t="n">
        <f aca="false">F901-F902</f>
        <v>19.5750293822922</v>
      </c>
      <c r="G903" s="21" t="n">
        <f aca="false">G901-G902</f>
        <v>23.1926945676432</v>
      </c>
    </row>
    <row r="904" customFormat="false" ht="17.15" hidden="false" customHeight="false" outlineLevel="0" collapsed="false">
      <c r="A904" s="3" t="s">
        <v>747</v>
      </c>
      <c r="B904" s="0" t="s">
        <v>379</v>
      </c>
      <c r="C904" s="21" t="n">
        <f aca="false">a25_nci</f>
        <v>1.12112</v>
      </c>
      <c r="D904" s="21" t="n">
        <f aca="false">a26_nci</f>
        <v>1.43839238487797</v>
      </c>
      <c r="E904" s="21" t="n">
        <f aca="false">E885*nm_lens*nci_sh</f>
        <v>1.57074538036261</v>
      </c>
      <c r="F904" s="21" t="n">
        <f aca="false">F885*nm_lens*nci_sh</f>
        <v>1.72781991839887</v>
      </c>
      <c r="G904" s="21" t="n">
        <f aca="false">G885*nm_lens*nci_sh</f>
        <v>1.90060191023875</v>
      </c>
      <c r="K904" s="3" t="s">
        <v>748</v>
      </c>
    </row>
    <row r="905" customFormat="false" ht="15" hidden="false" customHeight="false" outlineLevel="0" collapsed="false">
      <c r="A905" s="3" t="s">
        <v>598</v>
      </c>
      <c r="B905" s="0" t="s">
        <v>379</v>
      </c>
      <c r="C905" s="21" t="n">
        <f aca="false">a25_ni</f>
        <v>1.596</v>
      </c>
      <c r="D905" s="21" t="n">
        <f aca="false">a26_ni</f>
        <v>6.96140537512203</v>
      </c>
      <c r="E905" s="21" t="n">
        <f aca="false">E903-E904</f>
        <v>14.4281943887461</v>
      </c>
      <c r="F905" s="21" t="n">
        <f aca="false">F903-F904</f>
        <v>17.8472094638934</v>
      </c>
      <c r="G905" s="21" t="n">
        <f aca="false">G903-G904</f>
        <v>21.2920926574045</v>
      </c>
      <c r="H905" s="30" t="n">
        <f aca="false">H886*H909</f>
        <v>23.7231652925708</v>
      </c>
      <c r="I905" s="30" t="n">
        <f aca="false">I886*I909</f>
        <v>25.7775388288873</v>
      </c>
      <c r="J905" s="30" t="n">
        <f aca="false">J886*J909</f>
        <v>27.2988869112315</v>
      </c>
    </row>
    <row r="906" customFormat="false" ht="15" hidden="false" customHeight="false" outlineLevel="0" collapsed="false">
      <c r="A906" s="3" t="s">
        <v>749</v>
      </c>
      <c r="B906" s="3" t="s">
        <v>465</v>
      </c>
      <c r="C906" s="29" t="n">
        <f aca="false">a25_sh</f>
        <v>0.454700854700855</v>
      </c>
      <c r="D906" s="29" t="n">
        <f aca="false">a26_sh</f>
        <v>0.508341020486215</v>
      </c>
      <c r="E906" s="29" t="n">
        <f aca="false">a26_shend*(1+sh_g)</f>
        <v>0.52691</v>
      </c>
      <c r="F906" s="29" t="n">
        <f aca="false">E906*(1+sh_g)</f>
        <v>0.52691</v>
      </c>
      <c r="G906" s="29" t="n">
        <f aca="false">F906*(1+sh_g)</f>
        <v>0.52691</v>
      </c>
      <c r="H906" s="31" t="n">
        <f aca="false">G906*(1+sh_g)</f>
        <v>0.52691</v>
      </c>
      <c r="I906" s="31" t="n">
        <f aca="false">H906*(1+sh_g)</f>
        <v>0.52691</v>
      </c>
      <c r="J906" s="31" t="n">
        <f aca="false">I906*(1+sh_g)</f>
        <v>0.52691</v>
      </c>
    </row>
    <row r="907" customFormat="false" ht="17.15" hidden="false" customHeight="false" outlineLevel="0" collapsed="false">
      <c r="A907" s="0" t="s">
        <v>603</v>
      </c>
      <c r="B907" s="0" t="s">
        <v>471</v>
      </c>
      <c r="C907" s="18" t="n">
        <f aca="false">C905/C906</f>
        <v>3.51</v>
      </c>
      <c r="D907" s="18" t="n">
        <f aca="false">D905/D906</f>
        <v>13.6943608612652</v>
      </c>
      <c r="E907" s="18" t="n">
        <f aca="false">E905/E906</f>
        <v>27.3826543218881</v>
      </c>
      <c r="F907" s="18" t="n">
        <f aca="false">F905/F906</f>
        <v>33.8714571063244</v>
      </c>
      <c r="G907" s="18" t="n">
        <f aca="false">G905/G906</f>
        <v>40.4093538885284</v>
      </c>
      <c r="H907" s="28" t="n">
        <f aca="false">H905/H906</f>
        <v>45.0231828824104</v>
      </c>
      <c r="I907" s="28" t="n">
        <f aca="false">I905/I906</f>
        <v>48.9220907344466</v>
      </c>
      <c r="J907" s="28" t="n">
        <f aca="false">J905/J906</f>
        <v>51.8093923274022</v>
      </c>
    </row>
    <row r="908" customFormat="false" ht="17.15" hidden="false" customHeight="false" outlineLevel="0" collapsed="false">
      <c r="A908" s="0" t="s">
        <v>750</v>
      </c>
      <c r="B908" s="0" t="s">
        <v>43</v>
      </c>
      <c r="D908" s="20" t="n">
        <f aca="false">D907/C907-1</f>
        <v>2.90152731090177</v>
      </c>
      <c r="E908" s="20" t="n">
        <f aca="false">E907/D907-1</f>
        <v>0.999556941670828</v>
      </c>
      <c r="F908" s="20" t="n">
        <f aca="false">F907/E907-1</f>
        <v>0.236967633165112</v>
      </c>
      <c r="G908" s="20" t="n">
        <f aca="false">G907/F907-1</f>
        <v>0.193020830538266</v>
      </c>
      <c r="H908" s="26" t="n">
        <f aca="false">H907/G907-1</f>
        <v>0.114177252291871</v>
      </c>
      <c r="I908" s="26" t="n">
        <f aca="false">I907/H907-1</f>
        <v>0.0865977836844467</v>
      </c>
      <c r="J908" s="26" t="n">
        <f aca="false">J907/I907-1</f>
        <v>0.0590183606139825</v>
      </c>
    </row>
    <row r="909" customFormat="false" ht="17.15" hidden="false" customHeight="false" outlineLevel="0" collapsed="false">
      <c r="A909" s="3" t="s">
        <v>751</v>
      </c>
      <c r="B909" s="0" t="s">
        <v>43</v>
      </c>
      <c r="C909" s="16" t="n">
        <f aca="false">C905/C886</f>
        <v>0.0405580544331783</v>
      </c>
      <c r="D909" s="16" t="n">
        <f aca="false">D905/D886</f>
        <v>0.127906349105057</v>
      </c>
      <c r="E909" s="16" t="n">
        <f aca="false">E905/E886</f>
        <v>0.20029703939422</v>
      </c>
      <c r="F909" s="16" t="n">
        <f aca="false">F905/F886</f>
        <v>0.212208475259626</v>
      </c>
      <c r="G909" s="16" t="n">
        <f aca="false">G905/G886</f>
        <v>0.221531708721883</v>
      </c>
      <c r="H909" s="27" t="n">
        <f aca="false">$G909+(fade_mA-$G909)*1/3</f>
        <v>0.221326933043778</v>
      </c>
      <c r="I909" s="27" t="n">
        <f aca="false">$G909+(fade_mA-$G909)*2/3</f>
        <v>0.221122157365673</v>
      </c>
      <c r="J909" s="27" t="n">
        <f aca="false">$G909+(fade_mA-$G909)*3/3</f>
        <v>0.220917381687568</v>
      </c>
    </row>
    <row r="910" customFormat="false" ht="17.15" hidden="false" customHeight="false" outlineLevel="0" collapsed="false">
      <c r="A910" s="3" t="s">
        <v>752</v>
      </c>
      <c r="B910" s="0" t="s">
        <v>43</v>
      </c>
      <c r="C910" s="20" t="n">
        <f aca="false">C891/C886</f>
        <v>0.155421717364235</v>
      </c>
      <c r="D910" s="20" t="n">
        <f aca="false">D891/D886</f>
        <v>0.202110028699624</v>
      </c>
      <c r="E910" s="20" t="n">
        <f aca="false">E891/E886</f>
        <v>0.235999708484498</v>
      </c>
      <c r="F910" s="20" t="n">
        <f aca="false">F891/F886</f>
        <v>0.190244621212247</v>
      </c>
      <c r="G910" s="20" t="n">
        <f aca="false">G891/G886</f>
        <v>0.124852946464054</v>
      </c>
      <c r="H910" s="26" t="n">
        <f aca="false">$G910+($G893*(1+tp_g)^(life/2)-$G910)*1/3</f>
        <v>0.125778843252168</v>
      </c>
      <c r="I910" s="26" t="n">
        <f aca="false">$G910+($G893*(1+tp_g)^(life/2)-$G910)*2/3</f>
        <v>0.126704740040282</v>
      </c>
      <c r="J910" s="26" t="n">
        <f aca="false">$G910+($G893*(1+tp_g)^(life/2)-$G910)*3/3</f>
        <v>0.127630636828396</v>
      </c>
      <c r="K910" s="7" t="s">
        <v>753</v>
      </c>
    </row>
    <row r="911" customFormat="false" ht="15" hidden="false" customHeight="false" outlineLevel="0" collapsed="false">
      <c r="A911" s="3" t="s">
        <v>754</v>
      </c>
      <c r="B911" s="0" t="s">
        <v>379</v>
      </c>
      <c r="D911" s="21" t="n">
        <f aca="false">D905+D892-D891</f>
        <v>4.28140537512203</v>
      </c>
      <c r="E911" s="21" t="n">
        <f aca="false">E905+E892-E891</f>
        <v>6.08319438874607</v>
      </c>
      <c r="F911" s="21" t="n">
        <f aca="false">F905+F892-F891</f>
        <v>11.5453344638934</v>
      </c>
      <c r="G911" s="21" t="n">
        <f aca="false">G905+G892-G891</f>
        <v>19.7779520324045</v>
      </c>
      <c r="H911" s="30" t="n">
        <f aca="false">H905+H892-H891</f>
        <v>21.9353401462979</v>
      </c>
      <c r="I911" s="30" t="n">
        <f aca="false">I905+I892-I891</f>
        <v>23.7251555976342</v>
      </c>
      <c r="J911" s="30" t="n">
        <f aca="false">J905+J892-J891</f>
        <v>25.0089470916765</v>
      </c>
      <c r="K911" s="3" t="s">
        <v>755</v>
      </c>
    </row>
    <row r="912" customFormat="false" ht="15" hidden="false" customHeight="false" outlineLevel="0" collapsed="false">
      <c r="A912" s="3" t="s">
        <v>756</v>
      </c>
      <c r="B912" s="0" t="s">
        <v>471</v>
      </c>
      <c r="D912" s="18" t="n">
        <f aca="false">D911/D906</f>
        <v>8.42230943909854</v>
      </c>
      <c r="E912" s="18" t="n">
        <f aca="false">E911/E906</f>
        <v>11.5450349941092</v>
      </c>
      <c r="F912" s="18" t="n">
        <f aca="false">F911/F906</f>
        <v>21.9113975136046</v>
      </c>
      <c r="G912" s="18" t="n">
        <f aca="false">G911/G906</f>
        <v>37.5357310212455</v>
      </c>
      <c r="H912" s="28" t="n">
        <f aca="false">H911/H906</f>
        <v>41.6301458433089</v>
      </c>
      <c r="I912" s="28" t="n">
        <f aca="false">I911/I906</f>
        <v>45.026960197442</v>
      </c>
      <c r="J912" s="28" t="n">
        <f aca="false">J911/J906</f>
        <v>47.4634132805916</v>
      </c>
    </row>
    <row r="915" customFormat="false" ht="17.15" hidden="false" customHeight="false" outlineLevel="0" collapsed="false">
      <c r="A915" s="1" t="s">
        <v>1105</v>
      </c>
    </row>
    <row r="916" customFormat="false" ht="17.15" hidden="false" customHeight="false" outlineLevel="0" collapsed="false">
      <c r="A916" s="4" t="s">
        <v>20</v>
      </c>
      <c r="B916" s="4" t="s">
        <v>21</v>
      </c>
      <c r="C916" s="13" t="s">
        <v>566</v>
      </c>
      <c r="D916" s="13" t="s">
        <v>670</v>
      </c>
      <c r="E916" s="13" t="s">
        <v>671</v>
      </c>
      <c r="F916" s="13" t="s">
        <v>672</v>
      </c>
      <c r="G916" s="13" t="s">
        <v>673</v>
      </c>
      <c r="H916" s="13" t="s">
        <v>674</v>
      </c>
      <c r="I916" s="13" t="s">
        <v>675</v>
      </c>
      <c r="J916" s="13" t="s">
        <v>676</v>
      </c>
      <c r="K916" s="4" t="s">
        <v>630</v>
      </c>
    </row>
    <row r="917" customFormat="false" ht="17.15" hidden="false" customHeight="false" outlineLevel="0" collapsed="false">
      <c r="A917" s="5" t="s">
        <v>694</v>
      </c>
    </row>
    <row r="918" customFormat="false" ht="17.15" hidden="false" customHeight="false" outlineLevel="0" collapsed="false">
      <c r="A918" s="0" t="s">
        <v>695</v>
      </c>
      <c r="B918" s="3" t="s">
        <v>31</v>
      </c>
      <c r="D918" s="21" t="n">
        <f aca="false">(u_bw_26+u_rb_26+u_ru_26+u_hp_26)*1</f>
        <v>7.6</v>
      </c>
      <c r="E918" s="21" t="n">
        <f aca="false">(u_bw_27+u_rb_27+u_ru_27+u_hp_27)*1*1</f>
        <v>9.7</v>
      </c>
      <c r="F918" s="21" t="n">
        <f aca="false">(u_bw_28+u_rb_28+u_ru_28+u_hp_28)*um28_A*1</f>
        <v>9.5</v>
      </c>
      <c r="G918" s="21" t="n">
        <f aca="false">(u_bw_28*(1+g29_bw)+u_rb_28*(1+g29_rb)+u_ru_28*(1+g29_ru)+u_hp_28*(1+g29_hp))*um29_A*1</f>
        <v>10.6</v>
      </c>
      <c r="K918" s="7" t="s">
        <v>696</v>
      </c>
    </row>
    <row r="919" customFormat="false" ht="17.15" hidden="false" customHeight="false" outlineLevel="0" collapsed="false">
      <c r="A919" s="3" t="s">
        <v>697</v>
      </c>
      <c r="B919" s="3" t="s">
        <v>31</v>
      </c>
      <c r="D919" s="21" t="n">
        <f aca="false">(u_amd_26+u_tpu_26+u_trn_26+u_oth_26)*1</f>
        <v>7.6</v>
      </c>
      <c r="E919" s="21" t="n">
        <f aca="false">(u_amd_27+u_tpu_27+u_trn_27+u_oth_27)*1*1</f>
        <v>14</v>
      </c>
      <c r="F919" s="21" t="n">
        <f aca="false">(u_amd_28+u_tpu_28+u_trn_28+u_oth_28)*um28_A*1</f>
        <v>17</v>
      </c>
      <c r="G919" s="21" t="n">
        <f aca="false">(u_amd_28*(1+g29_amd)+u_tpu_28*(1+g29_tpu)+u_trn_28*(1+g29_trn)+u_oth_28*(1+g29_oth))*um29_A*1</f>
        <v>19.55</v>
      </c>
      <c r="K919" s="7" t="s">
        <v>698</v>
      </c>
    </row>
    <row r="920" customFormat="false" ht="17.15" hidden="false" customHeight="false" outlineLevel="0" collapsed="false">
      <c r="A920" s="0" t="s">
        <v>699</v>
      </c>
      <c r="B920" s="3" t="s">
        <v>31</v>
      </c>
      <c r="D920" s="21" t="n">
        <f aca="false">D918*cpu_r</f>
        <v>3.04</v>
      </c>
      <c r="E920" s="21" t="n">
        <f aca="false">E918*cpu_r</f>
        <v>3.88</v>
      </c>
      <c r="F920" s="21" t="n">
        <f aca="false">F918*cpu_r</f>
        <v>3.8</v>
      </c>
      <c r="G920" s="21" t="n">
        <f aca="false">G918*cpu_r</f>
        <v>4.24</v>
      </c>
      <c r="K920" s="7" t="s">
        <v>700</v>
      </c>
    </row>
    <row r="921" customFormat="false" ht="17.15" hidden="false" customHeight="false" outlineLevel="0" collapsed="false">
      <c r="A921" s="3" t="s">
        <v>701</v>
      </c>
      <c r="B921" s="0" t="s">
        <v>153</v>
      </c>
      <c r="D921" s="19" t="n">
        <f aca="false">1</f>
        <v>1</v>
      </c>
      <c r="E921" s="19" t="n">
        <f aca="false">D921*(1+g_asp)</f>
        <v>1.18</v>
      </c>
      <c r="F921" s="19" t="n">
        <f aca="false">E921*(1+g_asp)</f>
        <v>1.3924</v>
      </c>
      <c r="G921" s="19" t="n">
        <f aca="false">F921*(1+g_asp)</f>
        <v>1.643032</v>
      </c>
      <c r="K921" s="7" t="s">
        <v>702</v>
      </c>
    </row>
    <row r="922" customFormat="false" ht="17.15" hidden="false" customHeight="false" outlineLevel="0" collapsed="false">
      <c r="A922" s="0" t="s">
        <v>703</v>
      </c>
      <c r="B922" s="0" t="s">
        <v>153</v>
      </c>
      <c r="D922" s="18" t="n">
        <f aca="false">1</f>
        <v>1</v>
      </c>
      <c r="E922" s="18" t="n">
        <f aca="false">ibpp_27</f>
        <v>1</v>
      </c>
      <c r="F922" s="18" t="n">
        <f aca="false">ibpp_28</f>
        <v>0.95</v>
      </c>
      <c r="G922" s="18" t="n">
        <f aca="false">ibpp_29</f>
        <v>0.9</v>
      </c>
      <c r="K922" s="7" t="s">
        <v>704</v>
      </c>
    </row>
    <row r="923" customFormat="false" ht="17.15" hidden="false" customHeight="false" outlineLevel="0" collapsed="false">
      <c r="A923" s="3" t="s">
        <v>705</v>
      </c>
      <c r="B923" s="0" t="s">
        <v>153</v>
      </c>
      <c r="D923" s="18" t="n">
        <f aca="false">1</f>
        <v>1</v>
      </c>
      <c r="E923" s="18" t="n">
        <f aca="false">1+carry</f>
        <v>1.15</v>
      </c>
      <c r="F923" s="18" t="n">
        <f aca="false">1+carry</f>
        <v>1.15</v>
      </c>
      <c r="G923" s="18" t="n">
        <f aca="false">1+carry</f>
        <v>1.15</v>
      </c>
      <c r="K923" s="7" t="s">
        <v>706</v>
      </c>
    </row>
    <row r="924" customFormat="false" ht="17.15" hidden="false" customHeight="false" outlineLevel="0" collapsed="false">
      <c r="A924" s="3" t="s">
        <v>707</v>
      </c>
      <c r="B924" s="0" t="s">
        <v>708</v>
      </c>
      <c r="D924" s="23" t="n">
        <f aca="false">v26*D921*D922</f>
        <v>215.308596</v>
      </c>
      <c r="E924" s="23" t="n">
        <f aca="false">v26*E921*E922</f>
        <v>254.06414328</v>
      </c>
      <c r="F924" s="23" t="n">
        <f aca="false">v26*F921*F922</f>
        <v>284.80590461688</v>
      </c>
      <c r="G924" s="23" t="n">
        <f aca="false">v26*G921*G922</f>
        <v>318.383021792765</v>
      </c>
      <c r="K924" s="7" t="s">
        <v>709</v>
      </c>
    </row>
    <row r="925" customFormat="false" ht="17.15" hidden="false" customHeight="false" outlineLevel="0" collapsed="false">
      <c r="A925" s="3" t="s">
        <v>710</v>
      </c>
      <c r="B925" s="0" t="s">
        <v>43</v>
      </c>
      <c r="D925" s="20" t="n">
        <f aca="false">sh_nv_26</f>
        <v>0.02</v>
      </c>
      <c r="E925" s="20" t="n">
        <f aca="false">sh_nv_27</f>
        <v>0.03</v>
      </c>
      <c r="F925" s="20" t="n">
        <f aca="false">sh_nv_28</f>
        <v>0.05</v>
      </c>
      <c r="G925" s="20" t="n">
        <f aca="false">sh_nv_29</f>
        <v>0.06</v>
      </c>
    </row>
    <row r="926" customFormat="false" ht="17.15" hidden="false" customHeight="false" outlineLevel="0" collapsed="false">
      <c r="A926" s="3" t="s">
        <v>711</v>
      </c>
      <c r="B926" s="0" t="s">
        <v>43</v>
      </c>
      <c r="D926" s="20" t="n">
        <f aca="false">sh_ot_26</f>
        <v>0.03</v>
      </c>
      <c r="E926" s="20" t="n">
        <f aca="false">sh_ot_27</f>
        <v>0.05</v>
      </c>
      <c r="F926" s="20" t="n">
        <f aca="false">sh_ot_28</f>
        <v>0.06</v>
      </c>
      <c r="G926" s="20" t="n">
        <f aca="false">sh_ot_29</f>
        <v>0.06</v>
      </c>
    </row>
    <row r="927" customFormat="false" ht="17.15" hidden="false" customHeight="false" outlineLevel="0" collapsed="false">
      <c r="A927" s="3" t="s">
        <v>712</v>
      </c>
      <c r="B927" s="0" t="s">
        <v>43</v>
      </c>
      <c r="D927" s="20" t="n">
        <f aca="false">sh_cpu_26</f>
        <v>0.35</v>
      </c>
      <c r="E927" s="20" t="n">
        <f aca="false">sh_cpu_27</f>
        <v>0.7</v>
      </c>
      <c r="F927" s="20" t="n">
        <f aca="false">sh_cpu_28</f>
        <v>0.75</v>
      </c>
      <c r="G927" s="20" t="n">
        <f aca="false">sh_cpu_29</f>
        <v>0.7</v>
      </c>
    </row>
    <row r="928" customFormat="false" ht="17.15" hidden="false" customHeight="false" outlineLevel="0" collapsed="false">
      <c r="A928" s="3" t="s">
        <v>713</v>
      </c>
      <c r="B928" s="0" t="s">
        <v>660</v>
      </c>
      <c r="D928" s="22" t="n">
        <f aca="false">(D918*D924*D925+D919*D924*v_ot*D926+D920*D924*v_cpu*D927)*D923</f>
        <v>140.7256983456</v>
      </c>
      <c r="E928" s="22" t="n">
        <f aca="false">(E918*E924*E925+E919*E924*v_ot*E926+E920*E924*v_cpu*E927)*E923</f>
        <v>486.703057357198</v>
      </c>
      <c r="F928" s="22" t="n">
        <f aca="false">(F918*F924*F925+F919*F924*v_ot*F926+F920*F924*v_cpu*F927)*F923</f>
        <v>702.872492003998</v>
      </c>
      <c r="G928" s="22" t="n">
        <f aca="false">(G918*G924*G925+G919*G924*v_ot*G926+G920*G924*v_cpu*G927)*G923</f>
        <v>902.463042932027</v>
      </c>
    </row>
    <row r="929" customFormat="false" ht="17.15" hidden="false" customHeight="false" outlineLevel="0" collapsed="false">
      <c r="A929" s="3" t="s">
        <v>714</v>
      </c>
      <c r="B929" s="0" t="s">
        <v>379</v>
      </c>
      <c r="D929" s="21" t="n">
        <f aca="false">D928*fx/1000</f>
        <v>4.573585196232</v>
      </c>
      <c r="E929" s="21" t="n">
        <f aca="false">E928*fx/1000</f>
        <v>15.8178493641089</v>
      </c>
      <c r="F929" s="21" t="n">
        <f aca="false">F928*fx/1000</f>
        <v>22.8433559901299</v>
      </c>
      <c r="G929" s="21" t="n">
        <f aca="false">G928*fx/1000</f>
        <v>29.3300488952909</v>
      </c>
    </row>
    <row r="930" customFormat="false" ht="17.15" hidden="false" customHeight="false" outlineLevel="0" collapsed="false">
      <c r="A930" s="5" t="s">
        <v>715</v>
      </c>
    </row>
    <row r="931" customFormat="false" ht="17.15" hidden="false" customHeight="false" outlineLevel="0" collapsed="false">
      <c r="A931" s="0" t="s">
        <v>716</v>
      </c>
      <c r="B931" s="0" t="s">
        <v>379</v>
      </c>
      <c r="D931" s="21" t="n">
        <f aca="false">a26_abf*ai_abf</f>
        <v>5.714709</v>
      </c>
      <c r="K931" s="3" t="s">
        <v>717</v>
      </c>
    </row>
    <row r="932" customFormat="false" ht="17.15" hidden="false" customHeight="false" outlineLevel="0" collapsed="false">
      <c r="A932" s="3" t="s">
        <v>718</v>
      </c>
      <c r="B932" s="0" t="s">
        <v>379</v>
      </c>
      <c r="D932" s="21" t="n">
        <f aca="false">D931-D929</f>
        <v>1.141123803768</v>
      </c>
      <c r="E932" s="21" t="n">
        <f aca="false">$D932*(swm_27/swm_26)^el_o*1*1*E922*E923</f>
        <v>1.83552013039205</v>
      </c>
      <c r="F932" s="21" t="n">
        <f aca="false">$D932*(swm_28/swm_26)^el_o*um28_A*1*F922*F923</f>
        <v>1.87583060833026</v>
      </c>
      <c r="G932" s="21" t="n">
        <f aca="false">$D932*(swm_29/swm_26)^el_o*um29_A*1*G922*G923</f>
        <v>1.89582733342525</v>
      </c>
      <c r="K932" s="7" t="s">
        <v>719</v>
      </c>
    </row>
    <row r="933" customFormat="false" ht="17.15" hidden="false" customHeight="false" outlineLevel="0" collapsed="false">
      <c r="A933" s="3" t="s">
        <v>720</v>
      </c>
      <c r="B933" s="0" t="s">
        <v>379</v>
      </c>
      <c r="D933" s="21" t="n">
        <f aca="false">a26_abf-D931</f>
        <v>17.144127</v>
      </c>
      <c r="E933" s="21" t="n">
        <f aca="false">$D933*(1+g_nai)^1*E923</f>
        <v>20.898690813</v>
      </c>
      <c r="F933" s="21" t="n">
        <f aca="false">$D933*(1+g_nai)^2*F923</f>
        <v>22.15261226178</v>
      </c>
      <c r="G933" s="21" t="n">
        <f aca="false">$D933*(1+g_nai)^3*G923</f>
        <v>23.4817689974868</v>
      </c>
      <c r="K933" s="3" t="s">
        <v>721</v>
      </c>
    </row>
    <row r="934" customFormat="false" ht="17.15" hidden="false" customHeight="false" outlineLevel="0" collapsed="false">
      <c r="A934" s="0" t="s">
        <v>722</v>
      </c>
      <c r="B934" s="0" t="s">
        <v>379</v>
      </c>
      <c r="D934" s="21" t="n">
        <f aca="false">D929+D932+D933</f>
        <v>22.858836</v>
      </c>
      <c r="E934" s="21" t="n">
        <f aca="false">E929+E932+E933</f>
        <v>38.552060307501</v>
      </c>
      <c r="F934" s="21" t="n">
        <f aca="false">F929+F932+F933</f>
        <v>46.8717988602402</v>
      </c>
      <c r="G934" s="21" t="n">
        <f aca="false">G929+G932+G933</f>
        <v>54.7076452262029</v>
      </c>
    </row>
    <row r="935" customFormat="false" ht="17.15" hidden="false" customHeight="false" outlineLevel="0" collapsed="false">
      <c r="A935" s="0" t="s">
        <v>723</v>
      </c>
      <c r="B935" s="0" t="s">
        <v>379</v>
      </c>
      <c r="D935" s="21" t="n">
        <f aca="false">a26_abf</f>
        <v>22.858836</v>
      </c>
      <c r="E935" s="21" t="n">
        <f aca="false">$D934*cap_27*(1+g_mix)^1*E922*E923</f>
        <v>33.122453364</v>
      </c>
      <c r="F935" s="21" t="n">
        <f aca="false">$D934*cap_28*(1+g_mix)^2*F922*F923</f>
        <v>41.2995590382375</v>
      </c>
      <c r="G935" s="21" t="n">
        <f aca="false">$D934*cap_29*(1+g_mix)^3*G922*G923</f>
        <v>50.6680379569114</v>
      </c>
      <c r="K935" s="7" t="s">
        <v>724</v>
      </c>
    </row>
    <row r="936" customFormat="false" ht="17.15" hidden="false" customHeight="false" outlineLevel="0" collapsed="false">
      <c r="A936" s="0" t="s">
        <v>725</v>
      </c>
      <c r="B936" s="0" t="s">
        <v>379</v>
      </c>
      <c r="D936" s="21" t="n">
        <f aca="false">a26_abf</f>
        <v>22.858836</v>
      </c>
      <c r="E936" s="21" t="n">
        <f aca="false">MIN(E934,E935)</f>
        <v>33.122453364</v>
      </c>
      <c r="F936" s="21" t="n">
        <f aca="false">MIN(F934,F935)</f>
        <v>41.2995590382375</v>
      </c>
      <c r="G936" s="21" t="n">
        <f aca="false">MIN(G934,G935)</f>
        <v>50.6680379569114</v>
      </c>
    </row>
    <row r="937" customFormat="false" ht="17.15" hidden="false" customHeight="false" outlineLevel="0" collapsed="false">
      <c r="A937" s="3" t="s">
        <v>726</v>
      </c>
      <c r="B937" s="0" t="s">
        <v>43</v>
      </c>
      <c r="D937" s="20" t="n">
        <f aca="false">D936/D934</f>
        <v>1</v>
      </c>
      <c r="E937" s="20" t="n">
        <f aca="false">E936/E934</f>
        <v>0.85916169200315</v>
      </c>
      <c r="F937" s="20" t="n">
        <f aca="false">F936/F934</f>
        <v>0.881117431856676</v>
      </c>
      <c r="G937" s="20" t="n">
        <f aca="false">G936/G934</f>
        <v>0.926160096041627</v>
      </c>
    </row>
    <row r="938" customFormat="false" ht="17.15" hidden="false" customHeight="false" outlineLevel="0" collapsed="false">
      <c r="A938" s="0" t="s">
        <v>727</v>
      </c>
      <c r="B938" s="0" t="s">
        <v>379</v>
      </c>
      <c r="D938" s="21" t="n">
        <f aca="false">(D929+D932)*D937</f>
        <v>5.714709</v>
      </c>
      <c r="E938" s="21" t="n">
        <f aca="false">(E929+E932)*E937</f>
        <v>15.1670988044522</v>
      </c>
      <c r="F938" s="21" t="n">
        <f aca="false">(F929+F932)*F937</f>
        <v>21.7805062132212</v>
      </c>
      <c r="G938" s="21" t="n">
        <f aca="false">(G929+G932)*G937</f>
        <v>28.9201605269717</v>
      </c>
    </row>
    <row r="939" customFormat="false" ht="17.15" hidden="false" customHeight="false" outlineLevel="0" collapsed="false">
      <c r="A939" s="3" t="s">
        <v>728</v>
      </c>
      <c r="B939" s="0" t="s">
        <v>43</v>
      </c>
      <c r="D939" s="20" t="n">
        <f aca="false">D929/(D929+D932)</f>
        <v>0.800318125775433</v>
      </c>
      <c r="E939" s="20" t="n">
        <f aca="false">E929/(E929+E932)</f>
        <v>0.896024374782173</v>
      </c>
      <c r="F939" s="20" t="n">
        <f aca="false">F929/(F929+F932)</f>
        <v>0.924114387791097</v>
      </c>
      <c r="G939" s="20" t="n">
        <f aca="false">G929/(G929+G932)</f>
        <v>0.939286657016792</v>
      </c>
    </row>
    <row r="940" customFormat="false" ht="17.15" hidden="false" customHeight="false" outlineLevel="0" collapsed="false">
      <c r="A940" s="5" t="s">
        <v>729</v>
      </c>
    </row>
    <row r="941" customFormat="false" ht="17.15" hidden="false" customHeight="false" outlineLevel="0" collapsed="false">
      <c r="A941" s="0" t="s">
        <v>730</v>
      </c>
      <c r="B941" s="0" t="s">
        <v>379</v>
      </c>
      <c r="D941" s="21" t="n">
        <f aca="false">a26_bt</f>
        <v>23.265964</v>
      </c>
      <c r="E941" s="21" t="n">
        <f aca="false">D941*(1+g_bt27_A)</f>
        <v>29.78043392</v>
      </c>
      <c r="F941" s="21" t="n">
        <f aca="false">E941*(1+g_bt28_A)</f>
        <v>32.758477312</v>
      </c>
      <c r="G941" s="21" t="n">
        <f aca="false">F941*(1+g_bt29_A)</f>
        <v>34.3964011776</v>
      </c>
      <c r="K941" s="7" t="s">
        <v>731</v>
      </c>
    </row>
    <row r="942" customFormat="false" ht="17.15" hidden="false" customHeight="false" outlineLevel="0" collapsed="false">
      <c r="A942" s="3" t="s">
        <v>616</v>
      </c>
      <c r="B942" s="0" t="s">
        <v>379</v>
      </c>
      <c r="C942" s="21" t="n">
        <f aca="false">a25_lens</f>
        <v>7.039</v>
      </c>
      <c r="D942" s="21" t="n">
        <f aca="false">a26_lens</f>
        <v>8.301</v>
      </c>
      <c r="E942" s="21" t="n">
        <f aca="false">D942*(1+g_lens)</f>
        <v>9.1311</v>
      </c>
      <c r="F942" s="21" t="n">
        <f aca="false">E942*(1+g_lens)</f>
        <v>10.04421</v>
      </c>
      <c r="G942" s="21" t="n">
        <f aca="false">F942*(1+g_lens)</f>
        <v>11.048631</v>
      </c>
      <c r="K942" s="3" t="s">
        <v>732</v>
      </c>
    </row>
    <row r="943" customFormat="false" ht="17.15" hidden="false" customHeight="false" outlineLevel="0" collapsed="false">
      <c r="A943" s="3" t="s">
        <v>573</v>
      </c>
      <c r="B943" s="0" t="s">
        <v>379</v>
      </c>
      <c r="C943" s="23" t="n">
        <f aca="false">a25_rev</f>
        <v>39.351</v>
      </c>
      <c r="D943" s="23" t="n">
        <f aca="false">D936+D941+D942</f>
        <v>54.4258</v>
      </c>
      <c r="E943" s="23" t="n">
        <f aca="false">E936+E941+E942</f>
        <v>72.033987284</v>
      </c>
      <c r="F943" s="23" t="n">
        <f aca="false">F936+F941+F942</f>
        <v>84.1022463502375</v>
      </c>
      <c r="G943" s="23" t="n">
        <f aca="false">G936+G941+G942</f>
        <v>96.1130701345114</v>
      </c>
      <c r="H943" s="25" t="n">
        <f aca="false">G943*(1+H944)</f>
        <v>107.186075216063</v>
      </c>
      <c r="I943" s="25" t="n">
        <f aca="false">H943*(1+I944)</f>
        <v>116.576010002736</v>
      </c>
      <c r="J943" s="25" t="n">
        <f aca="false">I943*(1+J944)</f>
        <v>123.5705706029</v>
      </c>
      <c r="K943" s="7" t="s">
        <v>733</v>
      </c>
    </row>
    <row r="944" customFormat="false" ht="15" hidden="false" customHeight="false" outlineLevel="0" collapsed="false">
      <c r="A944" s="3" t="s">
        <v>734</v>
      </c>
      <c r="B944" s="0" t="s">
        <v>43</v>
      </c>
      <c r="D944" s="20" t="n">
        <f aca="false">D943/C943-1</f>
        <v>0.383085563263958</v>
      </c>
      <c r="E944" s="20" t="n">
        <f aca="false">E943/D943-1</f>
        <v>0.323526476119781</v>
      </c>
      <c r="F944" s="20" t="n">
        <f aca="false">F943/E943-1</f>
        <v>0.167535624796909</v>
      </c>
      <c r="G944" s="20" t="n">
        <f aca="false">G943/F943-1</f>
        <v>0.142812163830389</v>
      </c>
      <c r="H944" s="26" t="n">
        <f aca="false">$G944+(fade_gA-$G944)*1/3</f>
        <v>0.115208109220259</v>
      </c>
      <c r="I944" s="26" t="n">
        <f aca="false">$G944+(fade_gA-$G944)*2/3</f>
        <v>0.0876040546101297</v>
      </c>
      <c r="J944" s="26" t="n">
        <f aca="false">$G944+(fade_gA-$G944)*3/3</f>
        <v>0.06</v>
      </c>
    </row>
    <row r="945" customFormat="false" ht="17.15" hidden="false" customHeight="false" outlineLevel="0" collapsed="false">
      <c r="A945" s="0" t="s">
        <v>735</v>
      </c>
      <c r="B945" s="0" t="s">
        <v>43</v>
      </c>
      <c r="D945" s="20" t="n">
        <f aca="false">D936/D943</f>
        <v>0.42</v>
      </c>
      <c r="E945" s="20" t="n">
        <f aca="false">E936/E943</f>
        <v>0.459817019893845</v>
      </c>
      <c r="F945" s="20" t="n">
        <f aca="false">F936/F943</f>
        <v>0.491063685341395</v>
      </c>
      <c r="G945" s="20" t="n">
        <f aca="false">G936/G943</f>
        <v>0.527171152539409</v>
      </c>
    </row>
    <row r="946" customFormat="false" ht="17.15" hidden="false" customHeight="false" outlineLevel="0" collapsed="false">
      <c r="A946" s="0" t="s">
        <v>736</v>
      </c>
      <c r="B946" s="0" t="s">
        <v>43</v>
      </c>
      <c r="D946" s="20" t="n">
        <f aca="false">D938/D943</f>
        <v>0.105</v>
      </c>
      <c r="E946" s="20" t="n">
        <f aca="false">E938/E943</f>
        <v>0.210554758612135</v>
      </c>
      <c r="F946" s="20" t="n">
        <f aca="false">F938/F943</f>
        <v>0.258976509646579</v>
      </c>
      <c r="G946" s="20" t="n">
        <f aca="false">G938/G943</f>
        <v>0.300897271167153</v>
      </c>
      <c r="K946" s="3" t="s">
        <v>737</v>
      </c>
    </row>
    <row r="947" customFormat="false" ht="17.15" hidden="false" customHeight="false" outlineLevel="0" collapsed="false">
      <c r="A947" s="5" t="s">
        <v>738</v>
      </c>
    </row>
    <row r="948" customFormat="false" ht="15" hidden="false" customHeight="false" outlineLevel="0" collapsed="false">
      <c r="A948" s="3" t="s">
        <v>739</v>
      </c>
      <c r="B948" s="0" t="s">
        <v>379</v>
      </c>
      <c r="C948" s="23" t="n">
        <f aca="false">a25_cx</f>
        <v>6.116</v>
      </c>
      <c r="D948" s="23" t="n">
        <f aca="false">capex26</f>
        <v>11</v>
      </c>
      <c r="E948" s="23" t="n">
        <f aca="false">cx27</f>
        <v>17</v>
      </c>
      <c r="F948" s="23" t="n">
        <f aca="false">cx28</f>
        <v>16</v>
      </c>
      <c r="G948" s="23" t="n">
        <f aca="false">cx29</f>
        <v>12</v>
      </c>
      <c r="H948" s="25" t="n">
        <f aca="false">H943*H967</f>
        <v>13.5697394855251</v>
      </c>
      <c r="I948" s="25" t="n">
        <f aca="false">I943*I967</f>
        <v>14.9621490330559</v>
      </c>
      <c r="J948" s="25" t="n">
        <f aca="false">J943*J967</f>
        <v>16.0757420445506</v>
      </c>
    </row>
    <row r="949" customFormat="false" ht="17.15" hidden="false" customHeight="false" outlineLevel="0" collapsed="false">
      <c r="A949" s="3" t="s">
        <v>740</v>
      </c>
      <c r="B949" s="0" t="s">
        <v>379</v>
      </c>
      <c r="C949" s="23" t="n">
        <f aca="false">a25_da</f>
        <v>7.158</v>
      </c>
      <c r="D949" s="23" t="n">
        <f aca="false">da26</f>
        <v>8.32</v>
      </c>
      <c r="E949" s="23" t="n">
        <f aca="false">D949*(1-1/life_lo)+D948/life_lo</f>
        <v>8.76666666666667</v>
      </c>
      <c r="F949" s="23" t="n">
        <f aca="false">E949*(1-1/life_lo)+E948/life_lo</f>
        <v>10.1388888888889</v>
      </c>
      <c r="G949" s="23" t="n">
        <f aca="false">F949*(1-1/life_lo)+F948/life_lo</f>
        <v>11.1157407407407</v>
      </c>
      <c r="H949" s="25" t="n">
        <f aca="false">H943*H950</f>
        <v>12.3963642140641</v>
      </c>
      <c r="I949" s="25" t="n">
        <f aca="false">I943*I950</f>
        <v>13.48233598164</v>
      </c>
      <c r="J949" s="25" t="n">
        <f aca="false">J943*J950</f>
        <v>14.2912761405384</v>
      </c>
      <c r="K949" s="3" t="s">
        <v>741</v>
      </c>
    </row>
    <row r="950" customFormat="false" ht="17.15" hidden="false" customHeight="false" outlineLevel="0" collapsed="false">
      <c r="A950" s="3" t="s">
        <v>742</v>
      </c>
      <c r="B950" s="0" t="s">
        <v>43</v>
      </c>
      <c r="C950" s="20" t="n">
        <f aca="false">C949/C943</f>
        <v>0.181901349393916</v>
      </c>
      <c r="D950" s="20" t="n">
        <f aca="false">D949/D943</f>
        <v>0.152868676252807</v>
      </c>
      <c r="E950" s="20" t="n">
        <f aca="false">E949/E943</f>
        <v>0.12170181045377</v>
      </c>
      <c r="F950" s="20" t="n">
        <f aca="false">F949/F943</f>
        <v>0.120554317261233</v>
      </c>
      <c r="G950" s="20" t="n">
        <f aca="false">G949/G943</f>
        <v>0.115652748634334</v>
      </c>
      <c r="H950" s="26" t="n">
        <f aca="false">$G950</f>
        <v>0.115652748634334</v>
      </c>
      <c r="I950" s="26" t="n">
        <f aca="false">$G950</f>
        <v>0.115652748634334</v>
      </c>
      <c r="J950" s="26" t="n">
        <f aca="false">$G950</f>
        <v>0.115652748634334</v>
      </c>
    </row>
    <row r="951" customFormat="false" ht="17.15" hidden="false" customHeight="false" outlineLevel="0" collapsed="false">
      <c r="A951" s="0" t="s">
        <v>743</v>
      </c>
      <c r="B951" s="0" t="s">
        <v>379</v>
      </c>
      <c r="E951" s="21" t="n">
        <f aca="false">E937*((E929+E932)*(1-1/(E922*E923))+E933*(1-1/E923))</f>
        <v>4.320320004</v>
      </c>
      <c r="F951" s="21" t="n">
        <f aca="false">F937*((F929+F932)*(1-1/(F922*F923))+F933*(1-1/F923))</f>
        <v>4.39007949866158</v>
      </c>
      <c r="G951" s="21" t="n">
        <f aca="false">G937*((G929+G932)*(1-1/(G922*G923))+G933*(1-1/G923))</f>
        <v>3.81465610771581</v>
      </c>
      <c r="K951" s="7" t="s">
        <v>744</v>
      </c>
    </row>
    <row r="952" customFormat="false" ht="17.15" hidden="false" customHeight="false" outlineLevel="0" collapsed="false">
      <c r="A952" s="3" t="s">
        <v>745</v>
      </c>
      <c r="B952" s="0" t="s">
        <v>379</v>
      </c>
      <c r="C952" s="21" t="n">
        <f aca="false">a25_gp</f>
        <v>8.314</v>
      </c>
      <c r="D952" s="21" t="n">
        <f aca="false">a26_gp</f>
        <v>15.328536</v>
      </c>
      <c r="E952" s="21" t="n">
        <f aca="false">$D952+ft_abf*(E936-E951-$D936)+ft_bt*(E941-$D941)+ft_lens*(E942-$D942)+E951-(E949-$D949)</f>
        <v>25.4788944813333</v>
      </c>
      <c r="F952" s="21" t="n">
        <f aca="false">$D952+ft_abf*(F936-F951-$D936)+ft_bt*(F941-$D941)+ft_lens*(F942-$D942)+F951-(F949-$D949)</f>
        <v>29.9811238699607</v>
      </c>
      <c r="G952" s="21" t="n">
        <f aca="false">$D952+ft_abf*(G936-G951-$D936)+ft_bt*(G941-$D941)+ft_lens*(G942-$D942)+G951-(G949-$D949)</f>
        <v>34.5898549714929</v>
      </c>
      <c r="K952" s="3" t="s">
        <v>746</v>
      </c>
    </row>
    <row r="953" customFormat="false" ht="15" hidden="false" customHeight="false" outlineLevel="0" collapsed="false">
      <c r="A953" s="3" t="s">
        <v>580</v>
      </c>
      <c r="B953" s="0" t="s">
        <v>43</v>
      </c>
      <c r="C953" s="16" t="n">
        <f aca="false">C952/C943</f>
        <v>0.211277985311682</v>
      </c>
      <c r="D953" s="16" t="n">
        <f aca="false">D952/D943</f>
        <v>0.281640986443929</v>
      </c>
      <c r="E953" s="16" t="n">
        <f aca="false">E952/E943</f>
        <v>0.353706568829526</v>
      </c>
      <c r="F953" s="16" t="n">
        <f aca="false">F952/F943</f>
        <v>0.356484222134882</v>
      </c>
      <c r="G953" s="16" t="n">
        <f aca="false">G952/G943</f>
        <v>0.359887109246265</v>
      </c>
    </row>
    <row r="954" customFormat="false" ht="15" hidden="false" customHeight="false" outlineLevel="0" collapsed="false">
      <c r="A954" s="3" t="s">
        <v>582</v>
      </c>
      <c r="B954" s="0" t="s">
        <v>379</v>
      </c>
      <c r="C954" s="21" t="n">
        <f aca="false">a25_opx</f>
        <v>5.644</v>
      </c>
      <c r="D954" s="21" t="n">
        <f aca="false">a26_opx</f>
        <v>6.54036</v>
      </c>
      <c r="E954" s="21" t="n">
        <f aca="false">D954*(1+phi*E944)</f>
        <v>7.80994777401287</v>
      </c>
      <c r="F954" s="21" t="n">
        <f aca="false">E954*(1+phi*F944)</f>
        <v>8.59501446198315</v>
      </c>
      <c r="G954" s="21" t="n">
        <f aca="false">F954*(1+phi*G944)</f>
        <v>9.33149803006473</v>
      </c>
    </row>
    <row r="955" customFormat="false" ht="15" hidden="false" customHeight="false" outlineLevel="0" collapsed="false">
      <c r="A955" s="3" t="s">
        <v>585</v>
      </c>
      <c r="B955" s="0" t="s">
        <v>379</v>
      </c>
      <c r="C955" s="21" t="n">
        <f aca="false">C952-C954</f>
        <v>2.67</v>
      </c>
      <c r="D955" s="21" t="n">
        <f aca="false">D952-D954</f>
        <v>8.788176</v>
      </c>
      <c r="E955" s="21" t="n">
        <f aca="false">E952-E954</f>
        <v>17.6689467073205</v>
      </c>
      <c r="F955" s="21" t="n">
        <f aca="false">F952-F954</f>
        <v>21.3861094079775</v>
      </c>
      <c r="G955" s="21" t="n">
        <f aca="false">G952-G954</f>
        <v>25.2583569414281</v>
      </c>
    </row>
    <row r="956" customFormat="false" ht="15" hidden="false" customHeight="false" outlineLevel="0" collapsed="false">
      <c r="A956" s="3" t="s">
        <v>683</v>
      </c>
      <c r="B956" s="0" t="s">
        <v>43</v>
      </c>
      <c r="C956" s="16" t="n">
        <f aca="false">C955/C943</f>
        <v>0.0678508805367081</v>
      </c>
      <c r="D956" s="16" t="n">
        <f aca="false">D955/D943</f>
        <v>0.161470773052486</v>
      </c>
      <c r="E956" s="16" t="n">
        <f aca="false">E955/E943</f>
        <v>0.24528625130328</v>
      </c>
      <c r="F956" s="16" t="n">
        <f aca="false">F955/F943</f>
        <v>0.254287017720272</v>
      </c>
      <c r="G956" s="16" t="n">
        <f aca="false">G955/G943</f>
        <v>0.262798357248174</v>
      </c>
    </row>
    <row r="957" customFormat="false" ht="15" hidden="false" customHeight="false" outlineLevel="0" collapsed="false">
      <c r="A957" s="3" t="s">
        <v>588</v>
      </c>
      <c r="B957" s="0" t="s">
        <v>379</v>
      </c>
      <c r="C957" s="21" t="n">
        <f aca="false">a25_nonop</f>
        <v>0.417</v>
      </c>
      <c r="D957" s="21" t="n">
        <f aca="false">a26_nonop</f>
        <v>0.37882</v>
      </c>
      <c r="E957" s="21" t="n">
        <f aca="false">nonop27</f>
        <v>0.4</v>
      </c>
      <c r="F957" s="21" t="n">
        <f aca="false">nonop28</f>
        <v>0.4</v>
      </c>
      <c r="G957" s="21" t="n">
        <f aca="false">nonop29</f>
        <v>0.4</v>
      </c>
    </row>
    <row r="958" customFormat="false" ht="15" hidden="false" customHeight="false" outlineLevel="0" collapsed="false">
      <c r="A958" s="3" t="s">
        <v>590</v>
      </c>
      <c r="B958" s="0" t="s">
        <v>379</v>
      </c>
      <c r="C958" s="21" t="n">
        <f aca="false">C955+C957</f>
        <v>3.087</v>
      </c>
      <c r="D958" s="21" t="n">
        <f aca="false">D955+D957</f>
        <v>9.166996</v>
      </c>
      <c r="E958" s="21" t="n">
        <f aca="false">E955+E957</f>
        <v>18.0689467073205</v>
      </c>
      <c r="F958" s="21" t="n">
        <f aca="false">F955+F957</f>
        <v>21.7861094079775</v>
      </c>
      <c r="G958" s="21" t="n">
        <f aca="false">G955+G957</f>
        <v>25.6583569414281</v>
      </c>
    </row>
    <row r="959" customFormat="false" ht="15" hidden="false" customHeight="false" outlineLevel="0" collapsed="false">
      <c r="A959" s="3" t="s">
        <v>591</v>
      </c>
      <c r="B959" s="0" t="s">
        <v>379</v>
      </c>
      <c r="E959" s="21" t="n">
        <f aca="false">E958*tax</f>
        <v>2.16827360487846</v>
      </c>
      <c r="F959" s="21" t="n">
        <f aca="false">F958*tax</f>
        <v>2.6143331289573</v>
      </c>
      <c r="G959" s="21" t="n">
        <f aca="false">G958*tax</f>
        <v>3.07900283297137</v>
      </c>
    </row>
    <row r="960" customFormat="false" ht="15" hidden="false" customHeight="false" outlineLevel="0" collapsed="false">
      <c r="A960" s="3" t="s">
        <v>592</v>
      </c>
      <c r="B960" s="0" t="s">
        <v>379</v>
      </c>
      <c r="C960" s="21" t="n">
        <f aca="false">a25_nic</f>
        <v>2.71712</v>
      </c>
      <c r="D960" s="21" t="n">
        <f aca="false">a26_nic</f>
        <v>8.39979776</v>
      </c>
      <c r="E960" s="21" t="n">
        <f aca="false">E958-E959</f>
        <v>15.900673102442</v>
      </c>
      <c r="F960" s="21" t="n">
        <f aca="false">F958-F959</f>
        <v>19.1717762790202</v>
      </c>
      <c r="G960" s="21" t="n">
        <f aca="false">G958-G959</f>
        <v>22.5793541084567</v>
      </c>
    </row>
    <row r="961" customFormat="false" ht="17.15" hidden="false" customHeight="false" outlineLevel="0" collapsed="false">
      <c r="A961" s="3" t="s">
        <v>747</v>
      </c>
      <c r="B961" s="0" t="s">
        <v>379</v>
      </c>
      <c r="C961" s="21" t="n">
        <f aca="false">a25_nci</f>
        <v>1.12112</v>
      </c>
      <c r="D961" s="21" t="n">
        <f aca="false">a26_nci</f>
        <v>1.43839238487797</v>
      </c>
      <c r="E961" s="21" t="n">
        <f aca="false">E942*nm_lens*nci_sh</f>
        <v>1.57074538036261</v>
      </c>
      <c r="F961" s="21" t="n">
        <f aca="false">F942*nm_lens*nci_sh</f>
        <v>1.72781991839887</v>
      </c>
      <c r="G961" s="21" t="n">
        <f aca="false">G942*nm_lens*nci_sh</f>
        <v>1.90060191023875</v>
      </c>
      <c r="K961" s="3" t="s">
        <v>748</v>
      </c>
    </row>
    <row r="962" customFormat="false" ht="15" hidden="false" customHeight="false" outlineLevel="0" collapsed="false">
      <c r="A962" s="3" t="s">
        <v>598</v>
      </c>
      <c r="B962" s="0" t="s">
        <v>379</v>
      </c>
      <c r="C962" s="21" t="n">
        <f aca="false">a25_ni</f>
        <v>1.596</v>
      </c>
      <c r="D962" s="21" t="n">
        <f aca="false">a26_ni</f>
        <v>6.96140537512203</v>
      </c>
      <c r="E962" s="21" t="n">
        <f aca="false">E960-E961</f>
        <v>14.3299277220794</v>
      </c>
      <c r="F962" s="21" t="n">
        <f aca="false">F960-F961</f>
        <v>17.4439563606213</v>
      </c>
      <c r="G962" s="21" t="n">
        <f aca="false">G960-G961</f>
        <v>20.678752198218</v>
      </c>
      <c r="H962" s="30" t="n">
        <f aca="false">H943*H966</f>
        <v>23.2671637900391</v>
      </c>
      <c r="I962" s="30" t="n">
        <f aca="false">I943*I966</f>
        <v>25.5295642873563</v>
      </c>
      <c r="J962" s="30" t="n">
        <f aca="false">J943*J966</f>
        <v>27.2988869112315</v>
      </c>
    </row>
    <row r="963" customFormat="false" ht="15" hidden="false" customHeight="false" outlineLevel="0" collapsed="false">
      <c r="A963" s="3" t="s">
        <v>749</v>
      </c>
      <c r="B963" s="3" t="s">
        <v>465</v>
      </c>
      <c r="C963" s="29" t="n">
        <f aca="false">a25_sh</f>
        <v>0.454700854700855</v>
      </c>
      <c r="D963" s="29" t="n">
        <f aca="false">a26_sh</f>
        <v>0.508341020486215</v>
      </c>
      <c r="E963" s="29" t="n">
        <f aca="false">a26_shend*(1+sh_g)</f>
        <v>0.52691</v>
      </c>
      <c r="F963" s="29" t="n">
        <f aca="false">E963*(1+sh_g)</f>
        <v>0.52691</v>
      </c>
      <c r="G963" s="29" t="n">
        <f aca="false">F963*(1+sh_g)</f>
        <v>0.52691</v>
      </c>
      <c r="H963" s="31" t="n">
        <f aca="false">G963*(1+sh_g)</f>
        <v>0.52691</v>
      </c>
      <c r="I963" s="31" t="n">
        <f aca="false">H963*(1+sh_g)</f>
        <v>0.52691</v>
      </c>
      <c r="J963" s="31" t="n">
        <f aca="false">I963*(1+sh_g)</f>
        <v>0.52691</v>
      </c>
    </row>
    <row r="964" customFormat="false" ht="17.15" hidden="false" customHeight="false" outlineLevel="0" collapsed="false">
      <c r="A964" s="0" t="s">
        <v>603</v>
      </c>
      <c r="B964" s="0" t="s">
        <v>471</v>
      </c>
      <c r="C964" s="18" t="n">
        <f aca="false">C962/C963</f>
        <v>3.51</v>
      </c>
      <c r="D964" s="18" t="n">
        <f aca="false">D962/D963</f>
        <v>13.6943608612652</v>
      </c>
      <c r="E964" s="18" t="n">
        <f aca="false">E962/E963</f>
        <v>27.1961582093325</v>
      </c>
      <c r="F964" s="18" t="n">
        <f aca="false">F962/F963</f>
        <v>33.1061402528351</v>
      </c>
      <c r="G964" s="18" t="n">
        <f aca="false">G962/G963</f>
        <v>39.2453212089693</v>
      </c>
      <c r="H964" s="28" t="n">
        <f aca="false">H962/H963</f>
        <v>44.1577570933159</v>
      </c>
      <c r="I964" s="28" t="n">
        <f aca="false">I962/I963</f>
        <v>48.4514704358549</v>
      </c>
      <c r="J964" s="28" t="n">
        <f aca="false">J962/J963</f>
        <v>51.8093923274022</v>
      </c>
    </row>
    <row r="965" customFormat="false" ht="17.15" hidden="false" customHeight="false" outlineLevel="0" collapsed="false">
      <c r="A965" s="0" t="s">
        <v>750</v>
      </c>
      <c r="B965" s="0" t="s">
        <v>43</v>
      </c>
      <c r="D965" s="20" t="n">
        <f aca="false">D964/C964-1</f>
        <v>2.90152731090177</v>
      </c>
      <c r="E965" s="20" t="n">
        <f aca="false">E964/D964-1</f>
        <v>0.985938481163985</v>
      </c>
      <c r="F965" s="20" t="n">
        <f aca="false">F964/E964-1</f>
        <v>0.217309444886025</v>
      </c>
      <c r="G965" s="20" t="n">
        <f aca="false">G964/F964-1</f>
        <v>0.185439344763497</v>
      </c>
      <c r="H965" s="26" t="n">
        <f aca="false">H964/G964-1</f>
        <v>0.125172523322957</v>
      </c>
      <c r="I965" s="26" t="n">
        <f aca="false">I964/H964-1</f>
        <v>0.0972357661523755</v>
      </c>
      <c r="J965" s="26" t="n">
        <f aca="false">J964/I964-1</f>
        <v>0.0693048500146714</v>
      </c>
    </row>
    <row r="966" customFormat="false" ht="17.15" hidden="false" customHeight="false" outlineLevel="0" collapsed="false">
      <c r="A966" s="3" t="s">
        <v>751</v>
      </c>
      <c r="B966" s="0" t="s">
        <v>43</v>
      </c>
      <c r="C966" s="16" t="n">
        <f aca="false">C962/C943</f>
        <v>0.0405580544331783</v>
      </c>
      <c r="D966" s="16" t="n">
        <f aca="false">D962/D943</f>
        <v>0.127906349105057</v>
      </c>
      <c r="E966" s="16" t="n">
        <f aca="false">E962/E943</f>
        <v>0.198932868530274</v>
      </c>
      <c r="F966" s="16" t="n">
        <f aca="false">F962/F943</f>
        <v>0.207413679391836</v>
      </c>
      <c r="G966" s="16" t="n">
        <f aca="false">G962/G943</f>
        <v>0.215150261762296</v>
      </c>
      <c r="H966" s="27" t="n">
        <f aca="false">$G966+(fade_mA-$G966)*1/3</f>
        <v>0.21707263507072</v>
      </c>
      <c r="I966" s="27" t="n">
        <f aca="false">$G966+(fade_mA-$G966)*2/3</f>
        <v>0.218995008379144</v>
      </c>
      <c r="J966" s="27" t="n">
        <f aca="false">$G966+(fade_mA-$G966)*3/3</f>
        <v>0.220917381687568</v>
      </c>
    </row>
    <row r="967" customFormat="false" ht="17.15" hidden="false" customHeight="false" outlineLevel="0" collapsed="false">
      <c r="A967" s="3" t="s">
        <v>752</v>
      </c>
      <c r="B967" s="0" t="s">
        <v>43</v>
      </c>
      <c r="C967" s="20" t="n">
        <f aca="false">C948/C943</f>
        <v>0.155421717364235</v>
      </c>
      <c r="D967" s="20" t="n">
        <f aca="false">D948/D943</f>
        <v>0.202110028699624</v>
      </c>
      <c r="E967" s="20" t="n">
        <f aca="false">E948/E943</f>
        <v>0.235999708484498</v>
      </c>
      <c r="F967" s="20" t="n">
        <f aca="false">F948/F943</f>
        <v>0.190244621212247</v>
      </c>
      <c r="G967" s="20" t="n">
        <f aca="false">G948/G943</f>
        <v>0.124852946464054</v>
      </c>
      <c r="H967" s="26" t="n">
        <f aca="false">$G967+($G950*(1+tp_g)^(life_lo/2)-$G967)*1/3</f>
        <v>0.126599835455973</v>
      </c>
      <c r="I967" s="26" t="n">
        <f aca="false">$G967+($G950*(1+tp_g)^(life_lo/2)-$G967)*2/3</f>
        <v>0.128346724447892</v>
      </c>
      <c r="J967" s="26" t="n">
        <f aca="false">$G967+($G950*(1+tp_g)^(life_lo/2)-$G967)*3/3</f>
        <v>0.130093613439811</v>
      </c>
      <c r="K967" s="7" t="s">
        <v>753</v>
      </c>
    </row>
    <row r="968" customFormat="false" ht="15" hidden="false" customHeight="false" outlineLevel="0" collapsed="false">
      <c r="A968" s="3" t="s">
        <v>754</v>
      </c>
      <c r="B968" s="0" t="s">
        <v>379</v>
      </c>
      <c r="D968" s="21" t="n">
        <f aca="false">D962+D949-D948</f>
        <v>4.28140537512203</v>
      </c>
      <c r="E968" s="21" t="n">
        <f aca="false">E962+E949-E948</f>
        <v>6.09659438874607</v>
      </c>
      <c r="F968" s="21" t="n">
        <f aca="false">F962+F949-F948</f>
        <v>11.5828452495102</v>
      </c>
      <c r="G968" s="21" t="n">
        <f aca="false">G962+G949-G948</f>
        <v>19.7944929389587</v>
      </c>
      <c r="H968" s="30" t="n">
        <f aca="false">H962+H949-H948</f>
        <v>22.0937885185781</v>
      </c>
      <c r="I968" s="30" t="n">
        <f aca="false">I962+I949-I948</f>
        <v>24.0497512359405</v>
      </c>
      <c r="J968" s="30" t="n">
        <f aca="false">J962+J949-J948</f>
        <v>25.5144210072193</v>
      </c>
      <c r="K968" s="3" t="s">
        <v>755</v>
      </c>
    </row>
    <row r="969" customFormat="false" ht="15" hidden="false" customHeight="false" outlineLevel="0" collapsed="false">
      <c r="A969" s="3" t="s">
        <v>756</v>
      </c>
      <c r="B969" s="0" t="s">
        <v>471</v>
      </c>
      <c r="D969" s="18" t="n">
        <f aca="false">D968/D963</f>
        <v>8.42230943909854</v>
      </c>
      <c r="E969" s="18" t="n">
        <f aca="false">E968/E963</f>
        <v>11.5704662821849</v>
      </c>
      <c r="F969" s="18" t="n">
        <f aca="false">F968/F963</f>
        <v>21.9825876326322</v>
      </c>
      <c r="G969" s="18" t="n">
        <f aca="false">G968/G963</f>
        <v>37.5671233018138</v>
      </c>
      <c r="H969" s="28" t="n">
        <f aca="false">H968/H963</f>
        <v>41.9308582463383</v>
      </c>
      <c r="I969" s="28" t="n">
        <f aca="false">I968/I963</f>
        <v>45.6429964053452</v>
      </c>
      <c r="J969" s="28" t="n">
        <f aca="false">J968/J963</f>
        <v>48.4227306508119</v>
      </c>
    </row>
    <row r="972" customFormat="false" ht="17.15" hidden="false" customHeight="false" outlineLevel="0" collapsed="false">
      <c r="A972" s="1" t="s">
        <v>1106</v>
      </c>
    </row>
    <row r="973" customFormat="false" ht="17.15" hidden="false" customHeight="false" outlineLevel="0" collapsed="false">
      <c r="A973" s="4" t="s">
        <v>20</v>
      </c>
      <c r="B973" s="4" t="s">
        <v>21</v>
      </c>
      <c r="C973" s="13" t="s">
        <v>566</v>
      </c>
      <c r="D973" s="13" t="s">
        <v>670</v>
      </c>
      <c r="E973" s="13" t="s">
        <v>671</v>
      </c>
      <c r="F973" s="13" t="s">
        <v>672</v>
      </c>
      <c r="G973" s="13" t="s">
        <v>673</v>
      </c>
      <c r="H973" s="13" t="s">
        <v>674</v>
      </c>
      <c r="I973" s="13" t="s">
        <v>675</v>
      </c>
      <c r="J973" s="13" t="s">
        <v>676</v>
      </c>
      <c r="K973" s="4" t="s">
        <v>630</v>
      </c>
    </row>
    <row r="974" customFormat="false" ht="17.15" hidden="false" customHeight="false" outlineLevel="0" collapsed="false">
      <c r="A974" s="5" t="s">
        <v>694</v>
      </c>
    </row>
    <row r="975" customFormat="false" ht="17.15" hidden="false" customHeight="false" outlineLevel="0" collapsed="false">
      <c r="A975" s="0" t="s">
        <v>695</v>
      </c>
      <c r="B975" s="3" t="s">
        <v>31</v>
      </c>
      <c r="D975" s="21" t="n">
        <f aca="false">(u_bw_26+u_rb_26+u_ru_26+u_hp_26)*1</f>
        <v>7.6</v>
      </c>
      <c r="E975" s="21" t="n">
        <f aca="false">(u_bw_27+u_rb_27+u_ru_27+u_hp_27)*1*1</f>
        <v>9.7</v>
      </c>
      <c r="F975" s="21" t="n">
        <f aca="false">(u_bw_28+u_rb_28+u_ru_28+u_hp_28)*um28_A*1</f>
        <v>9.5</v>
      </c>
      <c r="G975" s="21" t="n">
        <f aca="false">(u_bw_28*(1+g29_bw)+u_rb_28*(1+g29_rb)+u_ru_28*(1+g29_ru)+u_hp_28*(1+g29_hp))*um29_A*1</f>
        <v>10.6</v>
      </c>
      <c r="K975" s="7" t="s">
        <v>696</v>
      </c>
    </row>
    <row r="976" customFormat="false" ht="17.15" hidden="false" customHeight="false" outlineLevel="0" collapsed="false">
      <c r="A976" s="3" t="s">
        <v>697</v>
      </c>
      <c r="B976" s="3" t="s">
        <v>31</v>
      </c>
      <c r="D976" s="21" t="n">
        <f aca="false">(u_amd_26+u_tpu_26+u_trn_26+u_oth_26)*1</f>
        <v>7.6</v>
      </c>
      <c r="E976" s="21" t="n">
        <f aca="false">(u_amd_27+u_tpu_27+u_trn_27+u_oth_27)*1*1</f>
        <v>14</v>
      </c>
      <c r="F976" s="21" t="n">
        <f aca="false">(u_amd_28+u_tpu_28+u_trn_28+u_oth_28)*um28_A*1</f>
        <v>17</v>
      </c>
      <c r="G976" s="21" t="n">
        <f aca="false">(u_amd_28*(1+g29_amd)+u_tpu_28*(1+g29_tpu)+u_trn_28*(1+g29_trn)+u_oth_28*(1+g29_oth))*um29_A*1</f>
        <v>19.55</v>
      </c>
      <c r="K976" s="7" t="s">
        <v>698</v>
      </c>
    </row>
    <row r="977" customFormat="false" ht="17.15" hidden="false" customHeight="false" outlineLevel="0" collapsed="false">
      <c r="A977" s="0" t="s">
        <v>699</v>
      </c>
      <c r="B977" s="3" t="s">
        <v>31</v>
      </c>
      <c r="D977" s="21" t="n">
        <f aca="false">D975*cpu_r</f>
        <v>3.04</v>
      </c>
      <c r="E977" s="21" t="n">
        <f aca="false">E975*cpu_r</f>
        <v>3.88</v>
      </c>
      <c r="F977" s="21" t="n">
        <f aca="false">F975*cpu_r</f>
        <v>3.8</v>
      </c>
      <c r="G977" s="21" t="n">
        <f aca="false">G975*cpu_r</f>
        <v>4.24</v>
      </c>
      <c r="K977" s="7" t="s">
        <v>700</v>
      </c>
    </row>
    <row r="978" customFormat="false" ht="17.15" hidden="false" customHeight="false" outlineLevel="0" collapsed="false">
      <c r="A978" s="3" t="s">
        <v>701</v>
      </c>
      <c r="B978" s="0" t="s">
        <v>153</v>
      </c>
      <c r="D978" s="19" t="n">
        <f aca="false">1</f>
        <v>1</v>
      </c>
      <c r="E978" s="19" t="n">
        <f aca="false">D978*(1+g_asp)</f>
        <v>1.18</v>
      </c>
      <c r="F978" s="19" t="n">
        <f aca="false">E978*(1+g_asp)</f>
        <v>1.3924</v>
      </c>
      <c r="G978" s="19" t="n">
        <f aca="false">F978*(1+g_asp)</f>
        <v>1.643032</v>
      </c>
      <c r="K978" s="7" t="s">
        <v>702</v>
      </c>
    </row>
    <row r="979" customFormat="false" ht="17.15" hidden="false" customHeight="false" outlineLevel="0" collapsed="false">
      <c r="A979" s="0" t="s">
        <v>703</v>
      </c>
      <c r="B979" s="0" t="s">
        <v>153</v>
      </c>
      <c r="D979" s="18" t="n">
        <f aca="false">1</f>
        <v>1</v>
      </c>
      <c r="E979" s="18" t="n">
        <f aca="false">ibpp_27</f>
        <v>1</v>
      </c>
      <c r="F979" s="18" t="n">
        <f aca="false">ibpp_28</f>
        <v>0.95</v>
      </c>
      <c r="G979" s="18" t="n">
        <f aca="false">ibpp_29</f>
        <v>0.9</v>
      </c>
      <c r="K979" s="7" t="s">
        <v>704</v>
      </c>
    </row>
    <row r="980" customFormat="false" ht="17.15" hidden="false" customHeight="false" outlineLevel="0" collapsed="false">
      <c r="A980" s="3" t="s">
        <v>705</v>
      </c>
      <c r="B980" s="0" t="s">
        <v>153</v>
      </c>
      <c r="D980" s="18" t="n">
        <f aca="false">1</f>
        <v>1</v>
      </c>
      <c r="E980" s="18" t="n">
        <f aca="false">1+carry</f>
        <v>1.15</v>
      </c>
      <c r="F980" s="18" t="n">
        <f aca="false">1+carry</f>
        <v>1.15</v>
      </c>
      <c r="G980" s="18" t="n">
        <f aca="false">1+carry</f>
        <v>1.15</v>
      </c>
      <c r="K980" s="7" t="s">
        <v>706</v>
      </c>
    </row>
    <row r="981" customFormat="false" ht="17.15" hidden="false" customHeight="false" outlineLevel="0" collapsed="false">
      <c r="A981" s="3" t="s">
        <v>707</v>
      </c>
      <c r="B981" s="0" t="s">
        <v>708</v>
      </c>
      <c r="D981" s="23" t="n">
        <f aca="false">v26*D978*D979</f>
        <v>215.308596</v>
      </c>
      <c r="E981" s="23" t="n">
        <f aca="false">v26*E978*E979</f>
        <v>254.06414328</v>
      </c>
      <c r="F981" s="23" t="n">
        <f aca="false">v26*F978*F979</f>
        <v>284.80590461688</v>
      </c>
      <c r="G981" s="23" t="n">
        <f aca="false">v26*G978*G979</f>
        <v>318.383021792765</v>
      </c>
      <c r="K981" s="7" t="s">
        <v>709</v>
      </c>
    </row>
    <row r="982" customFormat="false" ht="17.15" hidden="false" customHeight="false" outlineLevel="0" collapsed="false">
      <c r="A982" s="3" t="s">
        <v>710</v>
      </c>
      <c r="B982" s="0" t="s">
        <v>43</v>
      </c>
      <c r="D982" s="20" t="n">
        <f aca="false">sh_nv_26</f>
        <v>0.02</v>
      </c>
      <c r="E982" s="20" t="n">
        <f aca="false">sh_nv_27</f>
        <v>0.03</v>
      </c>
      <c r="F982" s="20" t="n">
        <f aca="false">sh_nv_28</f>
        <v>0.05</v>
      </c>
      <c r="G982" s="20" t="n">
        <f aca="false">sh_nv_29</f>
        <v>0.06</v>
      </c>
    </row>
    <row r="983" customFormat="false" ht="17.15" hidden="false" customHeight="false" outlineLevel="0" collapsed="false">
      <c r="A983" s="3" t="s">
        <v>711</v>
      </c>
      <c r="B983" s="0" t="s">
        <v>43</v>
      </c>
      <c r="D983" s="20" t="n">
        <f aca="false">sh_ot_26</f>
        <v>0.03</v>
      </c>
      <c r="E983" s="20" t="n">
        <f aca="false">sh_ot_27</f>
        <v>0.05</v>
      </c>
      <c r="F983" s="20" t="n">
        <f aca="false">sh_ot_28</f>
        <v>0.06</v>
      </c>
      <c r="G983" s="20" t="n">
        <f aca="false">sh_ot_29</f>
        <v>0.06</v>
      </c>
    </row>
    <row r="984" customFormat="false" ht="17.15" hidden="false" customHeight="false" outlineLevel="0" collapsed="false">
      <c r="A984" s="3" t="s">
        <v>712</v>
      </c>
      <c r="B984" s="0" t="s">
        <v>43</v>
      </c>
      <c r="D984" s="20" t="n">
        <f aca="false">sh_cpu_26</f>
        <v>0.35</v>
      </c>
      <c r="E984" s="20" t="n">
        <f aca="false">sh_cpu_27</f>
        <v>0.7</v>
      </c>
      <c r="F984" s="20" t="n">
        <f aca="false">sh_cpu_28</f>
        <v>0.75</v>
      </c>
      <c r="G984" s="20" t="n">
        <f aca="false">sh_cpu_29</f>
        <v>0.7</v>
      </c>
    </row>
    <row r="985" customFormat="false" ht="17.15" hidden="false" customHeight="false" outlineLevel="0" collapsed="false">
      <c r="A985" s="3" t="s">
        <v>713</v>
      </c>
      <c r="B985" s="0" t="s">
        <v>660</v>
      </c>
      <c r="D985" s="22" t="n">
        <f aca="false">(D975*D981*D982+D976*D981*v_ot*D983+D977*D981*v_cpu*D984)*D980</f>
        <v>140.7256983456</v>
      </c>
      <c r="E985" s="22" t="n">
        <f aca="false">(E975*E981*E982+E976*E981*v_ot*E983+E977*E981*v_cpu*E984)*E980</f>
        <v>486.703057357198</v>
      </c>
      <c r="F985" s="22" t="n">
        <f aca="false">(F975*F981*F982+F976*F981*v_ot*F983+F977*F981*v_cpu*F984)*F980</f>
        <v>702.872492003998</v>
      </c>
      <c r="G985" s="22" t="n">
        <f aca="false">(G975*G981*G982+G976*G981*v_ot*G983+G977*G981*v_cpu*G984)*G980</f>
        <v>902.463042932027</v>
      </c>
    </row>
    <row r="986" customFormat="false" ht="17.15" hidden="false" customHeight="false" outlineLevel="0" collapsed="false">
      <c r="A986" s="3" t="s">
        <v>714</v>
      </c>
      <c r="B986" s="0" t="s">
        <v>379</v>
      </c>
      <c r="D986" s="21" t="n">
        <f aca="false">D985*fx/1000</f>
        <v>4.573585196232</v>
      </c>
      <c r="E986" s="21" t="n">
        <f aca="false">E985*fx/1000</f>
        <v>15.8178493641089</v>
      </c>
      <c r="F986" s="21" t="n">
        <f aca="false">F985*fx/1000</f>
        <v>22.8433559901299</v>
      </c>
      <c r="G986" s="21" t="n">
        <f aca="false">G985*fx/1000</f>
        <v>29.3300488952909</v>
      </c>
    </row>
    <row r="987" customFormat="false" ht="17.15" hidden="false" customHeight="false" outlineLevel="0" collapsed="false">
      <c r="A987" s="5" t="s">
        <v>715</v>
      </c>
    </row>
    <row r="988" customFormat="false" ht="17.15" hidden="false" customHeight="false" outlineLevel="0" collapsed="false">
      <c r="A988" s="0" t="s">
        <v>716</v>
      </c>
      <c r="B988" s="0" t="s">
        <v>379</v>
      </c>
      <c r="D988" s="21" t="n">
        <f aca="false">a26_abf*ai_abf</f>
        <v>5.714709</v>
      </c>
      <c r="K988" s="3" t="s">
        <v>717</v>
      </c>
    </row>
    <row r="989" customFormat="false" ht="17.15" hidden="false" customHeight="false" outlineLevel="0" collapsed="false">
      <c r="A989" s="3" t="s">
        <v>718</v>
      </c>
      <c r="B989" s="0" t="s">
        <v>379</v>
      </c>
      <c r="D989" s="21" t="n">
        <f aca="false">D988-D986</f>
        <v>1.141123803768</v>
      </c>
      <c r="E989" s="21" t="n">
        <f aca="false">$D989*(swm_27/swm_26)^el_o*1*1*E979*E980</f>
        <v>1.83552013039205</v>
      </c>
      <c r="F989" s="21" t="n">
        <f aca="false">$D989*(swm_28/swm_26)^el_o*um28_A*1*F979*F980</f>
        <v>1.87583060833026</v>
      </c>
      <c r="G989" s="21" t="n">
        <f aca="false">$D989*(swm_29/swm_26)^el_o*um29_A*1*G979*G980</f>
        <v>1.89582733342525</v>
      </c>
      <c r="K989" s="7" t="s">
        <v>719</v>
      </c>
    </row>
    <row r="990" customFormat="false" ht="17.15" hidden="false" customHeight="false" outlineLevel="0" collapsed="false">
      <c r="A990" s="3" t="s">
        <v>720</v>
      </c>
      <c r="B990" s="0" t="s">
        <v>379</v>
      </c>
      <c r="D990" s="21" t="n">
        <f aca="false">a26_abf-D988</f>
        <v>17.144127</v>
      </c>
      <c r="E990" s="21" t="n">
        <f aca="false">$D990*(1+g_nai)^1*E980</f>
        <v>20.898690813</v>
      </c>
      <c r="F990" s="21" t="n">
        <f aca="false">$D990*(1+g_nai)^2*F980</f>
        <v>22.15261226178</v>
      </c>
      <c r="G990" s="21" t="n">
        <f aca="false">$D990*(1+g_nai)^3*G980</f>
        <v>23.4817689974868</v>
      </c>
      <c r="K990" s="3" t="s">
        <v>721</v>
      </c>
    </row>
    <row r="991" customFormat="false" ht="17.15" hidden="false" customHeight="false" outlineLevel="0" collapsed="false">
      <c r="A991" s="0" t="s">
        <v>722</v>
      </c>
      <c r="B991" s="0" t="s">
        <v>379</v>
      </c>
      <c r="D991" s="21" t="n">
        <f aca="false">D986+D989+D990</f>
        <v>22.858836</v>
      </c>
      <c r="E991" s="21" t="n">
        <f aca="false">E986+E989+E990</f>
        <v>38.552060307501</v>
      </c>
      <c r="F991" s="21" t="n">
        <f aca="false">F986+F989+F990</f>
        <v>46.8717988602402</v>
      </c>
      <c r="G991" s="21" t="n">
        <f aca="false">G986+G989+G990</f>
        <v>54.7076452262029</v>
      </c>
    </row>
    <row r="992" customFormat="false" ht="17.15" hidden="false" customHeight="false" outlineLevel="0" collapsed="false">
      <c r="A992" s="0" t="s">
        <v>723</v>
      </c>
      <c r="B992" s="0" t="s">
        <v>379</v>
      </c>
      <c r="D992" s="21" t="n">
        <f aca="false">a26_abf</f>
        <v>22.858836</v>
      </c>
      <c r="E992" s="21" t="n">
        <f aca="false">$D991*cap_27*(1+g_mix)^1*E979*E980</f>
        <v>33.122453364</v>
      </c>
      <c r="F992" s="21" t="n">
        <f aca="false">$D991*cap_28*(1+g_mix)^2*F979*F980</f>
        <v>41.2995590382375</v>
      </c>
      <c r="G992" s="21" t="n">
        <f aca="false">$D991*cap_29*(1+g_mix)^3*G979*G980</f>
        <v>50.6680379569114</v>
      </c>
      <c r="K992" s="7" t="s">
        <v>724</v>
      </c>
    </row>
    <row r="993" customFormat="false" ht="17.15" hidden="false" customHeight="false" outlineLevel="0" collapsed="false">
      <c r="A993" s="0" t="s">
        <v>725</v>
      </c>
      <c r="B993" s="0" t="s">
        <v>379</v>
      </c>
      <c r="D993" s="21" t="n">
        <f aca="false">a26_abf</f>
        <v>22.858836</v>
      </c>
      <c r="E993" s="21" t="n">
        <f aca="false">MIN(E991,E992)</f>
        <v>33.122453364</v>
      </c>
      <c r="F993" s="21" t="n">
        <f aca="false">MIN(F991,F992)</f>
        <v>41.2995590382375</v>
      </c>
      <c r="G993" s="21" t="n">
        <f aca="false">MIN(G991,G992)</f>
        <v>50.6680379569114</v>
      </c>
    </row>
    <row r="994" customFormat="false" ht="17.15" hidden="false" customHeight="false" outlineLevel="0" collapsed="false">
      <c r="A994" s="3" t="s">
        <v>726</v>
      </c>
      <c r="B994" s="0" t="s">
        <v>43</v>
      </c>
      <c r="D994" s="20" t="n">
        <f aca="false">D993/D991</f>
        <v>1</v>
      </c>
      <c r="E994" s="20" t="n">
        <f aca="false">E993/E991</f>
        <v>0.85916169200315</v>
      </c>
      <c r="F994" s="20" t="n">
        <f aca="false">F993/F991</f>
        <v>0.881117431856676</v>
      </c>
      <c r="G994" s="20" t="n">
        <f aca="false">G993/G991</f>
        <v>0.926160096041627</v>
      </c>
    </row>
    <row r="995" customFormat="false" ht="17.15" hidden="false" customHeight="false" outlineLevel="0" collapsed="false">
      <c r="A995" s="0" t="s">
        <v>727</v>
      </c>
      <c r="B995" s="0" t="s">
        <v>379</v>
      </c>
      <c r="D995" s="21" t="n">
        <f aca="false">(D986+D989)*D994</f>
        <v>5.714709</v>
      </c>
      <c r="E995" s="21" t="n">
        <f aca="false">(E986+E989)*E994</f>
        <v>15.1670988044522</v>
      </c>
      <c r="F995" s="21" t="n">
        <f aca="false">(F986+F989)*F994</f>
        <v>21.7805062132212</v>
      </c>
      <c r="G995" s="21" t="n">
        <f aca="false">(G986+G989)*G994</f>
        <v>28.9201605269717</v>
      </c>
    </row>
    <row r="996" customFormat="false" ht="17.15" hidden="false" customHeight="false" outlineLevel="0" collapsed="false">
      <c r="A996" s="3" t="s">
        <v>728</v>
      </c>
      <c r="B996" s="0" t="s">
        <v>43</v>
      </c>
      <c r="D996" s="20" t="n">
        <f aca="false">D986/(D986+D989)</f>
        <v>0.800318125775433</v>
      </c>
      <c r="E996" s="20" t="n">
        <f aca="false">E986/(E986+E989)</f>
        <v>0.896024374782173</v>
      </c>
      <c r="F996" s="20" t="n">
        <f aca="false">F986/(F986+F989)</f>
        <v>0.924114387791097</v>
      </c>
      <c r="G996" s="20" t="n">
        <f aca="false">G986/(G986+G989)</f>
        <v>0.939286657016792</v>
      </c>
    </row>
    <row r="997" customFormat="false" ht="17.15" hidden="false" customHeight="false" outlineLevel="0" collapsed="false">
      <c r="A997" s="5" t="s">
        <v>729</v>
      </c>
    </row>
    <row r="998" customFormat="false" ht="17.15" hidden="false" customHeight="false" outlineLevel="0" collapsed="false">
      <c r="A998" s="0" t="s">
        <v>730</v>
      </c>
      <c r="B998" s="0" t="s">
        <v>379</v>
      </c>
      <c r="D998" s="21" t="n">
        <f aca="false">a26_bt</f>
        <v>23.265964</v>
      </c>
      <c r="E998" s="21" t="n">
        <f aca="false">D998*(1+g_bt27_A)</f>
        <v>29.78043392</v>
      </c>
      <c r="F998" s="21" t="n">
        <f aca="false">E998*(1+g_bt28_A)</f>
        <v>32.758477312</v>
      </c>
      <c r="G998" s="21" t="n">
        <f aca="false">F998*(1+g_bt29_A)</f>
        <v>34.3964011776</v>
      </c>
      <c r="K998" s="7" t="s">
        <v>731</v>
      </c>
    </row>
    <row r="999" customFormat="false" ht="17.15" hidden="false" customHeight="false" outlineLevel="0" collapsed="false">
      <c r="A999" s="3" t="s">
        <v>616</v>
      </c>
      <c r="B999" s="0" t="s">
        <v>379</v>
      </c>
      <c r="C999" s="21" t="n">
        <f aca="false">a25_lens</f>
        <v>7.039</v>
      </c>
      <c r="D999" s="21" t="n">
        <f aca="false">a26_lens</f>
        <v>8.301</v>
      </c>
      <c r="E999" s="21" t="n">
        <f aca="false">D999*(1+g_lens)</f>
        <v>9.1311</v>
      </c>
      <c r="F999" s="21" t="n">
        <f aca="false">E999*(1+g_lens)</f>
        <v>10.04421</v>
      </c>
      <c r="G999" s="21" t="n">
        <f aca="false">F999*(1+g_lens)</f>
        <v>11.048631</v>
      </c>
      <c r="K999" s="3" t="s">
        <v>732</v>
      </c>
    </row>
    <row r="1000" customFormat="false" ht="17.15" hidden="false" customHeight="false" outlineLevel="0" collapsed="false">
      <c r="A1000" s="3" t="s">
        <v>573</v>
      </c>
      <c r="B1000" s="0" t="s">
        <v>379</v>
      </c>
      <c r="C1000" s="23" t="n">
        <f aca="false">a25_rev</f>
        <v>39.351</v>
      </c>
      <c r="D1000" s="23" t="n">
        <f aca="false">D993+D998+D999</f>
        <v>54.4258</v>
      </c>
      <c r="E1000" s="23" t="n">
        <f aca="false">E993+E998+E999</f>
        <v>72.033987284</v>
      </c>
      <c r="F1000" s="23" t="n">
        <f aca="false">F993+F998+F999</f>
        <v>84.1022463502375</v>
      </c>
      <c r="G1000" s="23" t="n">
        <f aca="false">G993+G998+G999</f>
        <v>96.1130701345114</v>
      </c>
      <c r="H1000" s="25" t="n">
        <f aca="false">G1000*(1+H1001)</f>
        <v>107.186075216063</v>
      </c>
      <c r="I1000" s="25" t="n">
        <f aca="false">H1000*(1+I1001)</f>
        <v>116.576010002736</v>
      </c>
      <c r="J1000" s="25" t="n">
        <f aca="false">I1000*(1+J1001)</f>
        <v>123.5705706029</v>
      </c>
      <c r="K1000" s="7" t="s">
        <v>733</v>
      </c>
    </row>
    <row r="1001" customFormat="false" ht="15" hidden="false" customHeight="false" outlineLevel="0" collapsed="false">
      <c r="A1001" s="3" t="s">
        <v>734</v>
      </c>
      <c r="B1001" s="0" t="s">
        <v>43</v>
      </c>
      <c r="D1001" s="20" t="n">
        <f aca="false">D1000/C1000-1</f>
        <v>0.383085563263958</v>
      </c>
      <c r="E1001" s="20" t="n">
        <f aca="false">E1000/D1000-1</f>
        <v>0.323526476119781</v>
      </c>
      <c r="F1001" s="20" t="n">
        <f aca="false">F1000/E1000-1</f>
        <v>0.167535624796909</v>
      </c>
      <c r="G1001" s="20" t="n">
        <f aca="false">G1000/F1000-1</f>
        <v>0.142812163830389</v>
      </c>
      <c r="H1001" s="26" t="n">
        <f aca="false">$G1001+(fade_gA-$G1001)*1/3</f>
        <v>0.115208109220259</v>
      </c>
      <c r="I1001" s="26" t="n">
        <f aca="false">$G1001+(fade_gA-$G1001)*2/3</f>
        <v>0.0876040546101297</v>
      </c>
      <c r="J1001" s="26" t="n">
        <f aca="false">$G1001+(fade_gA-$G1001)*3/3</f>
        <v>0.06</v>
      </c>
    </row>
    <row r="1002" customFormat="false" ht="17.15" hidden="false" customHeight="false" outlineLevel="0" collapsed="false">
      <c r="A1002" s="0" t="s">
        <v>735</v>
      </c>
      <c r="B1002" s="0" t="s">
        <v>43</v>
      </c>
      <c r="D1002" s="20" t="n">
        <f aca="false">D993/D1000</f>
        <v>0.42</v>
      </c>
      <c r="E1002" s="20" t="n">
        <f aca="false">E993/E1000</f>
        <v>0.459817019893845</v>
      </c>
      <c r="F1002" s="20" t="n">
        <f aca="false">F993/F1000</f>
        <v>0.491063685341395</v>
      </c>
      <c r="G1002" s="20" t="n">
        <f aca="false">G993/G1000</f>
        <v>0.527171152539409</v>
      </c>
    </row>
    <row r="1003" customFormat="false" ht="17.15" hidden="false" customHeight="false" outlineLevel="0" collapsed="false">
      <c r="A1003" s="0" t="s">
        <v>736</v>
      </c>
      <c r="B1003" s="0" t="s">
        <v>43</v>
      </c>
      <c r="D1003" s="20" t="n">
        <f aca="false">D995/D1000</f>
        <v>0.105</v>
      </c>
      <c r="E1003" s="20" t="n">
        <f aca="false">E995/E1000</f>
        <v>0.210554758612135</v>
      </c>
      <c r="F1003" s="20" t="n">
        <f aca="false">F995/F1000</f>
        <v>0.258976509646579</v>
      </c>
      <c r="G1003" s="20" t="n">
        <f aca="false">G995/G1000</f>
        <v>0.300897271167153</v>
      </c>
      <c r="K1003" s="3" t="s">
        <v>737</v>
      </c>
    </row>
    <row r="1004" customFormat="false" ht="17.15" hidden="false" customHeight="false" outlineLevel="0" collapsed="false">
      <c r="A1004" s="5" t="s">
        <v>738</v>
      </c>
    </row>
    <row r="1005" customFormat="false" ht="15" hidden="false" customHeight="false" outlineLevel="0" collapsed="false">
      <c r="A1005" s="3" t="s">
        <v>739</v>
      </c>
      <c r="B1005" s="0" t="s">
        <v>379</v>
      </c>
      <c r="C1005" s="23" t="n">
        <f aca="false">a25_cx</f>
        <v>6.116</v>
      </c>
      <c r="D1005" s="23" t="n">
        <f aca="false">capex26</f>
        <v>11</v>
      </c>
      <c r="E1005" s="23" t="n">
        <f aca="false">cx27</f>
        <v>17</v>
      </c>
      <c r="F1005" s="23" t="n">
        <f aca="false">cx28</f>
        <v>16</v>
      </c>
      <c r="G1005" s="23" t="n">
        <f aca="false">cx29</f>
        <v>12</v>
      </c>
      <c r="H1005" s="25" t="n">
        <f aca="false">H1000*H1024</f>
        <v>13.4834243271907</v>
      </c>
      <c r="I1005" s="25" t="n">
        <f aca="false">I1000*I1024</f>
        <v>14.7743956006983</v>
      </c>
      <c r="J1005" s="25" t="n">
        <f aca="false">J1000*J1024</f>
        <v>15.7772140871021</v>
      </c>
    </row>
    <row r="1006" customFormat="false" ht="17.15" hidden="false" customHeight="false" outlineLevel="0" collapsed="false">
      <c r="A1006" s="3" t="s">
        <v>740</v>
      </c>
      <c r="B1006" s="0" t="s">
        <v>379</v>
      </c>
      <c r="C1006" s="23" t="n">
        <f aca="false">a25_da</f>
        <v>7.158</v>
      </c>
      <c r="D1006" s="23" t="n">
        <f aca="false">da26</f>
        <v>8.32</v>
      </c>
      <c r="E1006" s="23" t="n">
        <f aca="false">D1006*(1-1/life_hi)+D1005/life_hi</f>
        <v>8.588</v>
      </c>
      <c r="F1006" s="23" t="n">
        <f aca="false">E1006*(1-1/life_hi)+E1005/life_hi</f>
        <v>9.4292</v>
      </c>
      <c r="G1006" s="23" t="n">
        <f aca="false">F1006*(1-1/life_hi)+F1005/life_hi</f>
        <v>10.08628</v>
      </c>
      <c r="H1006" s="25" t="n">
        <f aca="false">H1000*H1007</f>
        <v>11.2483012478661</v>
      </c>
      <c r="I1006" s="25" t="n">
        <f aca="false">I1000*I1007</f>
        <v>12.2336980446554</v>
      </c>
      <c r="J1006" s="25" t="n">
        <f aca="false">J1000*J1007</f>
        <v>12.9677199273347</v>
      </c>
      <c r="K1006" s="3" t="s">
        <v>741</v>
      </c>
    </row>
    <row r="1007" customFormat="false" ht="17.15" hidden="false" customHeight="false" outlineLevel="0" collapsed="false">
      <c r="A1007" s="3" t="s">
        <v>742</v>
      </c>
      <c r="B1007" s="0" t="s">
        <v>43</v>
      </c>
      <c r="C1007" s="20" t="n">
        <f aca="false">C1006/C1000</f>
        <v>0.181901349393916</v>
      </c>
      <c r="D1007" s="20" t="n">
        <f aca="false">D1006/D1000</f>
        <v>0.152868676252807</v>
      </c>
      <c r="E1007" s="20" t="n">
        <f aca="false">E1006/E1000</f>
        <v>0.119221499792051</v>
      </c>
      <c r="F1007" s="20" t="n">
        <f aca="false">F1006/F1000</f>
        <v>0.112115911395907</v>
      </c>
      <c r="G1007" s="20" t="n">
        <f aca="false">G1006/G1000</f>
        <v>0.104941814738455</v>
      </c>
      <c r="H1007" s="26" t="n">
        <f aca="false">$G1007</f>
        <v>0.104941814738455</v>
      </c>
      <c r="I1007" s="26" t="n">
        <f aca="false">$G1007</f>
        <v>0.104941814738455</v>
      </c>
      <c r="J1007" s="26" t="n">
        <f aca="false">$G1007</f>
        <v>0.104941814738455</v>
      </c>
    </row>
    <row r="1008" customFormat="false" ht="17.15" hidden="false" customHeight="false" outlineLevel="0" collapsed="false">
      <c r="A1008" s="0" t="s">
        <v>743</v>
      </c>
      <c r="B1008" s="0" t="s">
        <v>379</v>
      </c>
      <c r="E1008" s="21" t="n">
        <f aca="false">E994*((E986+E989)*(1-1/(E979*E980))+E990*(1-1/E980))</f>
        <v>4.320320004</v>
      </c>
      <c r="F1008" s="21" t="n">
        <f aca="false">F994*((F986+F989)*(1-1/(F979*F980))+F990*(1-1/F980))</f>
        <v>4.39007949866158</v>
      </c>
      <c r="G1008" s="21" t="n">
        <f aca="false">G994*((G986+G989)*(1-1/(G979*G980))+G990*(1-1/G980))</f>
        <v>3.81465610771581</v>
      </c>
      <c r="K1008" s="7" t="s">
        <v>744</v>
      </c>
    </row>
    <row r="1009" customFormat="false" ht="17.15" hidden="false" customHeight="false" outlineLevel="0" collapsed="false">
      <c r="A1009" s="3" t="s">
        <v>745</v>
      </c>
      <c r="B1009" s="0" t="s">
        <v>379</v>
      </c>
      <c r="C1009" s="21" t="n">
        <f aca="false">a25_gp</f>
        <v>8.314</v>
      </c>
      <c r="D1009" s="21" t="n">
        <f aca="false">a26_gp</f>
        <v>15.328536</v>
      </c>
      <c r="E1009" s="21" t="n">
        <f aca="false">$D1009+ft_abf*(E993-E1008-$D993)+ft_bt*(E998-$D998)+ft_lens*(E999-$D999)+E1008-(E1006-$D1006)</f>
        <v>25.657561148</v>
      </c>
      <c r="F1009" s="21" t="n">
        <f aca="false">$D1009+ft_abf*(F993-F1008-$D993)+ft_bt*(F998-$D998)+ft_lens*(F999-$D999)+F1008-(F1006-$D1006)</f>
        <v>30.6908127588495</v>
      </c>
      <c r="G1009" s="21" t="n">
        <f aca="false">$D1009+ft_abf*(G993-G1008-$D993)+ft_bt*(G998-$D998)+ft_lens*(G999-$D999)+G1008-(G1006-$D1006)</f>
        <v>35.6193157122336</v>
      </c>
      <c r="K1009" s="3" t="s">
        <v>746</v>
      </c>
    </row>
    <row r="1010" customFormat="false" ht="15" hidden="false" customHeight="false" outlineLevel="0" collapsed="false">
      <c r="A1010" s="3" t="s">
        <v>580</v>
      </c>
      <c r="B1010" s="0" t="s">
        <v>43</v>
      </c>
      <c r="C1010" s="16" t="n">
        <f aca="false">C1009/C1000</f>
        <v>0.211277985311682</v>
      </c>
      <c r="D1010" s="16" t="n">
        <f aca="false">D1009/D1000</f>
        <v>0.281640986443929</v>
      </c>
      <c r="E1010" s="16" t="n">
        <f aca="false">E1009/E1000</f>
        <v>0.356186879491245</v>
      </c>
      <c r="F1010" s="16" t="n">
        <f aca="false">F1009/F1000</f>
        <v>0.364922628000208</v>
      </c>
      <c r="G1010" s="16" t="n">
        <f aca="false">G1009/G1000</f>
        <v>0.370598043142144</v>
      </c>
    </row>
    <row r="1011" customFormat="false" ht="15" hidden="false" customHeight="false" outlineLevel="0" collapsed="false">
      <c r="A1011" s="3" t="s">
        <v>582</v>
      </c>
      <c r="B1011" s="0" t="s">
        <v>379</v>
      </c>
      <c r="C1011" s="21" t="n">
        <f aca="false">a25_opx</f>
        <v>5.644</v>
      </c>
      <c r="D1011" s="21" t="n">
        <f aca="false">a26_opx</f>
        <v>6.54036</v>
      </c>
      <c r="E1011" s="21" t="n">
        <f aca="false">D1011*(1+phi*E1001)</f>
        <v>7.80994777401287</v>
      </c>
      <c r="F1011" s="21" t="n">
        <f aca="false">E1011*(1+phi*F1001)</f>
        <v>8.59501446198315</v>
      </c>
      <c r="G1011" s="21" t="n">
        <f aca="false">F1011*(1+phi*G1001)</f>
        <v>9.33149803006473</v>
      </c>
    </row>
    <row r="1012" customFormat="false" ht="15" hidden="false" customHeight="false" outlineLevel="0" collapsed="false">
      <c r="A1012" s="3" t="s">
        <v>585</v>
      </c>
      <c r="B1012" s="0" t="s">
        <v>379</v>
      </c>
      <c r="C1012" s="21" t="n">
        <f aca="false">C1009-C1011</f>
        <v>2.67</v>
      </c>
      <c r="D1012" s="21" t="n">
        <f aca="false">D1009-D1011</f>
        <v>8.788176</v>
      </c>
      <c r="E1012" s="21" t="n">
        <f aca="false">E1009-E1011</f>
        <v>17.8476133739871</v>
      </c>
      <c r="F1012" s="21" t="n">
        <f aca="false">F1009-F1011</f>
        <v>22.0957982968664</v>
      </c>
      <c r="G1012" s="21" t="n">
        <f aca="false">G1009-G1011</f>
        <v>26.2878176821689</v>
      </c>
    </row>
    <row r="1013" customFormat="false" ht="15" hidden="false" customHeight="false" outlineLevel="0" collapsed="false">
      <c r="A1013" s="3" t="s">
        <v>683</v>
      </c>
      <c r="B1013" s="0" t="s">
        <v>43</v>
      </c>
      <c r="C1013" s="16" t="n">
        <f aca="false">C1012/C1000</f>
        <v>0.0678508805367081</v>
      </c>
      <c r="D1013" s="16" t="n">
        <f aca="false">D1012/D1000</f>
        <v>0.161470773052486</v>
      </c>
      <c r="E1013" s="16" t="n">
        <f aca="false">E1012/E1000</f>
        <v>0.247766561964999</v>
      </c>
      <c r="F1013" s="16" t="n">
        <f aca="false">F1012/F1000</f>
        <v>0.262725423585597</v>
      </c>
      <c r="G1013" s="16" t="n">
        <f aca="false">G1012/G1000</f>
        <v>0.273509291144053</v>
      </c>
    </row>
    <row r="1014" customFormat="false" ht="15" hidden="false" customHeight="false" outlineLevel="0" collapsed="false">
      <c r="A1014" s="3" t="s">
        <v>588</v>
      </c>
      <c r="B1014" s="0" t="s">
        <v>379</v>
      </c>
      <c r="C1014" s="21" t="n">
        <f aca="false">a25_nonop</f>
        <v>0.417</v>
      </c>
      <c r="D1014" s="21" t="n">
        <f aca="false">a26_nonop</f>
        <v>0.37882</v>
      </c>
      <c r="E1014" s="21" t="n">
        <f aca="false">nonop27</f>
        <v>0.4</v>
      </c>
      <c r="F1014" s="21" t="n">
        <f aca="false">nonop28</f>
        <v>0.4</v>
      </c>
      <c r="G1014" s="21" t="n">
        <f aca="false">nonop29</f>
        <v>0.4</v>
      </c>
    </row>
    <row r="1015" customFormat="false" ht="15" hidden="false" customHeight="false" outlineLevel="0" collapsed="false">
      <c r="A1015" s="3" t="s">
        <v>590</v>
      </c>
      <c r="B1015" s="0" t="s">
        <v>379</v>
      </c>
      <c r="C1015" s="21" t="n">
        <f aca="false">C1012+C1014</f>
        <v>3.087</v>
      </c>
      <c r="D1015" s="21" t="n">
        <f aca="false">D1012+D1014</f>
        <v>9.166996</v>
      </c>
      <c r="E1015" s="21" t="n">
        <f aca="false">E1012+E1014</f>
        <v>18.2476133739871</v>
      </c>
      <c r="F1015" s="21" t="n">
        <f aca="false">F1012+F1014</f>
        <v>22.4957982968664</v>
      </c>
      <c r="G1015" s="21" t="n">
        <f aca="false">G1012+G1014</f>
        <v>26.6878176821689</v>
      </c>
    </row>
    <row r="1016" customFormat="false" ht="15" hidden="false" customHeight="false" outlineLevel="0" collapsed="false">
      <c r="A1016" s="3" t="s">
        <v>591</v>
      </c>
      <c r="B1016" s="0" t="s">
        <v>379</v>
      </c>
      <c r="E1016" s="21" t="n">
        <f aca="false">E1015*tax</f>
        <v>2.18971360487846</v>
      </c>
      <c r="F1016" s="21" t="n">
        <f aca="false">F1015*tax</f>
        <v>2.69949579562397</v>
      </c>
      <c r="G1016" s="21" t="n">
        <f aca="false">G1015*tax</f>
        <v>3.20253812186026</v>
      </c>
    </row>
    <row r="1017" customFormat="false" ht="15" hidden="false" customHeight="false" outlineLevel="0" collapsed="false">
      <c r="A1017" s="3" t="s">
        <v>592</v>
      </c>
      <c r="B1017" s="0" t="s">
        <v>379</v>
      </c>
      <c r="C1017" s="21" t="n">
        <f aca="false">a25_nic</f>
        <v>2.71712</v>
      </c>
      <c r="D1017" s="21" t="n">
        <f aca="false">a26_nic</f>
        <v>8.39979776</v>
      </c>
      <c r="E1017" s="21" t="n">
        <f aca="false">E1015-E1016</f>
        <v>16.0578997691087</v>
      </c>
      <c r="F1017" s="21" t="n">
        <f aca="false">F1015-F1016</f>
        <v>19.7963025012424</v>
      </c>
      <c r="G1017" s="21" t="n">
        <f aca="false">G1015-G1016</f>
        <v>23.4852795603086</v>
      </c>
    </row>
    <row r="1018" customFormat="false" ht="17.15" hidden="false" customHeight="false" outlineLevel="0" collapsed="false">
      <c r="A1018" s="3" t="s">
        <v>747</v>
      </c>
      <c r="B1018" s="0" t="s">
        <v>379</v>
      </c>
      <c r="C1018" s="21" t="n">
        <f aca="false">a25_nci</f>
        <v>1.12112</v>
      </c>
      <c r="D1018" s="21" t="n">
        <f aca="false">a26_nci</f>
        <v>1.43839238487797</v>
      </c>
      <c r="E1018" s="21" t="n">
        <f aca="false">E999*nm_lens*nci_sh</f>
        <v>1.57074538036261</v>
      </c>
      <c r="F1018" s="21" t="n">
        <f aca="false">F999*nm_lens*nci_sh</f>
        <v>1.72781991839887</v>
      </c>
      <c r="G1018" s="21" t="n">
        <f aca="false">G999*nm_lens*nci_sh</f>
        <v>1.90060191023875</v>
      </c>
      <c r="K1018" s="3" t="s">
        <v>748</v>
      </c>
    </row>
    <row r="1019" customFormat="false" ht="15" hidden="false" customHeight="false" outlineLevel="0" collapsed="false">
      <c r="A1019" s="3" t="s">
        <v>598</v>
      </c>
      <c r="B1019" s="0" t="s">
        <v>379</v>
      </c>
      <c r="C1019" s="21" t="n">
        <f aca="false">a25_ni</f>
        <v>1.596</v>
      </c>
      <c r="D1019" s="21" t="n">
        <f aca="false">a26_ni</f>
        <v>6.96140537512203</v>
      </c>
      <c r="E1019" s="21" t="n">
        <f aca="false">E1017-E1018</f>
        <v>14.4871543887461</v>
      </c>
      <c r="F1019" s="21" t="n">
        <f aca="false">F1017-F1018</f>
        <v>18.0684825828436</v>
      </c>
      <c r="G1019" s="21" t="n">
        <f aca="false">G1017-G1018</f>
        <v>21.5846776500698</v>
      </c>
      <c r="H1019" s="30" t="n">
        <f aca="false">H1000*H1023</f>
        <v>23.9406940635419</v>
      </c>
      <c r="I1019" s="30" t="n">
        <f aca="false">I1000*I1023</f>
        <v>25.8958314155385</v>
      </c>
      <c r="J1019" s="30" t="n">
        <f aca="false">J1000*J1023</f>
        <v>27.2988869112315</v>
      </c>
    </row>
    <row r="1020" customFormat="false" ht="15" hidden="false" customHeight="false" outlineLevel="0" collapsed="false">
      <c r="A1020" s="3" t="s">
        <v>749</v>
      </c>
      <c r="B1020" s="3" t="s">
        <v>465</v>
      </c>
      <c r="C1020" s="29" t="n">
        <f aca="false">a25_sh</f>
        <v>0.454700854700855</v>
      </c>
      <c r="D1020" s="29" t="n">
        <f aca="false">a26_sh</f>
        <v>0.508341020486215</v>
      </c>
      <c r="E1020" s="29" t="n">
        <f aca="false">a26_shend*(1+sh_g)</f>
        <v>0.52691</v>
      </c>
      <c r="F1020" s="29" t="n">
        <f aca="false">E1020*(1+sh_g)</f>
        <v>0.52691</v>
      </c>
      <c r="G1020" s="29" t="n">
        <f aca="false">F1020*(1+sh_g)</f>
        <v>0.52691</v>
      </c>
      <c r="H1020" s="31" t="n">
        <f aca="false">G1020*(1+sh_g)</f>
        <v>0.52691</v>
      </c>
      <c r="I1020" s="31" t="n">
        <f aca="false">H1020*(1+sh_g)</f>
        <v>0.52691</v>
      </c>
      <c r="J1020" s="31" t="n">
        <f aca="false">I1020*(1+sh_g)</f>
        <v>0.52691</v>
      </c>
    </row>
    <row r="1021" customFormat="false" ht="17.15" hidden="false" customHeight="false" outlineLevel="0" collapsed="false">
      <c r="A1021" s="0" t="s">
        <v>603</v>
      </c>
      <c r="B1021" s="0" t="s">
        <v>471</v>
      </c>
      <c r="C1021" s="18" t="n">
        <f aca="false">C1019/C1020</f>
        <v>3.51</v>
      </c>
      <c r="D1021" s="18" t="n">
        <f aca="false">D1019/D1020</f>
        <v>13.6943608612652</v>
      </c>
      <c r="E1021" s="18" t="n">
        <f aca="false">E1019/E1020</f>
        <v>27.4945519894215</v>
      </c>
      <c r="F1021" s="18" t="n">
        <f aca="false">F1019/F1020</f>
        <v>34.2914019146411</v>
      </c>
      <c r="G1021" s="18" t="n">
        <f aca="false">G1019/G1020</f>
        <v>40.9646384583133</v>
      </c>
      <c r="H1021" s="28" t="n">
        <f aca="false">H1019/H1020</f>
        <v>45.4360214525097</v>
      </c>
      <c r="I1021" s="28" t="n">
        <f aca="false">I1019/I1020</f>
        <v>49.1465931858164</v>
      </c>
      <c r="J1021" s="28" t="n">
        <f aca="false">J1019/J1020</f>
        <v>51.8093923274022</v>
      </c>
    </row>
    <row r="1022" customFormat="false" ht="17.15" hidden="false" customHeight="false" outlineLevel="0" collapsed="false">
      <c r="A1022" s="0" t="s">
        <v>750</v>
      </c>
      <c r="B1022" s="0" t="s">
        <v>43</v>
      </c>
      <c r="D1022" s="20" t="n">
        <f aca="false">D1021/C1021-1</f>
        <v>2.90152731090177</v>
      </c>
      <c r="E1022" s="20" t="n">
        <f aca="false">E1021/D1021-1</f>
        <v>1.00772801797493</v>
      </c>
      <c r="F1022" s="20" t="n">
        <f aca="false">F1021/E1021-1</f>
        <v>0.247207153178373</v>
      </c>
      <c r="G1022" s="20" t="n">
        <f aca="false">G1021/F1021-1</f>
        <v>0.194603783195662</v>
      </c>
      <c r="H1022" s="26" t="n">
        <f aca="false">H1021/G1021-1</f>
        <v>0.10915226308531</v>
      </c>
      <c r="I1022" s="26" t="n">
        <f aca="false">I1021/H1021-1</f>
        <v>0.0816658592606969</v>
      </c>
      <c r="J1022" s="26" t="n">
        <f aca="false">J1021/I1021-1</f>
        <v>0.054180747209031</v>
      </c>
    </row>
    <row r="1023" customFormat="false" ht="17.15" hidden="false" customHeight="false" outlineLevel="0" collapsed="false">
      <c r="A1023" s="3" t="s">
        <v>751</v>
      </c>
      <c r="B1023" s="0" t="s">
        <v>43</v>
      </c>
      <c r="C1023" s="16" t="n">
        <f aca="false">C1019/C1000</f>
        <v>0.0405580544331783</v>
      </c>
      <c r="D1023" s="16" t="n">
        <f aca="false">D1019/D1000</f>
        <v>0.127906349105057</v>
      </c>
      <c r="E1023" s="16" t="n">
        <f aca="false">E1019/E1000</f>
        <v>0.201115541912587</v>
      </c>
      <c r="F1023" s="16" t="n">
        <f aca="false">F1019/F1000</f>
        <v>0.214839476553322</v>
      </c>
      <c r="G1023" s="16" t="n">
        <f aca="false">G1019/G1000</f>
        <v>0.224575883590669</v>
      </c>
      <c r="H1023" s="27" t="n">
        <f aca="false">$G1023+(fade_mA-$G1023)*1/3</f>
        <v>0.223356382956302</v>
      </c>
      <c r="I1023" s="27" t="n">
        <f aca="false">$G1023+(fade_mA-$G1023)*2/3</f>
        <v>0.222136882321935</v>
      </c>
      <c r="J1023" s="27" t="n">
        <f aca="false">$G1023+(fade_mA-$G1023)*3/3</f>
        <v>0.220917381687568</v>
      </c>
    </row>
    <row r="1024" customFormat="false" ht="17.15" hidden="false" customHeight="false" outlineLevel="0" collapsed="false">
      <c r="A1024" s="3" t="s">
        <v>752</v>
      </c>
      <c r="B1024" s="0" t="s">
        <v>43</v>
      </c>
      <c r="C1024" s="20" t="n">
        <f aca="false">C1005/C1000</f>
        <v>0.155421717364235</v>
      </c>
      <c r="D1024" s="20" t="n">
        <f aca="false">D1005/D1000</f>
        <v>0.202110028699624</v>
      </c>
      <c r="E1024" s="20" t="n">
        <f aca="false">E1005/E1000</f>
        <v>0.235999708484498</v>
      </c>
      <c r="F1024" s="20" t="n">
        <f aca="false">F1005/F1000</f>
        <v>0.190244621212247</v>
      </c>
      <c r="G1024" s="20" t="n">
        <f aca="false">G1005/G1000</f>
        <v>0.124852946464054</v>
      </c>
      <c r="H1024" s="26" t="n">
        <f aca="false">$G1024+($G1007*(1+tp_g)^(life_hi/2)-$G1024)*1/3</f>
        <v>0.125794552137591</v>
      </c>
      <c r="I1024" s="26" t="n">
        <f aca="false">$G1024+($G1007*(1+tp_g)^(life_hi/2)-$G1024)*2/3</f>
        <v>0.126736157811127</v>
      </c>
      <c r="J1024" s="26" t="n">
        <f aca="false">$G1024+($G1007*(1+tp_g)^(life_hi/2)-$G1024)*3/3</f>
        <v>0.127677763484664</v>
      </c>
      <c r="K1024" s="7" t="s">
        <v>753</v>
      </c>
    </row>
    <row r="1025" customFormat="false" ht="15" hidden="false" customHeight="false" outlineLevel="0" collapsed="false">
      <c r="A1025" s="3" t="s">
        <v>754</v>
      </c>
      <c r="B1025" s="0" t="s">
        <v>379</v>
      </c>
      <c r="D1025" s="21" t="n">
        <f aca="false">D1019+D1006-D1005</f>
        <v>4.28140537512203</v>
      </c>
      <c r="E1025" s="21" t="n">
        <f aca="false">E1019+E1006-E1005</f>
        <v>6.07515438874607</v>
      </c>
      <c r="F1025" s="21" t="n">
        <f aca="false">F1019+F1006-F1005</f>
        <v>11.4976825828436</v>
      </c>
      <c r="G1025" s="21" t="n">
        <f aca="false">G1019+G1006-G1005</f>
        <v>19.6709576500698</v>
      </c>
      <c r="H1025" s="30" t="n">
        <f aca="false">H1019+H1006-H1005</f>
        <v>21.7055709842173</v>
      </c>
      <c r="I1025" s="30" t="n">
        <f aca="false">I1019+I1006-I1005</f>
        <v>23.3551338594956</v>
      </c>
      <c r="J1025" s="30" t="n">
        <f aca="false">J1019+J1006-J1005</f>
        <v>24.4893927514641</v>
      </c>
      <c r="K1025" s="3" t="s">
        <v>755</v>
      </c>
    </row>
    <row r="1026" customFormat="false" ht="15" hidden="false" customHeight="false" outlineLevel="0" collapsed="false">
      <c r="A1026" s="3" t="s">
        <v>756</v>
      </c>
      <c r="B1026" s="0" t="s">
        <v>471</v>
      </c>
      <c r="D1026" s="18" t="n">
        <f aca="false">D1025/D1020</f>
        <v>8.42230943909854</v>
      </c>
      <c r="E1026" s="18" t="n">
        <f aca="false">E1025/E1020</f>
        <v>11.5297762212637</v>
      </c>
      <c r="F1026" s="18" t="n">
        <f aca="false">F1025/F1020</f>
        <v>21.8209610423859</v>
      </c>
      <c r="G1026" s="18" t="n">
        <f aca="false">G1025/G1020</f>
        <v>37.3326709496306</v>
      </c>
      <c r="H1026" s="28" t="n">
        <f aca="false">H1025/H1020</f>
        <v>41.1940767573538</v>
      </c>
      <c r="I1026" s="28" t="n">
        <f aca="false">I1025/I1020</f>
        <v>44.3247117334944</v>
      </c>
      <c r="J1026" s="28" t="n">
        <f aca="false">J1025/J1020</f>
        <v>46.4773732733561</v>
      </c>
    </row>
    <row r="1029" customFormat="false" ht="17.15" hidden="false" customHeight="false" outlineLevel="0" collapsed="false">
      <c r="A1029" s="1" t="s">
        <v>1107</v>
      </c>
    </row>
    <row r="1030" customFormat="false" ht="17.15" hidden="false" customHeight="false" outlineLevel="0" collapsed="false">
      <c r="A1030" s="4" t="s">
        <v>20</v>
      </c>
      <c r="B1030" s="4" t="s">
        <v>21</v>
      </c>
      <c r="C1030" s="13" t="s">
        <v>566</v>
      </c>
      <c r="D1030" s="13" t="s">
        <v>670</v>
      </c>
      <c r="E1030" s="13" t="s">
        <v>671</v>
      </c>
      <c r="F1030" s="13" t="s">
        <v>672</v>
      </c>
      <c r="G1030" s="13" t="s">
        <v>673</v>
      </c>
      <c r="H1030" s="13" t="s">
        <v>674</v>
      </c>
      <c r="I1030" s="13" t="s">
        <v>675</v>
      </c>
      <c r="J1030" s="13" t="s">
        <v>676</v>
      </c>
      <c r="K1030" s="4" t="s">
        <v>630</v>
      </c>
    </row>
    <row r="1031" customFormat="false" ht="17.15" hidden="false" customHeight="false" outlineLevel="0" collapsed="false">
      <c r="A1031" s="5" t="s">
        <v>694</v>
      </c>
    </row>
    <row r="1032" customFormat="false" ht="17.15" hidden="false" customHeight="false" outlineLevel="0" collapsed="false">
      <c r="A1032" s="0" t="s">
        <v>695</v>
      </c>
      <c r="B1032" s="3" t="s">
        <v>31</v>
      </c>
      <c r="D1032" s="21" t="n">
        <f aca="false">(u_bw_26+u_rb_26+u_ru_26+u_hp_26)*1</f>
        <v>7.6</v>
      </c>
      <c r="E1032" s="21" t="n">
        <f aca="false">(u_bw_27+u_rb_27+u_ru_27+u_hp_27)*1*1</f>
        <v>9.7</v>
      </c>
      <c r="F1032" s="21" t="n">
        <f aca="false">(u_bw_28+u_rb_28+u_ru_28+u_hp_28)*um28_A*1</f>
        <v>9.5</v>
      </c>
      <c r="G1032" s="21" t="n">
        <f aca="false">(u_bw_28*(1+g29_bw)+u_rb_28*(1+g29_rb)+u_ru_28*(1+g29_ru)+u_hp_28*(1+g29_hp))*um29_A*1</f>
        <v>10.6</v>
      </c>
      <c r="K1032" s="7" t="s">
        <v>696</v>
      </c>
    </row>
    <row r="1033" customFormat="false" ht="17.15" hidden="false" customHeight="false" outlineLevel="0" collapsed="false">
      <c r="A1033" s="3" t="s">
        <v>697</v>
      </c>
      <c r="B1033" s="3" t="s">
        <v>31</v>
      </c>
      <c r="D1033" s="21" t="n">
        <f aca="false">(u_amd_26+u_tpu_26+u_trn_26+u_oth_26)*1</f>
        <v>7.6</v>
      </c>
      <c r="E1033" s="21" t="n">
        <f aca="false">(u_amd_27+u_tpu_27+u_trn_27+u_oth_27)*1*1</f>
        <v>14</v>
      </c>
      <c r="F1033" s="21" t="n">
        <f aca="false">(u_amd_28+u_tpu_28+u_trn_28+u_oth_28)*um28_A*1</f>
        <v>17</v>
      </c>
      <c r="G1033" s="21" t="n">
        <f aca="false">(u_amd_28*(1+g29_amd)+u_tpu_28*(1+g29_tpu)+u_trn_28*(1+g29_trn)+u_oth_28*(1+g29_oth))*um29_A*1</f>
        <v>19.55</v>
      </c>
      <c r="K1033" s="7" t="s">
        <v>698</v>
      </c>
    </row>
    <row r="1034" customFormat="false" ht="17.15" hidden="false" customHeight="false" outlineLevel="0" collapsed="false">
      <c r="A1034" s="0" t="s">
        <v>699</v>
      </c>
      <c r="B1034" s="3" t="s">
        <v>31</v>
      </c>
      <c r="D1034" s="21" t="n">
        <f aca="false">D1032*cpu_r</f>
        <v>3.04</v>
      </c>
      <c r="E1034" s="21" t="n">
        <f aca="false">E1032*cpu_r</f>
        <v>3.88</v>
      </c>
      <c r="F1034" s="21" t="n">
        <f aca="false">F1032*cpu_r</f>
        <v>3.8</v>
      </c>
      <c r="G1034" s="21" t="n">
        <f aca="false">G1032*cpu_r</f>
        <v>4.24</v>
      </c>
      <c r="K1034" s="7" t="s">
        <v>700</v>
      </c>
    </row>
    <row r="1035" customFormat="false" ht="17.15" hidden="false" customHeight="false" outlineLevel="0" collapsed="false">
      <c r="A1035" s="3" t="s">
        <v>701</v>
      </c>
      <c r="B1035" s="0" t="s">
        <v>153</v>
      </c>
      <c r="D1035" s="19" t="n">
        <f aca="false">1</f>
        <v>1</v>
      </c>
      <c r="E1035" s="19" t="n">
        <f aca="false">D1035*(1+g_asp)</f>
        <v>1.18</v>
      </c>
      <c r="F1035" s="19" t="n">
        <f aca="false">E1035*(1+g_asp)</f>
        <v>1.3924</v>
      </c>
      <c r="G1035" s="19" t="n">
        <f aca="false">F1035*(1+g_asp)</f>
        <v>1.643032</v>
      </c>
      <c r="K1035" s="7" t="s">
        <v>702</v>
      </c>
    </row>
    <row r="1036" customFormat="false" ht="17.15" hidden="false" customHeight="false" outlineLevel="0" collapsed="false">
      <c r="A1036" s="0" t="s">
        <v>703</v>
      </c>
      <c r="B1036" s="0" t="s">
        <v>153</v>
      </c>
      <c r="D1036" s="18" t="n">
        <f aca="false">1</f>
        <v>1</v>
      </c>
      <c r="E1036" s="18" t="n">
        <f aca="false">ibpp_27</f>
        <v>1</v>
      </c>
      <c r="F1036" s="18" t="n">
        <f aca="false">ibpp_28</f>
        <v>0.95</v>
      </c>
      <c r="G1036" s="18" t="n">
        <f aca="false">ibpp_29</f>
        <v>0.9</v>
      </c>
      <c r="K1036" s="7" t="s">
        <v>704</v>
      </c>
    </row>
    <row r="1037" customFormat="false" ht="17.15" hidden="false" customHeight="false" outlineLevel="0" collapsed="false">
      <c r="A1037" s="3" t="s">
        <v>705</v>
      </c>
      <c r="B1037" s="0" t="s">
        <v>153</v>
      </c>
      <c r="D1037" s="18" t="n">
        <f aca="false">1</f>
        <v>1</v>
      </c>
      <c r="E1037" s="18" t="n">
        <f aca="false">1+carry</f>
        <v>1.15</v>
      </c>
      <c r="F1037" s="18" t="n">
        <f aca="false">1+carry</f>
        <v>1.15</v>
      </c>
      <c r="G1037" s="18" t="n">
        <f aca="false">1+carry</f>
        <v>1.15</v>
      </c>
      <c r="K1037" s="7" t="s">
        <v>706</v>
      </c>
    </row>
    <row r="1038" customFormat="false" ht="17.15" hidden="false" customHeight="false" outlineLevel="0" collapsed="false">
      <c r="A1038" s="3" t="s">
        <v>707</v>
      </c>
      <c r="B1038" s="0" t="s">
        <v>708</v>
      </c>
      <c r="D1038" s="23" t="n">
        <f aca="false">v26*D1035*D1036</f>
        <v>215.308596</v>
      </c>
      <c r="E1038" s="23" t="n">
        <f aca="false">v26*E1035*E1036</f>
        <v>254.06414328</v>
      </c>
      <c r="F1038" s="23" t="n">
        <f aca="false">v26*F1035*F1036</f>
        <v>284.80590461688</v>
      </c>
      <c r="G1038" s="23" t="n">
        <f aca="false">v26*G1035*G1036</f>
        <v>318.383021792765</v>
      </c>
      <c r="K1038" s="7" t="s">
        <v>709</v>
      </c>
    </row>
    <row r="1039" customFormat="false" ht="17.15" hidden="false" customHeight="false" outlineLevel="0" collapsed="false">
      <c r="A1039" s="3" t="s">
        <v>710</v>
      </c>
      <c r="B1039" s="0" t="s">
        <v>43</v>
      </c>
      <c r="D1039" s="20" t="n">
        <f aca="false">sh_nv_26</f>
        <v>0.02</v>
      </c>
      <c r="E1039" s="20" t="n">
        <f aca="false">sh_nv_27</f>
        <v>0.03</v>
      </c>
      <c r="F1039" s="20" t="n">
        <f aca="false">sh_nv_28</f>
        <v>0.05</v>
      </c>
      <c r="G1039" s="20" t="n">
        <f aca="false">sh_nv_29</f>
        <v>0.06</v>
      </c>
    </row>
    <row r="1040" customFormat="false" ht="17.15" hidden="false" customHeight="false" outlineLevel="0" collapsed="false">
      <c r="A1040" s="3" t="s">
        <v>711</v>
      </c>
      <c r="B1040" s="0" t="s">
        <v>43</v>
      </c>
      <c r="D1040" s="20" t="n">
        <f aca="false">sh_ot_26</f>
        <v>0.03</v>
      </c>
      <c r="E1040" s="20" t="n">
        <f aca="false">sh_ot_27</f>
        <v>0.05</v>
      </c>
      <c r="F1040" s="20" t="n">
        <f aca="false">sh_ot_28</f>
        <v>0.06</v>
      </c>
      <c r="G1040" s="20" t="n">
        <f aca="false">sh_ot_29</f>
        <v>0.06</v>
      </c>
    </row>
    <row r="1041" customFormat="false" ht="17.15" hidden="false" customHeight="false" outlineLevel="0" collapsed="false">
      <c r="A1041" s="3" t="s">
        <v>712</v>
      </c>
      <c r="B1041" s="0" t="s">
        <v>43</v>
      </c>
      <c r="D1041" s="20" t="n">
        <f aca="false">sh_cpu_26</f>
        <v>0.35</v>
      </c>
      <c r="E1041" s="20" t="n">
        <f aca="false">sh_cpu_27</f>
        <v>0.7</v>
      </c>
      <c r="F1041" s="20" t="n">
        <f aca="false">sh_cpu_28</f>
        <v>0.75</v>
      </c>
      <c r="G1041" s="20" t="n">
        <f aca="false">sh_cpu_29</f>
        <v>0.7</v>
      </c>
    </row>
    <row r="1042" customFormat="false" ht="17.15" hidden="false" customHeight="false" outlineLevel="0" collapsed="false">
      <c r="A1042" s="3" t="s">
        <v>713</v>
      </c>
      <c r="B1042" s="0" t="s">
        <v>660</v>
      </c>
      <c r="D1042" s="22" t="n">
        <f aca="false">(D1032*D1038*D1039+D1033*D1038*v_ot*D1040+D1034*D1038*v_cpu*D1041)*D1037</f>
        <v>140.7256983456</v>
      </c>
      <c r="E1042" s="22" t="n">
        <f aca="false">(E1032*E1038*E1039+E1033*E1038*v_ot*E1040+E1034*E1038*v_cpu*E1041)*E1037</f>
        <v>486.703057357198</v>
      </c>
      <c r="F1042" s="22" t="n">
        <f aca="false">(F1032*F1038*F1039+F1033*F1038*v_ot*F1040+F1034*F1038*v_cpu*F1041)*F1037</f>
        <v>702.872492003998</v>
      </c>
      <c r="G1042" s="22" t="n">
        <f aca="false">(G1032*G1038*G1039+G1033*G1038*v_ot*G1040+G1034*G1038*v_cpu*G1041)*G1037</f>
        <v>902.463042932027</v>
      </c>
    </row>
    <row r="1043" customFormat="false" ht="17.15" hidden="false" customHeight="false" outlineLevel="0" collapsed="false">
      <c r="A1043" s="3" t="s">
        <v>714</v>
      </c>
      <c r="B1043" s="0" t="s">
        <v>379</v>
      </c>
      <c r="D1043" s="21" t="n">
        <f aca="false">D1042*fx/1000</f>
        <v>4.573585196232</v>
      </c>
      <c r="E1043" s="21" t="n">
        <f aca="false">E1042*fx/1000</f>
        <v>15.8178493641089</v>
      </c>
      <c r="F1043" s="21" t="n">
        <f aca="false">F1042*fx/1000</f>
        <v>22.8433559901299</v>
      </c>
      <c r="G1043" s="21" t="n">
        <f aca="false">G1042*fx/1000</f>
        <v>29.3300488952909</v>
      </c>
    </row>
    <row r="1044" customFormat="false" ht="17.15" hidden="false" customHeight="false" outlineLevel="0" collapsed="false">
      <c r="A1044" s="5" t="s">
        <v>715</v>
      </c>
    </row>
    <row r="1045" customFormat="false" ht="17.15" hidden="false" customHeight="false" outlineLevel="0" collapsed="false">
      <c r="A1045" s="0" t="s">
        <v>716</v>
      </c>
      <c r="B1045" s="0" t="s">
        <v>379</v>
      </c>
      <c r="D1045" s="21" t="n">
        <f aca="false">a26_abf*ai_abf</f>
        <v>5.714709</v>
      </c>
      <c r="K1045" s="3" t="s">
        <v>717</v>
      </c>
    </row>
    <row r="1046" customFormat="false" ht="17.15" hidden="false" customHeight="false" outlineLevel="0" collapsed="false">
      <c r="A1046" s="3" t="s">
        <v>718</v>
      </c>
      <c r="B1046" s="0" t="s">
        <v>379</v>
      </c>
      <c r="D1046" s="21" t="n">
        <f aca="false">D1045-D1043</f>
        <v>1.141123803768</v>
      </c>
      <c r="E1046" s="21" t="n">
        <f aca="false">$D1046*(swm_27/swm_26)^el_o*1*1*E1036*E1037</f>
        <v>1.83552013039205</v>
      </c>
      <c r="F1046" s="21" t="n">
        <f aca="false">$D1046*(swm_28/swm_26)^el_o*um28_A*1*F1036*F1037</f>
        <v>1.87583060833026</v>
      </c>
      <c r="G1046" s="21" t="n">
        <f aca="false">$D1046*(swm_29/swm_26)^el_o*um29_A*1*G1036*G1037</f>
        <v>1.89582733342525</v>
      </c>
      <c r="K1046" s="7" t="s">
        <v>719</v>
      </c>
    </row>
    <row r="1047" customFormat="false" ht="17.15" hidden="false" customHeight="false" outlineLevel="0" collapsed="false">
      <c r="A1047" s="3" t="s">
        <v>720</v>
      </c>
      <c r="B1047" s="0" t="s">
        <v>379</v>
      </c>
      <c r="D1047" s="21" t="n">
        <f aca="false">a26_abf-D1045</f>
        <v>17.144127</v>
      </c>
      <c r="E1047" s="21" t="n">
        <f aca="false">$D1047*(1+g_nai)^1*E1037</f>
        <v>20.898690813</v>
      </c>
      <c r="F1047" s="21" t="n">
        <f aca="false">$D1047*(1+g_nai)^2*F1037</f>
        <v>22.15261226178</v>
      </c>
      <c r="G1047" s="21" t="n">
        <f aca="false">$D1047*(1+g_nai)^3*G1037</f>
        <v>23.4817689974868</v>
      </c>
      <c r="K1047" s="3" t="s">
        <v>721</v>
      </c>
    </row>
    <row r="1048" customFormat="false" ht="17.15" hidden="false" customHeight="false" outlineLevel="0" collapsed="false">
      <c r="A1048" s="0" t="s">
        <v>722</v>
      </c>
      <c r="B1048" s="0" t="s">
        <v>379</v>
      </c>
      <c r="D1048" s="21" t="n">
        <f aca="false">D1043+D1046+D1047</f>
        <v>22.858836</v>
      </c>
      <c r="E1048" s="21" t="n">
        <f aca="false">E1043+E1046+E1047</f>
        <v>38.552060307501</v>
      </c>
      <c r="F1048" s="21" t="n">
        <f aca="false">F1043+F1046+F1047</f>
        <v>46.8717988602402</v>
      </c>
      <c r="G1048" s="21" t="n">
        <f aca="false">G1043+G1046+G1047</f>
        <v>54.7076452262029</v>
      </c>
    </row>
    <row r="1049" customFormat="false" ht="17.15" hidden="false" customHeight="false" outlineLevel="0" collapsed="false">
      <c r="A1049" s="0" t="s">
        <v>723</v>
      </c>
      <c r="B1049" s="0" t="s">
        <v>379</v>
      </c>
      <c r="D1049" s="21" t="n">
        <f aca="false">a26_abf</f>
        <v>22.858836</v>
      </c>
      <c r="E1049" s="21" t="n">
        <f aca="false">$D1048*cap_27*(1+g_mix)^1*E1036*E1037</f>
        <v>33.122453364</v>
      </c>
      <c r="F1049" s="21" t="n">
        <f aca="false">$D1048*cap_28*(1+g_mix)^2*F1036*F1037</f>
        <v>41.2995590382375</v>
      </c>
      <c r="G1049" s="21" t="n">
        <f aca="false">$D1048*cap_29*(1+g_mix)^3*G1036*G1037</f>
        <v>50.6680379569114</v>
      </c>
      <c r="K1049" s="7" t="s">
        <v>724</v>
      </c>
    </row>
    <row r="1050" customFormat="false" ht="17.15" hidden="false" customHeight="false" outlineLevel="0" collapsed="false">
      <c r="A1050" s="0" t="s">
        <v>725</v>
      </c>
      <c r="B1050" s="0" t="s">
        <v>379</v>
      </c>
      <c r="D1050" s="21" t="n">
        <f aca="false">a26_abf</f>
        <v>22.858836</v>
      </c>
      <c r="E1050" s="21" t="n">
        <f aca="false">MIN(E1048,E1049)</f>
        <v>33.122453364</v>
      </c>
      <c r="F1050" s="21" t="n">
        <f aca="false">MIN(F1048,F1049)</f>
        <v>41.2995590382375</v>
      </c>
      <c r="G1050" s="21" t="n">
        <f aca="false">MIN(G1048,G1049)</f>
        <v>50.6680379569114</v>
      </c>
    </row>
    <row r="1051" customFormat="false" ht="17.15" hidden="false" customHeight="false" outlineLevel="0" collapsed="false">
      <c r="A1051" s="3" t="s">
        <v>726</v>
      </c>
      <c r="B1051" s="0" t="s">
        <v>43</v>
      </c>
      <c r="D1051" s="20" t="n">
        <f aca="false">D1050/D1048</f>
        <v>1</v>
      </c>
      <c r="E1051" s="20" t="n">
        <f aca="false">E1050/E1048</f>
        <v>0.85916169200315</v>
      </c>
      <c r="F1051" s="20" t="n">
        <f aca="false">F1050/F1048</f>
        <v>0.881117431856676</v>
      </c>
      <c r="G1051" s="20" t="n">
        <f aca="false">G1050/G1048</f>
        <v>0.926160096041627</v>
      </c>
    </row>
    <row r="1052" customFormat="false" ht="17.15" hidden="false" customHeight="false" outlineLevel="0" collapsed="false">
      <c r="A1052" s="0" t="s">
        <v>727</v>
      </c>
      <c r="B1052" s="0" t="s">
        <v>379</v>
      </c>
      <c r="D1052" s="21" t="n">
        <f aca="false">(D1043+D1046)*D1051</f>
        <v>5.714709</v>
      </c>
      <c r="E1052" s="21" t="n">
        <f aca="false">(E1043+E1046)*E1051</f>
        <v>15.1670988044522</v>
      </c>
      <c r="F1052" s="21" t="n">
        <f aca="false">(F1043+F1046)*F1051</f>
        <v>21.7805062132212</v>
      </c>
      <c r="G1052" s="21" t="n">
        <f aca="false">(G1043+G1046)*G1051</f>
        <v>28.9201605269717</v>
      </c>
    </row>
    <row r="1053" customFormat="false" ht="17.15" hidden="false" customHeight="false" outlineLevel="0" collapsed="false">
      <c r="A1053" s="3" t="s">
        <v>728</v>
      </c>
      <c r="B1053" s="0" t="s">
        <v>43</v>
      </c>
      <c r="D1053" s="20" t="n">
        <f aca="false">D1043/(D1043+D1046)</f>
        <v>0.800318125775433</v>
      </c>
      <c r="E1053" s="20" t="n">
        <f aca="false">E1043/(E1043+E1046)</f>
        <v>0.896024374782173</v>
      </c>
      <c r="F1053" s="20" t="n">
        <f aca="false">F1043/(F1043+F1046)</f>
        <v>0.924114387791097</v>
      </c>
      <c r="G1053" s="20" t="n">
        <f aca="false">G1043/(G1043+G1046)</f>
        <v>0.939286657016792</v>
      </c>
    </row>
    <row r="1054" customFormat="false" ht="17.15" hidden="false" customHeight="false" outlineLevel="0" collapsed="false">
      <c r="A1054" s="5" t="s">
        <v>729</v>
      </c>
    </row>
    <row r="1055" customFormat="false" ht="17.15" hidden="false" customHeight="false" outlineLevel="0" collapsed="false">
      <c r="A1055" s="0" t="s">
        <v>730</v>
      </c>
      <c r="B1055" s="0" t="s">
        <v>379</v>
      </c>
      <c r="D1055" s="21" t="n">
        <f aca="false">a26_bt</f>
        <v>23.265964</v>
      </c>
      <c r="E1055" s="21" t="n">
        <f aca="false">D1055*(1+g_bt27_A)</f>
        <v>29.78043392</v>
      </c>
      <c r="F1055" s="21" t="n">
        <f aca="false">E1055*(1+g_bt28_A)</f>
        <v>32.758477312</v>
      </c>
      <c r="G1055" s="21" t="n">
        <f aca="false">F1055*(1+g_bt29_A)</f>
        <v>34.3964011776</v>
      </c>
      <c r="K1055" s="7" t="s">
        <v>731</v>
      </c>
    </row>
    <row r="1056" customFormat="false" ht="17.15" hidden="false" customHeight="false" outlineLevel="0" collapsed="false">
      <c r="A1056" s="3" t="s">
        <v>616</v>
      </c>
      <c r="B1056" s="0" t="s">
        <v>379</v>
      </c>
      <c r="C1056" s="21" t="n">
        <f aca="false">a25_lens</f>
        <v>7.039</v>
      </c>
      <c r="D1056" s="21" t="n">
        <f aca="false">a26_lens</f>
        <v>8.301</v>
      </c>
      <c r="E1056" s="21" t="n">
        <f aca="false">D1056*(1+g_lens)</f>
        <v>9.1311</v>
      </c>
      <c r="F1056" s="21" t="n">
        <f aca="false">E1056*(1+g_lens)</f>
        <v>10.04421</v>
      </c>
      <c r="G1056" s="21" t="n">
        <f aca="false">F1056*(1+g_lens)</f>
        <v>11.048631</v>
      </c>
      <c r="K1056" s="3" t="s">
        <v>732</v>
      </c>
    </row>
    <row r="1057" customFormat="false" ht="17.15" hidden="false" customHeight="false" outlineLevel="0" collapsed="false">
      <c r="A1057" s="3" t="s">
        <v>573</v>
      </c>
      <c r="B1057" s="0" t="s">
        <v>379</v>
      </c>
      <c r="C1057" s="23" t="n">
        <f aca="false">a25_rev</f>
        <v>39.351</v>
      </c>
      <c r="D1057" s="23" t="n">
        <f aca="false">D1050+D1055+D1056</f>
        <v>54.4258</v>
      </c>
      <c r="E1057" s="23" t="n">
        <f aca="false">E1050+E1055+E1056</f>
        <v>72.033987284</v>
      </c>
      <c r="F1057" s="23" t="n">
        <f aca="false">F1050+F1055+F1056</f>
        <v>84.1022463502375</v>
      </c>
      <c r="G1057" s="23" t="n">
        <f aca="false">G1050+G1055+G1056</f>
        <v>96.1130701345114</v>
      </c>
      <c r="H1057" s="25" t="n">
        <f aca="false">G1057*(1+H1058)</f>
        <v>107.186075216063</v>
      </c>
      <c r="I1057" s="25" t="n">
        <f aca="false">H1057*(1+I1058)</f>
        <v>116.576010002736</v>
      </c>
      <c r="J1057" s="25" t="n">
        <f aca="false">I1057*(1+J1058)</f>
        <v>123.5705706029</v>
      </c>
      <c r="K1057" s="7" t="s">
        <v>733</v>
      </c>
    </row>
    <row r="1058" customFormat="false" ht="15" hidden="false" customHeight="false" outlineLevel="0" collapsed="false">
      <c r="A1058" s="3" t="s">
        <v>734</v>
      </c>
      <c r="B1058" s="0" t="s">
        <v>43</v>
      </c>
      <c r="D1058" s="20" t="n">
        <f aca="false">D1057/C1057-1</f>
        <v>0.383085563263958</v>
      </c>
      <c r="E1058" s="20" t="n">
        <f aca="false">E1057/D1057-1</f>
        <v>0.323526476119781</v>
      </c>
      <c r="F1058" s="20" t="n">
        <f aca="false">F1057/E1057-1</f>
        <v>0.167535624796909</v>
      </c>
      <c r="G1058" s="20" t="n">
        <f aca="false">G1057/F1057-1</f>
        <v>0.142812163830389</v>
      </c>
      <c r="H1058" s="26" t="n">
        <f aca="false">$G1058+(fade_gA-$G1058)*1/3</f>
        <v>0.115208109220259</v>
      </c>
      <c r="I1058" s="26" t="n">
        <f aca="false">$G1058+(fade_gA-$G1058)*2/3</f>
        <v>0.0876040546101297</v>
      </c>
      <c r="J1058" s="26" t="n">
        <f aca="false">$G1058+(fade_gA-$G1058)*3/3</f>
        <v>0.06</v>
      </c>
    </row>
    <row r="1059" customFormat="false" ht="17.15" hidden="false" customHeight="false" outlineLevel="0" collapsed="false">
      <c r="A1059" s="0" t="s">
        <v>735</v>
      </c>
      <c r="B1059" s="0" t="s">
        <v>43</v>
      </c>
      <c r="D1059" s="20" t="n">
        <f aca="false">D1050/D1057</f>
        <v>0.42</v>
      </c>
      <c r="E1059" s="20" t="n">
        <f aca="false">E1050/E1057</f>
        <v>0.459817019893845</v>
      </c>
      <c r="F1059" s="20" t="n">
        <f aca="false">F1050/F1057</f>
        <v>0.491063685341395</v>
      </c>
      <c r="G1059" s="20" t="n">
        <f aca="false">G1050/G1057</f>
        <v>0.527171152539409</v>
      </c>
    </row>
    <row r="1060" customFormat="false" ht="17.15" hidden="false" customHeight="false" outlineLevel="0" collapsed="false">
      <c r="A1060" s="0" t="s">
        <v>736</v>
      </c>
      <c r="B1060" s="0" t="s">
        <v>43</v>
      </c>
      <c r="D1060" s="20" t="n">
        <f aca="false">D1052/D1057</f>
        <v>0.105</v>
      </c>
      <c r="E1060" s="20" t="n">
        <f aca="false">E1052/E1057</f>
        <v>0.210554758612135</v>
      </c>
      <c r="F1060" s="20" t="n">
        <f aca="false">F1052/F1057</f>
        <v>0.258976509646579</v>
      </c>
      <c r="G1060" s="20" t="n">
        <f aca="false">G1052/G1057</f>
        <v>0.300897271167153</v>
      </c>
      <c r="K1060" s="3" t="s">
        <v>737</v>
      </c>
    </row>
    <row r="1061" customFormat="false" ht="17.15" hidden="false" customHeight="false" outlineLevel="0" collapsed="false">
      <c r="A1061" s="5" t="s">
        <v>738</v>
      </c>
    </row>
    <row r="1062" customFormat="false" ht="15" hidden="false" customHeight="false" outlineLevel="0" collapsed="false">
      <c r="A1062" s="3" t="s">
        <v>739</v>
      </c>
      <c r="B1062" s="0" t="s">
        <v>379</v>
      </c>
      <c r="C1062" s="23" t="n">
        <f aca="false">a25_cx</f>
        <v>6.116</v>
      </c>
      <c r="D1062" s="23" t="n">
        <f aca="false">capex26</f>
        <v>11</v>
      </c>
      <c r="E1062" s="23" t="n">
        <f aca="false">cx27_lo</f>
        <v>10</v>
      </c>
      <c r="F1062" s="23" t="n">
        <f aca="false">cx28_lo</f>
        <v>9</v>
      </c>
      <c r="G1062" s="23" t="n">
        <f aca="false">cx29_lo</f>
        <v>7</v>
      </c>
      <c r="H1062" s="25" t="n">
        <f aca="false">H1057*H1081</f>
        <v>9.05090751206204</v>
      </c>
      <c r="I1062" s="25" t="n">
        <f aca="false">I1057*I1081</f>
        <v>11.1972733867856</v>
      </c>
      <c r="J1062" s="25" t="n">
        <f aca="false">J1057*J1081</f>
        <v>13.3037876494842</v>
      </c>
    </row>
    <row r="1063" customFormat="false" ht="17.15" hidden="false" customHeight="false" outlineLevel="0" collapsed="false">
      <c r="A1063" s="3" t="s">
        <v>740</v>
      </c>
      <c r="B1063" s="0" t="s">
        <v>379</v>
      </c>
      <c r="C1063" s="23" t="n">
        <f aca="false">a25_da</f>
        <v>7.158</v>
      </c>
      <c r="D1063" s="23" t="n">
        <f aca="false">da26</f>
        <v>8.32</v>
      </c>
      <c r="E1063" s="23" t="n">
        <f aca="false">D1063*(1-1/life)+D1062/life</f>
        <v>8.655</v>
      </c>
      <c r="F1063" s="23" t="n">
        <f aca="false">E1063*(1-1/life)+E1062/life</f>
        <v>8.823125</v>
      </c>
      <c r="G1063" s="23" t="n">
        <f aca="false">F1063*(1-1/life)+F1062/life</f>
        <v>8.845234375</v>
      </c>
      <c r="H1063" s="25" t="n">
        <f aca="false">H1057*H1064</f>
        <v>9.86427710295379</v>
      </c>
      <c r="I1063" s="25" t="n">
        <f aca="false">I1057*I1064</f>
        <v>10.7284277729704</v>
      </c>
      <c r="J1063" s="25" t="n">
        <f aca="false">J1057*J1064</f>
        <v>11.3721334393486</v>
      </c>
      <c r="K1063" s="3" t="s">
        <v>741</v>
      </c>
    </row>
    <row r="1064" customFormat="false" ht="17.15" hidden="false" customHeight="false" outlineLevel="0" collapsed="false">
      <c r="A1064" s="3" t="s">
        <v>742</v>
      </c>
      <c r="B1064" s="0" t="s">
        <v>43</v>
      </c>
      <c r="C1064" s="20" t="n">
        <f aca="false">C1063/C1057</f>
        <v>0.181901349393916</v>
      </c>
      <c r="D1064" s="20" t="n">
        <f aca="false">D1063/D1057</f>
        <v>0.152868676252807</v>
      </c>
      <c r="E1064" s="20" t="n">
        <f aca="false">E1063/E1057</f>
        <v>0.120151616290196</v>
      </c>
      <c r="F1064" s="20" t="n">
        <f aca="false">F1063/F1057</f>
        <v>0.104909504595832</v>
      </c>
      <c r="G1064" s="20" t="n">
        <f aca="false">G1063/G1057</f>
        <v>0.0920294644903237</v>
      </c>
      <c r="H1064" s="26" t="n">
        <f aca="false">$G1064</f>
        <v>0.0920294644903237</v>
      </c>
      <c r="I1064" s="26" t="n">
        <f aca="false">$G1064</f>
        <v>0.0920294644903237</v>
      </c>
      <c r="J1064" s="26" t="n">
        <f aca="false">$G1064</f>
        <v>0.0920294644903237</v>
      </c>
    </row>
    <row r="1065" customFormat="false" ht="17.15" hidden="false" customHeight="false" outlineLevel="0" collapsed="false">
      <c r="A1065" s="0" t="s">
        <v>743</v>
      </c>
      <c r="B1065" s="0" t="s">
        <v>379</v>
      </c>
      <c r="E1065" s="21" t="n">
        <f aca="false">E1051*((E1043+E1046)*(1-1/(E1036*E1037))+E1047*(1-1/E1037))</f>
        <v>4.320320004</v>
      </c>
      <c r="F1065" s="21" t="n">
        <f aca="false">F1051*((F1043+F1046)*(1-1/(F1036*F1037))+F1047*(1-1/F1037))</f>
        <v>4.39007949866158</v>
      </c>
      <c r="G1065" s="21" t="n">
        <f aca="false">G1051*((G1043+G1046)*(1-1/(G1036*G1037))+G1047*(1-1/G1037))</f>
        <v>3.81465610771581</v>
      </c>
      <c r="K1065" s="7" t="s">
        <v>744</v>
      </c>
    </row>
    <row r="1066" customFormat="false" ht="17.15" hidden="false" customHeight="false" outlineLevel="0" collapsed="false">
      <c r="A1066" s="3" t="s">
        <v>745</v>
      </c>
      <c r="B1066" s="0" t="s">
        <v>379</v>
      </c>
      <c r="C1066" s="21" t="n">
        <f aca="false">a25_gp</f>
        <v>8.314</v>
      </c>
      <c r="D1066" s="21" t="n">
        <f aca="false">a26_gp</f>
        <v>15.328536</v>
      </c>
      <c r="E1066" s="21" t="n">
        <f aca="false">$D1066+ft_abf*(E1050-E1065-$D1050)+ft_bt*(E1055-$D1055)+ft_lens*(E1056-$D1056)+E1065-(E1063-$D1063)</f>
        <v>25.590561148</v>
      </c>
      <c r="F1066" s="21" t="n">
        <f aca="false">$D1066+ft_abf*(F1050-F1065-$D1050)+ft_bt*(F1055-$D1055)+ft_lens*(F1056-$D1056)+F1065-(F1063-$D1063)</f>
        <v>31.2968877588495</v>
      </c>
      <c r="G1066" s="21" t="n">
        <f aca="false">$D1066+ft_abf*(G1050-G1065-$D1050)+ft_bt*(G1055-$D1055)+ft_lens*(G1056-$D1056)+G1065-(G1063-$D1063)</f>
        <v>36.8603613372336</v>
      </c>
      <c r="K1066" s="3" t="s">
        <v>746</v>
      </c>
    </row>
    <row r="1067" customFormat="false" ht="15" hidden="false" customHeight="false" outlineLevel="0" collapsed="false">
      <c r="A1067" s="3" t="s">
        <v>580</v>
      </c>
      <c r="B1067" s="0" t="s">
        <v>43</v>
      </c>
      <c r="C1067" s="16" t="n">
        <f aca="false">C1066/C1057</f>
        <v>0.211277985311682</v>
      </c>
      <c r="D1067" s="16" t="n">
        <f aca="false">D1066/D1057</f>
        <v>0.281640986443929</v>
      </c>
      <c r="E1067" s="16" t="n">
        <f aca="false">E1066/E1057</f>
        <v>0.3552567629931</v>
      </c>
      <c r="F1067" s="16" t="n">
        <f aca="false">F1066/F1057</f>
        <v>0.372129034800283</v>
      </c>
      <c r="G1067" s="16" t="n">
        <f aca="false">G1066/G1057</f>
        <v>0.383510393390275</v>
      </c>
    </row>
    <row r="1068" customFormat="false" ht="15" hidden="false" customHeight="false" outlineLevel="0" collapsed="false">
      <c r="A1068" s="3" t="s">
        <v>582</v>
      </c>
      <c r="B1068" s="0" t="s">
        <v>379</v>
      </c>
      <c r="C1068" s="21" t="n">
        <f aca="false">a25_opx</f>
        <v>5.644</v>
      </c>
      <c r="D1068" s="21" t="n">
        <f aca="false">a26_opx</f>
        <v>6.54036</v>
      </c>
      <c r="E1068" s="21" t="n">
        <f aca="false">D1068*(1+phi*E1058)</f>
        <v>7.80994777401287</v>
      </c>
      <c r="F1068" s="21" t="n">
        <f aca="false">E1068*(1+phi*F1058)</f>
        <v>8.59501446198315</v>
      </c>
      <c r="G1068" s="21" t="n">
        <f aca="false">F1068*(1+phi*G1058)</f>
        <v>9.33149803006473</v>
      </c>
    </row>
    <row r="1069" customFormat="false" ht="15" hidden="false" customHeight="false" outlineLevel="0" collapsed="false">
      <c r="A1069" s="3" t="s">
        <v>585</v>
      </c>
      <c r="B1069" s="0" t="s">
        <v>379</v>
      </c>
      <c r="C1069" s="21" t="n">
        <f aca="false">C1066-C1068</f>
        <v>2.67</v>
      </c>
      <c r="D1069" s="21" t="n">
        <f aca="false">D1066-D1068</f>
        <v>8.788176</v>
      </c>
      <c r="E1069" s="21" t="n">
        <f aca="false">E1066-E1068</f>
        <v>17.7806133739871</v>
      </c>
      <c r="F1069" s="21" t="n">
        <f aca="false">F1066-F1068</f>
        <v>22.7018732968664</v>
      </c>
      <c r="G1069" s="21" t="n">
        <f aca="false">G1066-G1068</f>
        <v>27.5288633071689</v>
      </c>
    </row>
    <row r="1070" customFormat="false" ht="15" hidden="false" customHeight="false" outlineLevel="0" collapsed="false">
      <c r="A1070" s="3" t="s">
        <v>683</v>
      </c>
      <c r="B1070" s="0" t="s">
        <v>43</v>
      </c>
      <c r="C1070" s="16" t="n">
        <f aca="false">C1069/C1057</f>
        <v>0.0678508805367081</v>
      </c>
      <c r="D1070" s="16" t="n">
        <f aca="false">D1069/D1057</f>
        <v>0.161470773052486</v>
      </c>
      <c r="E1070" s="16" t="n">
        <f aca="false">E1069/E1057</f>
        <v>0.246836445466854</v>
      </c>
      <c r="F1070" s="16" t="n">
        <f aca="false">F1069/F1057</f>
        <v>0.269931830385673</v>
      </c>
      <c r="G1070" s="16" t="n">
        <f aca="false">G1069/G1057</f>
        <v>0.286421641392184</v>
      </c>
    </row>
    <row r="1071" customFormat="false" ht="15" hidden="false" customHeight="false" outlineLevel="0" collapsed="false">
      <c r="A1071" s="3" t="s">
        <v>588</v>
      </c>
      <c r="B1071" s="0" t="s">
        <v>379</v>
      </c>
      <c r="C1071" s="21" t="n">
        <f aca="false">a25_nonop</f>
        <v>0.417</v>
      </c>
      <c r="D1071" s="21" t="n">
        <f aca="false">a26_nonop</f>
        <v>0.37882</v>
      </c>
      <c r="E1071" s="21" t="n">
        <f aca="false">nonop27</f>
        <v>0.4</v>
      </c>
      <c r="F1071" s="21" t="n">
        <f aca="false">nonop28</f>
        <v>0.4</v>
      </c>
      <c r="G1071" s="21" t="n">
        <f aca="false">nonop29</f>
        <v>0.4</v>
      </c>
    </row>
    <row r="1072" customFormat="false" ht="15" hidden="false" customHeight="false" outlineLevel="0" collapsed="false">
      <c r="A1072" s="3" t="s">
        <v>590</v>
      </c>
      <c r="B1072" s="0" t="s">
        <v>379</v>
      </c>
      <c r="C1072" s="21" t="n">
        <f aca="false">C1069+C1071</f>
        <v>3.087</v>
      </c>
      <c r="D1072" s="21" t="n">
        <f aca="false">D1069+D1071</f>
        <v>9.166996</v>
      </c>
      <c r="E1072" s="21" t="n">
        <f aca="false">E1069+E1071</f>
        <v>18.1806133739871</v>
      </c>
      <c r="F1072" s="21" t="n">
        <f aca="false">F1069+F1071</f>
        <v>23.1018732968664</v>
      </c>
      <c r="G1072" s="21" t="n">
        <f aca="false">G1069+G1071</f>
        <v>27.9288633071689</v>
      </c>
    </row>
    <row r="1073" customFormat="false" ht="15" hidden="false" customHeight="false" outlineLevel="0" collapsed="false">
      <c r="A1073" s="3" t="s">
        <v>591</v>
      </c>
      <c r="B1073" s="0" t="s">
        <v>379</v>
      </c>
      <c r="E1073" s="21" t="n">
        <f aca="false">E1072*tax</f>
        <v>2.18167360487846</v>
      </c>
      <c r="F1073" s="21" t="n">
        <f aca="false">F1072*tax</f>
        <v>2.77222479562397</v>
      </c>
      <c r="G1073" s="21" t="n">
        <f aca="false">G1072*tax</f>
        <v>3.35146359686026</v>
      </c>
    </row>
    <row r="1074" customFormat="false" ht="15" hidden="false" customHeight="false" outlineLevel="0" collapsed="false">
      <c r="A1074" s="3" t="s">
        <v>592</v>
      </c>
      <c r="B1074" s="0" t="s">
        <v>379</v>
      </c>
      <c r="C1074" s="21" t="n">
        <f aca="false">a25_nic</f>
        <v>2.71712</v>
      </c>
      <c r="D1074" s="21" t="n">
        <f aca="false">a26_nic</f>
        <v>8.39979776</v>
      </c>
      <c r="E1074" s="21" t="n">
        <f aca="false">E1072-E1073</f>
        <v>15.9989397691087</v>
      </c>
      <c r="F1074" s="21" t="n">
        <f aca="false">F1072-F1073</f>
        <v>20.3296485012424</v>
      </c>
      <c r="G1074" s="21" t="n">
        <f aca="false">G1072-G1073</f>
        <v>24.5773997103086</v>
      </c>
    </row>
    <row r="1075" customFormat="false" ht="17.15" hidden="false" customHeight="false" outlineLevel="0" collapsed="false">
      <c r="A1075" s="3" t="s">
        <v>747</v>
      </c>
      <c r="B1075" s="0" t="s">
        <v>379</v>
      </c>
      <c r="C1075" s="21" t="n">
        <f aca="false">a25_nci</f>
        <v>1.12112</v>
      </c>
      <c r="D1075" s="21" t="n">
        <f aca="false">a26_nci</f>
        <v>1.43839238487797</v>
      </c>
      <c r="E1075" s="21" t="n">
        <f aca="false">E1056*nm_lens*nci_sh</f>
        <v>1.57074538036261</v>
      </c>
      <c r="F1075" s="21" t="n">
        <f aca="false">F1056*nm_lens*nci_sh</f>
        <v>1.72781991839887</v>
      </c>
      <c r="G1075" s="21" t="n">
        <f aca="false">G1056*nm_lens*nci_sh</f>
        <v>1.90060191023875</v>
      </c>
      <c r="K1075" s="3" t="s">
        <v>748</v>
      </c>
    </row>
    <row r="1076" customFormat="false" ht="15" hidden="false" customHeight="false" outlineLevel="0" collapsed="false">
      <c r="A1076" s="3" t="s">
        <v>598</v>
      </c>
      <c r="B1076" s="0" t="s">
        <v>379</v>
      </c>
      <c r="C1076" s="21" t="n">
        <f aca="false">a25_ni</f>
        <v>1.596</v>
      </c>
      <c r="D1076" s="21" t="n">
        <f aca="false">a26_ni</f>
        <v>6.96140537512203</v>
      </c>
      <c r="E1076" s="21" t="n">
        <f aca="false">E1074-E1075</f>
        <v>14.4281943887461</v>
      </c>
      <c r="F1076" s="21" t="n">
        <f aca="false">F1074-F1075</f>
        <v>18.6018285828436</v>
      </c>
      <c r="G1076" s="21" t="n">
        <f aca="false">G1074-G1075</f>
        <v>22.6767978000698</v>
      </c>
      <c r="H1076" s="30" t="n">
        <f aca="false">H1057*H1080</f>
        <v>24.7526548952238</v>
      </c>
      <c r="I1076" s="30" t="n">
        <f aca="false">I1057*I1080</f>
        <v>26.3373773618994</v>
      </c>
      <c r="J1076" s="30" t="n">
        <f aca="false">J1057*J1080</f>
        <v>27.2988869112315</v>
      </c>
    </row>
    <row r="1077" customFormat="false" ht="15" hidden="false" customHeight="false" outlineLevel="0" collapsed="false">
      <c r="A1077" s="3" t="s">
        <v>749</v>
      </c>
      <c r="B1077" s="3" t="s">
        <v>465</v>
      </c>
      <c r="C1077" s="29" t="n">
        <f aca="false">a25_sh</f>
        <v>0.454700854700855</v>
      </c>
      <c r="D1077" s="29" t="n">
        <f aca="false">a26_sh</f>
        <v>0.508341020486215</v>
      </c>
      <c r="E1077" s="29" t="n">
        <f aca="false">a26_shend*(1+sh_g)</f>
        <v>0.52691</v>
      </c>
      <c r="F1077" s="29" t="n">
        <f aca="false">E1077*(1+sh_g)</f>
        <v>0.52691</v>
      </c>
      <c r="G1077" s="29" t="n">
        <f aca="false">F1077*(1+sh_g)</f>
        <v>0.52691</v>
      </c>
      <c r="H1077" s="31" t="n">
        <f aca="false">G1077*(1+sh_g)</f>
        <v>0.52691</v>
      </c>
      <c r="I1077" s="31" t="n">
        <f aca="false">H1077*(1+sh_g)</f>
        <v>0.52691</v>
      </c>
      <c r="J1077" s="31" t="n">
        <f aca="false">I1077*(1+sh_g)</f>
        <v>0.52691</v>
      </c>
    </row>
    <row r="1078" customFormat="false" ht="17.15" hidden="false" customHeight="false" outlineLevel="0" collapsed="false">
      <c r="A1078" s="0" t="s">
        <v>603</v>
      </c>
      <c r="B1078" s="0" t="s">
        <v>471</v>
      </c>
      <c r="C1078" s="18" t="n">
        <f aca="false">C1076/C1077</f>
        <v>3.51</v>
      </c>
      <c r="D1078" s="18" t="n">
        <f aca="false">D1076/D1077</f>
        <v>13.6943608612652</v>
      </c>
      <c r="E1078" s="18" t="n">
        <f aca="false">E1076/E1077</f>
        <v>27.3826543218881</v>
      </c>
      <c r="F1078" s="18" t="n">
        <f aca="false">F1076/F1077</f>
        <v>35.3036165243468</v>
      </c>
      <c r="G1078" s="18" t="n">
        <f aca="false">G1076/G1077</f>
        <v>43.0373266783129</v>
      </c>
      <c r="H1078" s="28" t="n">
        <f aca="false">H1076/H1077</f>
        <v>46.9770072597289</v>
      </c>
      <c r="I1078" s="28" t="n">
        <f aca="false">I1076/I1077</f>
        <v>49.9845843918305</v>
      </c>
      <c r="J1078" s="28" t="n">
        <f aca="false">J1076/J1077</f>
        <v>51.8093923274022</v>
      </c>
    </row>
    <row r="1079" customFormat="false" ht="17.15" hidden="false" customHeight="false" outlineLevel="0" collapsed="false">
      <c r="A1079" s="0" t="s">
        <v>750</v>
      </c>
      <c r="B1079" s="0" t="s">
        <v>43</v>
      </c>
      <c r="D1079" s="20" t="n">
        <f aca="false">D1078/C1078-1</f>
        <v>2.90152731090177</v>
      </c>
      <c r="E1079" s="20" t="n">
        <f aca="false">E1078/D1078-1</f>
        <v>0.999556941670828</v>
      </c>
      <c r="F1079" s="20" t="n">
        <f aca="false">F1078/E1078-1</f>
        <v>0.289269334862365</v>
      </c>
      <c r="G1079" s="20" t="n">
        <f aca="false">G1078/F1078-1</f>
        <v>0.219062830252323</v>
      </c>
      <c r="H1079" s="26" t="n">
        <f aca="false">H1078/G1078-1</f>
        <v>0.0915410153345171</v>
      </c>
      <c r="I1079" s="26" t="n">
        <f aca="false">I1078/H1078-1</f>
        <v>0.0640223229945902</v>
      </c>
      <c r="J1079" s="26" t="n">
        <f aca="false">J1078/I1078-1</f>
        <v>0.0365074143913438</v>
      </c>
    </row>
    <row r="1080" customFormat="false" ht="17.15" hidden="false" customHeight="false" outlineLevel="0" collapsed="false">
      <c r="A1080" s="3" t="s">
        <v>751</v>
      </c>
      <c r="B1080" s="0" t="s">
        <v>43</v>
      </c>
      <c r="C1080" s="16" t="n">
        <f aca="false">C1076/C1057</f>
        <v>0.0405580544331783</v>
      </c>
      <c r="D1080" s="16" t="n">
        <f aca="false">D1076/D1057</f>
        <v>0.127906349105057</v>
      </c>
      <c r="E1080" s="16" t="n">
        <f aca="false">E1076/E1057</f>
        <v>0.20029703939422</v>
      </c>
      <c r="F1080" s="16" t="n">
        <f aca="false">F1076/F1057</f>
        <v>0.221181114537389</v>
      </c>
      <c r="G1080" s="16" t="n">
        <f aca="false">G1076/G1057</f>
        <v>0.235938751809024</v>
      </c>
      <c r="H1080" s="27" t="n">
        <f aca="false">$G1080+(fade_mA-$G1080)*1/3</f>
        <v>0.230931628435206</v>
      </c>
      <c r="I1080" s="27" t="n">
        <f aca="false">$G1080+(fade_mA-$G1080)*2/3</f>
        <v>0.225924505061387</v>
      </c>
      <c r="J1080" s="27" t="n">
        <f aca="false">$G1080+(fade_mA-$G1080)*3/3</f>
        <v>0.220917381687568</v>
      </c>
    </row>
    <row r="1081" customFormat="false" ht="17.15" hidden="false" customHeight="false" outlineLevel="0" collapsed="false">
      <c r="A1081" s="3" t="s">
        <v>752</v>
      </c>
      <c r="B1081" s="0" t="s">
        <v>43</v>
      </c>
      <c r="C1081" s="20" t="n">
        <f aca="false">C1062/C1057</f>
        <v>0.155421717364235</v>
      </c>
      <c r="D1081" s="20" t="n">
        <f aca="false">D1062/D1057</f>
        <v>0.202110028699624</v>
      </c>
      <c r="E1081" s="20" t="n">
        <f aca="false">E1062/E1057</f>
        <v>0.138823357932057</v>
      </c>
      <c r="F1081" s="20" t="n">
        <f aca="false">F1062/F1057</f>
        <v>0.107012599431889</v>
      </c>
      <c r="G1081" s="20" t="n">
        <f aca="false">G1062/G1057</f>
        <v>0.0728308854373647</v>
      </c>
      <c r="H1081" s="26" t="n">
        <f aca="false">$G1081+($G1064*(1+tp_g)^(life/2)-$G1081)*1/3</f>
        <v>0.0844410758936502</v>
      </c>
      <c r="I1081" s="26" t="n">
        <f aca="false">$G1081+($G1064*(1+tp_g)^(life/2)-$G1081)*2/3</f>
        <v>0.0960512663499357</v>
      </c>
      <c r="J1081" s="26" t="n">
        <f aca="false">$G1081+($G1064*(1+tp_g)^(life/2)-$G1081)*3/3</f>
        <v>0.107661456806221</v>
      </c>
      <c r="K1081" s="7" t="s">
        <v>753</v>
      </c>
    </row>
    <row r="1082" customFormat="false" ht="15" hidden="false" customHeight="false" outlineLevel="0" collapsed="false">
      <c r="A1082" s="3" t="s">
        <v>754</v>
      </c>
      <c r="B1082" s="0" t="s">
        <v>379</v>
      </c>
      <c r="D1082" s="21" t="n">
        <f aca="false">D1076+D1063-D1062</f>
        <v>4.28140537512203</v>
      </c>
      <c r="E1082" s="21" t="n">
        <f aca="false">E1076+E1063-E1062</f>
        <v>13.0831943887461</v>
      </c>
      <c r="F1082" s="21" t="n">
        <f aca="false">F1076+F1063-F1062</f>
        <v>18.4249535828436</v>
      </c>
      <c r="G1082" s="21" t="n">
        <f aca="false">G1076+G1063-G1062</f>
        <v>24.5220321750698</v>
      </c>
      <c r="H1082" s="30" t="n">
        <f aca="false">H1076+H1063-H1062</f>
        <v>25.5660244861155</v>
      </c>
      <c r="I1082" s="30" t="n">
        <f aca="false">I1076+I1063-I1062</f>
        <v>25.8685317480843</v>
      </c>
      <c r="J1082" s="30" t="n">
        <f aca="false">J1076+J1063-J1062</f>
        <v>25.3672327010959</v>
      </c>
      <c r="K1082" s="3" t="s">
        <v>755</v>
      </c>
    </row>
    <row r="1083" customFormat="false" ht="15" hidden="false" customHeight="false" outlineLevel="0" collapsed="false">
      <c r="A1083" s="3" t="s">
        <v>756</v>
      </c>
      <c r="B1083" s="0" t="s">
        <v>471</v>
      </c>
      <c r="D1083" s="18" t="n">
        <f aca="false">D1082/D1077</f>
        <v>8.42230943909854</v>
      </c>
      <c r="E1083" s="18" t="n">
        <f aca="false">E1082/E1077</f>
        <v>24.8300362277164</v>
      </c>
      <c r="F1083" s="18" t="n">
        <f aca="false">F1082/F1077</f>
        <v>34.9679330110333</v>
      </c>
      <c r="G1083" s="18" t="n">
        <f aca="false">G1082/G1077</f>
        <v>46.5393182423371</v>
      </c>
      <c r="H1083" s="28" t="n">
        <f aca="false">H1082/H1077</f>
        <v>48.5206666909254</v>
      </c>
      <c r="I1083" s="28" t="n">
        <f aca="false">I1082/I1077</f>
        <v>49.0947823121297</v>
      </c>
      <c r="J1083" s="28" t="n">
        <f aca="false">J1082/J1077</f>
        <v>48.1433882467516</v>
      </c>
    </row>
    <row r="1086" customFormat="false" ht="17.15" hidden="false" customHeight="false" outlineLevel="0" collapsed="false">
      <c r="A1086" s="1" t="s">
        <v>1108</v>
      </c>
    </row>
    <row r="1087" customFormat="false" ht="17.15" hidden="false" customHeight="false" outlineLevel="0" collapsed="false">
      <c r="A1087" s="4" t="s">
        <v>20</v>
      </c>
      <c r="B1087" s="4" t="s">
        <v>21</v>
      </c>
      <c r="C1087" s="13" t="s">
        <v>566</v>
      </c>
      <c r="D1087" s="13" t="s">
        <v>670</v>
      </c>
      <c r="E1087" s="13" t="s">
        <v>671</v>
      </c>
      <c r="F1087" s="13" t="s">
        <v>672</v>
      </c>
      <c r="G1087" s="13" t="s">
        <v>673</v>
      </c>
      <c r="H1087" s="13" t="s">
        <v>674</v>
      </c>
      <c r="I1087" s="13" t="s">
        <v>675</v>
      </c>
      <c r="J1087" s="13" t="s">
        <v>676</v>
      </c>
      <c r="K1087" s="4" t="s">
        <v>630</v>
      </c>
    </row>
    <row r="1088" customFormat="false" ht="17.15" hidden="false" customHeight="false" outlineLevel="0" collapsed="false">
      <c r="A1088" s="5" t="s">
        <v>694</v>
      </c>
    </row>
    <row r="1089" customFormat="false" ht="17.15" hidden="false" customHeight="false" outlineLevel="0" collapsed="false">
      <c r="A1089" s="0" t="s">
        <v>695</v>
      </c>
      <c r="B1089" s="3" t="s">
        <v>31</v>
      </c>
      <c r="D1089" s="21" t="n">
        <f aca="false">(u_bw_26+u_rb_26+u_ru_26+u_hp_26)*1</f>
        <v>7.6</v>
      </c>
      <c r="E1089" s="21" t="n">
        <f aca="false">(u_bw_27+u_rb_27+u_ru_27+u_hp_27)*1*1</f>
        <v>9.7</v>
      </c>
      <c r="F1089" s="21" t="n">
        <f aca="false">(u_bw_28+u_rb_28+u_ru_28+u_hp_28)*um28_A*1</f>
        <v>9.5</v>
      </c>
      <c r="G1089" s="21" t="n">
        <f aca="false">(u_bw_28*(1+g29_bw)+u_rb_28*(1+g29_rb)+u_ru_28*(1+g29_ru)+u_hp_28*(1+g29_hp))*um29_A*1</f>
        <v>10.6</v>
      </c>
      <c r="K1089" s="7" t="s">
        <v>696</v>
      </c>
    </row>
    <row r="1090" customFormat="false" ht="17.15" hidden="false" customHeight="false" outlineLevel="0" collapsed="false">
      <c r="A1090" s="3" t="s">
        <v>697</v>
      </c>
      <c r="B1090" s="3" t="s">
        <v>31</v>
      </c>
      <c r="D1090" s="21" t="n">
        <f aca="false">(u_amd_26+u_tpu_26+u_trn_26+u_oth_26)*1</f>
        <v>7.6</v>
      </c>
      <c r="E1090" s="21" t="n">
        <f aca="false">(u_amd_27+u_tpu_27+u_trn_27+u_oth_27)*1*1</f>
        <v>14</v>
      </c>
      <c r="F1090" s="21" t="n">
        <f aca="false">(u_amd_28+u_tpu_28+u_trn_28+u_oth_28)*um28_A*1</f>
        <v>17</v>
      </c>
      <c r="G1090" s="21" t="n">
        <f aca="false">(u_amd_28*(1+g29_amd)+u_tpu_28*(1+g29_tpu)+u_trn_28*(1+g29_trn)+u_oth_28*(1+g29_oth))*um29_A*1</f>
        <v>19.55</v>
      </c>
      <c r="K1090" s="7" t="s">
        <v>698</v>
      </c>
    </row>
    <row r="1091" customFormat="false" ht="17.15" hidden="false" customHeight="false" outlineLevel="0" collapsed="false">
      <c r="A1091" s="0" t="s">
        <v>699</v>
      </c>
      <c r="B1091" s="3" t="s">
        <v>31</v>
      </c>
      <c r="D1091" s="21" t="n">
        <f aca="false">D1089*cpu_r</f>
        <v>3.04</v>
      </c>
      <c r="E1091" s="21" t="n">
        <f aca="false">E1089*cpu_r</f>
        <v>3.88</v>
      </c>
      <c r="F1091" s="21" t="n">
        <f aca="false">F1089*cpu_r</f>
        <v>3.8</v>
      </c>
      <c r="G1091" s="21" t="n">
        <f aca="false">G1089*cpu_r</f>
        <v>4.24</v>
      </c>
      <c r="K1091" s="7" t="s">
        <v>700</v>
      </c>
    </row>
    <row r="1092" customFormat="false" ht="17.15" hidden="false" customHeight="false" outlineLevel="0" collapsed="false">
      <c r="A1092" s="3" t="s">
        <v>701</v>
      </c>
      <c r="B1092" s="0" t="s">
        <v>153</v>
      </c>
      <c r="D1092" s="19" t="n">
        <f aca="false">1</f>
        <v>1</v>
      </c>
      <c r="E1092" s="19" t="n">
        <f aca="false">D1092*(1+g_asp)</f>
        <v>1.18</v>
      </c>
      <c r="F1092" s="19" t="n">
        <f aca="false">E1092*(1+g_asp)</f>
        <v>1.3924</v>
      </c>
      <c r="G1092" s="19" t="n">
        <f aca="false">F1092*(1+g_asp)</f>
        <v>1.643032</v>
      </c>
      <c r="K1092" s="7" t="s">
        <v>702</v>
      </c>
    </row>
    <row r="1093" customFormat="false" ht="17.15" hidden="false" customHeight="false" outlineLevel="0" collapsed="false">
      <c r="A1093" s="0" t="s">
        <v>703</v>
      </c>
      <c r="B1093" s="0" t="s">
        <v>153</v>
      </c>
      <c r="D1093" s="18" t="n">
        <f aca="false">1</f>
        <v>1</v>
      </c>
      <c r="E1093" s="18" t="n">
        <f aca="false">ibpp_27</f>
        <v>1</v>
      </c>
      <c r="F1093" s="18" t="n">
        <f aca="false">ibpp_28</f>
        <v>0.95</v>
      </c>
      <c r="G1093" s="18" t="n">
        <f aca="false">ibpp_29</f>
        <v>0.9</v>
      </c>
      <c r="K1093" s="7" t="s">
        <v>704</v>
      </c>
    </row>
    <row r="1094" customFormat="false" ht="17.15" hidden="false" customHeight="false" outlineLevel="0" collapsed="false">
      <c r="A1094" s="3" t="s">
        <v>705</v>
      </c>
      <c r="B1094" s="0" t="s">
        <v>153</v>
      </c>
      <c r="D1094" s="18" t="n">
        <f aca="false">1</f>
        <v>1</v>
      </c>
      <c r="E1094" s="18" t="n">
        <f aca="false">1+carry</f>
        <v>1.15</v>
      </c>
      <c r="F1094" s="18" t="n">
        <f aca="false">1+carry</f>
        <v>1.15</v>
      </c>
      <c r="G1094" s="18" t="n">
        <f aca="false">1+carry</f>
        <v>1.15</v>
      </c>
      <c r="K1094" s="7" t="s">
        <v>706</v>
      </c>
    </row>
    <row r="1095" customFormat="false" ht="17.15" hidden="false" customHeight="false" outlineLevel="0" collapsed="false">
      <c r="A1095" s="3" t="s">
        <v>707</v>
      </c>
      <c r="B1095" s="0" t="s">
        <v>708</v>
      </c>
      <c r="D1095" s="23" t="n">
        <f aca="false">v26*D1092*D1093</f>
        <v>215.308596</v>
      </c>
      <c r="E1095" s="23" t="n">
        <f aca="false">v26*E1092*E1093</f>
        <v>254.06414328</v>
      </c>
      <c r="F1095" s="23" t="n">
        <f aca="false">v26*F1092*F1093</f>
        <v>284.80590461688</v>
      </c>
      <c r="G1095" s="23" t="n">
        <f aca="false">v26*G1092*G1093</f>
        <v>318.383021792765</v>
      </c>
      <c r="K1095" s="7" t="s">
        <v>709</v>
      </c>
    </row>
    <row r="1096" customFormat="false" ht="17.15" hidden="false" customHeight="false" outlineLevel="0" collapsed="false">
      <c r="A1096" s="3" t="s">
        <v>710</v>
      </c>
      <c r="B1096" s="0" t="s">
        <v>43</v>
      </c>
      <c r="D1096" s="20" t="n">
        <f aca="false">sh_nv_26</f>
        <v>0.02</v>
      </c>
      <c r="E1096" s="20" t="n">
        <f aca="false">sh_nv_27</f>
        <v>0.03</v>
      </c>
      <c r="F1096" s="20" t="n">
        <f aca="false">sh_nv_28</f>
        <v>0.05</v>
      </c>
      <c r="G1096" s="20" t="n">
        <f aca="false">sh_nv_29</f>
        <v>0.06</v>
      </c>
    </row>
    <row r="1097" customFormat="false" ht="17.15" hidden="false" customHeight="false" outlineLevel="0" collapsed="false">
      <c r="A1097" s="3" t="s">
        <v>711</v>
      </c>
      <c r="B1097" s="0" t="s">
        <v>43</v>
      </c>
      <c r="D1097" s="20" t="n">
        <f aca="false">sh_ot_26</f>
        <v>0.03</v>
      </c>
      <c r="E1097" s="20" t="n">
        <f aca="false">sh_ot_27</f>
        <v>0.05</v>
      </c>
      <c r="F1097" s="20" t="n">
        <f aca="false">sh_ot_28</f>
        <v>0.06</v>
      </c>
      <c r="G1097" s="20" t="n">
        <f aca="false">sh_ot_29</f>
        <v>0.06</v>
      </c>
    </row>
    <row r="1098" customFormat="false" ht="17.15" hidden="false" customHeight="false" outlineLevel="0" collapsed="false">
      <c r="A1098" s="3" t="s">
        <v>712</v>
      </c>
      <c r="B1098" s="0" t="s">
        <v>43</v>
      </c>
      <c r="D1098" s="20" t="n">
        <f aca="false">sh_cpu_26</f>
        <v>0.35</v>
      </c>
      <c r="E1098" s="20" t="n">
        <f aca="false">sh_cpu_27</f>
        <v>0.7</v>
      </c>
      <c r="F1098" s="20" t="n">
        <f aca="false">sh_cpu_28</f>
        <v>0.75</v>
      </c>
      <c r="G1098" s="20" t="n">
        <f aca="false">sh_cpu_29</f>
        <v>0.7</v>
      </c>
    </row>
    <row r="1099" customFormat="false" ht="17.15" hidden="false" customHeight="false" outlineLevel="0" collapsed="false">
      <c r="A1099" s="3" t="s">
        <v>713</v>
      </c>
      <c r="B1099" s="0" t="s">
        <v>660</v>
      </c>
      <c r="D1099" s="22" t="n">
        <f aca="false">(D1089*D1095*D1096+D1090*D1095*v_ot*D1097+D1091*D1095*v_cpu*D1098)*D1094</f>
        <v>140.7256983456</v>
      </c>
      <c r="E1099" s="22" t="n">
        <f aca="false">(E1089*E1095*E1096+E1090*E1095*v_ot*E1097+E1091*E1095*v_cpu*E1098)*E1094</f>
        <v>486.703057357198</v>
      </c>
      <c r="F1099" s="22" t="n">
        <f aca="false">(F1089*F1095*F1096+F1090*F1095*v_ot*F1097+F1091*F1095*v_cpu*F1098)*F1094</f>
        <v>702.872492003998</v>
      </c>
      <c r="G1099" s="22" t="n">
        <f aca="false">(G1089*G1095*G1096+G1090*G1095*v_ot*G1097+G1091*G1095*v_cpu*G1098)*G1094</f>
        <v>902.463042932027</v>
      </c>
    </row>
    <row r="1100" customFormat="false" ht="17.15" hidden="false" customHeight="false" outlineLevel="0" collapsed="false">
      <c r="A1100" s="3" t="s">
        <v>714</v>
      </c>
      <c r="B1100" s="0" t="s">
        <v>379</v>
      </c>
      <c r="D1100" s="21" t="n">
        <f aca="false">D1099*fx/1000</f>
        <v>4.573585196232</v>
      </c>
      <c r="E1100" s="21" t="n">
        <f aca="false">E1099*fx/1000</f>
        <v>15.8178493641089</v>
      </c>
      <c r="F1100" s="21" t="n">
        <f aca="false">F1099*fx/1000</f>
        <v>22.8433559901299</v>
      </c>
      <c r="G1100" s="21" t="n">
        <f aca="false">G1099*fx/1000</f>
        <v>29.3300488952909</v>
      </c>
    </row>
    <row r="1101" customFormat="false" ht="17.15" hidden="false" customHeight="false" outlineLevel="0" collapsed="false">
      <c r="A1101" s="5" t="s">
        <v>715</v>
      </c>
    </row>
    <row r="1102" customFormat="false" ht="17.15" hidden="false" customHeight="false" outlineLevel="0" collapsed="false">
      <c r="A1102" s="0" t="s">
        <v>716</v>
      </c>
      <c r="B1102" s="0" t="s">
        <v>379</v>
      </c>
      <c r="D1102" s="21" t="n">
        <f aca="false">a26_abf*ai_abf</f>
        <v>5.714709</v>
      </c>
      <c r="K1102" s="3" t="s">
        <v>717</v>
      </c>
    </row>
    <row r="1103" customFormat="false" ht="17.15" hidden="false" customHeight="false" outlineLevel="0" collapsed="false">
      <c r="A1103" s="3" t="s">
        <v>718</v>
      </c>
      <c r="B1103" s="0" t="s">
        <v>379</v>
      </c>
      <c r="D1103" s="21" t="n">
        <f aca="false">D1102-D1100</f>
        <v>1.141123803768</v>
      </c>
      <c r="E1103" s="21" t="n">
        <f aca="false">$D1103*(swm_27/swm_26)^el_o*1*1*E1093*E1094</f>
        <v>1.83552013039205</v>
      </c>
      <c r="F1103" s="21" t="n">
        <f aca="false">$D1103*(swm_28/swm_26)^el_o*um28_A*1*F1093*F1094</f>
        <v>1.87583060833026</v>
      </c>
      <c r="G1103" s="21" t="n">
        <f aca="false">$D1103*(swm_29/swm_26)^el_o*um29_A*1*G1093*G1094</f>
        <v>1.89582733342525</v>
      </c>
      <c r="K1103" s="7" t="s">
        <v>719</v>
      </c>
    </row>
    <row r="1104" customFormat="false" ht="17.15" hidden="false" customHeight="false" outlineLevel="0" collapsed="false">
      <c r="A1104" s="3" t="s">
        <v>720</v>
      </c>
      <c r="B1104" s="0" t="s">
        <v>379</v>
      </c>
      <c r="D1104" s="21" t="n">
        <f aca="false">a26_abf-D1102</f>
        <v>17.144127</v>
      </c>
      <c r="E1104" s="21" t="n">
        <f aca="false">$D1104*(1+g_nai)^1*E1094</f>
        <v>20.898690813</v>
      </c>
      <c r="F1104" s="21" t="n">
        <f aca="false">$D1104*(1+g_nai)^2*F1094</f>
        <v>22.15261226178</v>
      </c>
      <c r="G1104" s="21" t="n">
        <f aca="false">$D1104*(1+g_nai)^3*G1094</f>
        <v>23.4817689974868</v>
      </c>
      <c r="K1104" s="3" t="s">
        <v>721</v>
      </c>
    </row>
    <row r="1105" customFormat="false" ht="17.15" hidden="false" customHeight="false" outlineLevel="0" collapsed="false">
      <c r="A1105" s="0" t="s">
        <v>722</v>
      </c>
      <c r="B1105" s="0" t="s">
        <v>379</v>
      </c>
      <c r="D1105" s="21" t="n">
        <f aca="false">D1100+D1103+D1104</f>
        <v>22.858836</v>
      </c>
      <c r="E1105" s="21" t="n">
        <f aca="false">E1100+E1103+E1104</f>
        <v>38.552060307501</v>
      </c>
      <c r="F1105" s="21" t="n">
        <f aca="false">F1100+F1103+F1104</f>
        <v>46.8717988602402</v>
      </c>
      <c r="G1105" s="21" t="n">
        <f aca="false">G1100+G1103+G1104</f>
        <v>54.7076452262029</v>
      </c>
    </row>
    <row r="1106" customFormat="false" ht="17.15" hidden="false" customHeight="false" outlineLevel="0" collapsed="false">
      <c r="A1106" s="0" t="s">
        <v>723</v>
      </c>
      <c r="B1106" s="0" t="s">
        <v>379</v>
      </c>
      <c r="D1106" s="21" t="n">
        <f aca="false">a26_abf</f>
        <v>22.858836</v>
      </c>
      <c r="E1106" s="21" t="n">
        <f aca="false">$D1105*cap_27*(1+g_mix)^1*E1093*E1094</f>
        <v>33.122453364</v>
      </c>
      <c r="F1106" s="21" t="n">
        <f aca="false">$D1105*cap_28*(1+g_mix)^2*F1093*F1094</f>
        <v>41.2995590382375</v>
      </c>
      <c r="G1106" s="21" t="n">
        <f aca="false">$D1105*cap_29*(1+g_mix)^3*G1093*G1094</f>
        <v>50.6680379569114</v>
      </c>
      <c r="K1106" s="7" t="s">
        <v>724</v>
      </c>
    </row>
    <row r="1107" customFormat="false" ht="17.15" hidden="false" customHeight="false" outlineLevel="0" collapsed="false">
      <c r="A1107" s="0" t="s">
        <v>725</v>
      </c>
      <c r="B1107" s="0" t="s">
        <v>379</v>
      </c>
      <c r="D1107" s="21" t="n">
        <f aca="false">a26_abf</f>
        <v>22.858836</v>
      </c>
      <c r="E1107" s="21" t="n">
        <f aca="false">MIN(E1105,E1106)</f>
        <v>33.122453364</v>
      </c>
      <c r="F1107" s="21" t="n">
        <f aca="false">MIN(F1105,F1106)</f>
        <v>41.2995590382375</v>
      </c>
      <c r="G1107" s="21" t="n">
        <f aca="false">MIN(G1105,G1106)</f>
        <v>50.6680379569114</v>
      </c>
    </row>
    <row r="1108" customFormat="false" ht="17.15" hidden="false" customHeight="false" outlineLevel="0" collapsed="false">
      <c r="A1108" s="3" t="s">
        <v>726</v>
      </c>
      <c r="B1108" s="0" t="s">
        <v>43</v>
      </c>
      <c r="D1108" s="20" t="n">
        <f aca="false">D1107/D1105</f>
        <v>1</v>
      </c>
      <c r="E1108" s="20" t="n">
        <f aca="false">E1107/E1105</f>
        <v>0.85916169200315</v>
      </c>
      <c r="F1108" s="20" t="n">
        <f aca="false">F1107/F1105</f>
        <v>0.881117431856676</v>
      </c>
      <c r="G1108" s="20" t="n">
        <f aca="false">G1107/G1105</f>
        <v>0.926160096041627</v>
      </c>
    </row>
    <row r="1109" customFormat="false" ht="17.15" hidden="false" customHeight="false" outlineLevel="0" collapsed="false">
      <c r="A1109" s="0" t="s">
        <v>727</v>
      </c>
      <c r="B1109" s="0" t="s">
        <v>379</v>
      </c>
      <c r="D1109" s="21" t="n">
        <f aca="false">(D1100+D1103)*D1108</f>
        <v>5.714709</v>
      </c>
      <c r="E1109" s="21" t="n">
        <f aca="false">(E1100+E1103)*E1108</f>
        <v>15.1670988044522</v>
      </c>
      <c r="F1109" s="21" t="n">
        <f aca="false">(F1100+F1103)*F1108</f>
        <v>21.7805062132212</v>
      </c>
      <c r="G1109" s="21" t="n">
        <f aca="false">(G1100+G1103)*G1108</f>
        <v>28.9201605269717</v>
      </c>
    </row>
    <row r="1110" customFormat="false" ht="17.15" hidden="false" customHeight="false" outlineLevel="0" collapsed="false">
      <c r="A1110" s="3" t="s">
        <v>728</v>
      </c>
      <c r="B1110" s="0" t="s">
        <v>43</v>
      </c>
      <c r="D1110" s="20" t="n">
        <f aca="false">D1100/(D1100+D1103)</f>
        <v>0.800318125775433</v>
      </c>
      <c r="E1110" s="20" t="n">
        <f aca="false">E1100/(E1100+E1103)</f>
        <v>0.896024374782173</v>
      </c>
      <c r="F1110" s="20" t="n">
        <f aca="false">F1100/(F1100+F1103)</f>
        <v>0.924114387791097</v>
      </c>
      <c r="G1110" s="20" t="n">
        <f aca="false">G1100/(G1100+G1103)</f>
        <v>0.939286657016792</v>
      </c>
    </row>
    <row r="1111" customFormat="false" ht="17.15" hidden="false" customHeight="false" outlineLevel="0" collapsed="false">
      <c r="A1111" s="5" t="s">
        <v>729</v>
      </c>
    </row>
    <row r="1112" customFormat="false" ht="17.15" hidden="false" customHeight="false" outlineLevel="0" collapsed="false">
      <c r="A1112" s="0" t="s">
        <v>730</v>
      </c>
      <c r="B1112" s="0" t="s">
        <v>379</v>
      </c>
      <c r="D1112" s="21" t="n">
        <f aca="false">a26_bt</f>
        <v>23.265964</v>
      </c>
      <c r="E1112" s="21" t="n">
        <f aca="false">D1112*(1+g_bt27_A)</f>
        <v>29.78043392</v>
      </c>
      <c r="F1112" s="21" t="n">
        <f aca="false">E1112*(1+g_bt28_A)</f>
        <v>32.758477312</v>
      </c>
      <c r="G1112" s="21" t="n">
        <f aca="false">F1112*(1+g_bt29_A)</f>
        <v>34.3964011776</v>
      </c>
      <c r="K1112" s="7" t="s">
        <v>731</v>
      </c>
    </row>
    <row r="1113" customFormat="false" ht="17.15" hidden="false" customHeight="false" outlineLevel="0" collapsed="false">
      <c r="A1113" s="3" t="s">
        <v>616</v>
      </c>
      <c r="B1113" s="0" t="s">
        <v>379</v>
      </c>
      <c r="C1113" s="21" t="n">
        <f aca="false">a25_lens</f>
        <v>7.039</v>
      </c>
      <c r="D1113" s="21" t="n">
        <f aca="false">a26_lens</f>
        <v>8.301</v>
      </c>
      <c r="E1113" s="21" t="n">
        <f aca="false">D1113*(1+g_lens)</f>
        <v>9.1311</v>
      </c>
      <c r="F1113" s="21" t="n">
        <f aca="false">E1113*(1+g_lens)</f>
        <v>10.04421</v>
      </c>
      <c r="G1113" s="21" t="n">
        <f aca="false">F1113*(1+g_lens)</f>
        <v>11.048631</v>
      </c>
      <c r="K1113" s="3" t="s">
        <v>732</v>
      </c>
    </row>
    <row r="1114" customFormat="false" ht="17.15" hidden="false" customHeight="false" outlineLevel="0" collapsed="false">
      <c r="A1114" s="3" t="s">
        <v>573</v>
      </c>
      <c r="B1114" s="0" t="s">
        <v>379</v>
      </c>
      <c r="C1114" s="23" t="n">
        <f aca="false">a25_rev</f>
        <v>39.351</v>
      </c>
      <c r="D1114" s="23" t="n">
        <f aca="false">D1107+D1112+D1113</f>
        <v>54.4258</v>
      </c>
      <c r="E1114" s="23" t="n">
        <f aca="false">E1107+E1112+E1113</f>
        <v>72.033987284</v>
      </c>
      <c r="F1114" s="23" t="n">
        <f aca="false">F1107+F1112+F1113</f>
        <v>84.1022463502375</v>
      </c>
      <c r="G1114" s="23" t="n">
        <f aca="false">G1107+G1112+G1113</f>
        <v>96.1130701345114</v>
      </c>
      <c r="H1114" s="25" t="n">
        <f aca="false">G1114*(1+H1115)</f>
        <v>107.186075216063</v>
      </c>
      <c r="I1114" s="25" t="n">
        <f aca="false">H1114*(1+I1115)</f>
        <v>116.576010002736</v>
      </c>
      <c r="J1114" s="25" t="n">
        <f aca="false">I1114*(1+J1115)</f>
        <v>123.5705706029</v>
      </c>
      <c r="K1114" s="7" t="s">
        <v>733</v>
      </c>
    </row>
    <row r="1115" customFormat="false" ht="15" hidden="false" customHeight="false" outlineLevel="0" collapsed="false">
      <c r="A1115" s="3" t="s">
        <v>734</v>
      </c>
      <c r="B1115" s="0" t="s">
        <v>43</v>
      </c>
      <c r="D1115" s="20" t="n">
        <f aca="false">D1114/C1114-1</f>
        <v>0.383085563263958</v>
      </c>
      <c r="E1115" s="20" t="n">
        <f aca="false">E1114/D1114-1</f>
        <v>0.323526476119781</v>
      </c>
      <c r="F1115" s="20" t="n">
        <f aca="false">F1114/E1114-1</f>
        <v>0.167535624796909</v>
      </c>
      <c r="G1115" s="20" t="n">
        <f aca="false">G1114/F1114-1</f>
        <v>0.142812163830389</v>
      </c>
      <c r="H1115" s="26" t="n">
        <f aca="false">$G1115+(fade_gA-$G1115)*1/3</f>
        <v>0.115208109220259</v>
      </c>
      <c r="I1115" s="26" t="n">
        <f aca="false">$G1115+(fade_gA-$G1115)*2/3</f>
        <v>0.0876040546101297</v>
      </c>
      <c r="J1115" s="26" t="n">
        <f aca="false">$G1115+(fade_gA-$G1115)*3/3</f>
        <v>0.06</v>
      </c>
    </row>
    <row r="1116" customFormat="false" ht="17.15" hidden="false" customHeight="false" outlineLevel="0" collapsed="false">
      <c r="A1116" s="0" t="s">
        <v>735</v>
      </c>
      <c r="B1116" s="0" t="s">
        <v>43</v>
      </c>
      <c r="D1116" s="20" t="n">
        <f aca="false">D1107/D1114</f>
        <v>0.42</v>
      </c>
      <c r="E1116" s="20" t="n">
        <f aca="false">E1107/E1114</f>
        <v>0.459817019893845</v>
      </c>
      <c r="F1116" s="20" t="n">
        <f aca="false">F1107/F1114</f>
        <v>0.491063685341395</v>
      </c>
      <c r="G1116" s="20" t="n">
        <f aca="false">G1107/G1114</f>
        <v>0.527171152539409</v>
      </c>
    </row>
    <row r="1117" customFormat="false" ht="17.15" hidden="false" customHeight="false" outlineLevel="0" collapsed="false">
      <c r="A1117" s="0" t="s">
        <v>736</v>
      </c>
      <c r="B1117" s="0" t="s">
        <v>43</v>
      </c>
      <c r="D1117" s="20" t="n">
        <f aca="false">D1109/D1114</f>
        <v>0.105</v>
      </c>
      <c r="E1117" s="20" t="n">
        <f aca="false">E1109/E1114</f>
        <v>0.210554758612135</v>
      </c>
      <c r="F1117" s="20" t="n">
        <f aca="false">F1109/F1114</f>
        <v>0.258976509646579</v>
      </c>
      <c r="G1117" s="20" t="n">
        <f aca="false">G1109/G1114</f>
        <v>0.300897271167153</v>
      </c>
      <c r="K1117" s="3" t="s">
        <v>737</v>
      </c>
    </row>
    <row r="1118" customFormat="false" ht="17.15" hidden="false" customHeight="false" outlineLevel="0" collapsed="false">
      <c r="A1118" s="5" t="s">
        <v>738</v>
      </c>
    </row>
    <row r="1119" customFormat="false" ht="15" hidden="false" customHeight="false" outlineLevel="0" collapsed="false">
      <c r="A1119" s="3" t="s">
        <v>739</v>
      </c>
      <c r="B1119" s="0" t="s">
        <v>379</v>
      </c>
      <c r="C1119" s="23" t="n">
        <f aca="false">a25_cx</f>
        <v>6.116</v>
      </c>
      <c r="D1119" s="23" t="n">
        <f aca="false">capex26</f>
        <v>11</v>
      </c>
      <c r="E1119" s="23" t="n">
        <f aca="false">cx27_hi</f>
        <v>22</v>
      </c>
      <c r="F1119" s="23" t="n">
        <f aca="false">cx28_hi</f>
        <v>22</v>
      </c>
      <c r="G1119" s="23" t="n">
        <f aca="false">cx29_hi</f>
        <v>16</v>
      </c>
      <c r="H1119" s="25" t="n">
        <f aca="false">H1114*H1138</f>
        <v>17.0196120086207</v>
      </c>
      <c r="I1119" s="25" t="n">
        <f aca="false">I1114*I1138</f>
        <v>17.6147202757813</v>
      </c>
      <c r="J1119" s="25" t="n">
        <f aca="false">J1114*J1138</f>
        <v>17.7219720144814</v>
      </c>
    </row>
    <row r="1120" customFormat="false" ht="17.15" hidden="false" customHeight="false" outlineLevel="0" collapsed="false">
      <c r="A1120" s="3" t="s">
        <v>740</v>
      </c>
      <c r="B1120" s="0" t="s">
        <v>379</v>
      </c>
      <c r="C1120" s="23" t="n">
        <f aca="false">a25_da</f>
        <v>7.158</v>
      </c>
      <c r="D1120" s="23" t="n">
        <f aca="false">da26</f>
        <v>8.32</v>
      </c>
      <c r="E1120" s="23" t="n">
        <f aca="false">D1120*(1-1/life)+D1119/life</f>
        <v>8.655</v>
      </c>
      <c r="F1120" s="23" t="n">
        <f aca="false">E1120*(1-1/life)+E1119/life</f>
        <v>10.323125</v>
      </c>
      <c r="G1120" s="23" t="n">
        <f aca="false">F1120*(1-1/life)+F1119/life</f>
        <v>11.782734375</v>
      </c>
      <c r="H1120" s="25" t="n">
        <f aca="false">H1114*H1121</f>
        <v>13.1402009237883</v>
      </c>
      <c r="I1120" s="25" t="n">
        <f aca="false">I1114*I1121</f>
        <v>14.2913358031039</v>
      </c>
      <c r="J1120" s="25" t="n">
        <f aca="false">J1114*J1121</f>
        <v>15.1488159512902</v>
      </c>
      <c r="K1120" s="3" t="s">
        <v>741</v>
      </c>
    </row>
    <row r="1121" customFormat="false" ht="17.15" hidden="false" customHeight="false" outlineLevel="0" collapsed="false">
      <c r="A1121" s="3" t="s">
        <v>742</v>
      </c>
      <c r="B1121" s="0" t="s">
        <v>43</v>
      </c>
      <c r="C1121" s="20" t="n">
        <f aca="false">C1120/C1114</f>
        <v>0.181901349393916</v>
      </c>
      <c r="D1121" s="20" t="n">
        <f aca="false">D1120/D1114</f>
        <v>0.152868676252807</v>
      </c>
      <c r="E1121" s="20" t="n">
        <f aca="false">E1120/E1114</f>
        <v>0.120151616290196</v>
      </c>
      <c r="F1121" s="20" t="n">
        <f aca="false">F1120/F1114</f>
        <v>0.12274493783448</v>
      </c>
      <c r="G1121" s="20" t="n">
        <f aca="false">G1120/G1114</f>
        <v>0.122592425343504</v>
      </c>
      <c r="H1121" s="26" t="n">
        <f aca="false">$G1121</f>
        <v>0.122592425343504</v>
      </c>
      <c r="I1121" s="26" t="n">
        <f aca="false">$G1121</f>
        <v>0.122592425343504</v>
      </c>
      <c r="J1121" s="26" t="n">
        <f aca="false">$G1121</f>
        <v>0.122592425343504</v>
      </c>
    </row>
    <row r="1122" customFormat="false" ht="17.15" hidden="false" customHeight="false" outlineLevel="0" collapsed="false">
      <c r="A1122" s="0" t="s">
        <v>743</v>
      </c>
      <c r="B1122" s="0" t="s">
        <v>379</v>
      </c>
      <c r="E1122" s="21" t="n">
        <f aca="false">E1108*((E1100+E1103)*(1-1/(E1093*E1094))+E1104*(1-1/E1094))</f>
        <v>4.320320004</v>
      </c>
      <c r="F1122" s="21" t="n">
        <f aca="false">F1108*((F1100+F1103)*(1-1/(F1093*F1094))+F1104*(1-1/F1094))</f>
        <v>4.39007949866158</v>
      </c>
      <c r="G1122" s="21" t="n">
        <f aca="false">G1108*((G1100+G1103)*(1-1/(G1093*G1094))+G1104*(1-1/G1094))</f>
        <v>3.81465610771581</v>
      </c>
      <c r="K1122" s="7" t="s">
        <v>744</v>
      </c>
    </row>
    <row r="1123" customFormat="false" ht="17.15" hidden="false" customHeight="false" outlineLevel="0" collapsed="false">
      <c r="A1123" s="3" t="s">
        <v>745</v>
      </c>
      <c r="B1123" s="0" t="s">
        <v>379</v>
      </c>
      <c r="C1123" s="21" t="n">
        <f aca="false">a25_gp</f>
        <v>8.314</v>
      </c>
      <c r="D1123" s="21" t="n">
        <f aca="false">a26_gp</f>
        <v>15.328536</v>
      </c>
      <c r="E1123" s="21" t="n">
        <f aca="false">$D1123+ft_abf*(E1107-E1122-$D1107)+ft_bt*(E1112-$D1112)+ft_lens*(E1113-$D1113)+E1122-(E1120-$D1120)</f>
        <v>25.590561148</v>
      </c>
      <c r="F1123" s="21" t="n">
        <f aca="false">$D1123+ft_abf*(F1107-F1122-$D1107)+ft_bt*(F1112-$D1112)+ft_lens*(F1113-$D1113)+F1122-(F1120-$D1120)</f>
        <v>29.7968877588495</v>
      </c>
      <c r="G1123" s="21" t="n">
        <f aca="false">$D1123+ft_abf*(G1107-G1122-$D1107)+ft_bt*(G1112-$D1112)+ft_lens*(G1113-$D1113)+G1122-(G1120-$D1120)</f>
        <v>33.9228613372336</v>
      </c>
      <c r="K1123" s="3" t="s">
        <v>746</v>
      </c>
    </row>
    <row r="1124" customFormat="false" ht="15" hidden="false" customHeight="false" outlineLevel="0" collapsed="false">
      <c r="A1124" s="3" t="s">
        <v>580</v>
      </c>
      <c r="B1124" s="0" t="s">
        <v>43</v>
      </c>
      <c r="C1124" s="16" t="n">
        <f aca="false">C1123/C1114</f>
        <v>0.211277985311682</v>
      </c>
      <c r="D1124" s="16" t="n">
        <f aca="false">D1123/D1114</f>
        <v>0.281640986443929</v>
      </c>
      <c r="E1124" s="16" t="n">
        <f aca="false">E1123/E1114</f>
        <v>0.3552567629931</v>
      </c>
      <c r="F1124" s="16" t="n">
        <f aca="false">F1123/F1114</f>
        <v>0.354293601561635</v>
      </c>
      <c r="G1124" s="16" t="n">
        <f aca="false">G1123/G1114</f>
        <v>0.352947432537096</v>
      </c>
    </row>
    <row r="1125" customFormat="false" ht="15" hidden="false" customHeight="false" outlineLevel="0" collapsed="false">
      <c r="A1125" s="3" t="s">
        <v>582</v>
      </c>
      <c r="B1125" s="0" t="s">
        <v>379</v>
      </c>
      <c r="C1125" s="21" t="n">
        <f aca="false">a25_opx</f>
        <v>5.644</v>
      </c>
      <c r="D1125" s="21" t="n">
        <f aca="false">a26_opx</f>
        <v>6.54036</v>
      </c>
      <c r="E1125" s="21" t="n">
        <f aca="false">D1125*(1+phi*E1115)</f>
        <v>7.80994777401287</v>
      </c>
      <c r="F1125" s="21" t="n">
        <f aca="false">E1125*(1+phi*F1115)</f>
        <v>8.59501446198315</v>
      </c>
      <c r="G1125" s="21" t="n">
        <f aca="false">F1125*(1+phi*G1115)</f>
        <v>9.33149803006473</v>
      </c>
    </row>
    <row r="1126" customFormat="false" ht="15" hidden="false" customHeight="false" outlineLevel="0" collapsed="false">
      <c r="A1126" s="3" t="s">
        <v>585</v>
      </c>
      <c r="B1126" s="0" t="s">
        <v>379</v>
      </c>
      <c r="C1126" s="21" t="n">
        <f aca="false">C1123-C1125</f>
        <v>2.67</v>
      </c>
      <c r="D1126" s="21" t="n">
        <f aca="false">D1123-D1125</f>
        <v>8.788176</v>
      </c>
      <c r="E1126" s="21" t="n">
        <f aca="false">E1123-E1125</f>
        <v>17.7806133739871</v>
      </c>
      <c r="F1126" s="21" t="n">
        <f aca="false">F1123-F1125</f>
        <v>21.2018732968664</v>
      </c>
      <c r="G1126" s="21" t="n">
        <f aca="false">G1123-G1125</f>
        <v>24.5913633071689</v>
      </c>
    </row>
    <row r="1127" customFormat="false" ht="15" hidden="false" customHeight="false" outlineLevel="0" collapsed="false">
      <c r="A1127" s="3" t="s">
        <v>683</v>
      </c>
      <c r="B1127" s="0" t="s">
        <v>43</v>
      </c>
      <c r="C1127" s="16" t="n">
        <f aca="false">C1126/C1114</f>
        <v>0.0678508805367081</v>
      </c>
      <c r="D1127" s="16" t="n">
        <f aca="false">D1126/D1114</f>
        <v>0.161470773052486</v>
      </c>
      <c r="E1127" s="16" t="n">
        <f aca="false">E1126/E1114</f>
        <v>0.246836445466854</v>
      </c>
      <c r="F1127" s="16" t="n">
        <f aca="false">F1126/F1114</f>
        <v>0.252096397147025</v>
      </c>
      <c r="G1127" s="16" t="n">
        <f aca="false">G1126/G1114</f>
        <v>0.255858680539004</v>
      </c>
    </row>
    <row r="1128" customFormat="false" ht="15" hidden="false" customHeight="false" outlineLevel="0" collapsed="false">
      <c r="A1128" s="3" t="s">
        <v>588</v>
      </c>
      <c r="B1128" s="0" t="s">
        <v>379</v>
      </c>
      <c r="C1128" s="21" t="n">
        <f aca="false">a25_nonop</f>
        <v>0.417</v>
      </c>
      <c r="D1128" s="21" t="n">
        <f aca="false">a26_nonop</f>
        <v>0.37882</v>
      </c>
      <c r="E1128" s="21" t="n">
        <f aca="false">nonop27</f>
        <v>0.4</v>
      </c>
      <c r="F1128" s="21" t="n">
        <f aca="false">nonop28</f>
        <v>0.4</v>
      </c>
      <c r="G1128" s="21" t="n">
        <f aca="false">nonop29</f>
        <v>0.4</v>
      </c>
    </row>
    <row r="1129" customFormat="false" ht="15" hidden="false" customHeight="false" outlineLevel="0" collapsed="false">
      <c r="A1129" s="3" t="s">
        <v>590</v>
      </c>
      <c r="B1129" s="0" t="s">
        <v>379</v>
      </c>
      <c r="C1129" s="21" t="n">
        <f aca="false">C1126+C1128</f>
        <v>3.087</v>
      </c>
      <c r="D1129" s="21" t="n">
        <f aca="false">D1126+D1128</f>
        <v>9.166996</v>
      </c>
      <c r="E1129" s="21" t="n">
        <f aca="false">E1126+E1128</f>
        <v>18.1806133739871</v>
      </c>
      <c r="F1129" s="21" t="n">
        <f aca="false">F1126+F1128</f>
        <v>21.6018732968664</v>
      </c>
      <c r="G1129" s="21" t="n">
        <f aca="false">G1126+G1128</f>
        <v>24.9913633071689</v>
      </c>
    </row>
    <row r="1130" customFormat="false" ht="15" hidden="false" customHeight="false" outlineLevel="0" collapsed="false">
      <c r="A1130" s="3" t="s">
        <v>591</v>
      </c>
      <c r="B1130" s="0" t="s">
        <v>379</v>
      </c>
      <c r="E1130" s="21" t="n">
        <f aca="false">E1129*tax</f>
        <v>2.18167360487846</v>
      </c>
      <c r="F1130" s="21" t="n">
        <f aca="false">F1129*tax</f>
        <v>2.59222479562397</v>
      </c>
      <c r="G1130" s="21" t="n">
        <f aca="false">G1129*tax</f>
        <v>2.99896359686026</v>
      </c>
    </row>
    <row r="1131" customFormat="false" ht="15" hidden="false" customHeight="false" outlineLevel="0" collapsed="false">
      <c r="A1131" s="3" t="s">
        <v>592</v>
      </c>
      <c r="B1131" s="0" t="s">
        <v>379</v>
      </c>
      <c r="C1131" s="21" t="n">
        <f aca="false">a25_nic</f>
        <v>2.71712</v>
      </c>
      <c r="D1131" s="21" t="n">
        <f aca="false">a26_nic</f>
        <v>8.39979776</v>
      </c>
      <c r="E1131" s="21" t="n">
        <f aca="false">E1129-E1130</f>
        <v>15.9989397691087</v>
      </c>
      <c r="F1131" s="21" t="n">
        <f aca="false">F1129-F1130</f>
        <v>19.0096485012424</v>
      </c>
      <c r="G1131" s="21" t="n">
        <f aca="false">G1129-G1130</f>
        <v>21.9923997103086</v>
      </c>
    </row>
    <row r="1132" customFormat="false" ht="17.15" hidden="false" customHeight="false" outlineLevel="0" collapsed="false">
      <c r="A1132" s="3" t="s">
        <v>747</v>
      </c>
      <c r="B1132" s="0" t="s">
        <v>379</v>
      </c>
      <c r="C1132" s="21" t="n">
        <f aca="false">a25_nci</f>
        <v>1.12112</v>
      </c>
      <c r="D1132" s="21" t="n">
        <f aca="false">a26_nci</f>
        <v>1.43839238487797</v>
      </c>
      <c r="E1132" s="21" t="n">
        <f aca="false">E1113*nm_lens*nci_sh</f>
        <v>1.57074538036261</v>
      </c>
      <c r="F1132" s="21" t="n">
        <f aca="false">F1113*nm_lens*nci_sh</f>
        <v>1.72781991839887</v>
      </c>
      <c r="G1132" s="21" t="n">
        <f aca="false">G1113*nm_lens*nci_sh</f>
        <v>1.90060191023875</v>
      </c>
      <c r="K1132" s="3" t="s">
        <v>748</v>
      </c>
    </row>
    <row r="1133" customFormat="false" ht="15" hidden="false" customHeight="false" outlineLevel="0" collapsed="false">
      <c r="A1133" s="3" t="s">
        <v>598</v>
      </c>
      <c r="B1133" s="0" t="s">
        <v>379</v>
      </c>
      <c r="C1133" s="21" t="n">
        <f aca="false">a25_ni</f>
        <v>1.596</v>
      </c>
      <c r="D1133" s="21" t="n">
        <f aca="false">a26_ni</f>
        <v>6.96140537512203</v>
      </c>
      <c r="E1133" s="21" t="n">
        <f aca="false">E1131-E1132</f>
        <v>14.4281943887461</v>
      </c>
      <c r="F1133" s="21" t="n">
        <f aca="false">F1131-F1132</f>
        <v>17.2818285828436</v>
      </c>
      <c r="G1133" s="21" t="n">
        <f aca="false">G1131-G1132</f>
        <v>20.0917978000698</v>
      </c>
      <c r="H1133" s="30" t="n">
        <f aca="false">H1114*H1137</f>
        <v>22.8307795870009</v>
      </c>
      <c r="I1133" s="30" t="n">
        <f aca="false">I1114*I1137</f>
        <v>25.2922576730602</v>
      </c>
      <c r="J1133" s="30" t="n">
        <f aca="false">J1114*J1137</f>
        <v>27.2988869112315</v>
      </c>
    </row>
    <row r="1134" customFormat="false" ht="15" hidden="false" customHeight="false" outlineLevel="0" collapsed="false">
      <c r="A1134" s="3" t="s">
        <v>749</v>
      </c>
      <c r="B1134" s="3" t="s">
        <v>465</v>
      </c>
      <c r="C1134" s="29" t="n">
        <f aca="false">a25_sh</f>
        <v>0.454700854700855</v>
      </c>
      <c r="D1134" s="29" t="n">
        <f aca="false">a26_sh</f>
        <v>0.508341020486215</v>
      </c>
      <c r="E1134" s="29" t="n">
        <f aca="false">a26_shend*(1+sh_g)</f>
        <v>0.52691</v>
      </c>
      <c r="F1134" s="29" t="n">
        <f aca="false">E1134*(1+sh_g)</f>
        <v>0.52691</v>
      </c>
      <c r="G1134" s="29" t="n">
        <f aca="false">F1134*(1+sh_g)</f>
        <v>0.52691</v>
      </c>
      <c r="H1134" s="31" t="n">
        <f aca="false">G1134*(1+sh_g)</f>
        <v>0.52691</v>
      </c>
      <c r="I1134" s="31" t="n">
        <f aca="false">H1134*(1+sh_g)</f>
        <v>0.52691</v>
      </c>
      <c r="J1134" s="31" t="n">
        <f aca="false">I1134*(1+sh_g)</f>
        <v>0.52691</v>
      </c>
    </row>
    <row r="1135" customFormat="false" ht="17.15" hidden="false" customHeight="false" outlineLevel="0" collapsed="false">
      <c r="A1135" s="0" t="s">
        <v>603</v>
      </c>
      <c r="B1135" s="0" t="s">
        <v>471</v>
      </c>
      <c r="C1135" s="18" t="n">
        <f aca="false">C1133/C1134</f>
        <v>3.51</v>
      </c>
      <c r="D1135" s="18" t="n">
        <f aca="false">D1133/D1134</f>
        <v>13.6943608612652</v>
      </c>
      <c r="E1135" s="18" t="n">
        <f aca="false">E1133/E1134</f>
        <v>27.3826543218881</v>
      </c>
      <c r="F1135" s="18" t="n">
        <f aca="false">F1133/F1134</f>
        <v>32.7984448631523</v>
      </c>
      <c r="G1135" s="18" t="n">
        <f aca="false">G1133/G1134</f>
        <v>38.1313655084736</v>
      </c>
      <c r="H1135" s="28" t="n">
        <f aca="false">H1133/H1134</f>
        <v>43.329562139646</v>
      </c>
      <c r="I1135" s="28" t="n">
        <f aca="false">I1133/I1134</f>
        <v>48.0010963410454</v>
      </c>
      <c r="J1135" s="28" t="n">
        <f aca="false">J1133/J1134</f>
        <v>51.8093923274022</v>
      </c>
    </row>
    <row r="1136" customFormat="false" ht="17.15" hidden="false" customHeight="false" outlineLevel="0" collapsed="false">
      <c r="A1136" s="0" t="s">
        <v>750</v>
      </c>
      <c r="B1136" s="0" t="s">
        <v>43</v>
      </c>
      <c r="D1136" s="20" t="n">
        <f aca="false">D1135/C1135-1</f>
        <v>2.90152731090177</v>
      </c>
      <c r="E1136" s="20" t="n">
        <f aca="false">E1135/D1135-1</f>
        <v>0.999556941670828</v>
      </c>
      <c r="F1136" s="20" t="n">
        <f aca="false">F1135/E1135-1</f>
        <v>0.197781795643349</v>
      </c>
      <c r="G1136" s="20" t="n">
        <f aca="false">G1135/F1135-1</f>
        <v>0.162596753217183</v>
      </c>
      <c r="H1136" s="26" t="n">
        <f aca="false">H1135/G1135-1</f>
        <v>0.136323380027322</v>
      </c>
      <c r="I1136" s="26" t="n">
        <f aca="false">I1135/H1135-1</f>
        <v>0.107814018206407</v>
      </c>
      <c r="J1136" s="26" t="n">
        <f aca="false">J1135/I1135-1</f>
        <v>0.0793376876081948</v>
      </c>
    </row>
    <row r="1137" customFormat="false" ht="17.15" hidden="false" customHeight="false" outlineLevel="0" collapsed="false">
      <c r="A1137" s="3" t="s">
        <v>751</v>
      </c>
      <c r="B1137" s="0" t="s">
        <v>43</v>
      </c>
      <c r="C1137" s="16" t="n">
        <f aca="false">C1133/C1114</f>
        <v>0.0405580544331783</v>
      </c>
      <c r="D1137" s="16" t="n">
        <f aca="false">D1133/D1114</f>
        <v>0.127906349105057</v>
      </c>
      <c r="E1137" s="16" t="n">
        <f aca="false">E1133/E1114</f>
        <v>0.20029703939422</v>
      </c>
      <c r="F1137" s="16" t="n">
        <f aca="false">F1133/F1114</f>
        <v>0.205485933287378</v>
      </c>
      <c r="G1137" s="16" t="n">
        <f aca="false">G1133/G1114</f>
        <v>0.209043346258226</v>
      </c>
      <c r="H1137" s="27" t="n">
        <f aca="false">$G1137+(fade_mA-$G1137)*1/3</f>
        <v>0.213001358068007</v>
      </c>
      <c r="I1137" s="27" t="n">
        <f aca="false">$G1137+(fade_mA-$G1137)*2/3</f>
        <v>0.216959369877787</v>
      </c>
      <c r="J1137" s="27" t="n">
        <f aca="false">$G1137+(fade_mA-$G1137)*3/3</f>
        <v>0.220917381687568</v>
      </c>
    </row>
    <row r="1138" customFormat="false" ht="17.15" hidden="false" customHeight="false" outlineLevel="0" collapsed="false">
      <c r="A1138" s="3" t="s">
        <v>752</v>
      </c>
      <c r="B1138" s="0" t="s">
        <v>43</v>
      </c>
      <c r="C1138" s="20" t="n">
        <f aca="false">C1119/C1114</f>
        <v>0.155421717364235</v>
      </c>
      <c r="D1138" s="20" t="n">
        <f aca="false">D1119/D1114</f>
        <v>0.202110028699624</v>
      </c>
      <c r="E1138" s="20" t="n">
        <f aca="false">E1119/E1114</f>
        <v>0.305411387450526</v>
      </c>
      <c r="F1138" s="20" t="n">
        <f aca="false">F1119/F1114</f>
        <v>0.261586354166839</v>
      </c>
      <c r="G1138" s="20" t="n">
        <f aca="false">G1119/G1114</f>
        <v>0.166470595285405</v>
      </c>
      <c r="H1138" s="26" t="n">
        <f aca="false">$G1138+($G1121*(1+tp_g)^(life/2)-$G1138)*1/3</f>
        <v>0.15878566291669</v>
      </c>
      <c r="I1138" s="26" t="n">
        <f aca="false">$G1138+($G1121*(1+tp_g)^(life/2)-$G1138)*2/3</f>
        <v>0.151100730547974</v>
      </c>
      <c r="J1138" s="26" t="n">
        <f aca="false">$G1138+($G1121*(1+tp_g)^(life/2)-$G1138)*3/3</f>
        <v>0.143415798179259</v>
      </c>
      <c r="K1138" s="7" t="s">
        <v>753</v>
      </c>
    </row>
    <row r="1139" customFormat="false" ht="15" hidden="false" customHeight="false" outlineLevel="0" collapsed="false">
      <c r="A1139" s="3" t="s">
        <v>754</v>
      </c>
      <c r="B1139" s="0" t="s">
        <v>379</v>
      </c>
      <c r="D1139" s="21" t="n">
        <f aca="false">D1133+D1120-D1119</f>
        <v>4.28140537512203</v>
      </c>
      <c r="E1139" s="21" t="n">
        <f aca="false">E1133+E1120-E1119</f>
        <v>1.08319438874607</v>
      </c>
      <c r="F1139" s="21" t="n">
        <f aca="false">F1133+F1120-F1119</f>
        <v>5.60495358284356</v>
      </c>
      <c r="G1139" s="21" t="n">
        <f aca="false">G1133+G1120-G1119</f>
        <v>15.8745321750698</v>
      </c>
      <c r="H1139" s="30" t="n">
        <f aca="false">H1133+H1120-H1119</f>
        <v>18.9513685021685</v>
      </c>
      <c r="I1139" s="30" t="n">
        <f aca="false">I1133+I1120-I1119</f>
        <v>21.9688732003828</v>
      </c>
      <c r="J1139" s="30" t="n">
        <f aca="false">J1133+J1120-J1119</f>
        <v>24.7257308480403</v>
      </c>
      <c r="K1139" s="3" t="s">
        <v>755</v>
      </c>
    </row>
    <row r="1140" customFormat="false" ht="15" hidden="false" customHeight="false" outlineLevel="0" collapsed="false">
      <c r="A1140" s="3" t="s">
        <v>756</v>
      </c>
      <c r="B1140" s="0" t="s">
        <v>471</v>
      </c>
      <c r="D1140" s="18" t="n">
        <f aca="false">D1139/D1134</f>
        <v>8.42230943909854</v>
      </c>
      <c r="E1140" s="18" t="n">
        <f aca="false">E1139/E1134</f>
        <v>2.05574839867543</v>
      </c>
      <c r="F1140" s="18" t="n">
        <f aca="false">F1139/F1134</f>
        <v>10.6374021803412</v>
      </c>
      <c r="G1140" s="18" t="n">
        <f aca="false">G1139/G1134</f>
        <v>30.1275970755344</v>
      </c>
      <c r="H1140" s="28" t="n">
        <f aca="false">H1139/H1134</f>
        <v>35.9669934185506</v>
      </c>
      <c r="I1140" s="28" t="n">
        <f aca="false">I1139/I1134</f>
        <v>41.6937867954353</v>
      </c>
      <c r="J1140" s="28" t="n">
        <f aca="false">J1139/J1134</f>
        <v>46.9259092597223</v>
      </c>
    </row>
    <row r="1143" customFormat="false" ht="17.15" hidden="false" customHeight="false" outlineLevel="0" collapsed="false">
      <c r="A1143" s="1" t="s">
        <v>1109</v>
      </c>
    </row>
    <row r="1144" customFormat="false" ht="17.15" hidden="false" customHeight="false" outlineLevel="0" collapsed="false">
      <c r="A1144" s="4" t="s">
        <v>20</v>
      </c>
      <c r="B1144" s="4" t="s">
        <v>21</v>
      </c>
      <c r="C1144" s="13" t="s">
        <v>566</v>
      </c>
      <c r="D1144" s="13" t="s">
        <v>670</v>
      </c>
      <c r="E1144" s="13" t="s">
        <v>671</v>
      </c>
      <c r="F1144" s="13" t="s">
        <v>672</v>
      </c>
      <c r="G1144" s="13" t="s">
        <v>673</v>
      </c>
      <c r="H1144" s="13" t="s">
        <v>674</v>
      </c>
      <c r="I1144" s="13" t="s">
        <v>675</v>
      </c>
      <c r="J1144" s="13" t="s">
        <v>676</v>
      </c>
      <c r="K1144" s="4" t="s">
        <v>630</v>
      </c>
    </row>
    <row r="1145" customFormat="false" ht="17.15" hidden="false" customHeight="false" outlineLevel="0" collapsed="false">
      <c r="A1145" s="5" t="s">
        <v>694</v>
      </c>
    </row>
    <row r="1146" customFormat="false" ht="17.15" hidden="false" customHeight="false" outlineLevel="0" collapsed="false">
      <c r="A1146" s="0" t="s">
        <v>695</v>
      </c>
      <c r="B1146" s="3" t="s">
        <v>31</v>
      </c>
      <c r="D1146" s="21" t="n">
        <f aca="false">(u_bw_26+u_rb_26+u_ru_26+u_hp_26)*1</f>
        <v>7.6</v>
      </c>
      <c r="E1146" s="21" t="n">
        <f aca="false">(u_bw_27+u_rb_27+u_ru_27+u_hp_27)*1*1</f>
        <v>9.7</v>
      </c>
      <c r="F1146" s="21" t="n">
        <f aca="false">(u_bw_28+u_rb_28+u_ru_28+u_hp_28)*um28_A*1</f>
        <v>9.5</v>
      </c>
      <c r="G1146" s="21" t="n">
        <f aca="false">(u_bw_28*(1+g29_bw)+u_rb_28*(1+g29_rb)+u_ru_28*(1+g29_ru)+u_hp_28*(1+g29_hp))*um29_A*1</f>
        <v>10.6</v>
      </c>
      <c r="K1146" s="7" t="s">
        <v>696</v>
      </c>
    </row>
    <row r="1147" customFormat="false" ht="17.15" hidden="false" customHeight="false" outlineLevel="0" collapsed="false">
      <c r="A1147" s="3" t="s">
        <v>697</v>
      </c>
      <c r="B1147" s="3" t="s">
        <v>31</v>
      </c>
      <c r="D1147" s="21" t="n">
        <f aca="false">(u_amd_26+u_tpu_26+u_trn_26+u_oth_26)*1</f>
        <v>7.6</v>
      </c>
      <c r="E1147" s="21" t="n">
        <f aca="false">(u_amd_27+u_tpu_27+u_trn_27+u_oth_27)*1*1</f>
        <v>14</v>
      </c>
      <c r="F1147" s="21" t="n">
        <f aca="false">(u_amd_28+u_tpu_28+u_trn_28+u_oth_28)*um28_A*1</f>
        <v>17</v>
      </c>
      <c r="G1147" s="21" t="n">
        <f aca="false">(u_amd_28*(1+g29_amd)+u_tpu_28*(1+g29_tpu)+u_trn_28*(1+g29_trn)+u_oth_28*(1+g29_oth))*um29_A*1</f>
        <v>19.55</v>
      </c>
      <c r="K1147" s="7" t="s">
        <v>698</v>
      </c>
    </row>
    <row r="1148" customFormat="false" ht="17.15" hidden="false" customHeight="false" outlineLevel="0" collapsed="false">
      <c r="A1148" s="0" t="s">
        <v>699</v>
      </c>
      <c r="B1148" s="3" t="s">
        <v>31</v>
      </c>
      <c r="D1148" s="21" t="n">
        <f aca="false">D1146*cpu_r</f>
        <v>3.04</v>
      </c>
      <c r="E1148" s="21" t="n">
        <f aca="false">E1146*cpu_r</f>
        <v>3.88</v>
      </c>
      <c r="F1148" s="21" t="n">
        <f aca="false">F1146*cpu_r</f>
        <v>3.8</v>
      </c>
      <c r="G1148" s="21" t="n">
        <f aca="false">G1146*cpu_r</f>
        <v>4.24</v>
      </c>
      <c r="K1148" s="7" t="s">
        <v>700</v>
      </c>
    </row>
    <row r="1149" customFormat="false" ht="17.15" hidden="false" customHeight="false" outlineLevel="0" collapsed="false">
      <c r="A1149" s="3" t="s">
        <v>701</v>
      </c>
      <c r="B1149" s="0" t="s">
        <v>153</v>
      </c>
      <c r="D1149" s="19" t="n">
        <f aca="false">1</f>
        <v>1</v>
      </c>
      <c r="E1149" s="19" t="n">
        <f aca="false">D1149*(1+g_asp)</f>
        <v>1.18</v>
      </c>
      <c r="F1149" s="19" t="n">
        <f aca="false">E1149*(1+g_asp)</f>
        <v>1.3924</v>
      </c>
      <c r="G1149" s="19" t="n">
        <f aca="false">F1149*(1+g_asp)</f>
        <v>1.643032</v>
      </c>
      <c r="K1149" s="7" t="s">
        <v>702</v>
      </c>
    </row>
    <row r="1150" customFormat="false" ht="17.15" hidden="false" customHeight="false" outlineLevel="0" collapsed="false">
      <c r="A1150" s="0" t="s">
        <v>703</v>
      </c>
      <c r="B1150" s="0" t="s">
        <v>153</v>
      </c>
      <c r="D1150" s="18" t="n">
        <f aca="false">1</f>
        <v>1</v>
      </c>
      <c r="E1150" s="18" t="n">
        <f aca="false">ibpp_27</f>
        <v>1</v>
      </c>
      <c r="F1150" s="18" t="n">
        <f aca="false">ibpp_28</f>
        <v>0.95</v>
      </c>
      <c r="G1150" s="18" t="n">
        <f aca="false">ibpp_29</f>
        <v>0.9</v>
      </c>
      <c r="K1150" s="7" t="s">
        <v>704</v>
      </c>
    </row>
    <row r="1151" customFormat="false" ht="17.15" hidden="false" customHeight="false" outlineLevel="0" collapsed="false">
      <c r="A1151" s="3" t="s">
        <v>705</v>
      </c>
      <c r="B1151" s="0" t="s">
        <v>153</v>
      </c>
      <c r="D1151" s="18" t="n">
        <f aca="false">1</f>
        <v>1</v>
      </c>
      <c r="E1151" s="18" t="n">
        <f aca="false">1+carry</f>
        <v>1.15</v>
      </c>
      <c r="F1151" s="18" t="n">
        <f aca="false">1+carry</f>
        <v>1.15</v>
      </c>
      <c r="G1151" s="18" t="n">
        <f aca="false">1+carry</f>
        <v>1.15</v>
      </c>
      <c r="K1151" s="7" t="s">
        <v>706</v>
      </c>
    </row>
    <row r="1152" customFormat="false" ht="17.15" hidden="false" customHeight="false" outlineLevel="0" collapsed="false">
      <c r="A1152" s="3" t="s">
        <v>707</v>
      </c>
      <c r="B1152" s="0" t="s">
        <v>708</v>
      </c>
      <c r="D1152" s="23" t="n">
        <f aca="false">v26*D1149*D1150</f>
        <v>215.308596</v>
      </c>
      <c r="E1152" s="23" t="n">
        <f aca="false">v26*E1149*E1150</f>
        <v>254.06414328</v>
      </c>
      <c r="F1152" s="23" t="n">
        <f aca="false">v26*F1149*F1150</f>
        <v>284.80590461688</v>
      </c>
      <c r="G1152" s="23" t="n">
        <f aca="false">v26*G1149*G1150</f>
        <v>318.383021792765</v>
      </c>
      <c r="K1152" s="7" t="s">
        <v>709</v>
      </c>
    </row>
    <row r="1153" customFormat="false" ht="17.15" hidden="false" customHeight="false" outlineLevel="0" collapsed="false">
      <c r="A1153" s="3" t="s">
        <v>710</v>
      </c>
      <c r="B1153" s="0" t="s">
        <v>43</v>
      </c>
      <c r="D1153" s="20" t="n">
        <f aca="false">sh_nv_26_lo</f>
        <v>0.01</v>
      </c>
      <c r="E1153" s="20" t="n">
        <f aca="false">sh_nv_27_lo</f>
        <v>0.01</v>
      </c>
      <c r="F1153" s="20" t="n">
        <f aca="false">sh_nv_28_lo</f>
        <v>0.02</v>
      </c>
      <c r="G1153" s="20" t="n">
        <f aca="false">sh_nv_29_lo</f>
        <v>0.02</v>
      </c>
    </row>
    <row r="1154" customFormat="false" ht="17.15" hidden="false" customHeight="false" outlineLevel="0" collapsed="false">
      <c r="A1154" s="3" t="s">
        <v>711</v>
      </c>
      <c r="B1154" s="0" t="s">
        <v>43</v>
      </c>
      <c r="D1154" s="20" t="n">
        <f aca="false">sh_ot_26</f>
        <v>0.03</v>
      </c>
      <c r="E1154" s="20" t="n">
        <f aca="false">sh_ot_27</f>
        <v>0.05</v>
      </c>
      <c r="F1154" s="20" t="n">
        <f aca="false">sh_ot_28</f>
        <v>0.06</v>
      </c>
      <c r="G1154" s="20" t="n">
        <f aca="false">sh_ot_29</f>
        <v>0.06</v>
      </c>
    </row>
    <row r="1155" customFormat="false" ht="17.15" hidden="false" customHeight="false" outlineLevel="0" collapsed="false">
      <c r="A1155" s="3" t="s">
        <v>712</v>
      </c>
      <c r="B1155" s="0" t="s">
        <v>43</v>
      </c>
      <c r="D1155" s="20" t="n">
        <f aca="false">sh_cpu_26</f>
        <v>0.35</v>
      </c>
      <c r="E1155" s="20" t="n">
        <f aca="false">sh_cpu_27</f>
        <v>0.7</v>
      </c>
      <c r="F1155" s="20" t="n">
        <f aca="false">sh_cpu_28</f>
        <v>0.75</v>
      </c>
      <c r="G1155" s="20" t="n">
        <f aca="false">sh_cpu_29</f>
        <v>0.7</v>
      </c>
    </row>
    <row r="1156" customFormat="false" ht="17.15" hidden="false" customHeight="false" outlineLevel="0" collapsed="false">
      <c r="A1156" s="3" t="s">
        <v>713</v>
      </c>
      <c r="B1156" s="0" t="s">
        <v>660</v>
      </c>
      <c r="D1156" s="22" t="n">
        <f aca="false">(D1146*D1152*D1153+D1147*D1152*v_ot*D1154+D1148*D1152*v_cpu*D1155)*D1151</f>
        <v>124.3622450496</v>
      </c>
      <c r="E1156" s="22" t="n">
        <f aca="false">(E1146*E1152*E1153+E1147*E1152*v_ot*E1154+E1148*E1152*v_cpu*E1155)*E1151</f>
        <v>430.02134699143</v>
      </c>
      <c r="F1156" s="22" t="n">
        <f aca="false">(F1146*F1152*F1153+F1147*F1152*v_ot*F1154+F1148*F1152*v_cpu*F1155)*F1151</f>
        <v>609.527356765816</v>
      </c>
      <c r="G1156" s="22" t="n">
        <f aca="false">(G1146*G1152*G1153+G1147*G1152*v_ot*G1154+G1148*G1152*v_cpu*G1155)*G1151</f>
        <v>747.219481505875</v>
      </c>
    </row>
    <row r="1157" customFormat="false" ht="17.15" hidden="false" customHeight="false" outlineLevel="0" collapsed="false">
      <c r="A1157" s="3" t="s">
        <v>714</v>
      </c>
      <c r="B1157" s="0" t="s">
        <v>379</v>
      </c>
      <c r="D1157" s="21" t="n">
        <f aca="false">D1156*fx/1000</f>
        <v>4.041772964112</v>
      </c>
      <c r="E1157" s="21" t="n">
        <f aca="false">E1156*fx/1000</f>
        <v>13.9756937772215</v>
      </c>
      <c r="F1157" s="21" t="n">
        <f aca="false">F1156*fx/1000</f>
        <v>19.809639094889</v>
      </c>
      <c r="G1157" s="21" t="n">
        <f aca="false">G1156*fx/1000</f>
        <v>24.2846331489409</v>
      </c>
    </row>
    <row r="1158" customFormat="false" ht="17.15" hidden="false" customHeight="false" outlineLevel="0" collapsed="false">
      <c r="A1158" s="5" t="s">
        <v>715</v>
      </c>
    </row>
    <row r="1159" customFormat="false" ht="17.15" hidden="false" customHeight="false" outlineLevel="0" collapsed="false">
      <c r="A1159" s="0" t="s">
        <v>716</v>
      </c>
      <c r="B1159" s="0" t="s">
        <v>379</v>
      </c>
      <c r="D1159" s="21" t="n">
        <f aca="false">a26_abf*ai_abf</f>
        <v>5.714709</v>
      </c>
      <c r="K1159" s="3" t="s">
        <v>717</v>
      </c>
    </row>
    <row r="1160" customFormat="false" ht="17.15" hidden="false" customHeight="false" outlineLevel="0" collapsed="false">
      <c r="A1160" s="3" t="s">
        <v>718</v>
      </c>
      <c r="B1160" s="0" t="s">
        <v>379</v>
      </c>
      <c r="D1160" s="21" t="n">
        <f aca="false">D1159-D1157</f>
        <v>1.672936035888</v>
      </c>
      <c r="E1160" s="21" t="n">
        <f aca="false">$D1160*(swm_27/swm_26)^el_o*1*1*E1150*E1151</f>
        <v>2.69095058800035</v>
      </c>
      <c r="F1160" s="21" t="n">
        <f aca="false">$D1160*(swm_28/swm_26)^el_o*um28_A*1*F1150*F1151</f>
        <v>2.75004746332976</v>
      </c>
      <c r="G1160" s="21" t="n">
        <f aca="false">$D1160*(swm_29/swm_26)^el_o*um29_A*1*G1150*G1151</f>
        <v>2.77936351291237</v>
      </c>
      <c r="K1160" s="7" t="s">
        <v>719</v>
      </c>
    </row>
    <row r="1161" customFormat="false" ht="17.15" hidden="false" customHeight="false" outlineLevel="0" collapsed="false">
      <c r="A1161" s="3" t="s">
        <v>720</v>
      </c>
      <c r="B1161" s="0" t="s">
        <v>379</v>
      </c>
      <c r="D1161" s="21" t="n">
        <f aca="false">a26_abf-D1159</f>
        <v>17.144127</v>
      </c>
      <c r="E1161" s="21" t="n">
        <f aca="false">$D1161*(1+g_nai)^1*E1151</f>
        <v>20.898690813</v>
      </c>
      <c r="F1161" s="21" t="n">
        <f aca="false">$D1161*(1+g_nai)^2*F1151</f>
        <v>22.15261226178</v>
      </c>
      <c r="G1161" s="21" t="n">
        <f aca="false">$D1161*(1+g_nai)^3*G1151</f>
        <v>23.4817689974868</v>
      </c>
      <c r="K1161" s="3" t="s">
        <v>721</v>
      </c>
    </row>
    <row r="1162" customFormat="false" ht="17.15" hidden="false" customHeight="false" outlineLevel="0" collapsed="false">
      <c r="A1162" s="0" t="s">
        <v>722</v>
      </c>
      <c r="B1162" s="0" t="s">
        <v>379</v>
      </c>
      <c r="D1162" s="21" t="n">
        <f aca="false">D1157+D1160+D1161</f>
        <v>22.858836</v>
      </c>
      <c r="E1162" s="21" t="n">
        <f aca="false">E1157+E1160+E1161</f>
        <v>37.5653351782218</v>
      </c>
      <c r="F1162" s="21" t="n">
        <f aca="false">F1157+F1160+F1161</f>
        <v>44.7122988199988</v>
      </c>
      <c r="G1162" s="21" t="n">
        <f aca="false">G1157+G1160+G1161</f>
        <v>50.5457656593401</v>
      </c>
    </row>
    <row r="1163" customFormat="false" ht="17.15" hidden="false" customHeight="false" outlineLevel="0" collapsed="false">
      <c r="A1163" s="0" t="s">
        <v>723</v>
      </c>
      <c r="B1163" s="0" t="s">
        <v>379</v>
      </c>
      <c r="D1163" s="21" t="n">
        <f aca="false">a26_abf</f>
        <v>22.858836</v>
      </c>
      <c r="E1163" s="21" t="n">
        <f aca="false">$D1162*cap_27*(1+g_mix)^1*E1150*E1151</f>
        <v>33.122453364</v>
      </c>
      <c r="F1163" s="21" t="n">
        <f aca="false">$D1162*cap_28*(1+g_mix)^2*F1150*F1151</f>
        <v>41.2995590382375</v>
      </c>
      <c r="G1163" s="21" t="n">
        <f aca="false">$D1162*cap_29*(1+g_mix)^3*G1150*G1151</f>
        <v>50.6680379569114</v>
      </c>
      <c r="K1163" s="7" t="s">
        <v>724</v>
      </c>
    </row>
    <row r="1164" customFormat="false" ht="17.15" hidden="false" customHeight="false" outlineLevel="0" collapsed="false">
      <c r="A1164" s="0" t="s">
        <v>725</v>
      </c>
      <c r="B1164" s="0" t="s">
        <v>379</v>
      </c>
      <c r="D1164" s="21" t="n">
        <f aca="false">a26_abf</f>
        <v>22.858836</v>
      </c>
      <c r="E1164" s="21" t="n">
        <f aca="false">MIN(E1162,E1163)</f>
        <v>33.122453364</v>
      </c>
      <c r="F1164" s="21" t="n">
        <f aca="false">MIN(F1162,F1163)</f>
        <v>41.2995590382375</v>
      </c>
      <c r="G1164" s="21" t="n">
        <f aca="false">MIN(G1162,G1163)</f>
        <v>50.5457656593401</v>
      </c>
    </row>
    <row r="1165" customFormat="false" ht="17.15" hidden="false" customHeight="false" outlineLevel="0" collapsed="false">
      <c r="A1165" s="3" t="s">
        <v>726</v>
      </c>
      <c r="B1165" s="0" t="s">
        <v>43</v>
      </c>
      <c r="D1165" s="20" t="n">
        <f aca="false">D1164/D1162</f>
        <v>1</v>
      </c>
      <c r="E1165" s="20" t="n">
        <f aca="false">E1164/E1162</f>
        <v>0.8817292114354</v>
      </c>
      <c r="F1165" s="20" t="n">
        <f aca="false">F1164/F1162</f>
        <v>0.923673354494696</v>
      </c>
      <c r="G1165" s="20" t="n">
        <f aca="false">G1164/G1162</f>
        <v>1</v>
      </c>
    </row>
    <row r="1166" customFormat="false" ht="17.15" hidden="false" customHeight="false" outlineLevel="0" collapsed="false">
      <c r="A1166" s="0" t="s">
        <v>727</v>
      </c>
      <c r="B1166" s="0" t="s">
        <v>379</v>
      </c>
      <c r="D1166" s="21" t="n">
        <f aca="false">(D1157+D1160)*D1165</f>
        <v>5.714709</v>
      </c>
      <c r="E1166" s="21" t="n">
        <f aca="false">(E1157+E1160)*E1165</f>
        <v>14.6954671934213</v>
      </c>
      <c r="F1166" s="21" t="n">
        <f aca="false">(F1157+F1160)*F1165</f>
        <v>20.8377813595788</v>
      </c>
      <c r="G1166" s="21" t="n">
        <f aca="false">(G1157+G1160)*G1165</f>
        <v>27.0639966618533</v>
      </c>
    </row>
    <row r="1167" customFormat="false" ht="17.15" hidden="false" customHeight="false" outlineLevel="0" collapsed="false">
      <c r="A1167" s="3" t="s">
        <v>728</v>
      </c>
      <c r="B1167" s="0" t="s">
        <v>43</v>
      </c>
      <c r="D1167" s="20" t="n">
        <f aca="false">D1157/(D1157+D1160)</f>
        <v>0.707257878592244</v>
      </c>
      <c r="E1167" s="20" t="n">
        <f aca="false">E1157/(E1157+E1160)</f>
        <v>0.83854274867618</v>
      </c>
      <c r="F1167" s="20" t="n">
        <f aca="false">F1157/(F1157+F1160)</f>
        <v>0.878099039353546</v>
      </c>
      <c r="G1167" s="20" t="n">
        <f aca="false">G1157/(G1157+G1160)</f>
        <v>0.897304025431326</v>
      </c>
    </row>
    <row r="1168" customFormat="false" ht="17.15" hidden="false" customHeight="false" outlineLevel="0" collapsed="false">
      <c r="A1168" s="5" t="s">
        <v>729</v>
      </c>
    </row>
    <row r="1169" customFormat="false" ht="17.15" hidden="false" customHeight="false" outlineLevel="0" collapsed="false">
      <c r="A1169" s="0" t="s">
        <v>730</v>
      </c>
      <c r="B1169" s="0" t="s">
        <v>379</v>
      </c>
      <c r="D1169" s="21" t="n">
        <f aca="false">a26_bt</f>
        <v>23.265964</v>
      </c>
      <c r="E1169" s="21" t="n">
        <f aca="false">D1169*(1+g_bt27_A)</f>
        <v>29.78043392</v>
      </c>
      <c r="F1169" s="21" t="n">
        <f aca="false">E1169*(1+g_bt28_A)</f>
        <v>32.758477312</v>
      </c>
      <c r="G1169" s="21" t="n">
        <f aca="false">F1169*(1+g_bt29_A)</f>
        <v>34.3964011776</v>
      </c>
      <c r="K1169" s="7" t="s">
        <v>731</v>
      </c>
    </row>
    <row r="1170" customFormat="false" ht="17.15" hidden="false" customHeight="false" outlineLevel="0" collapsed="false">
      <c r="A1170" s="3" t="s">
        <v>616</v>
      </c>
      <c r="B1170" s="0" t="s">
        <v>379</v>
      </c>
      <c r="C1170" s="21" t="n">
        <f aca="false">a25_lens</f>
        <v>7.039</v>
      </c>
      <c r="D1170" s="21" t="n">
        <f aca="false">a26_lens</f>
        <v>8.301</v>
      </c>
      <c r="E1170" s="21" t="n">
        <f aca="false">D1170*(1+g_lens)</f>
        <v>9.1311</v>
      </c>
      <c r="F1170" s="21" t="n">
        <f aca="false">E1170*(1+g_lens)</f>
        <v>10.04421</v>
      </c>
      <c r="G1170" s="21" t="n">
        <f aca="false">F1170*(1+g_lens)</f>
        <v>11.048631</v>
      </c>
      <c r="K1170" s="3" t="s">
        <v>732</v>
      </c>
    </row>
    <row r="1171" customFormat="false" ht="17.15" hidden="false" customHeight="false" outlineLevel="0" collapsed="false">
      <c r="A1171" s="3" t="s">
        <v>573</v>
      </c>
      <c r="B1171" s="0" t="s">
        <v>379</v>
      </c>
      <c r="C1171" s="23" t="n">
        <f aca="false">a25_rev</f>
        <v>39.351</v>
      </c>
      <c r="D1171" s="23" t="n">
        <f aca="false">D1164+D1169+D1170</f>
        <v>54.4258</v>
      </c>
      <c r="E1171" s="23" t="n">
        <f aca="false">E1164+E1169+E1170</f>
        <v>72.033987284</v>
      </c>
      <c r="F1171" s="23" t="n">
        <f aca="false">F1164+F1169+F1170</f>
        <v>84.1022463502375</v>
      </c>
      <c r="G1171" s="23" t="n">
        <f aca="false">G1164+G1169+G1170</f>
        <v>95.9907978369401</v>
      </c>
      <c r="H1171" s="25" t="n">
        <f aca="false">G1171*(1+H1172)</f>
        <v>106.956678489595</v>
      </c>
      <c r="I1171" s="25" t="n">
        <f aca="false">H1171*(1+I1172)</f>
        <v>116.274684099321</v>
      </c>
      <c r="J1171" s="25" t="n">
        <f aca="false">I1171*(1+J1172)</f>
        <v>123.251165145281</v>
      </c>
      <c r="K1171" s="7" t="s">
        <v>733</v>
      </c>
    </row>
    <row r="1172" customFormat="false" ht="15" hidden="false" customHeight="false" outlineLevel="0" collapsed="false">
      <c r="A1172" s="3" t="s">
        <v>734</v>
      </c>
      <c r="B1172" s="0" t="s">
        <v>43</v>
      </c>
      <c r="D1172" s="20" t="n">
        <f aca="false">D1171/C1171-1</f>
        <v>0.383085563263958</v>
      </c>
      <c r="E1172" s="20" t="n">
        <f aca="false">E1171/D1171-1</f>
        <v>0.323526476119781</v>
      </c>
      <c r="F1172" s="20" t="n">
        <f aca="false">F1171/E1171-1</f>
        <v>0.167535624796909</v>
      </c>
      <c r="G1172" s="20" t="n">
        <f aca="false">G1171/F1171-1</f>
        <v>0.141358310896877</v>
      </c>
      <c r="H1172" s="26" t="n">
        <f aca="false">$G1172+(fade_gA-$G1172)*1/3</f>
        <v>0.114238873931251</v>
      </c>
      <c r="I1172" s="26" t="n">
        <f aca="false">$G1172+(fade_gA-$G1172)*2/3</f>
        <v>0.0871194369656257</v>
      </c>
      <c r="J1172" s="26" t="n">
        <f aca="false">$G1172+(fade_gA-$G1172)*3/3</f>
        <v>0.06</v>
      </c>
    </row>
    <row r="1173" customFormat="false" ht="17.15" hidden="false" customHeight="false" outlineLevel="0" collapsed="false">
      <c r="A1173" s="0" t="s">
        <v>735</v>
      </c>
      <c r="B1173" s="0" t="s">
        <v>43</v>
      </c>
      <c r="D1173" s="20" t="n">
        <f aca="false">D1164/D1171</f>
        <v>0.42</v>
      </c>
      <c r="E1173" s="20" t="n">
        <f aca="false">E1164/E1171</f>
        <v>0.459817019893845</v>
      </c>
      <c r="F1173" s="20" t="n">
        <f aca="false">F1164/F1171</f>
        <v>0.491063685341395</v>
      </c>
      <c r="G1173" s="20" t="n">
        <f aca="false">G1164/G1171</f>
        <v>0.52656886699913</v>
      </c>
    </row>
    <row r="1174" customFormat="false" ht="17.15" hidden="false" customHeight="false" outlineLevel="0" collapsed="false">
      <c r="A1174" s="0" t="s">
        <v>736</v>
      </c>
      <c r="B1174" s="0" t="s">
        <v>43</v>
      </c>
      <c r="D1174" s="20" t="n">
        <f aca="false">D1166/D1171</f>
        <v>0.105</v>
      </c>
      <c r="E1174" s="20" t="n">
        <f aca="false">E1166/E1171</f>
        <v>0.204007410217113</v>
      </c>
      <c r="F1174" s="20" t="n">
        <f aca="false">F1166/F1171</f>
        <v>0.247767238853543</v>
      </c>
      <c r="G1174" s="20" t="n">
        <f aca="false">G1166/G1171</f>
        <v>0.281943657847568</v>
      </c>
      <c r="K1174" s="3" t="s">
        <v>737</v>
      </c>
    </row>
    <row r="1175" customFormat="false" ht="17.15" hidden="false" customHeight="false" outlineLevel="0" collapsed="false">
      <c r="A1175" s="5" t="s">
        <v>738</v>
      </c>
    </row>
    <row r="1176" customFormat="false" ht="15" hidden="false" customHeight="false" outlineLevel="0" collapsed="false">
      <c r="A1176" s="3" t="s">
        <v>739</v>
      </c>
      <c r="B1176" s="0" t="s">
        <v>379</v>
      </c>
      <c r="C1176" s="23" t="n">
        <f aca="false">a25_cx</f>
        <v>6.116</v>
      </c>
      <c r="D1176" s="23" t="n">
        <f aca="false">capex26</f>
        <v>11</v>
      </c>
      <c r="E1176" s="23" t="n">
        <f aca="false">cx27</f>
        <v>17</v>
      </c>
      <c r="F1176" s="23" t="n">
        <f aca="false">cx28</f>
        <v>16</v>
      </c>
      <c r="G1176" s="23" t="n">
        <f aca="false">cx29</f>
        <v>12</v>
      </c>
      <c r="H1176" s="25" t="n">
        <f aca="false">H1171*H1195</f>
        <v>13.4700234769409</v>
      </c>
      <c r="I1176" s="25" t="n">
        <f aca="false">I1171*I1195</f>
        <v>14.7513198290513</v>
      </c>
      <c r="J1176" s="25" t="n">
        <f aca="false">J1171*J1195</f>
        <v>15.750662239133</v>
      </c>
    </row>
    <row r="1177" customFormat="false" ht="17.15" hidden="false" customHeight="false" outlineLevel="0" collapsed="false">
      <c r="A1177" s="3" t="s">
        <v>740</v>
      </c>
      <c r="B1177" s="0" t="s">
        <v>379</v>
      </c>
      <c r="C1177" s="23" t="n">
        <f aca="false">a25_da</f>
        <v>7.158</v>
      </c>
      <c r="D1177" s="23" t="n">
        <f aca="false">da26</f>
        <v>8.32</v>
      </c>
      <c r="E1177" s="23" t="n">
        <f aca="false">D1177*(1-1/life)+D1176/life</f>
        <v>8.655</v>
      </c>
      <c r="F1177" s="23" t="n">
        <f aca="false">E1177*(1-1/life)+E1176/life</f>
        <v>9.698125</v>
      </c>
      <c r="G1177" s="23" t="n">
        <f aca="false">F1177*(1-1/life)+F1176/life</f>
        <v>10.485859375</v>
      </c>
      <c r="H1177" s="25" t="n">
        <f aca="false">H1171*H1178</f>
        <v>11.6837521422015</v>
      </c>
      <c r="I1177" s="25" t="n">
        <f aca="false">I1171*I1178</f>
        <v>12.701634050476</v>
      </c>
      <c r="J1177" s="25" t="n">
        <f aca="false">J1171*J1178</f>
        <v>13.4637320935045</v>
      </c>
      <c r="K1177" s="3" t="s">
        <v>741</v>
      </c>
    </row>
    <row r="1178" customFormat="false" ht="17.15" hidden="false" customHeight="false" outlineLevel="0" collapsed="false">
      <c r="A1178" s="3" t="s">
        <v>742</v>
      </c>
      <c r="B1178" s="0" t="s">
        <v>43</v>
      </c>
      <c r="C1178" s="20" t="n">
        <f aca="false">C1177/C1171</f>
        <v>0.181901349393916</v>
      </c>
      <c r="D1178" s="20" t="n">
        <f aca="false">D1177/D1171</f>
        <v>0.152868676252807</v>
      </c>
      <c r="E1178" s="20" t="n">
        <f aca="false">E1177/E1171</f>
        <v>0.120151616290196</v>
      </c>
      <c r="F1178" s="20" t="n">
        <f aca="false">F1177/F1171</f>
        <v>0.115313507318376</v>
      </c>
      <c r="G1178" s="20" t="n">
        <f aca="false">G1177/G1171</f>
        <v>0.109238172942498</v>
      </c>
      <c r="H1178" s="26" t="n">
        <f aca="false">$G1178</f>
        <v>0.109238172942498</v>
      </c>
      <c r="I1178" s="26" t="n">
        <f aca="false">$G1178</f>
        <v>0.109238172942498</v>
      </c>
      <c r="J1178" s="26" t="n">
        <f aca="false">$G1178</f>
        <v>0.109238172942498</v>
      </c>
    </row>
    <row r="1179" customFormat="false" ht="17.15" hidden="false" customHeight="false" outlineLevel="0" collapsed="false">
      <c r="A1179" s="0" t="s">
        <v>743</v>
      </c>
      <c r="B1179" s="0" t="s">
        <v>379</v>
      </c>
      <c r="E1179" s="21" t="n">
        <f aca="false">E1165*((E1157+E1160)*(1-1/(E1150*E1151))+E1161*(1-1/E1151))</f>
        <v>4.320320004</v>
      </c>
      <c r="F1179" s="21" t="n">
        <f aca="false">F1165*((F1157+F1160)*(1-1/(F1150*F1151))+F1161*(1-1/F1151))</f>
        <v>4.43322480088778</v>
      </c>
      <c r="G1179" s="21" t="n">
        <f aca="false">G1165*((G1157+G1160)*(1-1/(G1150*G1151))+G1161*(1-1/G1151))</f>
        <v>3.97804705103921</v>
      </c>
      <c r="K1179" s="7" t="s">
        <v>744</v>
      </c>
    </row>
    <row r="1180" customFormat="false" ht="17.15" hidden="false" customHeight="false" outlineLevel="0" collapsed="false">
      <c r="A1180" s="3" t="s">
        <v>745</v>
      </c>
      <c r="B1180" s="0" t="s">
        <v>379</v>
      </c>
      <c r="C1180" s="21" t="n">
        <f aca="false">a25_gp</f>
        <v>8.314</v>
      </c>
      <c r="D1180" s="21" t="n">
        <f aca="false">a26_gp</f>
        <v>15.328536</v>
      </c>
      <c r="E1180" s="21" t="n">
        <f aca="false">$D1180+ft_abf*(E1164-E1179-$D1164)+ft_bt*(E1169-$D1169)+ft_lens*(E1170-$D1170)+E1179-(E1177-$D1177)</f>
        <v>25.590561148</v>
      </c>
      <c r="F1180" s="21" t="n">
        <f aca="false">$D1180+ft_abf*(F1164-F1179-$D1164)+ft_bt*(F1169-$D1169)+ft_lens*(F1170-$D1170)+F1179-(F1177-$D1177)</f>
        <v>30.4434604099626</v>
      </c>
      <c r="G1180" s="21" t="n">
        <f aca="false">$D1180+ft_abf*(G1164-G1179-$D1164)+ft_bt*(G1169-$D1169)+ft_lens*(G1170-$D1170)+G1179-(G1177-$D1177)</f>
        <v>35.2402956601097</v>
      </c>
      <c r="K1180" s="3" t="s">
        <v>746</v>
      </c>
    </row>
    <row r="1181" customFormat="false" ht="15" hidden="false" customHeight="false" outlineLevel="0" collapsed="false">
      <c r="A1181" s="3" t="s">
        <v>580</v>
      </c>
      <c r="B1181" s="0" t="s">
        <v>43</v>
      </c>
      <c r="C1181" s="16" t="n">
        <f aca="false">C1180/C1171</f>
        <v>0.211277985311682</v>
      </c>
      <c r="D1181" s="16" t="n">
        <f aca="false">D1180/D1171</f>
        <v>0.281640986443929</v>
      </c>
      <c r="E1181" s="16" t="n">
        <f aca="false">E1180/E1171</f>
        <v>0.3552567629931</v>
      </c>
      <c r="F1181" s="16" t="n">
        <f aca="false">F1180/F1171</f>
        <v>0.361981537130211</v>
      </c>
      <c r="G1181" s="16" t="n">
        <f aca="false">G1180/G1171</f>
        <v>0.367121603885119</v>
      </c>
    </row>
    <row r="1182" customFormat="false" ht="15" hidden="false" customHeight="false" outlineLevel="0" collapsed="false">
      <c r="A1182" s="3" t="s">
        <v>582</v>
      </c>
      <c r="B1182" s="0" t="s">
        <v>379</v>
      </c>
      <c r="C1182" s="21" t="n">
        <f aca="false">a25_opx</f>
        <v>5.644</v>
      </c>
      <c r="D1182" s="21" t="n">
        <f aca="false">a26_opx</f>
        <v>6.54036</v>
      </c>
      <c r="E1182" s="21" t="n">
        <f aca="false">D1182*(1+phi*E1172)</f>
        <v>7.80994777401287</v>
      </c>
      <c r="F1182" s="21" t="n">
        <f aca="false">E1182*(1+phi*F1172)</f>
        <v>8.59501446198315</v>
      </c>
      <c r="G1182" s="21" t="n">
        <f aca="false">F1182*(1+phi*G1172)</f>
        <v>9.32400049787125</v>
      </c>
    </row>
    <row r="1183" customFormat="false" ht="15" hidden="false" customHeight="false" outlineLevel="0" collapsed="false">
      <c r="A1183" s="3" t="s">
        <v>585</v>
      </c>
      <c r="B1183" s="0" t="s">
        <v>379</v>
      </c>
      <c r="C1183" s="21" t="n">
        <f aca="false">C1180-C1182</f>
        <v>2.67</v>
      </c>
      <c r="D1183" s="21" t="n">
        <f aca="false">D1180-D1182</f>
        <v>8.788176</v>
      </c>
      <c r="E1183" s="21" t="n">
        <f aca="false">E1180-E1182</f>
        <v>17.7806133739871</v>
      </c>
      <c r="F1183" s="21" t="n">
        <f aca="false">F1180-F1182</f>
        <v>21.8484459479795</v>
      </c>
      <c r="G1183" s="21" t="n">
        <f aca="false">G1180-G1182</f>
        <v>25.9162951622384</v>
      </c>
    </row>
    <row r="1184" customFormat="false" ht="15" hidden="false" customHeight="false" outlineLevel="0" collapsed="false">
      <c r="A1184" s="3" t="s">
        <v>683</v>
      </c>
      <c r="B1184" s="0" t="s">
        <v>43</v>
      </c>
      <c r="C1184" s="16" t="n">
        <f aca="false">C1183/C1171</f>
        <v>0.0678508805367081</v>
      </c>
      <c r="D1184" s="16" t="n">
        <f aca="false">D1183/D1171</f>
        <v>0.161470773052486</v>
      </c>
      <c r="E1184" s="16" t="n">
        <f aca="false">E1183/E1171</f>
        <v>0.246836445466854</v>
      </c>
      <c r="F1184" s="16" t="n">
        <f aca="false">F1183/F1171</f>
        <v>0.2597843327156</v>
      </c>
      <c r="G1184" s="16" t="n">
        <f aca="false">G1183/G1171</f>
        <v>0.269987287805051</v>
      </c>
    </row>
    <row r="1185" customFormat="false" ht="15" hidden="false" customHeight="false" outlineLevel="0" collapsed="false">
      <c r="A1185" s="3" t="s">
        <v>588</v>
      </c>
      <c r="B1185" s="0" t="s">
        <v>379</v>
      </c>
      <c r="C1185" s="21" t="n">
        <f aca="false">a25_nonop</f>
        <v>0.417</v>
      </c>
      <c r="D1185" s="21" t="n">
        <f aca="false">a26_nonop</f>
        <v>0.37882</v>
      </c>
      <c r="E1185" s="21" t="n">
        <f aca="false">nonop27</f>
        <v>0.4</v>
      </c>
      <c r="F1185" s="21" t="n">
        <f aca="false">nonop28</f>
        <v>0.4</v>
      </c>
      <c r="G1185" s="21" t="n">
        <f aca="false">nonop29</f>
        <v>0.4</v>
      </c>
    </row>
    <row r="1186" customFormat="false" ht="15" hidden="false" customHeight="false" outlineLevel="0" collapsed="false">
      <c r="A1186" s="3" t="s">
        <v>590</v>
      </c>
      <c r="B1186" s="0" t="s">
        <v>379</v>
      </c>
      <c r="C1186" s="21" t="n">
        <f aca="false">C1183+C1185</f>
        <v>3.087</v>
      </c>
      <c r="D1186" s="21" t="n">
        <f aca="false">D1183+D1185</f>
        <v>9.166996</v>
      </c>
      <c r="E1186" s="21" t="n">
        <f aca="false">E1183+E1185</f>
        <v>18.1806133739871</v>
      </c>
      <c r="F1186" s="21" t="n">
        <f aca="false">F1183+F1185</f>
        <v>22.2484459479795</v>
      </c>
      <c r="G1186" s="21" t="n">
        <f aca="false">G1183+G1185</f>
        <v>26.3162951622384</v>
      </c>
    </row>
    <row r="1187" customFormat="false" ht="15" hidden="false" customHeight="false" outlineLevel="0" collapsed="false">
      <c r="A1187" s="3" t="s">
        <v>591</v>
      </c>
      <c r="B1187" s="0" t="s">
        <v>379</v>
      </c>
      <c r="E1187" s="21" t="n">
        <f aca="false">E1186*tax</f>
        <v>2.18167360487846</v>
      </c>
      <c r="F1187" s="21" t="n">
        <f aca="false">F1186*tax</f>
        <v>2.66981351375754</v>
      </c>
      <c r="G1187" s="21" t="n">
        <f aca="false">G1186*tax</f>
        <v>3.15795541946861</v>
      </c>
    </row>
    <row r="1188" customFormat="false" ht="15" hidden="false" customHeight="false" outlineLevel="0" collapsed="false">
      <c r="A1188" s="3" t="s">
        <v>592</v>
      </c>
      <c r="B1188" s="0" t="s">
        <v>379</v>
      </c>
      <c r="C1188" s="21" t="n">
        <f aca="false">a25_nic</f>
        <v>2.71712</v>
      </c>
      <c r="D1188" s="21" t="n">
        <f aca="false">a26_nic</f>
        <v>8.39979776</v>
      </c>
      <c r="E1188" s="21" t="n">
        <f aca="false">E1186-E1187</f>
        <v>15.9989397691087</v>
      </c>
      <c r="F1188" s="21" t="n">
        <f aca="false">F1186-F1187</f>
        <v>19.5786324342219</v>
      </c>
      <c r="G1188" s="21" t="n">
        <f aca="false">G1186-G1187</f>
        <v>23.1583397427698</v>
      </c>
    </row>
    <row r="1189" customFormat="false" ht="17.15" hidden="false" customHeight="false" outlineLevel="0" collapsed="false">
      <c r="A1189" s="3" t="s">
        <v>747</v>
      </c>
      <c r="B1189" s="0" t="s">
        <v>379</v>
      </c>
      <c r="C1189" s="21" t="n">
        <f aca="false">a25_nci</f>
        <v>1.12112</v>
      </c>
      <c r="D1189" s="21" t="n">
        <f aca="false">a26_nci</f>
        <v>1.43839238487797</v>
      </c>
      <c r="E1189" s="21" t="n">
        <f aca="false">E1170*nm_lens*nci_sh</f>
        <v>1.57074538036261</v>
      </c>
      <c r="F1189" s="21" t="n">
        <f aca="false">F1170*nm_lens*nci_sh</f>
        <v>1.72781991839887</v>
      </c>
      <c r="G1189" s="21" t="n">
        <f aca="false">G1170*nm_lens*nci_sh</f>
        <v>1.90060191023875</v>
      </c>
      <c r="K1189" s="3" t="s">
        <v>748</v>
      </c>
    </row>
    <row r="1190" customFormat="false" ht="15" hidden="false" customHeight="false" outlineLevel="0" collapsed="false">
      <c r="A1190" s="3" t="s">
        <v>598</v>
      </c>
      <c r="B1190" s="0" t="s">
        <v>379</v>
      </c>
      <c r="C1190" s="21" t="n">
        <f aca="false">a25_ni</f>
        <v>1.596</v>
      </c>
      <c r="D1190" s="21" t="n">
        <f aca="false">a26_ni</f>
        <v>6.96140537512203</v>
      </c>
      <c r="E1190" s="21" t="n">
        <f aca="false">E1188-E1189</f>
        <v>14.4281943887461</v>
      </c>
      <c r="F1190" s="21" t="n">
        <f aca="false">F1188-F1189</f>
        <v>17.8508125158231</v>
      </c>
      <c r="G1190" s="21" t="n">
        <f aca="false">G1188-G1189</f>
        <v>21.2577378325311</v>
      </c>
      <c r="H1190" s="30" t="n">
        <f aca="false">H1171*H1194</f>
        <v>23.6669950318702</v>
      </c>
      <c r="I1190" s="30" t="n">
        <f aca="false">I1171*I1194</f>
        <v>25.7079745407431</v>
      </c>
      <c r="J1190" s="30" t="n">
        <f aca="false">J1171*J1194</f>
        <v>27.2283246938375</v>
      </c>
    </row>
    <row r="1191" customFormat="false" ht="15" hidden="false" customHeight="false" outlineLevel="0" collapsed="false">
      <c r="A1191" s="3" t="s">
        <v>749</v>
      </c>
      <c r="B1191" s="3" t="s">
        <v>465</v>
      </c>
      <c r="C1191" s="29" t="n">
        <f aca="false">a25_sh</f>
        <v>0.454700854700855</v>
      </c>
      <c r="D1191" s="29" t="n">
        <f aca="false">a26_sh</f>
        <v>0.508341020486215</v>
      </c>
      <c r="E1191" s="29" t="n">
        <f aca="false">a26_shend*(1+sh_g)</f>
        <v>0.52691</v>
      </c>
      <c r="F1191" s="29" t="n">
        <f aca="false">E1191*(1+sh_g)</f>
        <v>0.52691</v>
      </c>
      <c r="G1191" s="29" t="n">
        <f aca="false">F1191*(1+sh_g)</f>
        <v>0.52691</v>
      </c>
      <c r="H1191" s="31" t="n">
        <f aca="false">G1191*(1+sh_g)</f>
        <v>0.52691</v>
      </c>
      <c r="I1191" s="31" t="n">
        <f aca="false">H1191*(1+sh_g)</f>
        <v>0.52691</v>
      </c>
      <c r="J1191" s="31" t="n">
        <f aca="false">I1191*(1+sh_g)</f>
        <v>0.52691</v>
      </c>
    </row>
    <row r="1192" customFormat="false" ht="17.15" hidden="false" customHeight="false" outlineLevel="0" collapsed="false">
      <c r="A1192" s="0" t="s">
        <v>603</v>
      </c>
      <c r="B1192" s="0" t="s">
        <v>471</v>
      </c>
      <c r="C1192" s="18" t="n">
        <f aca="false">C1190/C1191</f>
        <v>3.51</v>
      </c>
      <c r="D1192" s="18" t="n">
        <f aca="false">D1190/D1191</f>
        <v>13.6943608612652</v>
      </c>
      <c r="E1192" s="18" t="n">
        <f aca="false">E1190/E1191</f>
        <v>27.3826543218881</v>
      </c>
      <c r="F1192" s="18" t="n">
        <f aca="false">F1190/F1191</f>
        <v>33.8782951848002</v>
      </c>
      <c r="G1192" s="18" t="n">
        <f aca="false">G1190/G1191</f>
        <v>40.3441533326964</v>
      </c>
      <c r="H1192" s="28" t="n">
        <f aca="false">H1190/H1191</f>
        <v>44.9165797420246</v>
      </c>
      <c r="I1192" s="28" t="n">
        <f aca="false">I1190/I1191</f>
        <v>48.7900676410451</v>
      </c>
      <c r="J1192" s="28" t="n">
        <f aca="false">J1190/J1191</f>
        <v>51.67547530667</v>
      </c>
    </row>
    <row r="1193" customFormat="false" ht="17.15" hidden="false" customHeight="false" outlineLevel="0" collapsed="false">
      <c r="A1193" s="0" t="s">
        <v>750</v>
      </c>
      <c r="B1193" s="0" t="s">
        <v>43</v>
      </c>
      <c r="D1193" s="20" t="n">
        <f aca="false">D1192/C1192-1</f>
        <v>2.90152731090177</v>
      </c>
      <c r="E1193" s="20" t="n">
        <f aca="false">E1192/D1192-1</f>
        <v>0.999556941670828</v>
      </c>
      <c r="F1193" s="20" t="n">
        <f aca="false">F1192/E1192-1</f>
        <v>0.237217356161118</v>
      </c>
      <c r="G1193" s="20" t="n">
        <f aca="false">G1192/F1192-1</f>
        <v>0.190855475832713</v>
      </c>
      <c r="H1193" s="26" t="n">
        <f aca="false">H1192/G1192-1</f>
        <v>0.113335540136929</v>
      </c>
      <c r="I1193" s="26" t="n">
        <f aca="false">I1192/H1192-1</f>
        <v>0.0862373742895746</v>
      </c>
      <c r="J1193" s="26" t="n">
        <f aca="false">J1192/I1192-1</f>
        <v>0.059139242988002</v>
      </c>
    </row>
    <row r="1194" customFormat="false" ht="17.15" hidden="false" customHeight="false" outlineLevel="0" collapsed="false">
      <c r="A1194" s="3" t="s">
        <v>751</v>
      </c>
      <c r="B1194" s="0" t="s">
        <v>43</v>
      </c>
      <c r="C1194" s="16" t="n">
        <f aca="false">C1190/C1171</f>
        <v>0.0405580544331783</v>
      </c>
      <c r="D1194" s="16" t="n">
        <f aca="false">D1190/D1171</f>
        <v>0.127906349105057</v>
      </c>
      <c r="E1194" s="16" t="n">
        <f aca="false">E1190/E1171</f>
        <v>0.20029703939422</v>
      </c>
      <c r="F1194" s="16" t="n">
        <f aca="false">F1190/F1171</f>
        <v>0.212251316587725</v>
      </c>
      <c r="G1194" s="16" t="n">
        <f aca="false">G1190/G1171</f>
        <v>0.221455996945058</v>
      </c>
      <c r="H1194" s="27" t="n">
        <f aca="false">$G1194+(fade_mA-$G1194)*1/3</f>
        <v>0.221276458525894</v>
      </c>
      <c r="I1194" s="27" t="n">
        <f aca="false">$G1194+(fade_mA-$G1194)*2/3</f>
        <v>0.221096920106731</v>
      </c>
      <c r="J1194" s="27" t="n">
        <f aca="false">$G1194+(fade_mA-$G1194)*3/3</f>
        <v>0.220917381687568</v>
      </c>
    </row>
    <row r="1195" customFormat="false" ht="17.15" hidden="false" customHeight="false" outlineLevel="0" collapsed="false">
      <c r="A1195" s="3" t="s">
        <v>752</v>
      </c>
      <c r="B1195" s="0" t="s">
        <v>43</v>
      </c>
      <c r="C1195" s="20" t="n">
        <f aca="false">C1176/C1171</f>
        <v>0.155421717364235</v>
      </c>
      <c r="D1195" s="20" t="n">
        <f aca="false">D1176/D1171</f>
        <v>0.202110028699624</v>
      </c>
      <c r="E1195" s="20" t="n">
        <f aca="false">E1176/E1171</f>
        <v>0.235999708484498</v>
      </c>
      <c r="F1195" s="20" t="n">
        <f aca="false">F1176/F1171</f>
        <v>0.190244621212247</v>
      </c>
      <c r="G1195" s="20" t="n">
        <f aca="false">G1176/G1171</f>
        <v>0.125011983131804</v>
      </c>
      <c r="H1195" s="26" t="n">
        <f aca="false">$G1195+($G1178*(1+tp_g)^(life/2)-$G1195)*1/3</f>
        <v>0.125939059319717</v>
      </c>
      <c r="I1195" s="26" t="n">
        <f aca="false">$G1195+($G1178*(1+tp_g)^(life/2)-$G1195)*2/3</f>
        <v>0.126866135507629</v>
      </c>
      <c r="J1195" s="26" t="n">
        <f aca="false">$G1195+($G1178*(1+tp_g)^(life/2)-$G1195)*3/3</f>
        <v>0.127793211695541</v>
      </c>
      <c r="K1195" s="7" t="s">
        <v>753</v>
      </c>
    </row>
    <row r="1196" customFormat="false" ht="15" hidden="false" customHeight="false" outlineLevel="0" collapsed="false">
      <c r="A1196" s="3" t="s">
        <v>754</v>
      </c>
      <c r="B1196" s="0" t="s">
        <v>379</v>
      </c>
      <c r="D1196" s="21" t="n">
        <f aca="false">D1190+D1177-D1176</f>
        <v>4.28140537512203</v>
      </c>
      <c r="E1196" s="21" t="n">
        <f aca="false">E1190+E1177-E1176</f>
        <v>6.08319438874607</v>
      </c>
      <c r="F1196" s="21" t="n">
        <f aca="false">F1190+F1177-F1176</f>
        <v>11.5489375158231</v>
      </c>
      <c r="G1196" s="21" t="n">
        <f aca="false">G1190+G1177-G1176</f>
        <v>19.7435972075311</v>
      </c>
      <c r="H1196" s="30" t="n">
        <f aca="false">H1190+H1177-H1176</f>
        <v>21.8807236971307</v>
      </c>
      <c r="I1196" s="30" t="n">
        <f aca="false">I1190+I1177-I1176</f>
        <v>23.6582887621678</v>
      </c>
      <c r="J1196" s="30" t="n">
        <f aca="false">J1190+J1177-J1176</f>
        <v>24.941394548209</v>
      </c>
      <c r="K1196" s="3" t="s">
        <v>755</v>
      </c>
    </row>
    <row r="1197" customFormat="false" ht="15" hidden="false" customHeight="false" outlineLevel="0" collapsed="false">
      <c r="A1197" s="3" t="s">
        <v>756</v>
      </c>
      <c r="B1197" s="0" t="s">
        <v>471</v>
      </c>
      <c r="D1197" s="18" t="n">
        <f aca="false">D1196/D1191</f>
        <v>8.42230943909854</v>
      </c>
      <c r="E1197" s="18" t="n">
        <f aca="false">E1196/E1191</f>
        <v>11.5450349941092</v>
      </c>
      <c r="F1197" s="18" t="n">
        <f aca="false">F1196/F1191</f>
        <v>21.9182355920804</v>
      </c>
      <c r="G1197" s="18" t="n">
        <f aca="false">G1196/G1191</f>
        <v>37.4705304654136</v>
      </c>
      <c r="H1197" s="28" t="n">
        <f aca="false">H1196/H1191</f>
        <v>41.5264916155145</v>
      </c>
      <c r="I1197" s="28" t="n">
        <f aca="false">I1196/I1191</f>
        <v>44.9000564843479</v>
      </c>
      <c r="J1197" s="28" t="n">
        <f aca="false">J1196/J1191</f>
        <v>47.3352081915488</v>
      </c>
    </row>
    <row r="1200" customFormat="false" ht="17.15" hidden="false" customHeight="false" outlineLevel="0" collapsed="false">
      <c r="A1200" s="1" t="s">
        <v>1110</v>
      </c>
    </row>
    <row r="1201" customFormat="false" ht="17.15" hidden="false" customHeight="false" outlineLevel="0" collapsed="false">
      <c r="A1201" s="4" t="s">
        <v>20</v>
      </c>
      <c r="B1201" s="4" t="s">
        <v>21</v>
      </c>
      <c r="C1201" s="13" t="s">
        <v>566</v>
      </c>
      <c r="D1201" s="13" t="s">
        <v>670</v>
      </c>
      <c r="E1201" s="13" t="s">
        <v>671</v>
      </c>
      <c r="F1201" s="13" t="s">
        <v>672</v>
      </c>
      <c r="G1201" s="13" t="s">
        <v>673</v>
      </c>
      <c r="H1201" s="13" t="s">
        <v>674</v>
      </c>
      <c r="I1201" s="13" t="s">
        <v>675</v>
      </c>
      <c r="J1201" s="13" t="s">
        <v>676</v>
      </c>
      <c r="K1201" s="4" t="s">
        <v>630</v>
      </c>
    </row>
    <row r="1202" customFormat="false" ht="17.15" hidden="false" customHeight="false" outlineLevel="0" collapsed="false">
      <c r="A1202" s="5" t="s">
        <v>694</v>
      </c>
    </row>
    <row r="1203" customFormat="false" ht="17.15" hidden="false" customHeight="false" outlineLevel="0" collapsed="false">
      <c r="A1203" s="0" t="s">
        <v>695</v>
      </c>
      <c r="B1203" s="3" t="s">
        <v>31</v>
      </c>
      <c r="D1203" s="21" t="n">
        <f aca="false">(u_bw_26+u_rb_26+u_ru_26+u_hp_26)*1</f>
        <v>7.6</v>
      </c>
      <c r="E1203" s="21" t="n">
        <f aca="false">(u_bw_27+u_rb_27+u_ru_27+u_hp_27)*1*1</f>
        <v>9.7</v>
      </c>
      <c r="F1203" s="21" t="n">
        <f aca="false">(u_bw_28+u_rb_28+u_ru_28+u_hp_28)*um28_A*1</f>
        <v>9.5</v>
      </c>
      <c r="G1203" s="21" t="n">
        <f aca="false">(u_bw_28*(1+g29_bw)+u_rb_28*(1+g29_rb)+u_ru_28*(1+g29_ru)+u_hp_28*(1+g29_hp))*um29_A*1</f>
        <v>10.6</v>
      </c>
      <c r="K1203" s="7" t="s">
        <v>696</v>
      </c>
    </row>
    <row r="1204" customFormat="false" ht="17.15" hidden="false" customHeight="false" outlineLevel="0" collapsed="false">
      <c r="A1204" s="3" t="s">
        <v>697</v>
      </c>
      <c r="B1204" s="3" t="s">
        <v>31</v>
      </c>
      <c r="D1204" s="21" t="n">
        <f aca="false">(u_amd_26+u_tpu_26+u_trn_26+u_oth_26)*1</f>
        <v>7.6</v>
      </c>
      <c r="E1204" s="21" t="n">
        <f aca="false">(u_amd_27+u_tpu_27+u_trn_27+u_oth_27)*1*1</f>
        <v>14</v>
      </c>
      <c r="F1204" s="21" t="n">
        <f aca="false">(u_amd_28+u_tpu_28+u_trn_28+u_oth_28)*um28_A*1</f>
        <v>17</v>
      </c>
      <c r="G1204" s="21" t="n">
        <f aca="false">(u_amd_28*(1+g29_amd)+u_tpu_28*(1+g29_tpu)+u_trn_28*(1+g29_trn)+u_oth_28*(1+g29_oth))*um29_A*1</f>
        <v>19.55</v>
      </c>
      <c r="K1204" s="7" t="s">
        <v>698</v>
      </c>
    </row>
    <row r="1205" customFormat="false" ht="17.15" hidden="false" customHeight="false" outlineLevel="0" collapsed="false">
      <c r="A1205" s="0" t="s">
        <v>699</v>
      </c>
      <c r="B1205" s="3" t="s">
        <v>31</v>
      </c>
      <c r="D1205" s="21" t="n">
        <f aca="false">D1203*cpu_r</f>
        <v>3.04</v>
      </c>
      <c r="E1205" s="21" t="n">
        <f aca="false">E1203*cpu_r</f>
        <v>3.88</v>
      </c>
      <c r="F1205" s="21" t="n">
        <f aca="false">F1203*cpu_r</f>
        <v>3.8</v>
      </c>
      <c r="G1205" s="21" t="n">
        <f aca="false">G1203*cpu_r</f>
        <v>4.24</v>
      </c>
      <c r="K1205" s="7" t="s">
        <v>700</v>
      </c>
    </row>
    <row r="1206" customFormat="false" ht="17.15" hidden="false" customHeight="false" outlineLevel="0" collapsed="false">
      <c r="A1206" s="3" t="s">
        <v>701</v>
      </c>
      <c r="B1206" s="0" t="s">
        <v>153</v>
      </c>
      <c r="D1206" s="19" t="n">
        <f aca="false">1</f>
        <v>1</v>
      </c>
      <c r="E1206" s="19" t="n">
        <f aca="false">D1206*(1+g_asp)</f>
        <v>1.18</v>
      </c>
      <c r="F1206" s="19" t="n">
        <f aca="false">E1206*(1+g_asp)</f>
        <v>1.3924</v>
      </c>
      <c r="G1206" s="19" t="n">
        <f aca="false">F1206*(1+g_asp)</f>
        <v>1.643032</v>
      </c>
      <c r="K1206" s="7" t="s">
        <v>702</v>
      </c>
    </row>
    <row r="1207" customFormat="false" ht="17.15" hidden="false" customHeight="false" outlineLevel="0" collapsed="false">
      <c r="A1207" s="0" t="s">
        <v>703</v>
      </c>
      <c r="B1207" s="0" t="s">
        <v>153</v>
      </c>
      <c r="D1207" s="18" t="n">
        <f aca="false">1</f>
        <v>1</v>
      </c>
      <c r="E1207" s="18" t="n">
        <f aca="false">ibpp_27</f>
        <v>1</v>
      </c>
      <c r="F1207" s="18" t="n">
        <f aca="false">ibpp_28</f>
        <v>0.95</v>
      </c>
      <c r="G1207" s="18" t="n">
        <f aca="false">ibpp_29</f>
        <v>0.9</v>
      </c>
      <c r="K1207" s="7" t="s">
        <v>704</v>
      </c>
    </row>
    <row r="1208" customFormat="false" ht="17.15" hidden="false" customHeight="false" outlineLevel="0" collapsed="false">
      <c r="A1208" s="3" t="s">
        <v>705</v>
      </c>
      <c r="B1208" s="0" t="s">
        <v>153</v>
      </c>
      <c r="D1208" s="18" t="n">
        <f aca="false">1</f>
        <v>1</v>
      </c>
      <c r="E1208" s="18" t="n">
        <f aca="false">1+carry</f>
        <v>1.15</v>
      </c>
      <c r="F1208" s="18" t="n">
        <f aca="false">1+carry</f>
        <v>1.15</v>
      </c>
      <c r="G1208" s="18" t="n">
        <f aca="false">1+carry</f>
        <v>1.15</v>
      </c>
      <c r="K1208" s="7" t="s">
        <v>706</v>
      </c>
    </row>
    <row r="1209" customFormat="false" ht="17.15" hidden="false" customHeight="false" outlineLevel="0" collapsed="false">
      <c r="A1209" s="3" t="s">
        <v>707</v>
      </c>
      <c r="B1209" s="0" t="s">
        <v>708</v>
      </c>
      <c r="D1209" s="23" t="n">
        <f aca="false">v26*D1206*D1207</f>
        <v>215.308596</v>
      </c>
      <c r="E1209" s="23" t="n">
        <f aca="false">v26*E1206*E1207</f>
        <v>254.06414328</v>
      </c>
      <c r="F1209" s="23" t="n">
        <f aca="false">v26*F1206*F1207</f>
        <v>284.80590461688</v>
      </c>
      <c r="G1209" s="23" t="n">
        <f aca="false">v26*G1206*G1207</f>
        <v>318.383021792765</v>
      </c>
      <c r="K1209" s="7" t="s">
        <v>709</v>
      </c>
    </row>
    <row r="1210" customFormat="false" ht="17.15" hidden="false" customHeight="false" outlineLevel="0" collapsed="false">
      <c r="A1210" s="3" t="s">
        <v>710</v>
      </c>
      <c r="B1210" s="0" t="s">
        <v>43</v>
      </c>
      <c r="D1210" s="20" t="n">
        <f aca="false">sh_nv_26_hi</f>
        <v>0.05</v>
      </c>
      <c r="E1210" s="20" t="n">
        <f aca="false">sh_nv_27_hi</f>
        <v>0.1</v>
      </c>
      <c r="F1210" s="20" t="n">
        <f aca="false">sh_nv_28_hi</f>
        <v>0.15</v>
      </c>
      <c r="G1210" s="20" t="n">
        <f aca="false">sh_nv_29_hi</f>
        <v>0.15</v>
      </c>
    </row>
    <row r="1211" customFormat="false" ht="17.15" hidden="false" customHeight="false" outlineLevel="0" collapsed="false">
      <c r="A1211" s="3" t="s">
        <v>711</v>
      </c>
      <c r="B1211" s="0" t="s">
        <v>43</v>
      </c>
      <c r="D1211" s="20" t="n">
        <f aca="false">sh_ot_26</f>
        <v>0.03</v>
      </c>
      <c r="E1211" s="20" t="n">
        <f aca="false">sh_ot_27</f>
        <v>0.05</v>
      </c>
      <c r="F1211" s="20" t="n">
        <f aca="false">sh_ot_28</f>
        <v>0.06</v>
      </c>
      <c r="G1211" s="20" t="n">
        <f aca="false">sh_ot_29</f>
        <v>0.06</v>
      </c>
    </row>
    <row r="1212" customFormat="false" ht="17.15" hidden="false" customHeight="false" outlineLevel="0" collapsed="false">
      <c r="A1212" s="3" t="s">
        <v>712</v>
      </c>
      <c r="B1212" s="0" t="s">
        <v>43</v>
      </c>
      <c r="D1212" s="20" t="n">
        <f aca="false">sh_cpu_26</f>
        <v>0.35</v>
      </c>
      <c r="E1212" s="20" t="n">
        <f aca="false">sh_cpu_27</f>
        <v>0.7</v>
      </c>
      <c r="F1212" s="20" t="n">
        <f aca="false">sh_cpu_28</f>
        <v>0.75</v>
      </c>
      <c r="G1212" s="20" t="n">
        <f aca="false">sh_cpu_29</f>
        <v>0.7</v>
      </c>
    </row>
    <row r="1213" customFormat="false" ht="17.15" hidden="false" customHeight="false" outlineLevel="0" collapsed="false">
      <c r="A1213" s="3" t="s">
        <v>713</v>
      </c>
      <c r="B1213" s="0" t="s">
        <v>660</v>
      </c>
      <c r="D1213" s="22" t="n">
        <f aca="false">(D1203*D1209*D1210+D1204*D1209*v_ot*D1211+D1205*D1209*v_cpu*D1212)*D1208</f>
        <v>189.8160582336</v>
      </c>
      <c r="E1213" s="22" t="n">
        <f aca="false">(E1203*E1209*E1210+E1204*E1209*v_ot*E1211+E1205*E1209*v_cpu*E1212)*E1208</f>
        <v>685.089043637385</v>
      </c>
      <c r="F1213" s="22" t="n">
        <f aca="false">(F1203*F1209*F1210+F1204*F1209*v_ot*F1211+F1205*F1209*v_cpu*F1212)*F1208</f>
        <v>1014.02294279794</v>
      </c>
      <c r="G1213" s="22" t="n">
        <f aca="false">(G1203*G1209*G1210+G1204*G1209*v_ot*G1211+G1205*G1209*v_cpu*G1212)*G1208</f>
        <v>1251.76105614087</v>
      </c>
    </row>
    <row r="1214" customFormat="false" ht="17.15" hidden="false" customHeight="false" outlineLevel="0" collapsed="false">
      <c r="A1214" s="3" t="s">
        <v>714</v>
      </c>
      <c r="B1214" s="0" t="s">
        <v>379</v>
      </c>
      <c r="D1214" s="21" t="n">
        <f aca="false">D1213*fx/1000</f>
        <v>6.169021892592</v>
      </c>
      <c r="E1214" s="21" t="n">
        <f aca="false">E1213*fx/1000</f>
        <v>22.265393918215</v>
      </c>
      <c r="F1214" s="21" t="n">
        <f aca="false">F1213*fx/1000</f>
        <v>32.955745640933</v>
      </c>
      <c r="G1214" s="21" t="n">
        <f aca="false">G1213*fx/1000</f>
        <v>40.6822343245783</v>
      </c>
    </row>
    <row r="1215" customFormat="false" ht="17.15" hidden="false" customHeight="false" outlineLevel="0" collapsed="false">
      <c r="A1215" s="5" t="s">
        <v>715</v>
      </c>
    </row>
    <row r="1216" customFormat="false" ht="17.15" hidden="false" customHeight="false" outlineLevel="0" collapsed="false">
      <c r="A1216" s="0" t="s">
        <v>716</v>
      </c>
      <c r="B1216" s="0" t="s">
        <v>379</v>
      </c>
      <c r="D1216" s="21" t="n">
        <f aca="false">a26_abf*ai_abf</f>
        <v>5.714709</v>
      </c>
      <c r="K1216" s="3" t="s">
        <v>717</v>
      </c>
    </row>
    <row r="1217" customFormat="false" ht="17.15" hidden="false" customHeight="false" outlineLevel="0" collapsed="false">
      <c r="A1217" s="3" t="s">
        <v>718</v>
      </c>
      <c r="B1217" s="0" t="s">
        <v>379</v>
      </c>
      <c r="D1217" s="21" t="n">
        <f aca="false">D1216-D1214</f>
        <v>-0.454312892592002</v>
      </c>
      <c r="E1217" s="21" t="n">
        <f aca="false">$D1217*(swm_27/swm_26)^el_o*1*1*E1207*E1208</f>
        <v>-0.730771242432867</v>
      </c>
      <c r="F1217" s="21" t="n">
        <f aca="false">$D1217*(swm_28/swm_26)^el_o*um28_A*1*F1207*F1208</f>
        <v>-0.746819956668258</v>
      </c>
      <c r="G1217" s="21" t="n">
        <f aca="false">$D1217*(swm_29/swm_26)^el_o*um29_A*1*G1207*G1208</f>
        <v>-0.754781205036117</v>
      </c>
      <c r="K1217" s="7" t="s">
        <v>719</v>
      </c>
    </row>
    <row r="1218" customFormat="false" ht="17.15" hidden="false" customHeight="false" outlineLevel="0" collapsed="false">
      <c r="A1218" s="3" t="s">
        <v>720</v>
      </c>
      <c r="B1218" s="0" t="s">
        <v>379</v>
      </c>
      <c r="D1218" s="21" t="n">
        <f aca="false">a26_abf-D1216</f>
        <v>17.144127</v>
      </c>
      <c r="E1218" s="21" t="n">
        <f aca="false">$D1218*(1+g_nai)^1*E1208</f>
        <v>20.898690813</v>
      </c>
      <c r="F1218" s="21" t="n">
        <f aca="false">$D1218*(1+g_nai)^2*F1208</f>
        <v>22.15261226178</v>
      </c>
      <c r="G1218" s="21" t="n">
        <f aca="false">$D1218*(1+g_nai)^3*G1208</f>
        <v>23.4817689974868</v>
      </c>
      <c r="K1218" s="3" t="s">
        <v>721</v>
      </c>
    </row>
    <row r="1219" customFormat="false" ht="17.15" hidden="false" customHeight="false" outlineLevel="0" collapsed="false">
      <c r="A1219" s="0" t="s">
        <v>722</v>
      </c>
      <c r="B1219" s="0" t="s">
        <v>379</v>
      </c>
      <c r="D1219" s="21" t="n">
        <f aca="false">D1214+D1217+D1218</f>
        <v>22.858836</v>
      </c>
      <c r="E1219" s="21" t="n">
        <f aca="false">E1214+E1217+E1218</f>
        <v>42.4333134887822</v>
      </c>
      <c r="F1219" s="21" t="n">
        <f aca="false">F1214+F1217+F1218</f>
        <v>54.3615379460448</v>
      </c>
      <c r="G1219" s="21" t="n">
        <f aca="false">G1214+G1217+G1218</f>
        <v>63.4092221170289</v>
      </c>
    </row>
    <row r="1220" customFormat="false" ht="17.15" hidden="false" customHeight="false" outlineLevel="0" collapsed="false">
      <c r="A1220" s="0" t="s">
        <v>723</v>
      </c>
      <c r="B1220" s="0" t="s">
        <v>379</v>
      </c>
      <c r="D1220" s="21" t="n">
        <f aca="false">a26_abf</f>
        <v>22.858836</v>
      </c>
      <c r="E1220" s="21" t="n">
        <f aca="false">$D1219*cap_27*(1+g_mix)^1*E1207*E1208</f>
        <v>33.122453364</v>
      </c>
      <c r="F1220" s="21" t="n">
        <f aca="false">$D1219*cap_28*(1+g_mix)^2*F1207*F1208</f>
        <v>41.2995590382375</v>
      </c>
      <c r="G1220" s="21" t="n">
        <f aca="false">$D1219*cap_29*(1+g_mix)^3*G1207*G1208</f>
        <v>50.6680379569114</v>
      </c>
      <c r="K1220" s="7" t="s">
        <v>724</v>
      </c>
    </row>
    <row r="1221" customFormat="false" ht="17.15" hidden="false" customHeight="false" outlineLevel="0" collapsed="false">
      <c r="A1221" s="0" t="s">
        <v>725</v>
      </c>
      <c r="B1221" s="0" t="s">
        <v>379</v>
      </c>
      <c r="D1221" s="21" t="n">
        <f aca="false">a26_abf</f>
        <v>22.858836</v>
      </c>
      <c r="E1221" s="21" t="n">
        <f aca="false">MIN(E1219,E1220)</f>
        <v>33.122453364</v>
      </c>
      <c r="F1221" s="21" t="n">
        <f aca="false">MIN(F1219,F1220)</f>
        <v>41.2995590382375</v>
      </c>
      <c r="G1221" s="21" t="n">
        <f aca="false">MIN(G1219,G1220)</f>
        <v>50.6680379569114</v>
      </c>
    </row>
    <row r="1222" customFormat="false" ht="17.15" hidden="false" customHeight="false" outlineLevel="0" collapsed="false">
      <c r="A1222" s="3" t="s">
        <v>726</v>
      </c>
      <c r="B1222" s="0" t="s">
        <v>43</v>
      </c>
      <c r="D1222" s="20" t="n">
        <f aca="false">D1221/D1219</f>
        <v>1</v>
      </c>
      <c r="E1222" s="20" t="n">
        <f aca="false">E1221/E1219</f>
        <v>0.780576642282634</v>
      </c>
      <c r="F1222" s="20" t="n">
        <f aca="false">F1221/F1219</f>
        <v>0.759720210256531</v>
      </c>
      <c r="G1222" s="20" t="n">
        <f aca="false">G1221/G1219</f>
        <v>0.799064178131656</v>
      </c>
    </row>
    <row r="1223" customFormat="false" ht="17.15" hidden="false" customHeight="false" outlineLevel="0" collapsed="false">
      <c r="A1223" s="0" t="s">
        <v>727</v>
      </c>
      <c r="B1223" s="0" t="s">
        <v>379</v>
      </c>
      <c r="D1223" s="21" t="n">
        <f aca="false">(D1214+D1217)*D1222</f>
        <v>5.714709</v>
      </c>
      <c r="E1223" s="21" t="n">
        <f aca="false">(E1214+E1217)*E1222</f>
        <v>16.8094234610855</v>
      </c>
      <c r="F1223" s="21" t="n">
        <f aca="false">(F1214+F1217)*F1222</f>
        <v>24.4697717929866</v>
      </c>
      <c r="G1223" s="21" t="n">
        <f aca="false">(G1214+G1217)*G1222</f>
        <v>31.9045975118572</v>
      </c>
    </row>
    <row r="1224" customFormat="false" ht="17.15" hidden="false" customHeight="false" outlineLevel="0" collapsed="false">
      <c r="A1224" s="3" t="s">
        <v>728</v>
      </c>
      <c r="B1224" s="0" t="s">
        <v>43</v>
      </c>
      <c r="D1224" s="20" t="n">
        <f aca="false">D1214/(D1214+D1217)</f>
        <v>1.079498867325</v>
      </c>
      <c r="E1224" s="20" t="n">
        <f aca="false">E1214/(E1214+E1217)</f>
        <v>1.03393471310991</v>
      </c>
      <c r="F1224" s="20" t="n">
        <f aca="false">F1214/(F1214+F1217)</f>
        <v>1.02318673910422</v>
      </c>
      <c r="G1224" s="20" t="n">
        <f aca="false">G1214/(G1214+G1217)</f>
        <v>1.01890381544689</v>
      </c>
    </row>
    <row r="1225" customFormat="false" ht="17.15" hidden="false" customHeight="false" outlineLevel="0" collapsed="false">
      <c r="A1225" s="5" t="s">
        <v>729</v>
      </c>
    </row>
    <row r="1226" customFormat="false" ht="17.15" hidden="false" customHeight="false" outlineLevel="0" collapsed="false">
      <c r="A1226" s="0" t="s">
        <v>730</v>
      </c>
      <c r="B1226" s="0" t="s">
        <v>379</v>
      </c>
      <c r="D1226" s="21" t="n">
        <f aca="false">a26_bt</f>
        <v>23.265964</v>
      </c>
      <c r="E1226" s="21" t="n">
        <f aca="false">D1226*(1+g_bt27_A)</f>
        <v>29.78043392</v>
      </c>
      <c r="F1226" s="21" t="n">
        <f aca="false">E1226*(1+g_bt28_A)</f>
        <v>32.758477312</v>
      </c>
      <c r="G1226" s="21" t="n">
        <f aca="false">F1226*(1+g_bt29_A)</f>
        <v>34.3964011776</v>
      </c>
      <c r="K1226" s="7" t="s">
        <v>731</v>
      </c>
    </row>
    <row r="1227" customFormat="false" ht="17.15" hidden="false" customHeight="false" outlineLevel="0" collapsed="false">
      <c r="A1227" s="3" t="s">
        <v>616</v>
      </c>
      <c r="B1227" s="0" t="s">
        <v>379</v>
      </c>
      <c r="C1227" s="21" t="n">
        <f aca="false">a25_lens</f>
        <v>7.039</v>
      </c>
      <c r="D1227" s="21" t="n">
        <f aca="false">a26_lens</f>
        <v>8.301</v>
      </c>
      <c r="E1227" s="21" t="n">
        <f aca="false">D1227*(1+g_lens)</f>
        <v>9.1311</v>
      </c>
      <c r="F1227" s="21" t="n">
        <f aca="false">E1227*(1+g_lens)</f>
        <v>10.04421</v>
      </c>
      <c r="G1227" s="21" t="n">
        <f aca="false">F1227*(1+g_lens)</f>
        <v>11.048631</v>
      </c>
      <c r="K1227" s="3" t="s">
        <v>732</v>
      </c>
    </row>
    <row r="1228" customFormat="false" ht="17.15" hidden="false" customHeight="false" outlineLevel="0" collapsed="false">
      <c r="A1228" s="3" t="s">
        <v>573</v>
      </c>
      <c r="B1228" s="0" t="s">
        <v>379</v>
      </c>
      <c r="C1228" s="23" t="n">
        <f aca="false">a25_rev</f>
        <v>39.351</v>
      </c>
      <c r="D1228" s="23" t="n">
        <f aca="false">D1221+D1226+D1227</f>
        <v>54.4258</v>
      </c>
      <c r="E1228" s="23" t="n">
        <f aca="false">E1221+E1226+E1227</f>
        <v>72.033987284</v>
      </c>
      <c r="F1228" s="23" t="n">
        <f aca="false">F1221+F1226+F1227</f>
        <v>84.1022463502375</v>
      </c>
      <c r="G1228" s="23" t="n">
        <f aca="false">G1221+G1226+G1227</f>
        <v>96.1130701345114</v>
      </c>
      <c r="H1228" s="25" t="n">
        <f aca="false">G1228*(1+H1229)</f>
        <v>107.186075216063</v>
      </c>
      <c r="I1228" s="25" t="n">
        <f aca="false">H1228*(1+I1229)</f>
        <v>116.576010002736</v>
      </c>
      <c r="J1228" s="25" t="n">
        <f aca="false">I1228*(1+J1229)</f>
        <v>123.5705706029</v>
      </c>
      <c r="K1228" s="7" t="s">
        <v>733</v>
      </c>
    </row>
    <row r="1229" customFormat="false" ht="15" hidden="false" customHeight="false" outlineLevel="0" collapsed="false">
      <c r="A1229" s="3" t="s">
        <v>734</v>
      </c>
      <c r="B1229" s="0" t="s">
        <v>43</v>
      </c>
      <c r="D1229" s="20" t="n">
        <f aca="false">D1228/C1228-1</f>
        <v>0.383085563263958</v>
      </c>
      <c r="E1229" s="20" t="n">
        <f aca="false">E1228/D1228-1</f>
        <v>0.323526476119781</v>
      </c>
      <c r="F1229" s="20" t="n">
        <f aca="false">F1228/E1228-1</f>
        <v>0.167535624796909</v>
      </c>
      <c r="G1229" s="20" t="n">
        <f aca="false">G1228/F1228-1</f>
        <v>0.142812163830389</v>
      </c>
      <c r="H1229" s="26" t="n">
        <f aca="false">$G1229+(fade_gA-$G1229)*1/3</f>
        <v>0.115208109220259</v>
      </c>
      <c r="I1229" s="26" t="n">
        <f aca="false">$G1229+(fade_gA-$G1229)*2/3</f>
        <v>0.0876040546101297</v>
      </c>
      <c r="J1229" s="26" t="n">
        <f aca="false">$G1229+(fade_gA-$G1229)*3/3</f>
        <v>0.06</v>
      </c>
    </row>
    <row r="1230" customFormat="false" ht="17.15" hidden="false" customHeight="false" outlineLevel="0" collapsed="false">
      <c r="A1230" s="0" t="s">
        <v>735</v>
      </c>
      <c r="B1230" s="0" t="s">
        <v>43</v>
      </c>
      <c r="D1230" s="20" t="n">
        <f aca="false">D1221/D1228</f>
        <v>0.42</v>
      </c>
      <c r="E1230" s="20" t="n">
        <f aca="false">E1221/E1228</f>
        <v>0.459817019893845</v>
      </c>
      <c r="F1230" s="20" t="n">
        <f aca="false">F1221/F1228</f>
        <v>0.491063685341395</v>
      </c>
      <c r="G1230" s="20" t="n">
        <f aca="false">G1221/G1228</f>
        <v>0.527171152539409</v>
      </c>
    </row>
    <row r="1231" customFormat="false" ht="17.15" hidden="false" customHeight="false" outlineLevel="0" collapsed="false">
      <c r="A1231" s="0" t="s">
        <v>736</v>
      </c>
      <c r="B1231" s="0" t="s">
        <v>43</v>
      </c>
      <c r="D1231" s="20" t="n">
        <f aca="false">D1223/D1228</f>
        <v>0.105</v>
      </c>
      <c r="E1231" s="20" t="n">
        <f aca="false">E1223/E1228</f>
        <v>0.23335406097698</v>
      </c>
      <c r="F1231" s="20" t="n">
        <f aca="false">F1223/F1228</f>
        <v>0.290952654119179</v>
      </c>
      <c r="G1231" s="20" t="n">
        <f aca="false">G1223/G1228</f>
        <v>0.331948583758757</v>
      </c>
      <c r="K1231" s="3" t="s">
        <v>737</v>
      </c>
    </row>
    <row r="1232" customFormat="false" ht="17.15" hidden="false" customHeight="false" outlineLevel="0" collapsed="false">
      <c r="A1232" s="5" t="s">
        <v>738</v>
      </c>
    </row>
    <row r="1233" customFormat="false" ht="15" hidden="false" customHeight="false" outlineLevel="0" collapsed="false">
      <c r="A1233" s="3" t="s">
        <v>739</v>
      </c>
      <c r="B1233" s="0" t="s">
        <v>379</v>
      </c>
      <c r="C1233" s="23" t="n">
        <f aca="false">a25_cx</f>
        <v>6.116</v>
      </c>
      <c r="D1233" s="23" t="n">
        <f aca="false">capex26</f>
        <v>11</v>
      </c>
      <c r="E1233" s="23" t="n">
        <f aca="false">cx27</f>
        <v>17</v>
      </c>
      <c r="F1233" s="23" t="n">
        <f aca="false">cx28</f>
        <v>16</v>
      </c>
      <c r="G1233" s="23" t="n">
        <f aca="false">cx29</f>
        <v>12</v>
      </c>
      <c r="H1233" s="25" t="n">
        <f aca="false">H1228*H1252</f>
        <v>13.4817405534162</v>
      </c>
      <c r="I1233" s="25" t="n">
        <f aca="false">I1228*I1252</f>
        <v>14.77073304233</v>
      </c>
      <c r="J1233" s="25" t="n">
        <f aca="false">J1228*J1252</f>
        <v>15.7713906192965</v>
      </c>
    </row>
    <row r="1234" customFormat="false" ht="17.15" hidden="false" customHeight="false" outlineLevel="0" collapsed="false">
      <c r="A1234" s="3" t="s">
        <v>740</v>
      </c>
      <c r="B1234" s="0" t="s">
        <v>379</v>
      </c>
      <c r="C1234" s="23" t="n">
        <f aca="false">a25_da</f>
        <v>7.158</v>
      </c>
      <c r="D1234" s="23" t="n">
        <f aca="false">da26</f>
        <v>8.32</v>
      </c>
      <c r="E1234" s="23" t="n">
        <f aca="false">D1234*(1-1/life)+D1233/life</f>
        <v>8.655</v>
      </c>
      <c r="F1234" s="23" t="n">
        <f aca="false">E1234*(1-1/life)+E1233/life</f>
        <v>9.698125</v>
      </c>
      <c r="G1234" s="23" t="n">
        <f aca="false">F1234*(1-1/life)+F1233/life</f>
        <v>10.485859375</v>
      </c>
      <c r="H1234" s="25" t="n">
        <f aca="false">H1228*H1235</f>
        <v>11.6939154071433</v>
      </c>
      <c r="I1234" s="25" t="n">
        <f aca="false">I1228*I1235</f>
        <v>12.7183498110769</v>
      </c>
      <c r="J1234" s="25" t="n">
        <f aca="false">J1228*J1235</f>
        <v>13.4814507997415</v>
      </c>
      <c r="K1234" s="3" t="s">
        <v>741</v>
      </c>
    </row>
    <row r="1235" customFormat="false" ht="17.15" hidden="false" customHeight="false" outlineLevel="0" collapsed="false">
      <c r="A1235" s="3" t="s">
        <v>742</v>
      </c>
      <c r="B1235" s="0" t="s">
        <v>43</v>
      </c>
      <c r="C1235" s="20" t="n">
        <f aca="false">C1234/C1228</f>
        <v>0.181901349393916</v>
      </c>
      <c r="D1235" s="20" t="n">
        <f aca="false">D1234/D1228</f>
        <v>0.152868676252807</v>
      </c>
      <c r="E1235" s="20" t="n">
        <f aca="false">E1234/E1228</f>
        <v>0.120151616290196</v>
      </c>
      <c r="F1235" s="20" t="n">
        <f aca="false">F1234/F1228</f>
        <v>0.115313507318376</v>
      </c>
      <c r="G1235" s="20" t="n">
        <f aca="false">G1234/G1228</f>
        <v>0.109099203264706</v>
      </c>
      <c r="H1235" s="26" t="n">
        <f aca="false">$G1235</f>
        <v>0.109099203264706</v>
      </c>
      <c r="I1235" s="26" t="n">
        <f aca="false">$G1235</f>
        <v>0.109099203264706</v>
      </c>
      <c r="J1235" s="26" t="n">
        <f aca="false">$G1235</f>
        <v>0.109099203264706</v>
      </c>
    </row>
    <row r="1236" customFormat="false" ht="17.15" hidden="false" customHeight="false" outlineLevel="0" collapsed="false">
      <c r="A1236" s="0" t="s">
        <v>743</v>
      </c>
      <c r="B1236" s="0" t="s">
        <v>379</v>
      </c>
      <c r="E1236" s="21" t="n">
        <f aca="false">E1222*((E1214+E1217)*(1-1/(E1207*E1208))+E1218*(1-1/E1208))</f>
        <v>4.320320004</v>
      </c>
      <c r="F1236" s="21" t="n">
        <f aca="false">F1222*((F1214+F1217)*(1-1/(F1207*F1208))+F1218*(1-1/F1208))</f>
        <v>4.26700098242518</v>
      </c>
      <c r="G1236" s="21" t="n">
        <f aca="false">G1222*((G1214+G1217)*(1-1/(G1207*G1208))+G1218*(1-1/G1208))</f>
        <v>3.52630470820996</v>
      </c>
      <c r="K1236" s="7" t="s">
        <v>744</v>
      </c>
    </row>
    <row r="1237" customFormat="false" ht="17.15" hidden="false" customHeight="false" outlineLevel="0" collapsed="false">
      <c r="A1237" s="3" t="s">
        <v>745</v>
      </c>
      <c r="B1237" s="0" t="s">
        <v>379</v>
      </c>
      <c r="C1237" s="21" t="n">
        <f aca="false">a25_gp</f>
        <v>8.314</v>
      </c>
      <c r="D1237" s="21" t="n">
        <f aca="false">a26_gp</f>
        <v>15.328536</v>
      </c>
      <c r="E1237" s="21" t="n">
        <f aca="false">$D1237+ft_abf*(E1221-E1236-$D1221)+ft_bt*(E1226-$D1226)+ft_lens*(E1227-$D1227)+E1236-(E1234-$D1234)</f>
        <v>25.590561148</v>
      </c>
      <c r="F1237" s="21" t="n">
        <f aca="false">$D1237+ft_abf*(F1221-F1236-$D1221)+ft_bt*(F1226-$D1226)+ft_lens*(F1227-$D1227)+F1236-(F1234-$D1234)</f>
        <v>30.3603485007313</v>
      </c>
      <c r="G1237" s="21" t="n">
        <f aca="false">$D1237+ft_abf*(G1221-G1236-$D1221)+ft_bt*(G1226-$D1226)+ft_lens*(G1227-$D1227)+G1236-(G1234-$D1234)</f>
        <v>35.0755606374807</v>
      </c>
      <c r="K1237" s="3" t="s">
        <v>746</v>
      </c>
    </row>
    <row r="1238" customFormat="false" ht="15" hidden="false" customHeight="false" outlineLevel="0" collapsed="false">
      <c r="A1238" s="3" t="s">
        <v>580</v>
      </c>
      <c r="B1238" s="0" t="s">
        <v>43</v>
      </c>
      <c r="C1238" s="16" t="n">
        <f aca="false">C1237/C1228</f>
        <v>0.211277985311682</v>
      </c>
      <c r="D1238" s="16" t="n">
        <f aca="false">D1237/D1228</f>
        <v>0.281640986443929</v>
      </c>
      <c r="E1238" s="16" t="n">
        <f aca="false">E1237/E1228</f>
        <v>0.3552567629931</v>
      </c>
      <c r="F1238" s="16" t="n">
        <f aca="false">F1237/F1228</f>
        <v>0.36099331252459</v>
      </c>
      <c r="G1238" s="16" t="n">
        <f aca="false">G1237/G1228</f>
        <v>0.364940591205671</v>
      </c>
    </row>
    <row r="1239" customFormat="false" ht="15" hidden="false" customHeight="false" outlineLevel="0" collapsed="false">
      <c r="A1239" s="3" t="s">
        <v>582</v>
      </c>
      <c r="B1239" s="0" t="s">
        <v>379</v>
      </c>
      <c r="C1239" s="21" t="n">
        <f aca="false">a25_opx</f>
        <v>5.644</v>
      </c>
      <c r="D1239" s="21" t="n">
        <f aca="false">a26_opx</f>
        <v>6.54036</v>
      </c>
      <c r="E1239" s="21" t="n">
        <f aca="false">D1239*(1+phi*E1229)</f>
        <v>7.80994777401287</v>
      </c>
      <c r="F1239" s="21" t="n">
        <f aca="false">E1239*(1+phi*F1229)</f>
        <v>8.59501446198315</v>
      </c>
      <c r="G1239" s="21" t="n">
        <f aca="false">F1239*(1+phi*G1229)</f>
        <v>9.33149803006473</v>
      </c>
    </row>
    <row r="1240" customFormat="false" ht="15" hidden="false" customHeight="false" outlineLevel="0" collapsed="false">
      <c r="A1240" s="3" t="s">
        <v>585</v>
      </c>
      <c r="B1240" s="0" t="s">
        <v>379</v>
      </c>
      <c r="C1240" s="21" t="n">
        <f aca="false">C1237-C1239</f>
        <v>2.67</v>
      </c>
      <c r="D1240" s="21" t="n">
        <f aca="false">D1237-D1239</f>
        <v>8.788176</v>
      </c>
      <c r="E1240" s="21" t="n">
        <f aca="false">E1237-E1239</f>
        <v>17.7806133739871</v>
      </c>
      <c r="F1240" s="21" t="n">
        <f aca="false">F1237-F1239</f>
        <v>21.7653340387482</v>
      </c>
      <c r="G1240" s="21" t="n">
        <f aca="false">G1237-G1239</f>
        <v>25.7440626074159</v>
      </c>
    </row>
    <row r="1241" customFormat="false" ht="15" hidden="false" customHeight="false" outlineLevel="0" collapsed="false">
      <c r="A1241" s="3" t="s">
        <v>683</v>
      </c>
      <c r="B1241" s="0" t="s">
        <v>43</v>
      </c>
      <c r="C1241" s="16" t="n">
        <f aca="false">C1240/C1228</f>
        <v>0.0678508805367081</v>
      </c>
      <c r="D1241" s="16" t="n">
        <f aca="false">D1240/D1228</f>
        <v>0.161470773052486</v>
      </c>
      <c r="E1241" s="16" t="n">
        <f aca="false">E1240/E1228</f>
        <v>0.246836445466854</v>
      </c>
      <c r="F1241" s="16" t="n">
        <f aca="false">F1240/F1228</f>
        <v>0.258796108109979</v>
      </c>
      <c r="G1241" s="16" t="n">
        <f aca="false">G1240/G1228</f>
        <v>0.267851839207579</v>
      </c>
    </row>
    <row r="1242" customFormat="false" ht="15" hidden="false" customHeight="false" outlineLevel="0" collapsed="false">
      <c r="A1242" s="3" t="s">
        <v>588</v>
      </c>
      <c r="B1242" s="0" t="s">
        <v>379</v>
      </c>
      <c r="C1242" s="21" t="n">
        <f aca="false">a25_nonop</f>
        <v>0.417</v>
      </c>
      <c r="D1242" s="21" t="n">
        <f aca="false">a26_nonop</f>
        <v>0.37882</v>
      </c>
      <c r="E1242" s="21" t="n">
        <f aca="false">nonop27</f>
        <v>0.4</v>
      </c>
      <c r="F1242" s="21" t="n">
        <f aca="false">nonop28</f>
        <v>0.4</v>
      </c>
      <c r="G1242" s="21" t="n">
        <f aca="false">nonop29</f>
        <v>0.4</v>
      </c>
    </row>
    <row r="1243" customFormat="false" ht="15" hidden="false" customHeight="false" outlineLevel="0" collapsed="false">
      <c r="A1243" s="3" t="s">
        <v>590</v>
      </c>
      <c r="B1243" s="0" t="s">
        <v>379</v>
      </c>
      <c r="C1243" s="21" t="n">
        <f aca="false">C1240+C1242</f>
        <v>3.087</v>
      </c>
      <c r="D1243" s="21" t="n">
        <f aca="false">D1240+D1242</f>
        <v>9.166996</v>
      </c>
      <c r="E1243" s="21" t="n">
        <f aca="false">E1240+E1242</f>
        <v>18.1806133739871</v>
      </c>
      <c r="F1243" s="21" t="n">
        <f aca="false">F1240+F1242</f>
        <v>22.1653340387482</v>
      </c>
      <c r="G1243" s="21" t="n">
        <f aca="false">G1240+G1242</f>
        <v>26.1440626074159</v>
      </c>
    </row>
    <row r="1244" customFormat="false" ht="15" hidden="false" customHeight="false" outlineLevel="0" collapsed="false">
      <c r="A1244" s="3" t="s">
        <v>591</v>
      </c>
      <c r="B1244" s="0" t="s">
        <v>379</v>
      </c>
      <c r="E1244" s="21" t="n">
        <f aca="false">E1243*tax</f>
        <v>2.18167360487846</v>
      </c>
      <c r="F1244" s="21" t="n">
        <f aca="false">F1243*tax</f>
        <v>2.65984008464978</v>
      </c>
      <c r="G1244" s="21" t="n">
        <f aca="false">G1243*tax</f>
        <v>3.13728751288991</v>
      </c>
    </row>
    <row r="1245" customFormat="false" ht="15" hidden="false" customHeight="false" outlineLevel="0" collapsed="false">
      <c r="A1245" s="3" t="s">
        <v>592</v>
      </c>
      <c r="B1245" s="0" t="s">
        <v>379</v>
      </c>
      <c r="C1245" s="21" t="n">
        <f aca="false">a25_nic</f>
        <v>2.71712</v>
      </c>
      <c r="D1245" s="21" t="n">
        <f aca="false">a26_nic</f>
        <v>8.39979776</v>
      </c>
      <c r="E1245" s="21" t="n">
        <f aca="false">E1243-E1244</f>
        <v>15.9989397691087</v>
      </c>
      <c r="F1245" s="21" t="n">
        <f aca="false">F1243-F1244</f>
        <v>19.5054939540984</v>
      </c>
      <c r="G1245" s="21" t="n">
        <f aca="false">G1243-G1244</f>
        <v>23.006775094526</v>
      </c>
    </row>
    <row r="1246" customFormat="false" ht="17.15" hidden="false" customHeight="false" outlineLevel="0" collapsed="false">
      <c r="A1246" s="3" t="s">
        <v>747</v>
      </c>
      <c r="B1246" s="0" t="s">
        <v>379</v>
      </c>
      <c r="C1246" s="21" t="n">
        <f aca="false">a25_nci</f>
        <v>1.12112</v>
      </c>
      <c r="D1246" s="21" t="n">
        <f aca="false">a26_nci</f>
        <v>1.43839238487797</v>
      </c>
      <c r="E1246" s="21" t="n">
        <f aca="false">E1227*nm_lens*nci_sh</f>
        <v>1.57074538036261</v>
      </c>
      <c r="F1246" s="21" t="n">
        <f aca="false">F1227*nm_lens*nci_sh</f>
        <v>1.72781991839887</v>
      </c>
      <c r="G1246" s="21" t="n">
        <f aca="false">G1227*nm_lens*nci_sh</f>
        <v>1.90060191023875</v>
      </c>
      <c r="K1246" s="3" t="s">
        <v>748</v>
      </c>
    </row>
    <row r="1247" customFormat="false" ht="15" hidden="false" customHeight="false" outlineLevel="0" collapsed="false">
      <c r="A1247" s="3" t="s">
        <v>598</v>
      </c>
      <c r="B1247" s="0" t="s">
        <v>379</v>
      </c>
      <c r="C1247" s="21" t="n">
        <f aca="false">a25_ni</f>
        <v>1.596</v>
      </c>
      <c r="D1247" s="21" t="n">
        <f aca="false">a26_ni</f>
        <v>6.96140537512203</v>
      </c>
      <c r="E1247" s="21" t="n">
        <f aca="false">E1245-E1246</f>
        <v>14.4281943887461</v>
      </c>
      <c r="F1247" s="21" t="n">
        <f aca="false">F1245-F1246</f>
        <v>17.7776740356995</v>
      </c>
      <c r="G1247" s="21" t="n">
        <f aca="false">G1245-G1246</f>
        <v>21.1061731842873</v>
      </c>
      <c r="H1247" s="30" t="n">
        <f aca="false">H1228*H1251</f>
        <v>23.584939356516</v>
      </c>
      <c r="I1247" s="30" t="n">
        <f aca="false">I1228*I1251</f>
        <v>25.7023712846345</v>
      </c>
      <c r="J1247" s="30" t="n">
        <f aca="false">J1228*J1251</f>
        <v>27.2988869112315</v>
      </c>
    </row>
    <row r="1248" customFormat="false" ht="15" hidden="false" customHeight="false" outlineLevel="0" collapsed="false">
      <c r="A1248" s="3" t="s">
        <v>749</v>
      </c>
      <c r="B1248" s="3" t="s">
        <v>465</v>
      </c>
      <c r="C1248" s="29" t="n">
        <f aca="false">a25_sh</f>
        <v>0.454700854700855</v>
      </c>
      <c r="D1248" s="29" t="n">
        <f aca="false">a26_sh</f>
        <v>0.508341020486215</v>
      </c>
      <c r="E1248" s="29" t="n">
        <f aca="false">a26_shend*(1+sh_g)</f>
        <v>0.52691</v>
      </c>
      <c r="F1248" s="29" t="n">
        <f aca="false">E1248*(1+sh_g)</f>
        <v>0.52691</v>
      </c>
      <c r="G1248" s="29" t="n">
        <f aca="false">F1248*(1+sh_g)</f>
        <v>0.52691</v>
      </c>
      <c r="H1248" s="31" t="n">
        <f aca="false">G1248*(1+sh_g)</f>
        <v>0.52691</v>
      </c>
      <c r="I1248" s="31" t="n">
        <f aca="false">H1248*(1+sh_g)</f>
        <v>0.52691</v>
      </c>
      <c r="J1248" s="31" t="n">
        <f aca="false">I1248*(1+sh_g)</f>
        <v>0.52691</v>
      </c>
    </row>
    <row r="1249" customFormat="false" ht="17.15" hidden="false" customHeight="false" outlineLevel="0" collapsed="false">
      <c r="A1249" s="0" t="s">
        <v>603</v>
      </c>
      <c r="B1249" s="0" t="s">
        <v>471</v>
      </c>
      <c r="C1249" s="18" t="n">
        <f aca="false">C1247/C1248</f>
        <v>3.51</v>
      </c>
      <c r="D1249" s="18" t="n">
        <f aca="false">D1247/D1248</f>
        <v>13.6943608612652</v>
      </c>
      <c r="E1249" s="18" t="n">
        <f aca="false">E1247/E1248</f>
        <v>27.3826543218881</v>
      </c>
      <c r="F1249" s="18" t="n">
        <f aca="false">F1247/F1248</f>
        <v>33.7394887849909</v>
      </c>
      <c r="G1249" s="18" t="n">
        <f aca="false">G1247/G1248</f>
        <v>40.0565052557121</v>
      </c>
      <c r="H1249" s="28" t="n">
        <f aca="false">H1247/H1248</f>
        <v>44.760849777981</v>
      </c>
      <c r="I1249" s="28" t="n">
        <f aca="false">I1247/I1248</f>
        <v>48.7794334604287</v>
      </c>
      <c r="J1249" s="28" t="n">
        <f aca="false">J1247/J1248</f>
        <v>51.8093923274022</v>
      </c>
    </row>
    <row r="1250" customFormat="false" ht="17.15" hidden="false" customHeight="false" outlineLevel="0" collapsed="false">
      <c r="A1250" s="0" t="s">
        <v>750</v>
      </c>
      <c r="B1250" s="0" t="s">
        <v>43</v>
      </c>
      <c r="D1250" s="20" t="n">
        <f aca="false">D1249/C1249-1</f>
        <v>2.90152731090177</v>
      </c>
      <c r="E1250" s="20" t="n">
        <f aca="false">E1249/D1249-1</f>
        <v>0.999556941670828</v>
      </c>
      <c r="F1250" s="20" t="n">
        <f aca="false">F1249/E1249-1</f>
        <v>0.232148220124207</v>
      </c>
      <c r="G1250" s="20" t="n">
        <f aca="false">G1249/F1249-1</f>
        <v>0.187229169682363</v>
      </c>
      <c r="H1250" s="26" t="n">
        <f aca="false">H1249/G1249-1</f>
        <v>0.117442709798007</v>
      </c>
      <c r="I1250" s="26" t="n">
        <f aca="false">I1249/H1249-1</f>
        <v>0.0897789854835269</v>
      </c>
      <c r="J1250" s="26" t="n">
        <f aca="false">J1249/I1249-1</f>
        <v>0.0621154993411603</v>
      </c>
    </row>
    <row r="1251" customFormat="false" ht="17.15" hidden="false" customHeight="false" outlineLevel="0" collapsed="false">
      <c r="A1251" s="3" t="s">
        <v>751</v>
      </c>
      <c r="B1251" s="0" t="s">
        <v>43</v>
      </c>
      <c r="C1251" s="16" t="n">
        <f aca="false">C1247/C1228</f>
        <v>0.0405580544331783</v>
      </c>
      <c r="D1251" s="16" t="n">
        <f aca="false">D1247/D1228</f>
        <v>0.127906349105057</v>
      </c>
      <c r="E1251" s="16" t="n">
        <f aca="false">E1247/E1228</f>
        <v>0.20029703939422</v>
      </c>
      <c r="F1251" s="16" t="n">
        <f aca="false">F1247/F1228</f>
        <v>0.211381678934778</v>
      </c>
      <c r="G1251" s="16" t="n">
        <f aca="false">G1247/G1228</f>
        <v>0.219597325886572</v>
      </c>
      <c r="H1251" s="27" t="n">
        <f aca="false">$G1251+(fade_mA-$G1251)*1/3</f>
        <v>0.220037344486904</v>
      </c>
      <c r="I1251" s="27" t="n">
        <f aca="false">$G1251+(fade_mA-$G1251)*2/3</f>
        <v>0.220477363087236</v>
      </c>
      <c r="J1251" s="27" t="n">
        <f aca="false">$G1251+(fade_mA-$G1251)*3/3</f>
        <v>0.220917381687568</v>
      </c>
    </row>
    <row r="1252" customFormat="false" ht="17.15" hidden="false" customHeight="false" outlineLevel="0" collapsed="false">
      <c r="A1252" s="3" t="s">
        <v>752</v>
      </c>
      <c r="B1252" s="0" t="s">
        <v>43</v>
      </c>
      <c r="C1252" s="20" t="n">
        <f aca="false">C1233/C1228</f>
        <v>0.155421717364235</v>
      </c>
      <c r="D1252" s="20" t="n">
        <f aca="false">D1233/D1228</f>
        <v>0.202110028699624</v>
      </c>
      <c r="E1252" s="20" t="n">
        <f aca="false">E1233/E1228</f>
        <v>0.235999708484498</v>
      </c>
      <c r="F1252" s="20" t="n">
        <f aca="false">F1233/F1228</f>
        <v>0.190244621212247</v>
      </c>
      <c r="G1252" s="20" t="n">
        <f aca="false">G1233/G1228</f>
        <v>0.124852946464054</v>
      </c>
      <c r="H1252" s="26" t="n">
        <f aca="false">$G1252+($G1235*(1+tp_g)^(life/2)-$G1252)*1/3</f>
        <v>0.125778843252168</v>
      </c>
      <c r="I1252" s="26" t="n">
        <f aca="false">$G1252+($G1235*(1+tp_g)^(life/2)-$G1252)*2/3</f>
        <v>0.126704740040282</v>
      </c>
      <c r="J1252" s="26" t="n">
        <f aca="false">$G1252+($G1235*(1+tp_g)^(life/2)-$G1252)*3/3</f>
        <v>0.127630636828396</v>
      </c>
      <c r="K1252" s="7" t="s">
        <v>753</v>
      </c>
    </row>
    <row r="1253" customFormat="false" ht="15" hidden="false" customHeight="false" outlineLevel="0" collapsed="false">
      <c r="A1253" s="3" t="s">
        <v>754</v>
      </c>
      <c r="B1253" s="0" t="s">
        <v>379</v>
      </c>
      <c r="D1253" s="21" t="n">
        <f aca="false">D1247+D1234-D1233</f>
        <v>4.28140537512203</v>
      </c>
      <c r="E1253" s="21" t="n">
        <f aca="false">E1247+E1234-E1233</f>
        <v>6.08319438874607</v>
      </c>
      <c r="F1253" s="21" t="n">
        <f aca="false">F1247+F1234-F1233</f>
        <v>11.4757990356995</v>
      </c>
      <c r="G1253" s="21" t="n">
        <f aca="false">G1247+G1234-G1233</f>
        <v>19.5920325592873</v>
      </c>
      <c r="H1253" s="30" t="n">
        <f aca="false">H1247+H1234-H1233</f>
        <v>21.797114210243</v>
      </c>
      <c r="I1253" s="30" t="n">
        <f aca="false">I1247+I1234-I1233</f>
        <v>23.6499880533814</v>
      </c>
      <c r="J1253" s="30" t="n">
        <f aca="false">J1247+J1234-J1233</f>
        <v>25.0089470916765</v>
      </c>
      <c r="K1253" s="3" t="s">
        <v>755</v>
      </c>
    </row>
    <row r="1254" customFormat="false" ht="15" hidden="false" customHeight="false" outlineLevel="0" collapsed="false">
      <c r="A1254" s="3" t="s">
        <v>756</v>
      </c>
      <c r="B1254" s="0" t="s">
        <v>471</v>
      </c>
      <c r="D1254" s="18" t="n">
        <f aca="false">D1253/D1248</f>
        <v>8.42230943909854</v>
      </c>
      <c r="E1254" s="18" t="n">
        <f aca="false">E1253/E1248</f>
        <v>11.5450349941092</v>
      </c>
      <c r="F1254" s="18" t="n">
        <f aca="false">F1253/F1248</f>
        <v>21.7794291922711</v>
      </c>
      <c r="G1254" s="18" t="n">
        <f aca="false">G1253/G1248</f>
        <v>37.1828823884293</v>
      </c>
      <c r="H1254" s="28" t="n">
        <f aca="false">H1253/H1248</f>
        <v>41.3678127388796</v>
      </c>
      <c r="I1254" s="28" t="n">
        <f aca="false">I1253/I1248</f>
        <v>44.8843029234241</v>
      </c>
      <c r="J1254" s="28" t="n">
        <f aca="false">J1253/J1248</f>
        <v>47.4634132805916</v>
      </c>
    </row>
    <row r="1257" customFormat="false" ht="17.15" hidden="false" customHeight="false" outlineLevel="0" collapsed="false">
      <c r="A1257" s="1" t="s">
        <v>1111</v>
      </c>
    </row>
    <row r="1258" customFormat="false" ht="17.15" hidden="false" customHeight="false" outlineLevel="0" collapsed="false">
      <c r="A1258" s="4" t="s">
        <v>20</v>
      </c>
      <c r="B1258" s="4" t="s">
        <v>21</v>
      </c>
      <c r="C1258" s="13" t="s">
        <v>566</v>
      </c>
      <c r="D1258" s="13" t="s">
        <v>670</v>
      </c>
      <c r="E1258" s="13" t="s">
        <v>671</v>
      </c>
      <c r="F1258" s="13" t="s">
        <v>672</v>
      </c>
      <c r="G1258" s="13" t="s">
        <v>673</v>
      </c>
      <c r="H1258" s="13" t="s">
        <v>674</v>
      </c>
      <c r="I1258" s="13" t="s">
        <v>675</v>
      </c>
      <c r="J1258" s="13" t="s">
        <v>676</v>
      </c>
      <c r="K1258" s="4" t="s">
        <v>630</v>
      </c>
    </row>
    <row r="1259" customFormat="false" ht="17.15" hidden="false" customHeight="false" outlineLevel="0" collapsed="false">
      <c r="A1259" s="5" t="s">
        <v>694</v>
      </c>
    </row>
    <row r="1260" customFormat="false" ht="17.15" hidden="false" customHeight="false" outlineLevel="0" collapsed="false">
      <c r="A1260" s="0" t="s">
        <v>695</v>
      </c>
      <c r="B1260" s="3" t="s">
        <v>31</v>
      </c>
      <c r="D1260" s="21" t="n">
        <f aca="false">(u_bw_26+u_rb_26+u_ru_26+u_hp_26)*1</f>
        <v>7.6</v>
      </c>
      <c r="E1260" s="21" t="n">
        <f aca="false">(u_bw_27+u_rb_27+u_ru_27+u_hp_27)*1*1</f>
        <v>9.7</v>
      </c>
      <c r="F1260" s="21" t="n">
        <f aca="false">(u_bw_28+u_rb_28+u_ru_28+u_hp_28)*um28_A*1</f>
        <v>9.5</v>
      </c>
      <c r="G1260" s="21" t="n">
        <f aca="false">(u_bw_28*(1+g29_bw)+u_rb_28*(1+g29_rb)+u_ru_28*(1+g29_ru)+u_hp_28*(1+g29_hp))*um29_A*1</f>
        <v>10.6</v>
      </c>
      <c r="K1260" s="7" t="s">
        <v>696</v>
      </c>
    </row>
    <row r="1261" customFormat="false" ht="17.15" hidden="false" customHeight="false" outlineLevel="0" collapsed="false">
      <c r="A1261" s="3" t="s">
        <v>697</v>
      </c>
      <c r="B1261" s="3" t="s">
        <v>31</v>
      </c>
      <c r="D1261" s="21" t="n">
        <f aca="false">(u_amd_26+u_tpu_26+u_trn_26+u_oth_26)*1</f>
        <v>7.6</v>
      </c>
      <c r="E1261" s="21" t="n">
        <f aca="false">(u_amd_27+u_tpu_27+u_trn_27+u_oth_27)*1*1</f>
        <v>14</v>
      </c>
      <c r="F1261" s="21" t="n">
        <f aca="false">(u_amd_28+u_tpu_28+u_trn_28+u_oth_28)*um28_A*1</f>
        <v>17</v>
      </c>
      <c r="G1261" s="21" t="n">
        <f aca="false">(u_amd_28*(1+g29_amd)+u_tpu_28*(1+g29_tpu)+u_trn_28*(1+g29_trn)+u_oth_28*(1+g29_oth))*um29_A*1</f>
        <v>19.55</v>
      </c>
      <c r="K1261" s="7" t="s">
        <v>698</v>
      </c>
    </row>
    <row r="1262" customFormat="false" ht="17.15" hidden="false" customHeight="false" outlineLevel="0" collapsed="false">
      <c r="A1262" s="0" t="s">
        <v>699</v>
      </c>
      <c r="B1262" s="3" t="s">
        <v>31</v>
      </c>
      <c r="D1262" s="21" t="n">
        <f aca="false">D1260*cpu_r</f>
        <v>3.04</v>
      </c>
      <c r="E1262" s="21" t="n">
        <f aca="false">E1260*cpu_r</f>
        <v>3.88</v>
      </c>
      <c r="F1262" s="21" t="n">
        <f aca="false">F1260*cpu_r</f>
        <v>3.8</v>
      </c>
      <c r="G1262" s="21" t="n">
        <f aca="false">G1260*cpu_r</f>
        <v>4.24</v>
      </c>
      <c r="K1262" s="7" t="s">
        <v>700</v>
      </c>
    </row>
    <row r="1263" customFormat="false" ht="17.15" hidden="false" customHeight="false" outlineLevel="0" collapsed="false">
      <c r="A1263" s="3" t="s">
        <v>701</v>
      </c>
      <c r="B1263" s="0" t="s">
        <v>153</v>
      </c>
      <c r="D1263" s="19" t="n">
        <f aca="false">1</f>
        <v>1</v>
      </c>
      <c r="E1263" s="19" t="n">
        <f aca="false">D1263*(1+g_asp)</f>
        <v>1.18</v>
      </c>
      <c r="F1263" s="19" t="n">
        <f aca="false">E1263*(1+g_asp)</f>
        <v>1.3924</v>
      </c>
      <c r="G1263" s="19" t="n">
        <f aca="false">F1263*(1+g_asp)</f>
        <v>1.643032</v>
      </c>
      <c r="K1263" s="7" t="s">
        <v>702</v>
      </c>
    </row>
    <row r="1264" customFormat="false" ht="17.15" hidden="false" customHeight="false" outlineLevel="0" collapsed="false">
      <c r="A1264" s="0" t="s">
        <v>703</v>
      </c>
      <c r="B1264" s="0" t="s">
        <v>153</v>
      </c>
      <c r="D1264" s="18" t="n">
        <f aca="false">1</f>
        <v>1</v>
      </c>
      <c r="E1264" s="18" t="n">
        <f aca="false">ibpp_27</f>
        <v>1</v>
      </c>
      <c r="F1264" s="18" t="n">
        <f aca="false">ibpp_28</f>
        <v>0.95</v>
      </c>
      <c r="G1264" s="18" t="n">
        <f aca="false">ibpp_29</f>
        <v>0.9</v>
      </c>
      <c r="K1264" s="7" t="s">
        <v>704</v>
      </c>
    </row>
    <row r="1265" customFormat="false" ht="17.15" hidden="false" customHeight="false" outlineLevel="0" collapsed="false">
      <c r="A1265" s="3" t="s">
        <v>705</v>
      </c>
      <c r="B1265" s="0" t="s">
        <v>153</v>
      </c>
      <c r="D1265" s="18" t="n">
        <f aca="false">1</f>
        <v>1</v>
      </c>
      <c r="E1265" s="18" t="n">
        <f aca="false">1+carry</f>
        <v>1.15</v>
      </c>
      <c r="F1265" s="18" t="n">
        <f aca="false">1+carry</f>
        <v>1.15</v>
      </c>
      <c r="G1265" s="18" t="n">
        <f aca="false">1+carry</f>
        <v>1.15</v>
      </c>
      <c r="K1265" s="7" t="s">
        <v>706</v>
      </c>
    </row>
    <row r="1266" customFormat="false" ht="17.15" hidden="false" customHeight="false" outlineLevel="0" collapsed="false">
      <c r="A1266" s="3" t="s">
        <v>707</v>
      </c>
      <c r="B1266" s="0" t="s">
        <v>708</v>
      </c>
      <c r="D1266" s="23" t="n">
        <f aca="false">v26*D1263*D1264</f>
        <v>215.308596</v>
      </c>
      <c r="E1266" s="23" t="n">
        <f aca="false">v26*E1263*E1264</f>
        <v>254.06414328</v>
      </c>
      <c r="F1266" s="23" t="n">
        <f aca="false">v26*F1263*F1264</f>
        <v>284.80590461688</v>
      </c>
      <c r="G1266" s="23" t="n">
        <f aca="false">v26*G1263*G1264</f>
        <v>318.383021792765</v>
      </c>
      <c r="K1266" s="7" t="s">
        <v>709</v>
      </c>
    </row>
    <row r="1267" customFormat="false" ht="17.15" hidden="false" customHeight="false" outlineLevel="0" collapsed="false">
      <c r="A1267" s="3" t="s">
        <v>710</v>
      </c>
      <c r="B1267" s="0" t="s">
        <v>43</v>
      </c>
      <c r="D1267" s="20" t="n">
        <f aca="false">sh_nv_26</f>
        <v>0.02</v>
      </c>
      <c r="E1267" s="20" t="n">
        <f aca="false">sh_nv_27</f>
        <v>0.03</v>
      </c>
      <c r="F1267" s="20" t="n">
        <f aca="false">sh_nv_28</f>
        <v>0.05</v>
      </c>
      <c r="G1267" s="20" t="n">
        <f aca="false">sh_nv_29</f>
        <v>0.06</v>
      </c>
    </row>
    <row r="1268" customFormat="false" ht="17.15" hidden="false" customHeight="false" outlineLevel="0" collapsed="false">
      <c r="A1268" s="3" t="s">
        <v>711</v>
      </c>
      <c r="B1268" s="0" t="s">
        <v>43</v>
      </c>
      <c r="D1268" s="20" t="n">
        <f aca="false">sh_ot_26</f>
        <v>0.03</v>
      </c>
      <c r="E1268" s="20" t="n">
        <f aca="false">sh_ot_27</f>
        <v>0.05</v>
      </c>
      <c r="F1268" s="20" t="n">
        <f aca="false">sh_ot_28</f>
        <v>0.06</v>
      </c>
      <c r="G1268" s="20" t="n">
        <f aca="false">sh_ot_29</f>
        <v>0.06</v>
      </c>
    </row>
    <row r="1269" customFormat="false" ht="17.15" hidden="false" customHeight="false" outlineLevel="0" collapsed="false">
      <c r="A1269" s="3" t="s">
        <v>712</v>
      </c>
      <c r="B1269" s="0" t="s">
        <v>43</v>
      </c>
      <c r="D1269" s="20" t="n">
        <f aca="false">sh_cpu_26_lo</f>
        <v>0.25</v>
      </c>
      <c r="E1269" s="20" t="n">
        <f aca="false">sh_cpu_27_lo</f>
        <v>0.5</v>
      </c>
      <c r="F1269" s="20" t="n">
        <f aca="false">sh_cpu_28_lo</f>
        <v>0.5</v>
      </c>
      <c r="G1269" s="20" t="n">
        <f aca="false">sh_cpu_29_lo</f>
        <v>0.45</v>
      </c>
    </row>
    <row r="1270" customFormat="false" ht="17.15" hidden="false" customHeight="false" outlineLevel="0" collapsed="false">
      <c r="A1270" s="3" t="s">
        <v>713</v>
      </c>
      <c r="B1270" s="0" t="s">
        <v>660</v>
      </c>
      <c r="D1270" s="22" t="n">
        <f aca="false">(D1260*D1266*D1267+D1261*D1266*v_ot*D1268+D1262*D1266*v_cpu*D1269)*D1265</f>
        <v>121.0895543904</v>
      </c>
      <c r="E1270" s="22" t="n">
        <f aca="false">(E1260*E1266*E1267+E1261*E1266*v_ot*E1268+E1262*E1266*v_cpu*E1269)*E1265</f>
        <v>418.685004918276</v>
      </c>
      <c r="F1270" s="22" t="n">
        <f aca="false">(F1260*F1266*F1267+F1261*F1266*v_ot*F1268+F1262*F1266*v_cpu*F1269)*F1265</f>
        <v>609.527356765816</v>
      </c>
      <c r="G1270" s="22" t="n">
        <f aca="false">(G1260*G1266*G1267+G1261*G1266*v_ot*G1268+G1262*G1266*v_cpu*G1269)*G1265</f>
        <v>786.030371862413</v>
      </c>
    </row>
    <row r="1271" customFormat="false" ht="17.15" hidden="false" customHeight="false" outlineLevel="0" collapsed="false">
      <c r="A1271" s="3" t="s">
        <v>714</v>
      </c>
      <c r="B1271" s="0" t="s">
        <v>379</v>
      </c>
      <c r="D1271" s="21" t="n">
        <f aca="false">D1270*fx/1000</f>
        <v>3.935410517688</v>
      </c>
      <c r="E1271" s="21" t="n">
        <f aca="false">E1270*fx/1000</f>
        <v>13.607262659844</v>
      </c>
      <c r="F1271" s="21" t="n">
        <f aca="false">F1270*fx/1000</f>
        <v>19.809639094889</v>
      </c>
      <c r="G1271" s="21" t="n">
        <f aca="false">G1270*fx/1000</f>
        <v>25.5459870855284</v>
      </c>
    </row>
    <row r="1272" customFormat="false" ht="17.15" hidden="false" customHeight="false" outlineLevel="0" collapsed="false">
      <c r="A1272" s="5" t="s">
        <v>715</v>
      </c>
    </row>
    <row r="1273" customFormat="false" ht="17.15" hidden="false" customHeight="false" outlineLevel="0" collapsed="false">
      <c r="A1273" s="0" t="s">
        <v>716</v>
      </c>
      <c r="B1273" s="0" t="s">
        <v>379</v>
      </c>
      <c r="D1273" s="21" t="n">
        <f aca="false">a26_abf*ai_abf</f>
        <v>5.714709</v>
      </c>
      <c r="K1273" s="3" t="s">
        <v>717</v>
      </c>
    </row>
    <row r="1274" customFormat="false" ht="17.15" hidden="false" customHeight="false" outlineLevel="0" collapsed="false">
      <c r="A1274" s="3" t="s">
        <v>718</v>
      </c>
      <c r="B1274" s="0" t="s">
        <v>379</v>
      </c>
      <c r="D1274" s="21" t="n">
        <f aca="false">D1273-D1271</f>
        <v>1.779298482312</v>
      </c>
      <c r="E1274" s="21" t="n">
        <f aca="false">$D1274*(swm_27/swm_26)^el_o*1*1*E1264*E1265</f>
        <v>2.86203667952201</v>
      </c>
      <c r="F1274" s="21" t="n">
        <f aca="false">$D1274*(swm_28/swm_26)^el_o*um28_A*1*F1264*F1265</f>
        <v>2.92489083432967</v>
      </c>
      <c r="G1274" s="21" t="n">
        <f aca="false">$D1274*(swm_29/swm_26)^el_o*um29_A*1*G1264*G1265</f>
        <v>2.9560707488098</v>
      </c>
      <c r="K1274" s="7" t="s">
        <v>719</v>
      </c>
    </row>
    <row r="1275" customFormat="false" ht="17.15" hidden="false" customHeight="false" outlineLevel="0" collapsed="false">
      <c r="A1275" s="3" t="s">
        <v>720</v>
      </c>
      <c r="B1275" s="0" t="s">
        <v>379</v>
      </c>
      <c r="D1275" s="21" t="n">
        <f aca="false">a26_abf-D1273</f>
        <v>17.144127</v>
      </c>
      <c r="E1275" s="21" t="n">
        <f aca="false">$D1275*(1+g_nai)^1*E1265</f>
        <v>20.898690813</v>
      </c>
      <c r="F1275" s="21" t="n">
        <f aca="false">$D1275*(1+g_nai)^2*F1265</f>
        <v>22.15261226178</v>
      </c>
      <c r="G1275" s="21" t="n">
        <f aca="false">$D1275*(1+g_nai)^3*G1265</f>
        <v>23.4817689974868</v>
      </c>
      <c r="K1275" s="3" t="s">
        <v>721</v>
      </c>
    </row>
    <row r="1276" customFormat="false" ht="17.15" hidden="false" customHeight="false" outlineLevel="0" collapsed="false">
      <c r="A1276" s="0" t="s">
        <v>722</v>
      </c>
      <c r="B1276" s="0" t="s">
        <v>379</v>
      </c>
      <c r="D1276" s="21" t="n">
        <f aca="false">D1271+D1274+D1275</f>
        <v>22.858836</v>
      </c>
      <c r="E1276" s="21" t="n">
        <f aca="false">E1271+E1274+E1275</f>
        <v>37.367990152366</v>
      </c>
      <c r="F1276" s="21" t="n">
        <f aca="false">F1271+F1274+F1275</f>
        <v>44.8871421909987</v>
      </c>
      <c r="G1276" s="21" t="n">
        <f aca="false">G1271+G1274+G1275</f>
        <v>51.983826831825</v>
      </c>
    </row>
    <row r="1277" customFormat="false" ht="17.15" hidden="false" customHeight="false" outlineLevel="0" collapsed="false">
      <c r="A1277" s="0" t="s">
        <v>723</v>
      </c>
      <c r="B1277" s="0" t="s">
        <v>379</v>
      </c>
      <c r="D1277" s="21" t="n">
        <f aca="false">a26_abf</f>
        <v>22.858836</v>
      </c>
      <c r="E1277" s="21" t="n">
        <f aca="false">$D1276*cap_27*(1+g_mix)^1*E1264*E1265</f>
        <v>33.122453364</v>
      </c>
      <c r="F1277" s="21" t="n">
        <f aca="false">$D1276*cap_28*(1+g_mix)^2*F1264*F1265</f>
        <v>41.2995590382375</v>
      </c>
      <c r="G1277" s="21" t="n">
        <f aca="false">$D1276*cap_29*(1+g_mix)^3*G1264*G1265</f>
        <v>50.6680379569114</v>
      </c>
      <c r="K1277" s="7" t="s">
        <v>724</v>
      </c>
    </row>
    <row r="1278" customFormat="false" ht="17.15" hidden="false" customHeight="false" outlineLevel="0" collapsed="false">
      <c r="A1278" s="0" t="s">
        <v>725</v>
      </c>
      <c r="B1278" s="0" t="s">
        <v>379</v>
      </c>
      <c r="D1278" s="21" t="n">
        <f aca="false">a26_abf</f>
        <v>22.858836</v>
      </c>
      <c r="E1278" s="21" t="n">
        <f aca="false">MIN(E1276,E1277)</f>
        <v>33.122453364</v>
      </c>
      <c r="F1278" s="21" t="n">
        <f aca="false">MIN(F1276,F1277)</f>
        <v>41.2995590382375</v>
      </c>
      <c r="G1278" s="21" t="n">
        <f aca="false">MIN(G1276,G1277)</f>
        <v>50.6680379569114</v>
      </c>
    </row>
    <row r="1279" customFormat="false" ht="17.15" hidden="false" customHeight="false" outlineLevel="0" collapsed="false">
      <c r="A1279" s="3" t="s">
        <v>726</v>
      </c>
      <c r="B1279" s="0" t="s">
        <v>43</v>
      </c>
      <c r="D1279" s="20" t="n">
        <f aca="false">D1278/D1276</f>
        <v>1</v>
      </c>
      <c r="E1279" s="20" t="n">
        <f aca="false">E1278/E1276</f>
        <v>0.886385733590299</v>
      </c>
      <c r="F1279" s="20" t="n">
        <f aca="false">F1278/F1276</f>
        <v>0.920075483141794</v>
      </c>
      <c r="G1279" s="20" t="n">
        <f aca="false">G1278/G1276</f>
        <v>0.974688495343553</v>
      </c>
    </row>
    <row r="1280" customFormat="false" ht="17.15" hidden="false" customHeight="false" outlineLevel="0" collapsed="false">
      <c r="A1280" s="0" t="s">
        <v>727</v>
      </c>
      <c r="B1280" s="0" t="s">
        <v>379</v>
      </c>
      <c r="D1280" s="21" t="n">
        <f aca="false">(D1271+D1274)*D1279</f>
        <v>5.714709</v>
      </c>
      <c r="E1280" s="21" t="n">
        <f aca="false">(E1271+E1274)*E1279</f>
        <v>14.5981519766421</v>
      </c>
      <c r="F1280" s="21" t="n">
        <f aca="false">(F1271+F1274)*F1279</f>
        <v>20.9174836086274</v>
      </c>
      <c r="G1280" s="21" t="n">
        <f aca="false">(G1271+G1274)*G1279</f>
        <v>27.7806278647461</v>
      </c>
    </row>
    <row r="1281" customFormat="false" ht="17.15" hidden="false" customHeight="false" outlineLevel="0" collapsed="false">
      <c r="A1281" s="3" t="s">
        <v>728</v>
      </c>
      <c r="B1281" s="0" t="s">
        <v>43</v>
      </c>
      <c r="D1281" s="20" t="n">
        <f aca="false">D1271/(D1271+D1274)</f>
        <v>0.688645829155606</v>
      </c>
      <c r="E1281" s="20" t="n">
        <f aca="false">E1271/(E1271+E1274)</f>
        <v>0.826219888257117</v>
      </c>
      <c r="F1281" s="20" t="n">
        <f aca="false">F1271/(F1271+F1274)</f>
        <v>0.871345884720908</v>
      </c>
      <c r="G1281" s="20" t="n">
        <f aca="false">G1271/(G1271+G1274)</f>
        <v>0.89628570800076</v>
      </c>
    </row>
    <row r="1282" customFormat="false" ht="17.15" hidden="false" customHeight="false" outlineLevel="0" collapsed="false">
      <c r="A1282" s="5" t="s">
        <v>729</v>
      </c>
    </row>
    <row r="1283" customFormat="false" ht="17.15" hidden="false" customHeight="false" outlineLevel="0" collapsed="false">
      <c r="A1283" s="0" t="s">
        <v>730</v>
      </c>
      <c r="B1283" s="0" t="s">
        <v>379</v>
      </c>
      <c r="D1283" s="21" t="n">
        <f aca="false">a26_bt</f>
        <v>23.265964</v>
      </c>
      <c r="E1283" s="21" t="n">
        <f aca="false">D1283*(1+g_bt27_A)</f>
        <v>29.78043392</v>
      </c>
      <c r="F1283" s="21" t="n">
        <f aca="false">E1283*(1+g_bt28_A)</f>
        <v>32.758477312</v>
      </c>
      <c r="G1283" s="21" t="n">
        <f aca="false">F1283*(1+g_bt29_A)</f>
        <v>34.3964011776</v>
      </c>
      <c r="K1283" s="7" t="s">
        <v>731</v>
      </c>
    </row>
    <row r="1284" customFormat="false" ht="17.15" hidden="false" customHeight="false" outlineLevel="0" collapsed="false">
      <c r="A1284" s="3" t="s">
        <v>616</v>
      </c>
      <c r="B1284" s="0" t="s">
        <v>379</v>
      </c>
      <c r="C1284" s="21" t="n">
        <f aca="false">a25_lens</f>
        <v>7.039</v>
      </c>
      <c r="D1284" s="21" t="n">
        <f aca="false">a26_lens</f>
        <v>8.301</v>
      </c>
      <c r="E1284" s="21" t="n">
        <f aca="false">D1284*(1+g_lens)</f>
        <v>9.1311</v>
      </c>
      <c r="F1284" s="21" t="n">
        <f aca="false">E1284*(1+g_lens)</f>
        <v>10.04421</v>
      </c>
      <c r="G1284" s="21" t="n">
        <f aca="false">F1284*(1+g_lens)</f>
        <v>11.048631</v>
      </c>
      <c r="K1284" s="3" t="s">
        <v>732</v>
      </c>
    </row>
    <row r="1285" customFormat="false" ht="17.15" hidden="false" customHeight="false" outlineLevel="0" collapsed="false">
      <c r="A1285" s="3" t="s">
        <v>573</v>
      </c>
      <c r="B1285" s="0" t="s">
        <v>379</v>
      </c>
      <c r="C1285" s="23" t="n">
        <f aca="false">a25_rev</f>
        <v>39.351</v>
      </c>
      <c r="D1285" s="23" t="n">
        <f aca="false">D1278+D1283+D1284</f>
        <v>54.4258</v>
      </c>
      <c r="E1285" s="23" t="n">
        <f aca="false">E1278+E1283+E1284</f>
        <v>72.033987284</v>
      </c>
      <c r="F1285" s="23" t="n">
        <f aca="false">F1278+F1283+F1284</f>
        <v>84.1022463502375</v>
      </c>
      <c r="G1285" s="23" t="n">
        <f aca="false">G1278+G1283+G1284</f>
        <v>96.1130701345114</v>
      </c>
      <c r="H1285" s="25" t="n">
        <f aca="false">G1285*(1+H1286)</f>
        <v>107.186075216063</v>
      </c>
      <c r="I1285" s="25" t="n">
        <f aca="false">H1285*(1+I1286)</f>
        <v>116.576010002736</v>
      </c>
      <c r="J1285" s="25" t="n">
        <f aca="false">I1285*(1+J1286)</f>
        <v>123.5705706029</v>
      </c>
      <c r="K1285" s="7" t="s">
        <v>733</v>
      </c>
    </row>
    <row r="1286" customFormat="false" ht="15" hidden="false" customHeight="false" outlineLevel="0" collapsed="false">
      <c r="A1286" s="3" t="s">
        <v>734</v>
      </c>
      <c r="B1286" s="0" t="s">
        <v>43</v>
      </c>
      <c r="D1286" s="20" t="n">
        <f aca="false">D1285/C1285-1</f>
        <v>0.383085563263958</v>
      </c>
      <c r="E1286" s="20" t="n">
        <f aca="false">E1285/D1285-1</f>
        <v>0.323526476119781</v>
      </c>
      <c r="F1286" s="20" t="n">
        <f aca="false">F1285/E1285-1</f>
        <v>0.167535624796909</v>
      </c>
      <c r="G1286" s="20" t="n">
        <f aca="false">G1285/F1285-1</f>
        <v>0.142812163830389</v>
      </c>
      <c r="H1286" s="26" t="n">
        <f aca="false">$G1286+(fade_gA-$G1286)*1/3</f>
        <v>0.115208109220259</v>
      </c>
      <c r="I1286" s="26" t="n">
        <f aca="false">$G1286+(fade_gA-$G1286)*2/3</f>
        <v>0.0876040546101297</v>
      </c>
      <c r="J1286" s="26" t="n">
        <f aca="false">$G1286+(fade_gA-$G1286)*3/3</f>
        <v>0.06</v>
      </c>
    </row>
    <row r="1287" customFormat="false" ht="17.15" hidden="false" customHeight="false" outlineLevel="0" collapsed="false">
      <c r="A1287" s="0" t="s">
        <v>735</v>
      </c>
      <c r="B1287" s="0" t="s">
        <v>43</v>
      </c>
      <c r="D1287" s="20" t="n">
        <f aca="false">D1278/D1285</f>
        <v>0.42</v>
      </c>
      <c r="E1287" s="20" t="n">
        <f aca="false">E1278/E1285</f>
        <v>0.459817019893845</v>
      </c>
      <c r="F1287" s="20" t="n">
        <f aca="false">F1278/F1285</f>
        <v>0.491063685341395</v>
      </c>
      <c r="G1287" s="20" t="n">
        <f aca="false">G1278/G1285</f>
        <v>0.527171152539409</v>
      </c>
    </row>
    <row r="1288" customFormat="false" ht="17.15" hidden="false" customHeight="false" outlineLevel="0" collapsed="false">
      <c r="A1288" s="0" t="s">
        <v>736</v>
      </c>
      <c r="B1288" s="0" t="s">
        <v>43</v>
      </c>
      <c r="D1288" s="20" t="n">
        <f aca="false">D1280/D1285</f>
        <v>0.105</v>
      </c>
      <c r="E1288" s="20" t="n">
        <f aca="false">E1280/E1285</f>
        <v>0.202656447699996</v>
      </c>
      <c r="F1288" s="20" t="n">
        <f aca="false">F1280/F1285</f>
        <v>0.248714921614794</v>
      </c>
      <c r="G1288" s="20" t="n">
        <f aca="false">G1280/G1285</f>
        <v>0.289041103627912</v>
      </c>
      <c r="K1288" s="3" t="s">
        <v>737</v>
      </c>
    </row>
    <row r="1289" customFormat="false" ht="17.15" hidden="false" customHeight="false" outlineLevel="0" collapsed="false">
      <c r="A1289" s="5" t="s">
        <v>738</v>
      </c>
    </row>
    <row r="1290" customFormat="false" ht="15" hidden="false" customHeight="false" outlineLevel="0" collapsed="false">
      <c r="A1290" s="3" t="s">
        <v>739</v>
      </c>
      <c r="B1290" s="0" t="s">
        <v>379</v>
      </c>
      <c r="C1290" s="23" t="n">
        <f aca="false">a25_cx</f>
        <v>6.116</v>
      </c>
      <c r="D1290" s="23" t="n">
        <f aca="false">capex26</f>
        <v>11</v>
      </c>
      <c r="E1290" s="23" t="n">
        <f aca="false">cx27</f>
        <v>17</v>
      </c>
      <c r="F1290" s="23" t="n">
        <f aca="false">cx28</f>
        <v>16</v>
      </c>
      <c r="G1290" s="23" t="n">
        <f aca="false">cx29</f>
        <v>12</v>
      </c>
      <c r="H1290" s="25" t="n">
        <f aca="false">H1285*H1309</f>
        <v>13.4817405534162</v>
      </c>
      <c r="I1290" s="25" t="n">
        <f aca="false">I1285*I1309</f>
        <v>14.77073304233</v>
      </c>
      <c r="J1290" s="25" t="n">
        <f aca="false">J1285*J1309</f>
        <v>15.7713906192965</v>
      </c>
    </row>
    <row r="1291" customFormat="false" ht="17.15" hidden="false" customHeight="false" outlineLevel="0" collapsed="false">
      <c r="A1291" s="3" t="s">
        <v>740</v>
      </c>
      <c r="B1291" s="0" t="s">
        <v>379</v>
      </c>
      <c r="C1291" s="23" t="n">
        <f aca="false">a25_da</f>
        <v>7.158</v>
      </c>
      <c r="D1291" s="23" t="n">
        <f aca="false">da26</f>
        <v>8.32</v>
      </c>
      <c r="E1291" s="23" t="n">
        <f aca="false">D1291*(1-1/life)+D1290/life</f>
        <v>8.655</v>
      </c>
      <c r="F1291" s="23" t="n">
        <f aca="false">E1291*(1-1/life)+E1290/life</f>
        <v>9.698125</v>
      </c>
      <c r="G1291" s="23" t="n">
        <f aca="false">F1291*(1-1/life)+F1290/life</f>
        <v>10.485859375</v>
      </c>
      <c r="H1291" s="25" t="n">
        <f aca="false">H1285*H1292</f>
        <v>11.6939154071433</v>
      </c>
      <c r="I1291" s="25" t="n">
        <f aca="false">I1285*I1292</f>
        <v>12.7183498110769</v>
      </c>
      <c r="J1291" s="25" t="n">
        <f aca="false">J1285*J1292</f>
        <v>13.4814507997415</v>
      </c>
      <c r="K1291" s="3" t="s">
        <v>741</v>
      </c>
    </row>
    <row r="1292" customFormat="false" ht="17.15" hidden="false" customHeight="false" outlineLevel="0" collapsed="false">
      <c r="A1292" s="3" t="s">
        <v>742</v>
      </c>
      <c r="B1292" s="0" t="s">
        <v>43</v>
      </c>
      <c r="C1292" s="20" t="n">
        <f aca="false">C1291/C1285</f>
        <v>0.181901349393916</v>
      </c>
      <c r="D1292" s="20" t="n">
        <f aca="false">D1291/D1285</f>
        <v>0.152868676252807</v>
      </c>
      <c r="E1292" s="20" t="n">
        <f aca="false">E1291/E1285</f>
        <v>0.120151616290196</v>
      </c>
      <c r="F1292" s="20" t="n">
        <f aca="false">F1291/F1285</f>
        <v>0.115313507318376</v>
      </c>
      <c r="G1292" s="20" t="n">
        <f aca="false">G1291/G1285</f>
        <v>0.109099203264706</v>
      </c>
      <c r="H1292" s="26" t="n">
        <f aca="false">$G1292</f>
        <v>0.109099203264706</v>
      </c>
      <c r="I1292" s="26" t="n">
        <f aca="false">$G1292</f>
        <v>0.109099203264706</v>
      </c>
      <c r="J1292" s="26" t="n">
        <f aca="false">$G1292</f>
        <v>0.109099203264706</v>
      </c>
    </row>
    <row r="1293" customFormat="false" ht="17.15" hidden="false" customHeight="false" outlineLevel="0" collapsed="false">
      <c r="A1293" s="0" t="s">
        <v>743</v>
      </c>
      <c r="B1293" s="0" t="s">
        <v>379</v>
      </c>
      <c r="E1293" s="21" t="n">
        <f aca="false">E1279*((E1271+E1274)*(1-1/(E1264*E1265))+E1275*(1-1/E1265))</f>
        <v>4.320320004</v>
      </c>
      <c r="F1293" s="21" t="n">
        <f aca="false">F1279*((F1271+F1274)*(1-1/(F1264*F1265))+F1275*(1-1/F1265))</f>
        <v>4.42957710070249</v>
      </c>
      <c r="G1293" s="21" t="n">
        <f aca="false">G1279*((G1271+G1274)*(1-1/(G1264*G1265))+G1275*(1-1/G1265))</f>
        <v>3.92475588184389</v>
      </c>
      <c r="K1293" s="7" t="s">
        <v>744</v>
      </c>
    </row>
    <row r="1294" customFormat="false" ht="17.15" hidden="false" customHeight="false" outlineLevel="0" collapsed="false">
      <c r="A1294" s="3" t="s">
        <v>745</v>
      </c>
      <c r="B1294" s="0" t="s">
        <v>379</v>
      </c>
      <c r="C1294" s="21" t="n">
        <f aca="false">a25_gp</f>
        <v>8.314</v>
      </c>
      <c r="D1294" s="21" t="n">
        <f aca="false">a26_gp</f>
        <v>15.328536</v>
      </c>
      <c r="E1294" s="21" t="n">
        <f aca="false">$D1294+ft_abf*(E1278-E1293-$D1278)+ft_bt*(E1283-$D1283)+ft_lens*(E1284-$D1284)+E1293-(E1291-$D1291)</f>
        <v>25.590561148</v>
      </c>
      <c r="F1294" s="21" t="n">
        <f aca="false">$D1294+ft_abf*(F1278-F1293-$D1278)+ft_bt*(F1283-$D1283)+ft_lens*(F1284-$D1284)+F1293-(F1291-$D1291)</f>
        <v>30.44163655987</v>
      </c>
      <c r="G1294" s="21" t="n">
        <f aca="false">$D1294+ft_abf*(G1278-G1293-$D1278)+ft_bt*(G1283-$D1283)+ft_lens*(G1284-$D1284)+G1293-(G1291-$D1291)</f>
        <v>35.2747862242976</v>
      </c>
      <c r="K1294" s="3" t="s">
        <v>746</v>
      </c>
    </row>
    <row r="1295" customFormat="false" ht="15" hidden="false" customHeight="false" outlineLevel="0" collapsed="false">
      <c r="A1295" s="3" t="s">
        <v>580</v>
      </c>
      <c r="B1295" s="0" t="s">
        <v>43</v>
      </c>
      <c r="C1295" s="16" t="n">
        <f aca="false">C1294/C1285</f>
        <v>0.211277985311682</v>
      </c>
      <c r="D1295" s="16" t="n">
        <f aca="false">D1294/D1285</f>
        <v>0.281640986443929</v>
      </c>
      <c r="E1295" s="16" t="n">
        <f aca="false">E1294/E1285</f>
        <v>0.3552567629931</v>
      </c>
      <c r="F1295" s="16" t="n">
        <f aca="false">F1294/F1285</f>
        <v>0.361959851025834</v>
      </c>
      <c r="G1295" s="16" t="n">
        <f aca="false">G1294/G1285</f>
        <v>0.367013416332765</v>
      </c>
    </row>
    <row r="1296" customFormat="false" ht="15" hidden="false" customHeight="false" outlineLevel="0" collapsed="false">
      <c r="A1296" s="3" t="s">
        <v>582</v>
      </c>
      <c r="B1296" s="0" t="s">
        <v>379</v>
      </c>
      <c r="C1296" s="21" t="n">
        <f aca="false">a25_opx</f>
        <v>5.644</v>
      </c>
      <c r="D1296" s="21" t="n">
        <f aca="false">a26_opx</f>
        <v>6.54036</v>
      </c>
      <c r="E1296" s="21" t="n">
        <f aca="false">D1296*(1+phi*E1286)</f>
        <v>7.80994777401287</v>
      </c>
      <c r="F1296" s="21" t="n">
        <f aca="false">E1296*(1+phi*F1286)</f>
        <v>8.59501446198315</v>
      </c>
      <c r="G1296" s="21" t="n">
        <f aca="false">F1296*(1+phi*G1286)</f>
        <v>9.33149803006473</v>
      </c>
    </row>
    <row r="1297" customFormat="false" ht="15" hidden="false" customHeight="false" outlineLevel="0" collapsed="false">
      <c r="A1297" s="3" t="s">
        <v>585</v>
      </c>
      <c r="B1297" s="0" t="s">
        <v>379</v>
      </c>
      <c r="C1297" s="21" t="n">
        <f aca="false">C1294-C1296</f>
        <v>2.67</v>
      </c>
      <c r="D1297" s="21" t="n">
        <f aca="false">D1294-D1296</f>
        <v>8.788176</v>
      </c>
      <c r="E1297" s="21" t="n">
        <f aca="false">E1294-E1296</f>
        <v>17.7806133739871</v>
      </c>
      <c r="F1297" s="21" t="n">
        <f aca="false">F1294-F1296</f>
        <v>21.8466220978868</v>
      </c>
      <c r="G1297" s="21" t="n">
        <f aca="false">G1294-G1296</f>
        <v>25.9432881942329</v>
      </c>
    </row>
    <row r="1298" customFormat="false" ht="15" hidden="false" customHeight="false" outlineLevel="0" collapsed="false">
      <c r="A1298" s="3" t="s">
        <v>683</v>
      </c>
      <c r="B1298" s="0" t="s">
        <v>43</v>
      </c>
      <c r="C1298" s="16" t="n">
        <f aca="false">C1297/C1285</f>
        <v>0.0678508805367081</v>
      </c>
      <c r="D1298" s="16" t="n">
        <f aca="false">D1297/D1285</f>
        <v>0.161470773052486</v>
      </c>
      <c r="E1298" s="16" t="n">
        <f aca="false">E1297/E1285</f>
        <v>0.246836445466854</v>
      </c>
      <c r="F1298" s="16" t="n">
        <f aca="false">F1297/F1285</f>
        <v>0.259762646611224</v>
      </c>
      <c r="G1298" s="16" t="n">
        <f aca="false">G1297/G1285</f>
        <v>0.269924664334673</v>
      </c>
    </row>
    <row r="1299" customFormat="false" ht="15" hidden="false" customHeight="false" outlineLevel="0" collapsed="false">
      <c r="A1299" s="3" t="s">
        <v>588</v>
      </c>
      <c r="B1299" s="0" t="s">
        <v>379</v>
      </c>
      <c r="C1299" s="21" t="n">
        <f aca="false">a25_nonop</f>
        <v>0.417</v>
      </c>
      <c r="D1299" s="21" t="n">
        <f aca="false">a26_nonop</f>
        <v>0.37882</v>
      </c>
      <c r="E1299" s="21" t="n">
        <f aca="false">nonop27</f>
        <v>0.4</v>
      </c>
      <c r="F1299" s="21" t="n">
        <f aca="false">nonop28</f>
        <v>0.4</v>
      </c>
      <c r="G1299" s="21" t="n">
        <f aca="false">nonop29</f>
        <v>0.4</v>
      </c>
    </row>
    <row r="1300" customFormat="false" ht="15" hidden="false" customHeight="false" outlineLevel="0" collapsed="false">
      <c r="A1300" s="3" t="s">
        <v>590</v>
      </c>
      <c r="B1300" s="0" t="s">
        <v>379</v>
      </c>
      <c r="C1300" s="21" t="n">
        <f aca="false">C1297+C1299</f>
        <v>3.087</v>
      </c>
      <c r="D1300" s="21" t="n">
        <f aca="false">D1297+D1299</f>
        <v>9.166996</v>
      </c>
      <c r="E1300" s="21" t="n">
        <f aca="false">E1297+E1299</f>
        <v>18.1806133739871</v>
      </c>
      <c r="F1300" s="21" t="n">
        <f aca="false">F1297+F1299</f>
        <v>22.2466220978868</v>
      </c>
      <c r="G1300" s="21" t="n">
        <f aca="false">G1297+G1299</f>
        <v>26.3432881942329</v>
      </c>
    </row>
    <row r="1301" customFormat="false" ht="15" hidden="false" customHeight="false" outlineLevel="0" collapsed="false">
      <c r="A1301" s="3" t="s">
        <v>591</v>
      </c>
      <c r="B1301" s="0" t="s">
        <v>379</v>
      </c>
      <c r="E1301" s="21" t="n">
        <f aca="false">E1300*tax</f>
        <v>2.18167360487846</v>
      </c>
      <c r="F1301" s="21" t="n">
        <f aca="false">F1300*tax</f>
        <v>2.66959465174642</v>
      </c>
      <c r="G1301" s="21" t="n">
        <f aca="false">G1300*tax</f>
        <v>3.16119458330795</v>
      </c>
    </row>
    <row r="1302" customFormat="false" ht="15" hidden="false" customHeight="false" outlineLevel="0" collapsed="false">
      <c r="A1302" s="3" t="s">
        <v>592</v>
      </c>
      <c r="B1302" s="0" t="s">
        <v>379</v>
      </c>
      <c r="C1302" s="21" t="n">
        <f aca="false">a25_nic</f>
        <v>2.71712</v>
      </c>
      <c r="D1302" s="21" t="n">
        <f aca="false">a26_nic</f>
        <v>8.39979776</v>
      </c>
      <c r="E1302" s="21" t="n">
        <f aca="false">E1300-E1301</f>
        <v>15.9989397691087</v>
      </c>
      <c r="F1302" s="21" t="n">
        <f aca="false">F1300-F1301</f>
        <v>19.5770274461404</v>
      </c>
      <c r="G1302" s="21" t="n">
        <f aca="false">G1300-G1301</f>
        <v>23.182093610925</v>
      </c>
    </row>
    <row r="1303" customFormat="false" ht="17.15" hidden="false" customHeight="false" outlineLevel="0" collapsed="false">
      <c r="A1303" s="3" t="s">
        <v>747</v>
      </c>
      <c r="B1303" s="0" t="s">
        <v>379</v>
      </c>
      <c r="C1303" s="21" t="n">
        <f aca="false">a25_nci</f>
        <v>1.12112</v>
      </c>
      <c r="D1303" s="21" t="n">
        <f aca="false">a26_nci</f>
        <v>1.43839238487797</v>
      </c>
      <c r="E1303" s="21" t="n">
        <f aca="false">E1284*nm_lens*nci_sh</f>
        <v>1.57074538036261</v>
      </c>
      <c r="F1303" s="21" t="n">
        <f aca="false">F1284*nm_lens*nci_sh</f>
        <v>1.72781991839887</v>
      </c>
      <c r="G1303" s="21" t="n">
        <f aca="false">G1284*nm_lens*nci_sh</f>
        <v>1.90060191023875</v>
      </c>
      <c r="K1303" s="3" t="s">
        <v>748</v>
      </c>
    </row>
    <row r="1304" customFormat="false" ht="15" hidden="false" customHeight="false" outlineLevel="0" collapsed="false">
      <c r="A1304" s="3" t="s">
        <v>598</v>
      </c>
      <c r="B1304" s="0" t="s">
        <v>379</v>
      </c>
      <c r="C1304" s="21" t="n">
        <f aca="false">a25_ni</f>
        <v>1.596</v>
      </c>
      <c r="D1304" s="21" t="n">
        <f aca="false">a26_ni</f>
        <v>6.96140537512203</v>
      </c>
      <c r="E1304" s="21" t="n">
        <f aca="false">E1302-E1303</f>
        <v>14.4281943887461</v>
      </c>
      <c r="F1304" s="21" t="n">
        <f aca="false">F1302-F1303</f>
        <v>17.8492075277416</v>
      </c>
      <c r="G1304" s="21" t="n">
        <f aca="false">G1302-G1303</f>
        <v>21.2814917006862</v>
      </c>
      <c r="H1304" s="30" t="n">
        <f aca="false">H1285*H1308</f>
        <v>23.7152837773057</v>
      </c>
      <c r="I1304" s="30" t="n">
        <f aca="false">I1285*I1308</f>
        <v>25.7732528449078</v>
      </c>
      <c r="J1304" s="30" t="n">
        <f aca="false">J1285*J1308</f>
        <v>27.2988869112315</v>
      </c>
    </row>
    <row r="1305" customFormat="false" ht="15" hidden="false" customHeight="false" outlineLevel="0" collapsed="false">
      <c r="A1305" s="3" t="s">
        <v>749</v>
      </c>
      <c r="B1305" s="3" t="s">
        <v>465</v>
      </c>
      <c r="C1305" s="29" t="n">
        <f aca="false">a25_sh</f>
        <v>0.454700854700855</v>
      </c>
      <c r="D1305" s="29" t="n">
        <f aca="false">a26_sh</f>
        <v>0.508341020486215</v>
      </c>
      <c r="E1305" s="29" t="n">
        <f aca="false">a26_shend*(1+sh_g)</f>
        <v>0.52691</v>
      </c>
      <c r="F1305" s="29" t="n">
        <f aca="false">E1305*(1+sh_g)</f>
        <v>0.52691</v>
      </c>
      <c r="G1305" s="29" t="n">
        <f aca="false">F1305*(1+sh_g)</f>
        <v>0.52691</v>
      </c>
      <c r="H1305" s="31" t="n">
        <f aca="false">G1305*(1+sh_g)</f>
        <v>0.52691</v>
      </c>
      <c r="I1305" s="31" t="n">
        <f aca="false">H1305*(1+sh_g)</f>
        <v>0.52691</v>
      </c>
      <c r="J1305" s="31" t="n">
        <f aca="false">I1305*(1+sh_g)</f>
        <v>0.52691</v>
      </c>
    </row>
    <row r="1306" customFormat="false" ht="17.15" hidden="false" customHeight="false" outlineLevel="0" collapsed="false">
      <c r="A1306" s="0" t="s">
        <v>603</v>
      </c>
      <c r="B1306" s="0" t="s">
        <v>471</v>
      </c>
      <c r="C1306" s="18" t="n">
        <f aca="false">C1304/C1305</f>
        <v>3.51</v>
      </c>
      <c r="D1306" s="18" t="n">
        <f aca="false">D1304/D1305</f>
        <v>13.6943608612652</v>
      </c>
      <c r="E1306" s="18" t="n">
        <f aca="false">E1304/E1305</f>
        <v>27.3826543218881</v>
      </c>
      <c r="F1306" s="18" t="n">
        <f aca="false">F1304/F1305</f>
        <v>33.8752491464227</v>
      </c>
      <c r="G1306" s="18" t="n">
        <f aca="false">G1304/G1305</f>
        <v>40.3892347852312</v>
      </c>
      <c r="H1306" s="28" t="n">
        <f aca="false">H1304/H1305</f>
        <v>45.0082248909789</v>
      </c>
      <c r="I1306" s="28" t="n">
        <f aca="false">I1304/I1305</f>
        <v>48.9139565483818</v>
      </c>
      <c r="J1306" s="28" t="n">
        <f aca="false">J1304/J1305</f>
        <v>51.8093923274022</v>
      </c>
    </row>
    <row r="1307" customFormat="false" ht="17.15" hidden="false" customHeight="false" outlineLevel="0" collapsed="false">
      <c r="A1307" s="0" t="s">
        <v>750</v>
      </c>
      <c r="B1307" s="0" t="s">
        <v>43</v>
      </c>
      <c r="D1307" s="20" t="n">
        <f aca="false">D1306/C1306-1</f>
        <v>2.90152731090177</v>
      </c>
      <c r="E1307" s="20" t="n">
        <f aca="false">E1306/D1306-1</f>
        <v>0.999556941670828</v>
      </c>
      <c r="F1307" s="20" t="n">
        <f aca="false">F1306/E1306-1</f>
        <v>0.237106116456531</v>
      </c>
      <c r="G1307" s="20" t="n">
        <f aca="false">G1306/F1306-1</f>
        <v>0.192293364711577</v>
      </c>
      <c r="H1307" s="26" t="n">
        <f aca="false">H1306/G1306-1</f>
        <v>0.114361911789342</v>
      </c>
      <c r="I1307" s="26" t="n">
        <f aca="false">I1306/H1306-1</f>
        <v>0.0867781759192576</v>
      </c>
      <c r="J1307" s="26" t="n">
        <f aca="false">J1306/I1306-1</f>
        <v>0.0591944709309387</v>
      </c>
    </row>
    <row r="1308" customFormat="false" ht="17.15" hidden="false" customHeight="false" outlineLevel="0" collapsed="false">
      <c r="A1308" s="3" t="s">
        <v>751</v>
      </c>
      <c r="B1308" s="0" t="s">
        <v>43</v>
      </c>
      <c r="C1308" s="16" t="n">
        <f aca="false">C1304/C1285</f>
        <v>0.0405580544331783</v>
      </c>
      <c r="D1308" s="16" t="n">
        <f aca="false">D1304/D1285</f>
        <v>0.127906349105057</v>
      </c>
      <c r="E1308" s="16" t="n">
        <f aca="false">E1304/E1285</f>
        <v>0.20029703939422</v>
      </c>
      <c r="F1308" s="16" t="n">
        <f aca="false">F1304/F1285</f>
        <v>0.212232232815874</v>
      </c>
      <c r="G1308" s="16" t="n">
        <f aca="false">G1304/G1285</f>
        <v>0.221421411998415</v>
      </c>
      <c r="H1308" s="27" t="n">
        <f aca="false">$G1308+(fade_mA-$G1308)*1/3</f>
        <v>0.221253401894799</v>
      </c>
      <c r="I1308" s="27" t="n">
        <f aca="false">$G1308+(fade_mA-$G1308)*2/3</f>
        <v>0.221085391791184</v>
      </c>
      <c r="J1308" s="27" t="n">
        <f aca="false">$G1308+(fade_mA-$G1308)*3/3</f>
        <v>0.220917381687568</v>
      </c>
    </row>
    <row r="1309" customFormat="false" ht="17.15" hidden="false" customHeight="false" outlineLevel="0" collapsed="false">
      <c r="A1309" s="3" t="s">
        <v>752</v>
      </c>
      <c r="B1309" s="0" t="s">
        <v>43</v>
      </c>
      <c r="C1309" s="20" t="n">
        <f aca="false">C1290/C1285</f>
        <v>0.155421717364235</v>
      </c>
      <c r="D1309" s="20" t="n">
        <f aca="false">D1290/D1285</f>
        <v>0.202110028699624</v>
      </c>
      <c r="E1309" s="20" t="n">
        <f aca="false">E1290/E1285</f>
        <v>0.235999708484498</v>
      </c>
      <c r="F1309" s="20" t="n">
        <f aca="false">F1290/F1285</f>
        <v>0.190244621212247</v>
      </c>
      <c r="G1309" s="20" t="n">
        <f aca="false">G1290/G1285</f>
        <v>0.124852946464054</v>
      </c>
      <c r="H1309" s="26" t="n">
        <f aca="false">$G1309+($G1292*(1+tp_g)^(life/2)-$G1309)*1/3</f>
        <v>0.125778843252168</v>
      </c>
      <c r="I1309" s="26" t="n">
        <f aca="false">$G1309+($G1292*(1+tp_g)^(life/2)-$G1309)*2/3</f>
        <v>0.126704740040282</v>
      </c>
      <c r="J1309" s="26" t="n">
        <f aca="false">$G1309+($G1292*(1+tp_g)^(life/2)-$G1309)*3/3</f>
        <v>0.127630636828396</v>
      </c>
      <c r="K1309" s="7" t="s">
        <v>753</v>
      </c>
    </row>
    <row r="1310" customFormat="false" ht="15" hidden="false" customHeight="false" outlineLevel="0" collapsed="false">
      <c r="A1310" s="3" t="s">
        <v>754</v>
      </c>
      <c r="B1310" s="0" t="s">
        <v>379</v>
      </c>
      <c r="D1310" s="21" t="n">
        <f aca="false">D1304+D1291-D1290</f>
        <v>4.28140537512203</v>
      </c>
      <c r="E1310" s="21" t="n">
        <f aca="false">E1304+E1291-E1290</f>
        <v>6.08319438874607</v>
      </c>
      <c r="F1310" s="21" t="n">
        <f aca="false">F1304+F1291-F1290</f>
        <v>11.5473325277416</v>
      </c>
      <c r="G1310" s="21" t="n">
        <f aca="false">G1304+G1291-G1290</f>
        <v>19.7673510756862</v>
      </c>
      <c r="H1310" s="30" t="n">
        <f aca="false">H1304+H1291-H1290</f>
        <v>21.9274586310327</v>
      </c>
      <c r="I1310" s="30" t="n">
        <f aca="false">I1304+I1291-I1290</f>
        <v>23.7208696136547</v>
      </c>
      <c r="J1310" s="30" t="n">
        <f aca="false">J1304+J1291-J1290</f>
        <v>25.0089470916765</v>
      </c>
      <c r="K1310" s="3" t="s">
        <v>755</v>
      </c>
    </row>
    <row r="1311" customFormat="false" ht="15" hidden="false" customHeight="false" outlineLevel="0" collapsed="false">
      <c r="A1311" s="3" t="s">
        <v>756</v>
      </c>
      <c r="B1311" s="0" t="s">
        <v>471</v>
      </c>
      <c r="D1311" s="18" t="n">
        <f aca="false">D1310/D1305</f>
        <v>8.42230943909854</v>
      </c>
      <c r="E1311" s="18" t="n">
        <f aca="false">E1310/E1305</f>
        <v>11.5450349941092</v>
      </c>
      <c r="F1311" s="18" t="n">
        <f aca="false">F1310/F1305</f>
        <v>21.9151895537028</v>
      </c>
      <c r="G1311" s="18" t="n">
        <f aca="false">G1310/G1305</f>
        <v>37.5156119179484</v>
      </c>
      <c r="H1311" s="28" t="n">
        <f aca="false">H1310/H1305</f>
        <v>41.6151878518775</v>
      </c>
      <c r="I1311" s="28" t="n">
        <f aca="false">I1310/I1305</f>
        <v>45.0188260113772</v>
      </c>
      <c r="J1311" s="28" t="n">
        <f aca="false">J1310/J1305</f>
        <v>47.4634132805916</v>
      </c>
    </row>
    <row r="1314" customFormat="false" ht="17.15" hidden="false" customHeight="false" outlineLevel="0" collapsed="false">
      <c r="A1314" s="1" t="s">
        <v>1112</v>
      </c>
    </row>
    <row r="1315" customFormat="false" ht="17.15" hidden="false" customHeight="false" outlineLevel="0" collapsed="false">
      <c r="A1315" s="4" t="s">
        <v>20</v>
      </c>
      <c r="B1315" s="4" t="s">
        <v>21</v>
      </c>
      <c r="C1315" s="13" t="s">
        <v>566</v>
      </c>
      <c r="D1315" s="13" t="s">
        <v>670</v>
      </c>
      <c r="E1315" s="13" t="s">
        <v>671</v>
      </c>
      <c r="F1315" s="13" t="s">
        <v>672</v>
      </c>
      <c r="G1315" s="13" t="s">
        <v>673</v>
      </c>
      <c r="H1315" s="13" t="s">
        <v>674</v>
      </c>
      <c r="I1315" s="13" t="s">
        <v>675</v>
      </c>
      <c r="J1315" s="13" t="s">
        <v>676</v>
      </c>
      <c r="K1315" s="4" t="s">
        <v>630</v>
      </c>
    </row>
    <row r="1316" customFormat="false" ht="17.15" hidden="false" customHeight="false" outlineLevel="0" collapsed="false">
      <c r="A1316" s="5" t="s">
        <v>694</v>
      </c>
    </row>
    <row r="1317" customFormat="false" ht="17.15" hidden="false" customHeight="false" outlineLevel="0" collapsed="false">
      <c r="A1317" s="0" t="s">
        <v>695</v>
      </c>
      <c r="B1317" s="3" t="s">
        <v>31</v>
      </c>
      <c r="D1317" s="21" t="n">
        <f aca="false">(u_bw_26+u_rb_26+u_ru_26+u_hp_26)*1</f>
        <v>7.6</v>
      </c>
      <c r="E1317" s="21" t="n">
        <f aca="false">(u_bw_27+u_rb_27+u_ru_27+u_hp_27)*1*1</f>
        <v>9.7</v>
      </c>
      <c r="F1317" s="21" t="n">
        <f aca="false">(u_bw_28+u_rb_28+u_ru_28+u_hp_28)*um28_A*1</f>
        <v>9.5</v>
      </c>
      <c r="G1317" s="21" t="n">
        <f aca="false">(u_bw_28*(1+g29_bw)+u_rb_28*(1+g29_rb)+u_ru_28*(1+g29_ru)+u_hp_28*(1+g29_hp))*um29_A*1</f>
        <v>10.6</v>
      </c>
      <c r="K1317" s="7" t="s">
        <v>696</v>
      </c>
    </row>
    <row r="1318" customFormat="false" ht="17.15" hidden="false" customHeight="false" outlineLevel="0" collapsed="false">
      <c r="A1318" s="3" t="s">
        <v>697</v>
      </c>
      <c r="B1318" s="3" t="s">
        <v>31</v>
      </c>
      <c r="D1318" s="21" t="n">
        <f aca="false">(u_amd_26+u_tpu_26+u_trn_26+u_oth_26)*1</f>
        <v>7.6</v>
      </c>
      <c r="E1318" s="21" t="n">
        <f aca="false">(u_amd_27+u_tpu_27+u_trn_27+u_oth_27)*1*1</f>
        <v>14</v>
      </c>
      <c r="F1318" s="21" t="n">
        <f aca="false">(u_amd_28+u_tpu_28+u_trn_28+u_oth_28)*um28_A*1</f>
        <v>17</v>
      </c>
      <c r="G1318" s="21" t="n">
        <f aca="false">(u_amd_28*(1+g29_amd)+u_tpu_28*(1+g29_tpu)+u_trn_28*(1+g29_trn)+u_oth_28*(1+g29_oth))*um29_A*1</f>
        <v>19.55</v>
      </c>
      <c r="K1318" s="7" t="s">
        <v>698</v>
      </c>
    </row>
    <row r="1319" customFormat="false" ht="17.15" hidden="false" customHeight="false" outlineLevel="0" collapsed="false">
      <c r="A1319" s="0" t="s">
        <v>699</v>
      </c>
      <c r="B1319" s="3" t="s">
        <v>31</v>
      </c>
      <c r="D1319" s="21" t="n">
        <f aca="false">D1317*cpu_r</f>
        <v>3.04</v>
      </c>
      <c r="E1319" s="21" t="n">
        <f aca="false">E1317*cpu_r</f>
        <v>3.88</v>
      </c>
      <c r="F1319" s="21" t="n">
        <f aca="false">F1317*cpu_r</f>
        <v>3.8</v>
      </c>
      <c r="G1319" s="21" t="n">
        <f aca="false">G1317*cpu_r</f>
        <v>4.24</v>
      </c>
      <c r="K1319" s="7" t="s">
        <v>700</v>
      </c>
    </row>
    <row r="1320" customFormat="false" ht="17.15" hidden="false" customHeight="false" outlineLevel="0" collapsed="false">
      <c r="A1320" s="3" t="s">
        <v>701</v>
      </c>
      <c r="B1320" s="0" t="s">
        <v>153</v>
      </c>
      <c r="D1320" s="19" t="n">
        <f aca="false">1</f>
        <v>1</v>
      </c>
      <c r="E1320" s="19" t="n">
        <f aca="false">D1320*(1+g_asp)</f>
        <v>1.18</v>
      </c>
      <c r="F1320" s="19" t="n">
        <f aca="false">E1320*(1+g_asp)</f>
        <v>1.3924</v>
      </c>
      <c r="G1320" s="19" t="n">
        <f aca="false">F1320*(1+g_asp)</f>
        <v>1.643032</v>
      </c>
      <c r="K1320" s="7" t="s">
        <v>702</v>
      </c>
    </row>
    <row r="1321" customFormat="false" ht="17.15" hidden="false" customHeight="false" outlineLevel="0" collapsed="false">
      <c r="A1321" s="0" t="s">
        <v>703</v>
      </c>
      <c r="B1321" s="0" t="s">
        <v>153</v>
      </c>
      <c r="D1321" s="18" t="n">
        <f aca="false">1</f>
        <v>1</v>
      </c>
      <c r="E1321" s="18" t="n">
        <f aca="false">ibpp_27</f>
        <v>1</v>
      </c>
      <c r="F1321" s="18" t="n">
        <f aca="false">ibpp_28</f>
        <v>0.95</v>
      </c>
      <c r="G1321" s="18" t="n">
        <f aca="false">ibpp_29</f>
        <v>0.9</v>
      </c>
      <c r="K1321" s="7" t="s">
        <v>704</v>
      </c>
    </row>
    <row r="1322" customFormat="false" ht="17.15" hidden="false" customHeight="false" outlineLevel="0" collapsed="false">
      <c r="A1322" s="3" t="s">
        <v>705</v>
      </c>
      <c r="B1322" s="0" t="s">
        <v>153</v>
      </c>
      <c r="D1322" s="18" t="n">
        <f aca="false">1</f>
        <v>1</v>
      </c>
      <c r="E1322" s="18" t="n">
        <f aca="false">1+carry</f>
        <v>1.15</v>
      </c>
      <c r="F1322" s="18" t="n">
        <f aca="false">1+carry</f>
        <v>1.15</v>
      </c>
      <c r="G1322" s="18" t="n">
        <f aca="false">1+carry</f>
        <v>1.15</v>
      </c>
      <c r="K1322" s="7" t="s">
        <v>706</v>
      </c>
    </row>
    <row r="1323" customFormat="false" ht="17.15" hidden="false" customHeight="false" outlineLevel="0" collapsed="false">
      <c r="A1323" s="3" t="s">
        <v>707</v>
      </c>
      <c r="B1323" s="0" t="s">
        <v>708</v>
      </c>
      <c r="D1323" s="23" t="n">
        <f aca="false">v26*D1320*D1321</f>
        <v>215.308596</v>
      </c>
      <c r="E1323" s="23" t="n">
        <f aca="false">v26*E1320*E1321</f>
        <v>254.06414328</v>
      </c>
      <c r="F1323" s="23" t="n">
        <f aca="false">v26*F1320*F1321</f>
        <v>284.80590461688</v>
      </c>
      <c r="G1323" s="23" t="n">
        <f aca="false">v26*G1320*G1321</f>
        <v>318.383021792765</v>
      </c>
      <c r="K1323" s="7" t="s">
        <v>709</v>
      </c>
    </row>
    <row r="1324" customFormat="false" ht="17.15" hidden="false" customHeight="false" outlineLevel="0" collapsed="false">
      <c r="A1324" s="3" t="s">
        <v>710</v>
      </c>
      <c r="B1324" s="0" t="s">
        <v>43</v>
      </c>
      <c r="D1324" s="20" t="n">
        <f aca="false">sh_nv_26</f>
        <v>0.02</v>
      </c>
      <c r="E1324" s="20" t="n">
        <f aca="false">sh_nv_27</f>
        <v>0.03</v>
      </c>
      <c r="F1324" s="20" t="n">
        <f aca="false">sh_nv_28</f>
        <v>0.05</v>
      </c>
      <c r="G1324" s="20" t="n">
        <f aca="false">sh_nv_29</f>
        <v>0.06</v>
      </c>
    </row>
    <row r="1325" customFormat="false" ht="17.15" hidden="false" customHeight="false" outlineLevel="0" collapsed="false">
      <c r="A1325" s="3" t="s">
        <v>711</v>
      </c>
      <c r="B1325" s="0" t="s">
        <v>43</v>
      </c>
      <c r="D1325" s="20" t="n">
        <f aca="false">sh_ot_26</f>
        <v>0.03</v>
      </c>
      <c r="E1325" s="20" t="n">
        <f aca="false">sh_ot_27</f>
        <v>0.05</v>
      </c>
      <c r="F1325" s="20" t="n">
        <f aca="false">sh_ot_28</f>
        <v>0.06</v>
      </c>
      <c r="G1325" s="20" t="n">
        <f aca="false">sh_ot_29</f>
        <v>0.06</v>
      </c>
    </row>
    <row r="1326" customFormat="false" ht="17.15" hidden="false" customHeight="false" outlineLevel="0" collapsed="false">
      <c r="A1326" s="3" t="s">
        <v>712</v>
      </c>
      <c r="B1326" s="0" t="s">
        <v>43</v>
      </c>
      <c r="D1326" s="20" t="n">
        <f aca="false">sh_cpu_26_hi</f>
        <v>0.5</v>
      </c>
      <c r="E1326" s="20" t="n">
        <f aca="false">sh_cpu_27_hi</f>
        <v>0.9</v>
      </c>
      <c r="F1326" s="20" t="n">
        <f aca="false">sh_cpu_28_hi</f>
        <v>1</v>
      </c>
      <c r="G1326" s="20" t="n">
        <f aca="false">sh_cpu_29_hi</f>
        <v>1</v>
      </c>
    </row>
    <row r="1327" customFormat="false" ht="17.15" hidden="false" customHeight="false" outlineLevel="0" collapsed="false">
      <c r="A1327" s="3" t="s">
        <v>713</v>
      </c>
      <c r="B1327" s="0" t="s">
        <v>660</v>
      </c>
      <c r="D1327" s="22" t="n">
        <f aca="false">(D1317*D1323*D1324+D1318*D1323*v_ot*D1325+D1319*D1323*v_cpu*D1326)*D1322</f>
        <v>170.1799142784</v>
      </c>
      <c r="E1327" s="22" t="n">
        <f aca="false">(E1317*E1323*E1324+E1318*E1323*v_ot*E1325+E1319*E1323*v_cpu*E1326)*E1322</f>
        <v>554.721109796119</v>
      </c>
      <c r="F1327" s="22" t="n">
        <f aca="false">(F1317*F1323*F1324+F1318*F1323*v_ot*F1325+F1319*F1323*v_cpu*F1326)*F1322</f>
        <v>796.217627242181</v>
      </c>
      <c r="G1327" s="22" t="n">
        <f aca="false">(G1317*G1323*G1324+G1318*G1323*v_ot*G1325+G1319*G1323*v_cpu*G1326)*G1322</f>
        <v>1042.18224821556</v>
      </c>
    </row>
    <row r="1328" customFormat="false" ht="17.15" hidden="false" customHeight="false" outlineLevel="0" collapsed="false">
      <c r="A1328" s="3" t="s">
        <v>714</v>
      </c>
      <c r="B1328" s="0" t="s">
        <v>379</v>
      </c>
      <c r="D1328" s="21" t="n">
        <f aca="false">D1327*fx/1000</f>
        <v>5.530847214048</v>
      </c>
      <c r="E1328" s="21" t="n">
        <f aca="false">E1327*fx/1000</f>
        <v>18.0284360683739</v>
      </c>
      <c r="F1328" s="21" t="n">
        <f aca="false">F1327*fx/1000</f>
        <v>25.8770728853709</v>
      </c>
      <c r="G1328" s="21" t="n">
        <f aca="false">G1327*fx/1000</f>
        <v>33.8709230670058</v>
      </c>
    </row>
    <row r="1329" customFormat="false" ht="17.15" hidden="false" customHeight="false" outlineLevel="0" collapsed="false">
      <c r="A1329" s="5" t="s">
        <v>715</v>
      </c>
    </row>
    <row r="1330" customFormat="false" ht="17.15" hidden="false" customHeight="false" outlineLevel="0" collapsed="false">
      <c r="A1330" s="0" t="s">
        <v>716</v>
      </c>
      <c r="B1330" s="0" t="s">
        <v>379</v>
      </c>
      <c r="D1330" s="21" t="n">
        <f aca="false">a26_abf*ai_abf</f>
        <v>5.714709</v>
      </c>
      <c r="K1330" s="3" t="s">
        <v>717</v>
      </c>
    </row>
    <row r="1331" customFormat="false" ht="17.15" hidden="false" customHeight="false" outlineLevel="0" collapsed="false">
      <c r="A1331" s="3" t="s">
        <v>718</v>
      </c>
      <c r="B1331" s="0" t="s">
        <v>379</v>
      </c>
      <c r="D1331" s="21" t="n">
        <f aca="false">D1330-D1328</f>
        <v>0.183861785951998</v>
      </c>
      <c r="E1331" s="21" t="n">
        <f aca="false">$D1331*(swm_27/swm_26)^el_o*1*1*E1321*E1322</f>
        <v>0.295745306697098</v>
      </c>
      <c r="F1331" s="21" t="n">
        <f aca="false">$D1331*(swm_28/swm_26)^el_o*um28_A*1*F1321*F1322</f>
        <v>0.302240269331148</v>
      </c>
      <c r="G1331" s="21" t="n">
        <f aca="false">$D1331*(swm_29/swm_26)^el_o*um29_A*1*G1321*G1322</f>
        <v>0.30546221034843</v>
      </c>
      <c r="K1331" s="7" t="s">
        <v>719</v>
      </c>
    </row>
    <row r="1332" customFormat="false" ht="17.15" hidden="false" customHeight="false" outlineLevel="0" collapsed="false">
      <c r="A1332" s="3" t="s">
        <v>720</v>
      </c>
      <c r="B1332" s="0" t="s">
        <v>379</v>
      </c>
      <c r="D1332" s="21" t="n">
        <f aca="false">a26_abf-D1330</f>
        <v>17.144127</v>
      </c>
      <c r="E1332" s="21" t="n">
        <f aca="false">$D1332*(1+g_nai)^1*E1322</f>
        <v>20.898690813</v>
      </c>
      <c r="F1332" s="21" t="n">
        <f aca="false">$D1332*(1+g_nai)^2*F1322</f>
        <v>22.15261226178</v>
      </c>
      <c r="G1332" s="21" t="n">
        <f aca="false">$D1332*(1+g_nai)^3*G1322</f>
        <v>23.4817689974868</v>
      </c>
      <c r="K1332" s="3" t="s">
        <v>721</v>
      </c>
    </row>
    <row r="1333" customFormat="false" ht="17.15" hidden="false" customHeight="false" outlineLevel="0" collapsed="false">
      <c r="A1333" s="0" t="s">
        <v>722</v>
      </c>
      <c r="B1333" s="0" t="s">
        <v>379</v>
      </c>
      <c r="D1333" s="21" t="n">
        <f aca="false">D1328+D1331+D1332</f>
        <v>22.858836</v>
      </c>
      <c r="E1333" s="21" t="n">
        <f aca="false">E1328+E1331+E1332</f>
        <v>39.222872188071</v>
      </c>
      <c r="F1333" s="21" t="n">
        <f aca="false">F1328+F1331+F1332</f>
        <v>48.331925416482</v>
      </c>
      <c r="G1333" s="21" t="n">
        <f aca="false">G1328+G1331+G1332</f>
        <v>57.6581542748411</v>
      </c>
    </row>
    <row r="1334" customFormat="false" ht="17.15" hidden="false" customHeight="false" outlineLevel="0" collapsed="false">
      <c r="A1334" s="0" t="s">
        <v>723</v>
      </c>
      <c r="B1334" s="0" t="s">
        <v>379</v>
      </c>
      <c r="D1334" s="21" t="n">
        <f aca="false">a26_abf</f>
        <v>22.858836</v>
      </c>
      <c r="E1334" s="21" t="n">
        <f aca="false">$D1333*cap_27*(1+g_mix)^1*E1321*E1322</f>
        <v>33.122453364</v>
      </c>
      <c r="F1334" s="21" t="n">
        <f aca="false">$D1333*cap_28*(1+g_mix)^2*F1321*F1322</f>
        <v>41.2995590382375</v>
      </c>
      <c r="G1334" s="21" t="n">
        <f aca="false">$D1333*cap_29*(1+g_mix)^3*G1321*G1322</f>
        <v>50.6680379569114</v>
      </c>
      <c r="K1334" s="7" t="s">
        <v>724</v>
      </c>
    </row>
    <row r="1335" customFormat="false" ht="17.15" hidden="false" customHeight="false" outlineLevel="0" collapsed="false">
      <c r="A1335" s="0" t="s">
        <v>725</v>
      </c>
      <c r="B1335" s="0" t="s">
        <v>379</v>
      </c>
      <c r="D1335" s="21" t="n">
        <f aca="false">a26_abf</f>
        <v>22.858836</v>
      </c>
      <c r="E1335" s="21" t="n">
        <f aca="false">MIN(E1333,E1334)</f>
        <v>33.122453364</v>
      </c>
      <c r="F1335" s="21" t="n">
        <f aca="false">MIN(F1333,F1334)</f>
        <v>41.2995590382375</v>
      </c>
      <c r="G1335" s="21" t="n">
        <f aca="false">MIN(G1333,G1334)</f>
        <v>50.6680379569114</v>
      </c>
    </row>
    <row r="1336" customFormat="false" ht="17.15" hidden="false" customHeight="false" outlineLevel="0" collapsed="false">
      <c r="A1336" s="3" t="s">
        <v>726</v>
      </c>
      <c r="B1336" s="0" t="s">
        <v>43</v>
      </c>
      <c r="D1336" s="20" t="n">
        <f aca="false">D1335/D1333</f>
        <v>1</v>
      </c>
      <c r="E1336" s="20" t="n">
        <f aca="false">E1335/E1333</f>
        <v>0.844467819826659</v>
      </c>
      <c r="F1336" s="20" t="n">
        <f aca="false">F1335/F1333</f>
        <v>0.854498526229904</v>
      </c>
      <c r="G1336" s="20" t="n">
        <f aca="false">G1335/G1333</f>
        <v>0.878766214322268</v>
      </c>
    </row>
    <row r="1337" customFormat="false" ht="17.15" hidden="false" customHeight="false" outlineLevel="0" collapsed="false">
      <c r="A1337" s="0" t="s">
        <v>727</v>
      </c>
      <c r="B1337" s="0" t="s">
        <v>379</v>
      </c>
      <c r="D1337" s="21" t="n">
        <f aca="false">(D1328+D1331)*D1336</f>
        <v>5.714709</v>
      </c>
      <c r="E1337" s="21" t="n">
        <f aca="false">(E1328+E1331)*E1336</f>
        <v>15.4741814959145</v>
      </c>
      <c r="F1337" s="21" t="n">
        <f aca="false">(F1328+F1331)*F1336</f>
        <v>22.370184508404</v>
      </c>
      <c r="G1337" s="21" t="n">
        <f aca="false">(G1328+G1331)*G1336</f>
        <v>30.0330527093999</v>
      </c>
    </row>
    <row r="1338" customFormat="false" ht="17.15" hidden="false" customHeight="false" outlineLevel="0" collapsed="false">
      <c r="A1338" s="3" t="s">
        <v>728</v>
      </c>
      <c r="B1338" s="0" t="s">
        <v>43</v>
      </c>
      <c r="D1338" s="20" t="n">
        <f aca="false">D1328/(D1328+D1331)</f>
        <v>0.967826570705175</v>
      </c>
      <c r="E1338" s="20" t="n">
        <f aca="false">E1328/(E1328+E1331)</f>
        <v>0.983860380955438</v>
      </c>
      <c r="F1338" s="20" t="n">
        <f aca="false">F1328/(F1328+F1331)</f>
        <v>0.988454996219912</v>
      </c>
      <c r="G1338" s="20" t="n">
        <f aca="false">G1328/(G1328+G1331)</f>
        <v>0.991062184959893</v>
      </c>
    </row>
    <row r="1339" customFormat="false" ht="17.15" hidden="false" customHeight="false" outlineLevel="0" collapsed="false">
      <c r="A1339" s="5" t="s">
        <v>729</v>
      </c>
    </row>
    <row r="1340" customFormat="false" ht="17.15" hidden="false" customHeight="false" outlineLevel="0" collapsed="false">
      <c r="A1340" s="0" t="s">
        <v>730</v>
      </c>
      <c r="B1340" s="0" t="s">
        <v>379</v>
      </c>
      <c r="D1340" s="21" t="n">
        <f aca="false">a26_bt</f>
        <v>23.265964</v>
      </c>
      <c r="E1340" s="21" t="n">
        <f aca="false">D1340*(1+g_bt27_A)</f>
        <v>29.78043392</v>
      </c>
      <c r="F1340" s="21" t="n">
        <f aca="false">E1340*(1+g_bt28_A)</f>
        <v>32.758477312</v>
      </c>
      <c r="G1340" s="21" t="n">
        <f aca="false">F1340*(1+g_bt29_A)</f>
        <v>34.3964011776</v>
      </c>
      <c r="K1340" s="7" t="s">
        <v>731</v>
      </c>
    </row>
    <row r="1341" customFormat="false" ht="17.15" hidden="false" customHeight="false" outlineLevel="0" collapsed="false">
      <c r="A1341" s="3" t="s">
        <v>616</v>
      </c>
      <c r="B1341" s="0" t="s">
        <v>379</v>
      </c>
      <c r="C1341" s="21" t="n">
        <f aca="false">a25_lens</f>
        <v>7.039</v>
      </c>
      <c r="D1341" s="21" t="n">
        <f aca="false">a26_lens</f>
        <v>8.301</v>
      </c>
      <c r="E1341" s="21" t="n">
        <f aca="false">D1341*(1+g_lens)</f>
        <v>9.1311</v>
      </c>
      <c r="F1341" s="21" t="n">
        <f aca="false">E1341*(1+g_lens)</f>
        <v>10.04421</v>
      </c>
      <c r="G1341" s="21" t="n">
        <f aca="false">F1341*(1+g_lens)</f>
        <v>11.048631</v>
      </c>
      <c r="K1341" s="3" t="s">
        <v>732</v>
      </c>
    </row>
    <row r="1342" customFormat="false" ht="17.15" hidden="false" customHeight="false" outlineLevel="0" collapsed="false">
      <c r="A1342" s="3" t="s">
        <v>573</v>
      </c>
      <c r="B1342" s="0" t="s">
        <v>379</v>
      </c>
      <c r="C1342" s="23" t="n">
        <f aca="false">a25_rev</f>
        <v>39.351</v>
      </c>
      <c r="D1342" s="23" t="n">
        <f aca="false">D1335+D1340+D1341</f>
        <v>54.4258</v>
      </c>
      <c r="E1342" s="23" t="n">
        <f aca="false">E1335+E1340+E1341</f>
        <v>72.033987284</v>
      </c>
      <c r="F1342" s="23" t="n">
        <f aca="false">F1335+F1340+F1341</f>
        <v>84.1022463502375</v>
      </c>
      <c r="G1342" s="23" t="n">
        <f aca="false">G1335+G1340+G1341</f>
        <v>96.1130701345114</v>
      </c>
      <c r="H1342" s="25" t="n">
        <f aca="false">G1342*(1+H1343)</f>
        <v>107.186075216063</v>
      </c>
      <c r="I1342" s="25" t="n">
        <f aca="false">H1342*(1+I1343)</f>
        <v>116.576010002736</v>
      </c>
      <c r="J1342" s="25" t="n">
        <f aca="false">I1342*(1+J1343)</f>
        <v>123.5705706029</v>
      </c>
      <c r="K1342" s="7" t="s">
        <v>733</v>
      </c>
    </row>
    <row r="1343" customFormat="false" ht="15" hidden="false" customHeight="false" outlineLevel="0" collapsed="false">
      <c r="A1343" s="3" t="s">
        <v>734</v>
      </c>
      <c r="B1343" s="0" t="s">
        <v>43</v>
      </c>
      <c r="D1343" s="20" t="n">
        <f aca="false">D1342/C1342-1</f>
        <v>0.383085563263958</v>
      </c>
      <c r="E1343" s="20" t="n">
        <f aca="false">E1342/D1342-1</f>
        <v>0.323526476119781</v>
      </c>
      <c r="F1343" s="20" t="n">
        <f aca="false">F1342/E1342-1</f>
        <v>0.167535624796909</v>
      </c>
      <c r="G1343" s="20" t="n">
        <f aca="false">G1342/F1342-1</f>
        <v>0.142812163830389</v>
      </c>
      <c r="H1343" s="26" t="n">
        <f aca="false">$G1343+(fade_gA-$G1343)*1/3</f>
        <v>0.115208109220259</v>
      </c>
      <c r="I1343" s="26" t="n">
        <f aca="false">$G1343+(fade_gA-$G1343)*2/3</f>
        <v>0.0876040546101297</v>
      </c>
      <c r="J1343" s="26" t="n">
        <f aca="false">$G1343+(fade_gA-$G1343)*3/3</f>
        <v>0.06</v>
      </c>
    </row>
    <row r="1344" customFormat="false" ht="17.15" hidden="false" customHeight="false" outlineLevel="0" collapsed="false">
      <c r="A1344" s="0" t="s">
        <v>735</v>
      </c>
      <c r="B1344" s="0" t="s">
        <v>43</v>
      </c>
      <c r="D1344" s="20" t="n">
        <f aca="false">D1335/D1342</f>
        <v>0.42</v>
      </c>
      <c r="E1344" s="20" t="n">
        <f aca="false">E1335/E1342</f>
        <v>0.459817019893845</v>
      </c>
      <c r="F1344" s="20" t="n">
        <f aca="false">F1335/F1342</f>
        <v>0.491063685341395</v>
      </c>
      <c r="G1344" s="20" t="n">
        <f aca="false">G1335/G1342</f>
        <v>0.527171152539409</v>
      </c>
    </row>
    <row r="1345" customFormat="false" ht="17.15" hidden="false" customHeight="false" outlineLevel="0" collapsed="false">
      <c r="A1345" s="0" t="s">
        <v>736</v>
      </c>
      <c r="B1345" s="0" t="s">
        <v>43</v>
      </c>
      <c r="D1345" s="20" t="n">
        <f aca="false">D1337/D1342</f>
        <v>0.105</v>
      </c>
      <c r="E1345" s="20" t="n">
        <f aca="false">E1337/E1342</f>
        <v>0.214817783651295</v>
      </c>
      <c r="F1345" s="20" t="n">
        <f aca="false">F1337/F1342</f>
        <v>0.265987954890587</v>
      </c>
      <c r="G1345" s="20" t="n">
        <f aca="false">G1337/G1342</f>
        <v>0.312476260173235</v>
      </c>
      <c r="K1345" s="3" t="s">
        <v>737</v>
      </c>
    </row>
    <row r="1346" customFormat="false" ht="17.15" hidden="false" customHeight="false" outlineLevel="0" collapsed="false">
      <c r="A1346" s="5" t="s">
        <v>738</v>
      </c>
    </row>
    <row r="1347" customFormat="false" ht="15" hidden="false" customHeight="false" outlineLevel="0" collapsed="false">
      <c r="A1347" s="3" t="s">
        <v>739</v>
      </c>
      <c r="B1347" s="0" t="s">
        <v>379</v>
      </c>
      <c r="C1347" s="23" t="n">
        <f aca="false">a25_cx</f>
        <v>6.116</v>
      </c>
      <c r="D1347" s="23" t="n">
        <f aca="false">capex26</f>
        <v>11</v>
      </c>
      <c r="E1347" s="23" t="n">
        <f aca="false">cx27</f>
        <v>17</v>
      </c>
      <c r="F1347" s="23" t="n">
        <f aca="false">cx28</f>
        <v>16</v>
      </c>
      <c r="G1347" s="23" t="n">
        <f aca="false">cx29</f>
        <v>12</v>
      </c>
      <c r="H1347" s="25" t="n">
        <f aca="false">H1342*H1366</f>
        <v>13.4817405534162</v>
      </c>
      <c r="I1347" s="25" t="n">
        <f aca="false">I1342*I1366</f>
        <v>14.77073304233</v>
      </c>
      <c r="J1347" s="25" t="n">
        <f aca="false">J1342*J1366</f>
        <v>15.7713906192965</v>
      </c>
    </row>
    <row r="1348" customFormat="false" ht="17.15" hidden="false" customHeight="false" outlineLevel="0" collapsed="false">
      <c r="A1348" s="3" t="s">
        <v>740</v>
      </c>
      <c r="B1348" s="0" t="s">
        <v>379</v>
      </c>
      <c r="C1348" s="23" t="n">
        <f aca="false">a25_da</f>
        <v>7.158</v>
      </c>
      <c r="D1348" s="23" t="n">
        <f aca="false">da26</f>
        <v>8.32</v>
      </c>
      <c r="E1348" s="23" t="n">
        <f aca="false">D1348*(1-1/life)+D1347/life</f>
        <v>8.655</v>
      </c>
      <c r="F1348" s="23" t="n">
        <f aca="false">E1348*(1-1/life)+E1347/life</f>
        <v>9.698125</v>
      </c>
      <c r="G1348" s="23" t="n">
        <f aca="false">F1348*(1-1/life)+F1347/life</f>
        <v>10.485859375</v>
      </c>
      <c r="H1348" s="25" t="n">
        <f aca="false">H1342*H1349</f>
        <v>11.6939154071433</v>
      </c>
      <c r="I1348" s="25" t="n">
        <f aca="false">I1342*I1349</f>
        <v>12.7183498110769</v>
      </c>
      <c r="J1348" s="25" t="n">
        <f aca="false">J1342*J1349</f>
        <v>13.4814507997415</v>
      </c>
      <c r="K1348" s="3" t="s">
        <v>741</v>
      </c>
    </row>
    <row r="1349" customFormat="false" ht="17.15" hidden="false" customHeight="false" outlineLevel="0" collapsed="false">
      <c r="A1349" s="3" t="s">
        <v>742</v>
      </c>
      <c r="B1349" s="0" t="s">
        <v>43</v>
      </c>
      <c r="C1349" s="20" t="n">
        <f aca="false">C1348/C1342</f>
        <v>0.181901349393916</v>
      </c>
      <c r="D1349" s="20" t="n">
        <f aca="false">D1348/D1342</f>
        <v>0.152868676252807</v>
      </c>
      <c r="E1349" s="20" t="n">
        <f aca="false">E1348/E1342</f>
        <v>0.120151616290196</v>
      </c>
      <c r="F1349" s="20" t="n">
        <f aca="false">F1348/F1342</f>
        <v>0.115313507318376</v>
      </c>
      <c r="G1349" s="20" t="n">
        <f aca="false">G1348/G1342</f>
        <v>0.109099203264706</v>
      </c>
      <c r="H1349" s="26" t="n">
        <f aca="false">$G1349</f>
        <v>0.109099203264706</v>
      </c>
      <c r="I1349" s="26" t="n">
        <f aca="false">$G1349</f>
        <v>0.109099203264706</v>
      </c>
      <c r="J1349" s="26" t="n">
        <f aca="false">$G1349</f>
        <v>0.109099203264706</v>
      </c>
    </row>
    <row r="1350" customFormat="false" ht="17.15" hidden="false" customHeight="false" outlineLevel="0" collapsed="false">
      <c r="A1350" s="0" t="s">
        <v>743</v>
      </c>
      <c r="B1350" s="0" t="s">
        <v>379</v>
      </c>
      <c r="E1350" s="21" t="n">
        <f aca="false">E1336*((E1328+E1331)*(1-1/(E1321*E1322))+E1332*(1-1/E1322))</f>
        <v>4.320320004</v>
      </c>
      <c r="F1350" s="21" t="n">
        <f aca="false">F1336*((F1328+F1331)*(1-1/(F1321*F1322))+F1332*(1-1/F1322))</f>
        <v>4.36309193366466</v>
      </c>
      <c r="G1350" s="21" t="n">
        <f aca="false">G1336*((G1328+G1331)*(1-1/(G1321*G1322))+G1332*(1-1/G1322))</f>
        <v>3.70713029298845</v>
      </c>
      <c r="K1350" s="7" t="s">
        <v>744</v>
      </c>
    </row>
    <row r="1351" customFormat="false" ht="17.15" hidden="false" customHeight="false" outlineLevel="0" collapsed="false">
      <c r="A1351" s="3" t="s">
        <v>745</v>
      </c>
      <c r="B1351" s="0" t="s">
        <v>379</v>
      </c>
      <c r="C1351" s="21" t="n">
        <f aca="false">a25_gp</f>
        <v>8.314</v>
      </c>
      <c r="D1351" s="21" t="n">
        <f aca="false">a26_gp</f>
        <v>15.328536</v>
      </c>
      <c r="E1351" s="21" t="n">
        <f aca="false">$D1351+ft_abf*(E1335-E1350-$D1335)+ft_bt*(E1340-$D1340)+ft_lens*(E1341-$D1341)+E1350-(E1348-$D1348)</f>
        <v>25.590561148</v>
      </c>
      <c r="F1351" s="21" t="n">
        <f aca="false">$D1351+ft_abf*(F1335-F1350-$D1335)+ft_bt*(F1340-$D1340)+ft_lens*(F1341-$D1341)+F1350-(F1348-$D1348)</f>
        <v>30.4083939763511</v>
      </c>
      <c r="G1351" s="21" t="n">
        <f aca="false">$D1351+ft_abf*(G1335-G1350-$D1335)+ft_bt*(G1340-$D1340)+ft_lens*(G1341-$D1341)+G1350-(G1348-$D1348)</f>
        <v>35.1659734298699</v>
      </c>
      <c r="K1351" s="3" t="s">
        <v>746</v>
      </c>
    </row>
    <row r="1352" customFormat="false" ht="15" hidden="false" customHeight="false" outlineLevel="0" collapsed="false">
      <c r="A1352" s="3" t="s">
        <v>580</v>
      </c>
      <c r="B1352" s="0" t="s">
        <v>43</v>
      </c>
      <c r="C1352" s="16" t="n">
        <f aca="false">C1351/C1342</f>
        <v>0.211277985311682</v>
      </c>
      <c r="D1352" s="16" t="n">
        <f aca="false">D1351/D1342</f>
        <v>0.281640986443929</v>
      </c>
      <c r="E1352" s="16" t="n">
        <f aca="false">E1351/E1342</f>
        <v>0.3552567629931</v>
      </c>
      <c r="F1352" s="16" t="n">
        <f aca="false">F1351/F1342</f>
        <v>0.36156458710648</v>
      </c>
      <c r="G1352" s="16" t="n">
        <f aca="false">G1351/G1342</f>
        <v>0.365881283166324</v>
      </c>
    </row>
    <row r="1353" customFormat="false" ht="15" hidden="false" customHeight="false" outlineLevel="0" collapsed="false">
      <c r="A1353" s="3" t="s">
        <v>582</v>
      </c>
      <c r="B1353" s="0" t="s">
        <v>379</v>
      </c>
      <c r="C1353" s="21" t="n">
        <f aca="false">a25_opx</f>
        <v>5.644</v>
      </c>
      <c r="D1353" s="21" t="n">
        <f aca="false">a26_opx</f>
        <v>6.54036</v>
      </c>
      <c r="E1353" s="21" t="n">
        <f aca="false">D1353*(1+phi*E1343)</f>
        <v>7.80994777401287</v>
      </c>
      <c r="F1353" s="21" t="n">
        <f aca="false">E1353*(1+phi*F1343)</f>
        <v>8.59501446198315</v>
      </c>
      <c r="G1353" s="21" t="n">
        <f aca="false">F1353*(1+phi*G1343)</f>
        <v>9.33149803006473</v>
      </c>
    </row>
    <row r="1354" customFormat="false" ht="15" hidden="false" customHeight="false" outlineLevel="0" collapsed="false">
      <c r="A1354" s="3" t="s">
        <v>585</v>
      </c>
      <c r="B1354" s="0" t="s">
        <v>379</v>
      </c>
      <c r="C1354" s="21" t="n">
        <f aca="false">C1351-C1353</f>
        <v>2.67</v>
      </c>
      <c r="D1354" s="21" t="n">
        <f aca="false">D1351-D1353</f>
        <v>8.788176</v>
      </c>
      <c r="E1354" s="21" t="n">
        <f aca="false">E1351-E1353</f>
        <v>17.7806133739871</v>
      </c>
      <c r="F1354" s="21" t="n">
        <f aca="false">F1351-F1353</f>
        <v>21.8133795143679</v>
      </c>
      <c r="G1354" s="21" t="n">
        <f aca="false">G1351-G1353</f>
        <v>25.8344753998052</v>
      </c>
    </row>
    <row r="1355" customFormat="false" ht="15" hidden="false" customHeight="false" outlineLevel="0" collapsed="false">
      <c r="A1355" s="3" t="s">
        <v>683</v>
      </c>
      <c r="B1355" s="0" t="s">
        <v>43</v>
      </c>
      <c r="C1355" s="16" t="n">
        <f aca="false">C1354/C1342</f>
        <v>0.0678508805367081</v>
      </c>
      <c r="D1355" s="16" t="n">
        <f aca="false">D1354/D1342</f>
        <v>0.161470773052486</v>
      </c>
      <c r="E1355" s="16" t="n">
        <f aca="false">E1354/E1342</f>
        <v>0.246836445466854</v>
      </c>
      <c r="F1355" s="16" t="n">
        <f aca="false">F1354/F1342</f>
        <v>0.259367382691869</v>
      </c>
      <c r="G1355" s="16" t="n">
        <f aca="false">G1354/G1342</f>
        <v>0.268792531168233</v>
      </c>
    </row>
    <row r="1356" customFormat="false" ht="15" hidden="false" customHeight="false" outlineLevel="0" collapsed="false">
      <c r="A1356" s="3" t="s">
        <v>588</v>
      </c>
      <c r="B1356" s="0" t="s">
        <v>379</v>
      </c>
      <c r="C1356" s="21" t="n">
        <f aca="false">a25_nonop</f>
        <v>0.417</v>
      </c>
      <c r="D1356" s="21" t="n">
        <f aca="false">a26_nonop</f>
        <v>0.37882</v>
      </c>
      <c r="E1356" s="21" t="n">
        <f aca="false">nonop27</f>
        <v>0.4</v>
      </c>
      <c r="F1356" s="21" t="n">
        <f aca="false">nonop28</f>
        <v>0.4</v>
      </c>
      <c r="G1356" s="21" t="n">
        <f aca="false">nonop29</f>
        <v>0.4</v>
      </c>
    </row>
    <row r="1357" customFormat="false" ht="15" hidden="false" customHeight="false" outlineLevel="0" collapsed="false">
      <c r="A1357" s="3" t="s">
        <v>590</v>
      </c>
      <c r="B1357" s="0" t="s">
        <v>379</v>
      </c>
      <c r="C1357" s="21" t="n">
        <f aca="false">C1354+C1356</f>
        <v>3.087</v>
      </c>
      <c r="D1357" s="21" t="n">
        <f aca="false">D1354+D1356</f>
        <v>9.166996</v>
      </c>
      <c r="E1357" s="21" t="n">
        <f aca="false">E1354+E1356</f>
        <v>18.1806133739871</v>
      </c>
      <c r="F1357" s="21" t="n">
        <f aca="false">F1354+F1356</f>
        <v>22.2133795143679</v>
      </c>
      <c r="G1357" s="21" t="n">
        <f aca="false">G1354+G1356</f>
        <v>26.2344753998052</v>
      </c>
    </row>
    <row r="1358" customFormat="false" ht="15" hidden="false" customHeight="false" outlineLevel="0" collapsed="false">
      <c r="A1358" s="3" t="s">
        <v>591</v>
      </c>
      <c r="B1358" s="0" t="s">
        <v>379</v>
      </c>
      <c r="E1358" s="21" t="n">
        <f aca="false">E1357*tax</f>
        <v>2.18167360487846</v>
      </c>
      <c r="F1358" s="21" t="n">
        <f aca="false">F1357*tax</f>
        <v>2.66560554172415</v>
      </c>
      <c r="G1358" s="21" t="n">
        <f aca="false">G1357*tax</f>
        <v>3.14813704797662</v>
      </c>
    </row>
    <row r="1359" customFormat="false" ht="15" hidden="false" customHeight="false" outlineLevel="0" collapsed="false">
      <c r="A1359" s="3" t="s">
        <v>592</v>
      </c>
      <c r="B1359" s="0" t="s">
        <v>379</v>
      </c>
      <c r="C1359" s="21" t="n">
        <f aca="false">a25_nic</f>
        <v>2.71712</v>
      </c>
      <c r="D1359" s="21" t="n">
        <f aca="false">a26_nic</f>
        <v>8.39979776</v>
      </c>
      <c r="E1359" s="21" t="n">
        <f aca="false">E1357-E1358</f>
        <v>15.9989397691087</v>
      </c>
      <c r="F1359" s="21" t="n">
        <f aca="false">F1357-F1358</f>
        <v>19.5477739726438</v>
      </c>
      <c r="G1359" s="21" t="n">
        <f aca="false">G1357-G1358</f>
        <v>23.0863383518286</v>
      </c>
    </row>
    <row r="1360" customFormat="false" ht="17.15" hidden="false" customHeight="false" outlineLevel="0" collapsed="false">
      <c r="A1360" s="3" t="s">
        <v>747</v>
      </c>
      <c r="B1360" s="0" t="s">
        <v>379</v>
      </c>
      <c r="C1360" s="21" t="n">
        <f aca="false">a25_nci</f>
        <v>1.12112</v>
      </c>
      <c r="D1360" s="21" t="n">
        <f aca="false">a26_nci</f>
        <v>1.43839238487797</v>
      </c>
      <c r="E1360" s="21" t="n">
        <f aca="false">E1341*nm_lens*nci_sh</f>
        <v>1.57074538036261</v>
      </c>
      <c r="F1360" s="21" t="n">
        <f aca="false">F1341*nm_lens*nci_sh</f>
        <v>1.72781991839887</v>
      </c>
      <c r="G1360" s="21" t="n">
        <f aca="false">G1341*nm_lens*nci_sh</f>
        <v>1.90060191023875</v>
      </c>
      <c r="K1360" s="3" t="s">
        <v>748</v>
      </c>
    </row>
    <row r="1361" customFormat="false" ht="15" hidden="false" customHeight="false" outlineLevel="0" collapsed="false">
      <c r="A1361" s="3" t="s">
        <v>598</v>
      </c>
      <c r="B1361" s="0" t="s">
        <v>379</v>
      </c>
      <c r="C1361" s="21" t="n">
        <f aca="false">a25_ni</f>
        <v>1.596</v>
      </c>
      <c r="D1361" s="21" t="n">
        <f aca="false">a26_ni</f>
        <v>6.96140537512203</v>
      </c>
      <c r="E1361" s="21" t="n">
        <f aca="false">E1359-E1360</f>
        <v>14.4281943887461</v>
      </c>
      <c r="F1361" s="21" t="n">
        <f aca="false">F1359-F1360</f>
        <v>17.8199540542449</v>
      </c>
      <c r="G1361" s="21" t="n">
        <f aca="false">G1359-G1360</f>
        <v>21.1857364415898</v>
      </c>
      <c r="H1361" s="30" t="n">
        <f aca="false">H1342*H1365</f>
        <v>23.6440924163425</v>
      </c>
      <c r="I1361" s="30" t="n">
        <f aca="false">I1342*I1365</f>
        <v>25.7345388384895</v>
      </c>
      <c r="J1361" s="30" t="n">
        <f aca="false">J1342*J1365</f>
        <v>27.2988869112315</v>
      </c>
    </row>
    <row r="1362" customFormat="false" ht="15" hidden="false" customHeight="false" outlineLevel="0" collapsed="false">
      <c r="A1362" s="3" t="s">
        <v>749</v>
      </c>
      <c r="B1362" s="3" t="s">
        <v>465</v>
      </c>
      <c r="C1362" s="29" t="n">
        <f aca="false">a25_sh</f>
        <v>0.454700854700855</v>
      </c>
      <c r="D1362" s="29" t="n">
        <f aca="false">a26_sh</f>
        <v>0.508341020486215</v>
      </c>
      <c r="E1362" s="29" t="n">
        <f aca="false">a26_shend*(1+sh_g)</f>
        <v>0.52691</v>
      </c>
      <c r="F1362" s="29" t="n">
        <f aca="false">E1362*(1+sh_g)</f>
        <v>0.52691</v>
      </c>
      <c r="G1362" s="29" t="n">
        <f aca="false">F1362*(1+sh_g)</f>
        <v>0.52691</v>
      </c>
      <c r="H1362" s="31" t="n">
        <f aca="false">G1362*(1+sh_g)</f>
        <v>0.52691</v>
      </c>
      <c r="I1362" s="31" t="n">
        <f aca="false">H1362*(1+sh_g)</f>
        <v>0.52691</v>
      </c>
      <c r="J1362" s="31" t="n">
        <f aca="false">I1362*(1+sh_g)</f>
        <v>0.52691</v>
      </c>
    </row>
    <row r="1363" customFormat="false" ht="17.15" hidden="false" customHeight="false" outlineLevel="0" collapsed="false">
      <c r="A1363" s="0" t="s">
        <v>603</v>
      </c>
      <c r="B1363" s="0" t="s">
        <v>471</v>
      </c>
      <c r="C1363" s="18" t="n">
        <f aca="false">C1361/C1362</f>
        <v>3.51</v>
      </c>
      <c r="D1363" s="18" t="n">
        <f aca="false">D1361/D1362</f>
        <v>13.6943608612652</v>
      </c>
      <c r="E1363" s="18" t="n">
        <f aca="false">E1361/E1362</f>
        <v>27.3826543218881</v>
      </c>
      <c r="F1363" s="18" t="n">
        <f aca="false">F1361/F1362</f>
        <v>33.8197302276383</v>
      </c>
      <c r="G1363" s="18" t="n">
        <f aca="false">G1361/G1362</f>
        <v>40.2075049659141</v>
      </c>
      <c r="H1363" s="28" t="n">
        <f aca="false">H1361/H1362</f>
        <v>44.8731138455192</v>
      </c>
      <c r="I1363" s="28" t="n">
        <f aca="false">I1361/I1362</f>
        <v>48.8404828879495</v>
      </c>
      <c r="J1363" s="28" t="n">
        <f aca="false">J1361/J1362</f>
        <v>51.8093923274022</v>
      </c>
    </row>
    <row r="1364" customFormat="false" ht="17.15" hidden="false" customHeight="false" outlineLevel="0" collapsed="false">
      <c r="A1364" s="0" t="s">
        <v>750</v>
      </c>
      <c r="B1364" s="0" t="s">
        <v>43</v>
      </c>
      <c r="D1364" s="20" t="n">
        <f aca="false">D1363/C1363-1</f>
        <v>2.90152731090177</v>
      </c>
      <c r="E1364" s="20" t="n">
        <f aca="false">E1363/D1363-1</f>
        <v>0.999556941670828</v>
      </c>
      <c r="F1364" s="20" t="n">
        <f aca="false">F1363/E1363-1</f>
        <v>0.235078595014245</v>
      </c>
      <c r="G1364" s="20" t="n">
        <f aca="false">G1363/F1363-1</f>
        <v>0.1888771641666</v>
      </c>
      <c r="H1364" s="26" t="n">
        <f aca="false">H1363/G1363-1</f>
        <v>0.116038259115066</v>
      </c>
      <c r="I1364" s="26" t="n">
        <f aca="false">I1363/H1363-1</f>
        <v>0.0884130541082668</v>
      </c>
      <c r="J1364" s="26" t="n">
        <f aca="false">J1363/I1363-1</f>
        <v>0.0607878805429507</v>
      </c>
    </row>
    <row r="1365" customFormat="false" ht="17.15" hidden="false" customHeight="false" outlineLevel="0" collapsed="false">
      <c r="A1365" s="3" t="s">
        <v>751</v>
      </c>
      <c r="B1365" s="0" t="s">
        <v>43</v>
      </c>
      <c r="C1365" s="16" t="n">
        <f aca="false">C1361/C1342</f>
        <v>0.0405580544331783</v>
      </c>
      <c r="D1365" s="16" t="n">
        <f aca="false">D1361/D1342</f>
        <v>0.127906349105057</v>
      </c>
      <c r="E1365" s="16" t="n">
        <f aca="false">E1361/E1342</f>
        <v>0.20029703939422</v>
      </c>
      <c r="F1365" s="16" t="n">
        <f aca="false">F1361/F1342</f>
        <v>0.211884400566842</v>
      </c>
      <c r="G1365" s="16" t="n">
        <f aca="false">G1361/G1342</f>
        <v>0.220425134811947</v>
      </c>
      <c r="H1365" s="27" t="n">
        <f aca="false">$G1365+(fade_mA-$G1365)*1/3</f>
        <v>0.220589217103821</v>
      </c>
      <c r="I1365" s="27" t="n">
        <f aca="false">$G1365+(fade_mA-$G1365)*2/3</f>
        <v>0.220753299395694</v>
      </c>
      <c r="J1365" s="27" t="n">
        <f aca="false">$G1365+(fade_mA-$G1365)*3/3</f>
        <v>0.220917381687568</v>
      </c>
    </row>
    <row r="1366" customFormat="false" ht="17.15" hidden="false" customHeight="false" outlineLevel="0" collapsed="false">
      <c r="A1366" s="3" t="s">
        <v>752</v>
      </c>
      <c r="B1366" s="0" t="s">
        <v>43</v>
      </c>
      <c r="C1366" s="20" t="n">
        <f aca="false">C1347/C1342</f>
        <v>0.155421717364235</v>
      </c>
      <c r="D1366" s="20" t="n">
        <f aca="false">D1347/D1342</f>
        <v>0.202110028699624</v>
      </c>
      <c r="E1366" s="20" t="n">
        <f aca="false">E1347/E1342</f>
        <v>0.235999708484498</v>
      </c>
      <c r="F1366" s="20" t="n">
        <f aca="false">F1347/F1342</f>
        <v>0.190244621212247</v>
      </c>
      <c r="G1366" s="20" t="n">
        <f aca="false">G1347/G1342</f>
        <v>0.124852946464054</v>
      </c>
      <c r="H1366" s="26" t="n">
        <f aca="false">$G1366+($G1349*(1+tp_g)^(life/2)-$G1366)*1/3</f>
        <v>0.125778843252168</v>
      </c>
      <c r="I1366" s="26" t="n">
        <f aca="false">$G1366+($G1349*(1+tp_g)^(life/2)-$G1366)*2/3</f>
        <v>0.126704740040282</v>
      </c>
      <c r="J1366" s="26" t="n">
        <f aca="false">$G1366+($G1349*(1+tp_g)^(life/2)-$G1366)*3/3</f>
        <v>0.127630636828396</v>
      </c>
      <c r="K1366" s="7" t="s">
        <v>753</v>
      </c>
    </row>
    <row r="1367" customFormat="false" ht="15" hidden="false" customHeight="false" outlineLevel="0" collapsed="false">
      <c r="A1367" s="3" t="s">
        <v>754</v>
      </c>
      <c r="B1367" s="0" t="s">
        <v>379</v>
      </c>
      <c r="D1367" s="21" t="n">
        <f aca="false">D1361+D1348-D1347</f>
        <v>4.28140537512203</v>
      </c>
      <c r="E1367" s="21" t="n">
        <f aca="false">E1361+E1348-E1347</f>
        <v>6.08319438874607</v>
      </c>
      <c r="F1367" s="21" t="n">
        <f aca="false">F1361+F1348-F1347</f>
        <v>11.5180790542449</v>
      </c>
      <c r="G1367" s="21" t="n">
        <f aca="false">G1361+G1348-G1347</f>
        <v>19.6715958165898</v>
      </c>
      <c r="H1367" s="30" t="n">
        <f aca="false">H1361+H1348-H1347</f>
        <v>21.8562672700695</v>
      </c>
      <c r="I1367" s="30" t="n">
        <f aca="false">I1361+I1348-I1347</f>
        <v>23.6821556072363</v>
      </c>
      <c r="J1367" s="30" t="n">
        <f aca="false">J1361+J1348-J1347</f>
        <v>25.0089470916765</v>
      </c>
      <c r="K1367" s="3" t="s">
        <v>755</v>
      </c>
    </row>
    <row r="1368" customFormat="false" ht="15" hidden="false" customHeight="false" outlineLevel="0" collapsed="false">
      <c r="A1368" s="3" t="s">
        <v>756</v>
      </c>
      <c r="B1368" s="0" t="s">
        <v>471</v>
      </c>
      <c r="D1368" s="18" t="n">
        <f aca="false">D1367/D1362</f>
        <v>8.42230943909854</v>
      </c>
      <c r="E1368" s="18" t="n">
        <f aca="false">E1367/E1362</f>
        <v>11.5450349941092</v>
      </c>
      <c r="F1368" s="18" t="n">
        <f aca="false">F1367/F1362</f>
        <v>21.8596706349185</v>
      </c>
      <c r="G1368" s="18" t="n">
        <f aca="false">G1367/G1362</f>
        <v>37.3338820986313</v>
      </c>
      <c r="H1368" s="28" t="n">
        <f aca="false">H1367/H1362</f>
        <v>41.4800768064177</v>
      </c>
      <c r="I1368" s="28" t="n">
        <f aca="false">I1367/I1362</f>
        <v>44.9453523509448</v>
      </c>
      <c r="J1368" s="28" t="n">
        <f aca="false">J1367/J1362</f>
        <v>47.4634132805916</v>
      </c>
    </row>
    <row r="1371" customFormat="false" ht="17.15" hidden="false" customHeight="false" outlineLevel="0" collapsed="false">
      <c r="A1371" s="1" t="s">
        <v>1113</v>
      </c>
    </row>
    <row r="1372" customFormat="false" ht="17.15" hidden="false" customHeight="false" outlineLevel="0" collapsed="false">
      <c r="A1372" s="4" t="s">
        <v>20</v>
      </c>
      <c r="B1372" s="4" t="s">
        <v>21</v>
      </c>
      <c r="C1372" s="13" t="s">
        <v>566</v>
      </c>
      <c r="D1372" s="13" t="s">
        <v>670</v>
      </c>
      <c r="E1372" s="13" t="s">
        <v>671</v>
      </c>
      <c r="F1372" s="13" t="s">
        <v>672</v>
      </c>
      <c r="G1372" s="13" t="s">
        <v>673</v>
      </c>
      <c r="H1372" s="13" t="s">
        <v>674</v>
      </c>
      <c r="I1372" s="13" t="s">
        <v>675</v>
      </c>
      <c r="J1372" s="13" t="s">
        <v>676</v>
      </c>
      <c r="K1372" s="4" t="s">
        <v>630</v>
      </c>
    </row>
    <row r="1373" customFormat="false" ht="17.15" hidden="false" customHeight="false" outlineLevel="0" collapsed="false">
      <c r="A1373" s="5" t="s">
        <v>694</v>
      </c>
    </row>
    <row r="1374" customFormat="false" ht="17.15" hidden="false" customHeight="false" outlineLevel="0" collapsed="false">
      <c r="A1374" s="0" t="s">
        <v>695</v>
      </c>
      <c r="B1374" s="3" t="s">
        <v>31</v>
      </c>
      <c r="D1374" s="21" t="n">
        <f aca="false">(u_bw_26+u_rb_26+u_ru_26+u_hp_26)*1</f>
        <v>7.6</v>
      </c>
      <c r="E1374" s="21" t="n">
        <f aca="false">(u_bw_27+u_rb_27+u_ru_27+u_hp_27)*1*1</f>
        <v>9.7</v>
      </c>
      <c r="F1374" s="21" t="n">
        <f aca="false">(u_bw_28+u_rb_28+u_ru_28+u_hp_28)*um28_A*1</f>
        <v>9.5</v>
      </c>
      <c r="G1374" s="21" t="n">
        <f aca="false">(u_bw_28*(1+g29_bw)+u_rb_28*(1+g29_rb)+u_ru_28*(1+g29_ru)+u_hp_28*(1+g29_hp))*um29_A*1</f>
        <v>10.6</v>
      </c>
      <c r="K1374" s="7" t="s">
        <v>696</v>
      </c>
    </row>
    <row r="1375" customFormat="false" ht="17.15" hidden="false" customHeight="false" outlineLevel="0" collapsed="false">
      <c r="A1375" s="3" t="s">
        <v>697</v>
      </c>
      <c r="B1375" s="3" t="s">
        <v>31</v>
      </c>
      <c r="D1375" s="21" t="n">
        <f aca="false">(u_amd_26+u_tpu_26+u_trn_26+u_oth_26)*1</f>
        <v>7.6</v>
      </c>
      <c r="E1375" s="21" t="n">
        <f aca="false">(u_amd_27+u_tpu_27+u_trn_27+u_oth_27)*1*1</f>
        <v>14</v>
      </c>
      <c r="F1375" s="21" t="n">
        <f aca="false">(u_amd_28+u_tpu_28+u_trn_28+u_oth_28)*um28_A*1</f>
        <v>17</v>
      </c>
      <c r="G1375" s="21" t="n">
        <f aca="false">(u_amd_28*(1+g29_amd)+u_tpu_28*(1+g29_tpu)+u_trn_28*(1+g29_trn)+u_oth_28*(1+g29_oth))*um29_A*1</f>
        <v>19.55</v>
      </c>
      <c r="K1375" s="7" t="s">
        <v>698</v>
      </c>
    </row>
    <row r="1376" customFormat="false" ht="17.15" hidden="false" customHeight="false" outlineLevel="0" collapsed="false">
      <c r="A1376" s="0" t="s">
        <v>699</v>
      </c>
      <c r="B1376" s="3" t="s">
        <v>31</v>
      </c>
      <c r="D1376" s="21" t="n">
        <f aca="false">D1374*cpu_r</f>
        <v>3.04</v>
      </c>
      <c r="E1376" s="21" t="n">
        <f aca="false">E1374*cpu_r</f>
        <v>3.88</v>
      </c>
      <c r="F1376" s="21" t="n">
        <f aca="false">F1374*cpu_r</f>
        <v>3.8</v>
      </c>
      <c r="G1376" s="21" t="n">
        <f aca="false">G1374*cpu_r</f>
        <v>4.24</v>
      </c>
      <c r="K1376" s="7" t="s">
        <v>700</v>
      </c>
    </row>
    <row r="1377" customFormat="false" ht="17.15" hidden="false" customHeight="false" outlineLevel="0" collapsed="false">
      <c r="A1377" s="3" t="s">
        <v>701</v>
      </c>
      <c r="B1377" s="0" t="s">
        <v>153</v>
      </c>
      <c r="D1377" s="19" t="n">
        <f aca="false">1</f>
        <v>1</v>
      </c>
      <c r="E1377" s="19" t="n">
        <f aca="false">D1377*(1+g_asp)</f>
        <v>1.18</v>
      </c>
      <c r="F1377" s="19" t="n">
        <f aca="false">E1377*(1+g_asp)</f>
        <v>1.3924</v>
      </c>
      <c r="G1377" s="19" t="n">
        <f aca="false">F1377*(1+g_asp)</f>
        <v>1.643032</v>
      </c>
      <c r="K1377" s="7" t="s">
        <v>702</v>
      </c>
    </row>
    <row r="1378" customFormat="false" ht="17.15" hidden="false" customHeight="false" outlineLevel="0" collapsed="false">
      <c r="A1378" s="0" t="s">
        <v>703</v>
      </c>
      <c r="B1378" s="0" t="s">
        <v>153</v>
      </c>
      <c r="D1378" s="18" t="n">
        <f aca="false">1</f>
        <v>1</v>
      </c>
      <c r="E1378" s="18" t="n">
        <f aca="false">ibpp_27</f>
        <v>1</v>
      </c>
      <c r="F1378" s="18" t="n">
        <f aca="false">ibpp_28</f>
        <v>0.95</v>
      </c>
      <c r="G1378" s="18" t="n">
        <f aca="false">ibpp_29</f>
        <v>0.9</v>
      </c>
      <c r="K1378" s="7" t="s">
        <v>704</v>
      </c>
    </row>
    <row r="1379" customFormat="false" ht="17.15" hidden="false" customHeight="false" outlineLevel="0" collapsed="false">
      <c r="A1379" s="3" t="s">
        <v>705</v>
      </c>
      <c r="B1379" s="0" t="s">
        <v>153</v>
      </c>
      <c r="D1379" s="18" t="n">
        <f aca="false">1</f>
        <v>1</v>
      </c>
      <c r="E1379" s="18" t="n">
        <f aca="false">1+carry</f>
        <v>1.15</v>
      </c>
      <c r="F1379" s="18" t="n">
        <f aca="false">1+carry</f>
        <v>1.15</v>
      </c>
      <c r="G1379" s="18" t="n">
        <f aca="false">1+carry</f>
        <v>1.15</v>
      </c>
      <c r="K1379" s="7" t="s">
        <v>706</v>
      </c>
    </row>
    <row r="1380" customFormat="false" ht="17.15" hidden="false" customHeight="false" outlineLevel="0" collapsed="false">
      <c r="A1380" s="3" t="s">
        <v>707</v>
      </c>
      <c r="B1380" s="0" t="s">
        <v>708</v>
      </c>
      <c r="D1380" s="23" t="n">
        <f aca="false">v26*D1377*D1378</f>
        <v>215.308596</v>
      </c>
      <c r="E1380" s="23" t="n">
        <f aca="false">v26*E1377*E1378</f>
        <v>254.06414328</v>
      </c>
      <c r="F1380" s="23" t="n">
        <f aca="false">v26*F1377*F1378</f>
        <v>284.80590461688</v>
      </c>
      <c r="G1380" s="23" t="n">
        <f aca="false">v26*G1377*G1378</f>
        <v>318.383021792765</v>
      </c>
      <c r="K1380" s="7" t="s">
        <v>709</v>
      </c>
    </row>
    <row r="1381" customFormat="false" ht="17.15" hidden="false" customHeight="false" outlineLevel="0" collapsed="false">
      <c r="A1381" s="3" t="s">
        <v>710</v>
      </c>
      <c r="B1381" s="0" t="s">
        <v>43</v>
      </c>
      <c r="D1381" s="20" t="n">
        <f aca="false">sh_nv_26</f>
        <v>0.02</v>
      </c>
      <c r="E1381" s="20" t="n">
        <f aca="false">sh_nv_27</f>
        <v>0.03</v>
      </c>
      <c r="F1381" s="20" t="n">
        <f aca="false">sh_nv_28</f>
        <v>0.05</v>
      </c>
      <c r="G1381" s="20" t="n">
        <f aca="false">sh_nv_29</f>
        <v>0.06</v>
      </c>
    </row>
    <row r="1382" customFormat="false" ht="17.15" hidden="false" customHeight="false" outlineLevel="0" collapsed="false">
      <c r="A1382" s="3" t="s">
        <v>711</v>
      </c>
      <c r="B1382" s="0" t="s">
        <v>43</v>
      </c>
      <c r="D1382" s="20" t="n">
        <f aca="false">sh_ot_26_lo</f>
        <v>0.02</v>
      </c>
      <c r="E1382" s="20" t="n">
        <f aca="false">sh_ot_27_lo</f>
        <v>0.02</v>
      </c>
      <c r="F1382" s="20" t="n">
        <f aca="false">sh_ot_28_lo</f>
        <v>0.03</v>
      </c>
      <c r="G1382" s="20" t="n">
        <f aca="false">sh_ot_29_lo</f>
        <v>0.03</v>
      </c>
    </row>
    <row r="1383" customFormat="false" ht="17.15" hidden="false" customHeight="false" outlineLevel="0" collapsed="false">
      <c r="A1383" s="3" t="s">
        <v>712</v>
      </c>
      <c r="B1383" s="0" t="s">
        <v>43</v>
      </c>
      <c r="D1383" s="20" t="n">
        <f aca="false">sh_cpu_26</f>
        <v>0.35</v>
      </c>
      <c r="E1383" s="20" t="n">
        <f aca="false">sh_cpu_27</f>
        <v>0.7</v>
      </c>
      <c r="F1383" s="20" t="n">
        <f aca="false">sh_cpu_28</f>
        <v>0.75</v>
      </c>
      <c r="G1383" s="20" t="n">
        <f aca="false">sh_cpu_29</f>
        <v>0.7</v>
      </c>
    </row>
    <row r="1384" customFormat="false" ht="17.15" hidden="false" customHeight="false" outlineLevel="0" collapsed="false">
      <c r="A1384" s="3" t="s">
        <v>713</v>
      </c>
      <c r="B1384" s="0" t="s">
        <v>660</v>
      </c>
      <c r="D1384" s="22" t="n">
        <f aca="false">(D1374*D1380*D1381+D1375*D1380*v_ot*D1382+D1376*D1380*v_cpu*D1383)*D1379</f>
        <v>127.6349357088</v>
      </c>
      <c r="E1384" s="22" t="n">
        <f aca="false">(E1374*E1380*E1381+E1375*E1380*v_ot*E1382+E1376*E1380*v_cpu*E1383)*E1379</f>
        <v>388.532672393806</v>
      </c>
      <c r="F1384" s="22" t="n">
        <f aca="false">(F1374*F1380*F1381+F1375*F1380*v_ot*F1382+F1376*F1380*v_cpu*F1383)*F1379</f>
        <v>569.241561557758</v>
      </c>
      <c r="G1384" s="22" t="n">
        <f aca="false">(G1374*G1380*G1381+G1375*G1380*v_ot*G1382+G1376*G1380*v_cpu*G1383)*G1379</f>
        <v>730.669932033087</v>
      </c>
    </row>
    <row r="1385" customFormat="false" ht="17.15" hidden="false" customHeight="false" outlineLevel="0" collapsed="false">
      <c r="A1385" s="3" t="s">
        <v>714</v>
      </c>
      <c r="B1385" s="0" t="s">
        <v>379</v>
      </c>
      <c r="D1385" s="21" t="n">
        <f aca="false">D1384*fx/1000</f>
        <v>4.148135410536</v>
      </c>
      <c r="E1385" s="21" t="n">
        <f aca="false">E1384*fx/1000</f>
        <v>12.6273118527987</v>
      </c>
      <c r="F1385" s="21" t="n">
        <f aca="false">F1384*fx/1000</f>
        <v>18.5003507506271</v>
      </c>
      <c r="G1385" s="21" t="n">
        <f aca="false">G1384*fx/1000</f>
        <v>23.7467727910753</v>
      </c>
    </row>
    <row r="1386" customFormat="false" ht="17.15" hidden="false" customHeight="false" outlineLevel="0" collapsed="false">
      <c r="A1386" s="5" t="s">
        <v>715</v>
      </c>
    </row>
    <row r="1387" customFormat="false" ht="17.15" hidden="false" customHeight="false" outlineLevel="0" collapsed="false">
      <c r="A1387" s="0" t="s">
        <v>716</v>
      </c>
      <c r="B1387" s="0" t="s">
        <v>379</v>
      </c>
      <c r="D1387" s="21" t="n">
        <f aca="false">a26_abf*ai_abf</f>
        <v>5.714709</v>
      </c>
      <c r="K1387" s="3" t="s">
        <v>717</v>
      </c>
    </row>
    <row r="1388" customFormat="false" ht="17.15" hidden="false" customHeight="false" outlineLevel="0" collapsed="false">
      <c r="A1388" s="3" t="s">
        <v>718</v>
      </c>
      <c r="B1388" s="0" t="s">
        <v>379</v>
      </c>
      <c r="D1388" s="21" t="n">
        <f aca="false">D1387-D1385</f>
        <v>1.566573589464</v>
      </c>
      <c r="E1388" s="21" t="n">
        <f aca="false">$D1388*(swm_27/swm_26)^el_o*1*1*E1378*E1379</f>
        <v>2.51986449647869</v>
      </c>
      <c r="F1388" s="21" t="n">
        <f aca="false">$D1388*(swm_28/swm_26)^el_o*um28_A*1*F1378*F1379</f>
        <v>2.57520409232986</v>
      </c>
      <c r="G1388" s="21" t="n">
        <f aca="false">$D1388*(swm_29/swm_26)^el_o*um29_A*1*G1378*G1379</f>
        <v>2.60265627701495</v>
      </c>
      <c r="K1388" s="7" t="s">
        <v>719</v>
      </c>
    </row>
    <row r="1389" customFormat="false" ht="17.15" hidden="false" customHeight="false" outlineLevel="0" collapsed="false">
      <c r="A1389" s="3" t="s">
        <v>720</v>
      </c>
      <c r="B1389" s="0" t="s">
        <v>379</v>
      </c>
      <c r="D1389" s="21" t="n">
        <f aca="false">a26_abf-D1387</f>
        <v>17.144127</v>
      </c>
      <c r="E1389" s="21" t="n">
        <f aca="false">$D1389*(1+g_nai)^1*E1379</f>
        <v>20.898690813</v>
      </c>
      <c r="F1389" s="21" t="n">
        <f aca="false">$D1389*(1+g_nai)^2*F1379</f>
        <v>22.15261226178</v>
      </c>
      <c r="G1389" s="21" t="n">
        <f aca="false">$D1389*(1+g_nai)^3*G1379</f>
        <v>23.4817689974868</v>
      </c>
      <c r="K1389" s="3" t="s">
        <v>721</v>
      </c>
    </row>
    <row r="1390" customFormat="false" ht="17.15" hidden="false" customHeight="false" outlineLevel="0" collapsed="false">
      <c r="A1390" s="0" t="s">
        <v>722</v>
      </c>
      <c r="B1390" s="0" t="s">
        <v>379</v>
      </c>
      <c r="D1390" s="21" t="n">
        <f aca="false">D1385+D1388+D1389</f>
        <v>22.858836</v>
      </c>
      <c r="E1390" s="21" t="n">
        <f aca="false">E1385+E1388+E1389</f>
        <v>36.0458671622774</v>
      </c>
      <c r="F1390" s="21" t="n">
        <f aca="false">F1385+F1388+F1389</f>
        <v>43.228167104737</v>
      </c>
      <c r="G1390" s="21" t="n">
        <f aca="false">G1385+G1388+G1389</f>
        <v>49.8311980655771</v>
      </c>
    </row>
    <row r="1391" customFormat="false" ht="17.15" hidden="false" customHeight="false" outlineLevel="0" collapsed="false">
      <c r="A1391" s="0" t="s">
        <v>723</v>
      </c>
      <c r="B1391" s="0" t="s">
        <v>379</v>
      </c>
      <c r="D1391" s="21" t="n">
        <f aca="false">a26_abf</f>
        <v>22.858836</v>
      </c>
      <c r="E1391" s="21" t="n">
        <f aca="false">$D1390*cap_27*(1+g_mix)^1*E1378*E1379</f>
        <v>33.122453364</v>
      </c>
      <c r="F1391" s="21" t="n">
        <f aca="false">$D1390*cap_28*(1+g_mix)^2*F1378*F1379</f>
        <v>41.2995590382375</v>
      </c>
      <c r="G1391" s="21" t="n">
        <f aca="false">$D1390*cap_29*(1+g_mix)^3*G1378*G1379</f>
        <v>50.6680379569114</v>
      </c>
      <c r="K1391" s="7" t="s">
        <v>724</v>
      </c>
    </row>
    <row r="1392" customFormat="false" ht="17.15" hidden="false" customHeight="false" outlineLevel="0" collapsed="false">
      <c r="A1392" s="0" t="s">
        <v>725</v>
      </c>
      <c r="B1392" s="0" t="s">
        <v>379</v>
      </c>
      <c r="D1392" s="21" t="n">
        <f aca="false">a26_abf</f>
        <v>22.858836</v>
      </c>
      <c r="E1392" s="21" t="n">
        <f aca="false">MIN(E1390,E1391)</f>
        <v>33.122453364</v>
      </c>
      <c r="F1392" s="21" t="n">
        <f aca="false">MIN(F1390,F1391)</f>
        <v>41.2995590382375</v>
      </c>
      <c r="G1392" s="21" t="n">
        <f aca="false">MIN(G1390,G1391)</f>
        <v>49.8311980655771</v>
      </c>
    </row>
    <row r="1393" customFormat="false" ht="17.15" hidden="false" customHeight="false" outlineLevel="0" collapsed="false">
      <c r="A1393" s="3" t="s">
        <v>726</v>
      </c>
      <c r="B1393" s="0" t="s">
        <v>43</v>
      </c>
      <c r="D1393" s="20" t="n">
        <f aca="false">D1392/D1390</f>
        <v>1</v>
      </c>
      <c r="E1393" s="20" t="n">
        <f aca="false">E1392/E1390</f>
        <v>0.918897393004411</v>
      </c>
      <c r="F1393" s="20" t="n">
        <f aca="false">F1392/F1390</f>
        <v>0.955385384214263</v>
      </c>
      <c r="G1393" s="20" t="n">
        <f aca="false">G1392/G1390</f>
        <v>1</v>
      </c>
    </row>
    <row r="1394" customFormat="false" ht="17.15" hidden="false" customHeight="false" outlineLevel="0" collapsed="false">
      <c r="A1394" s="0" t="s">
        <v>727</v>
      </c>
      <c r="B1394" s="0" t="s">
        <v>379</v>
      </c>
      <c r="D1394" s="21" t="n">
        <f aca="false">(D1385+D1388)*D1393</f>
        <v>5.714709</v>
      </c>
      <c r="E1394" s="21" t="n">
        <f aca="false">(E1385+E1388)*E1393</f>
        <v>13.9187008587291</v>
      </c>
      <c r="F1394" s="21" t="n">
        <f aca="false">(F1385+F1388)*F1393</f>
        <v>20.1352770611672</v>
      </c>
      <c r="G1394" s="21" t="n">
        <f aca="false">(G1385+G1388)*G1393</f>
        <v>26.3494290680903</v>
      </c>
    </row>
    <row r="1395" customFormat="false" ht="17.15" hidden="false" customHeight="false" outlineLevel="0" collapsed="false">
      <c r="A1395" s="3" t="s">
        <v>728</v>
      </c>
      <c r="B1395" s="0" t="s">
        <v>43</v>
      </c>
      <c r="D1395" s="20" t="n">
        <f aca="false">D1385/(D1385+D1388)</f>
        <v>0.725869928028882</v>
      </c>
      <c r="E1395" s="20" t="n">
        <f aca="false">E1385/(E1385+E1388)</f>
        <v>0.833641304598734</v>
      </c>
      <c r="F1395" s="20" t="n">
        <f aca="false">F1385/(F1385+F1388)</f>
        <v>0.877810851884147</v>
      </c>
      <c r="G1395" s="20" t="n">
        <f aca="false">G1385/(G1385+G1388)</f>
        <v>0.901225325592849</v>
      </c>
    </row>
    <row r="1396" customFormat="false" ht="17.15" hidden="false" customHeight="false" outlineLevel="0" collapsed="false">
      <c r="A1396" s="5" t="s">
        <v>729</v>
      </c>
    </row>
    <row r="1397" customFormat="false" ht="17.15" hidden="false" customHeight="false" outlineLevel="0" collapsed="false">
      <c r="A1397" s="0" t="s">
        <v>730</v>
      </c>
      <c r="B1397" s="0" t="s">
        <v>379</v>
      </c>
      <c r="D1397" s="21" t="n">
        <f aca="false">a26_bt</f>
        <v>23.265964</v>
      </c>
      <c r="E1397" s="21" t="n">
        <f aca="false">D1397*(1+g_bt27_A)</f>
        <v>29.78043392</v>
      </c>
      <c r="F1397" s="21" t="n">
        <f aca="false">E1397*(1+g_bt28_A)</f>
        <v>32.758477312</v>
      </c>
      <c r="G1397" s="21" t="n">
        <f aca="false">F1397*(1+g_bt29_A)</f>
        <v>34.3964011776</v>
      </c>
      <c r="K1397" s="7" t="s">
        <v>731</v>
      </c>
    </row>
    <row r="1398" customFormat="false" ht="17.15" hidden="false" customHeight="false" outlineLevel="0" collapsed="false">
      <c r="A1398" s="3" t="s">
        <v>616</v>
      </c>
      <c r="B1398" s="0" t="s">
        <v>379</v>
      </c>
      <c r="C1398" s="21" t="n">
        <f aca="false">a25_lens</f>
        <v>7.039</v>
      </c>
      <c r="D1398" s="21" t="n">
        <f aca="false">a26_lens</f>
        <v>8.301</v>
      </c>
      <c r="E1398" s="21" t="n">
        <f aca="false">D1398*(1+g_lens)</f>
        <v>9.1311</v>
      </c>
      <c r="F1398" s="21" t="n">
        <f aca="false">E1398*(1+g_lens)</f>
        <v>10.04421</v>
      </c>
      <c r="G1398" s="21" t="n">
        <f aca="false">F1398*(1+g_lens)</f>
        <v>11.048631</v>
      </c>
      <c r="K1398" s="3" t="s">
        <v>732</v>
      </c>
    </row>
    <row r="1399" customFormat="false" ht="17.15" hidden="false" customHeight="false" outlineLevel="0" collapsed="false">
      <c r="A1399" s="3" t="s">
        <v>573</v>
      </c>
      <c r="B1399" s="0" t="s">
        <v>379</v>
      </c>
      <c r="C1399" s="23" t="n">
        <f aca="false">a25_rev</f>
        <v>39.351</v>
      </c>
      <c r="D1399" s="23" t="n">
        <f aca="false">D1392+D1397+D1398</f>
        <v>54.4258</v>
      </c>
      <c r="E1399" s="23" t="n">
        <f aca="false">E1392+E1397+E1398</f>
        <v>72.033987284</v>
      </c>
      <c r="F1399" s="23" t="n">
        <f aca="false">F1392+F1397+F1398</f>
        <v>84.1022463502375</v>
      </c>
      <c r="G1399" s="23" t="n">
        <f aca="false">G1392+G1397+G1398</f>
        <v>95.2762302431771</v>
      </c>
      <c r="H1399" s="25" t="n">
        <f aca="false">G1399*(1+H1400)</f>
        <v>105.62080856593</v>
      </c>
      <c r="I1399" s="25" t="n">
        <f aca="false">H1399*(1+I1400)</f>
        <v>114.523301196657</v>
      </c>
      <c r="J1399" s="25" t="n">
        <f aca="false">I1399*(1+J1400)</f>
        <v>121.394699268457</v>
      </c>
      <c r="K1399" s="7" t="s">
        <v>733</v>
      </c>
    </row>
    <row r="1400" customFormat="false" ht="15" hidden="false" customHeight="false" outlineLevel="0" collapsed="false">
      <c r="A1400" s="3" t="s">
        <v>734</v>
      </c>
      <c r="B1400" s="0" t="s">
        <v>43</v>
      </c>
      <c r="D1400" s="20" t="n">
        <f aca="false">D1399/C1399-1</f>
        <v>0.383085563263958</v>
      </c>
      <c r="E1400" s="20" t="n">
        <f aca="false">E1399/D1399-1</f>
        <v>0.323526476119781</v>
      </c>
      <c r="F1400" s="20" t="n">
        <f aca="false">F1399/E1399-1</f>
        <v>0.167535624796909</v>
      </c>
      <c r="G1400" s="20" t="n">
        <f aca="false">G1399/F1399-1</f>
        <v>0.132861895821502</v>
      </c>
      <c r="H1400" s="26" t="n">
        <f aca="false">$G1400+(fade_gA-$G1400)*1/3</f>
        <v>0.108574597214335</v>
      </c>
      <c r="I1400" s="26" t="n">
        <f aca="false">$G1400+(fade_gA-$G1400)*2/3</f>
        <v>0.0842872986071674</v>
      </c>
      <c r="J1400" s="26" t="n">
        <f aca="false">$G1400+(fade_gA-$G1400)*3/3</f>
        <v>0.06</v>
      </c>
    </row>
    <row r="1401" customFormat="false" ht="17.15" hidden="false" customHeight="false" outlineLevel="0" collapsed="false">
      <c r="A1401" s="0" t="s">
        <v>735</v>
      </c>
      <c r="B1401" s="0" t="s">
        <v>43</v>
      </c>
      <c r="D1401" s="20" t="n">
        <f aca="false">D1392/D1399</f>
        <v>0.42</v>
      </c>
      <c r="E1401" s="20" t="n">
        <f aca="false">E1392/E1399</f>
        <v>0.459817019893845</v>
      </c>
      <c r="F1401" s="20" t="n">
        <f aca="false">F1392/F1399</f>
        <v>0.491063685341395</v>
      </c>
      <c r="G1401" s="20" t="n">
        <f aca="false">G1392/G1399</f>
        <v>0.523018154038957</v>
      </c>
    </row>
    <row r="1402" customFormat="false" ht="17.15" hidden="false" customHeight="false" outlineLevel="0" collapsed="false">
      <c r="A1402" s="0" t="s">
        <v>736</v>
      </c>
      <c r="B1402" s="0" t="s">
        <v>43</v>
      </c>
      <c r="D1402" s="20" t="n">
        <f aca="false">D1394/D1399</f>
        <v>0.105</v>
      </c>
      <c r="E1402" s="20" t="n">
        <f aca="false">E1394/E1399</f>
        <v>0.193224079126058</v>
      </c>
      <c r="F1402" s="20" t="n">
        <f aca="false">F1394/F1399</f>
        <v>0.239414259844088</v>
      </c>
      <c r="G1402" s="20" t="n">
        <f aca="false">G1394/G1399</f>
        <v>0.276558266430543</v>
      </c>
      <c r="K1402" s="3" t="s">
        <v>737</v>
      </c>
    </row>
    <row r="1403" customFormat="false" ht="17.15" hidden="false" customHeight="false" outlineLevel="0" collapsed="false">
      <c r="A1403" s="5" t="s">
        <v>738</v>
      </c>
    </row>
    <row r="1404" customFormat="false" ht="15" hidden="false" customHeight="false" outlineLevel="0" collapsed="false">
      <c r="A1404" s="3" t="s">
        <v>739</v>
      </c>
      <c r="B1404" s="0" t="s">
        <v>379</v>
      </c>
      <c r="C1404" s="23" t="n">
        <f aca="false">a25_cx</f>
        <v>6.116</v>
      </c>
      <c r="D1404" s="23" t="n">
        <f aca="false">capex26</f>
        <v>11</v>
      </c>
      <c r="E1404" s="23" t="n">
        <f aca="false">cx27</f>
        <v>17</v>
      </c>
      <c r="F1404" s="23" t="n">
        <f aca="false">cx28</f>
        <v>16</v>
      </c>
      <c r="G1404" s="23" t="n">
        <f aca="false">cx29</f>
        <v>12</v>
      </c>
      <c r="H1404" s="25" t="n">
        <f aca="false">H1399*H1423</f>
        <v>13.4015480879181</v>
      </c>
      <c r="I1404" s="25" t="n">
        <f aca="false">I1399*I1423</f>
        <v>14.6380964829889</v>
      </c>
      <c r="J1404" s="25" t="n">
        <f aca="false">J1399*J1423</f>
        <v>15.6297684681295</v>
      </c>
    </row>
    <row r="1405" customFormat="false" ht="17.15" hidden="false" customHeight="false" outlineLevel="0" collapsed="false">
      <c r="A1405" s="3" t="s">
        <v>740</v>
      </c>
      <c r="B1405" s="0" t="s">
        <v>379</v>
      </c>
      <c r="C1405" s="23" t="n">
        <f aca="false">a25_da</f>
        <v>7.158</v>
      </c>
      <c r="D1405" s="23" t="n">
        <f aca="false">da26</f>
        <v>8.32</v>
      </c>
      <c r="E1405" s="23" t="n">
        <f aca="false">D1405*(1-1/life)+D1404/life</f>
        <v>8.655</v>
      </c>
      <c r="F1405" s="23" t="n">
        <f aca="false">E1405*(1-1/life)+E1404/life</f>
        <v>9.698125</v>
      </c>
      <c r="G1405" s="23" t="n">
        <f aca="false">F1405*(1-1/life)+F1404/life</f>
        <v>10.485859375</v>
      </c>
      <c r="H1405" s="25" t="n">
        <f aca="false">H1399*H1406</f>
        <v>11.6243573330868</v>
      </c>
      <c r="I1405" s="25" t="n">
        <f aca="false">I1399*I1406</f>
        <v>12.6041430107371</v>
      </c>
      <c r="J1405" s="25" t="n">
        <f aca="false">J1399*J1406</f>
        <v>13.3603915913813</v>
      </c>
      <c r="K1405" s="3" t="s">
        <v>741</v>
      </c>
    </row>
    <row r="1406" customFormat="false" ht="17.15" hidden="false" customHeight="false" outlineLevel="0" collapsed="false">
      <c r="A1406" s="3" t="s">
        <v>742</v>
      </c>
      <c r="B1406" s="0" t="s">
        <v>43</v>
      </c>
      <c r="C1406" s="20" t="n">
        <f aca="false">C1405/C1399</f>
        <v>0.181901349393916</v>
      </c>
      <c r="D1406" s="20" t="n">
        <f aca="false">D1405/D1399</f>
        <v>0.152868676252807</v>
      </c>
      <c r="E1406" s="20" t="n">
        <f aca="false">E1405/E1399</f>
        <v>0.120151616290196</v>
      </c>
      <c r="F1406" s="20" t="n">
        <f aca="false">F1405/F1399</f>
        <v>0.115313507318376</v>
      </c>
      <c r="G1406" s="20" t="n">
        <f aca="false">G1405/G1399</f>
        <v>0.11005745450084</v>
      </c>
      <c r="H1406" s="26" t="n">
        <f aca="false">$G1406</f>
        <v>0.11005745450084</v>
      </c>
      <c r="I1406" s="26" t="n">
        <f aca="false">$G1406</f>
        <v>0.11005745450084</v>
      </c>
      <c r="J1406" s="26" t="n">
        <f aca="false">$G1406</f>
        <v>0.11005745450084</v>
      </c>
    </row>
    <row r="1407" customFormat="false" ht="17.15" hidden="false" customHeight="false" outlineLevel="0" collapsed="false">
      <c r="A1407" s="0" t="s">
        <v>743</v>
      </c>
      <c r="B1407" s="0" t="s">
        <v>379</v>
      </c>
      <c r="E1407" s="21" t="n">
        <f aca="false">E1393*((E1385+E1388)*(1-1/(E1378*E1379))+E1389*(1-1/E1379))</f>
        <v>4.320320004</v>
      </c>
      <c r="F1407" s="21" t="n">
        <f aca="false">F1393*((F1385+F1388)*(1-1/(F1378*F1379))+F1389*(1-1/F1379))</f>
        <v>4.4653760273597</v>
      </c>
      <c r="G1407" s="21" t="n">
        <f aca="false">G1393*((G1385+G1388)*(1-1/(G1378*G1379))+G1389*(1-1/G1379))</f>
        <v>3.95388292951099</v>
      </c>
      <c r="K1407" s="7" t="s">
        <v>744</v>
      </c>
    </row>
    <row r="1408" customFormat="false" ht="17.15" hidden="false" customHeight="false" outlineLevel="0" collapsed="false">
      <c r="A1408" s="3" t="s">
        <v>745</v>
      </c>
      <c r="B1408" s="0" t="s">
        <v>379</v>
      </c>
      <c r="C1408" s="21" t="n">
        <f aca="false">a25_gp</f>
        <v>8.314</v>
      </c>
      <c r="D1408" s="21" t="n">
        <f aca="false">a26_gp</f>
        <v>15.328536</v>
      </c>
      <c r="E1408" s="21" t="n">
        <f aca="false">$D1408+ft_abf*(E1392-E1407-$D1392)+ft_bt*(E1397-$D1397)+ft_lens*(E1398-$D1398)+E1407-(E1405-$D1405)</f>
        <v>25.590561148</v>
      </c>
      <c r="F1408" s="21" t="n">
        <f aca="false">$D1408+ft_abf*(F1392-F1407-$D1392)+ft_bt*(F1397-$D1397)+ft_lens*(F1398-$D1398)+F1407-(F1405-$D1405)</f>
        <v>30.4595360231986</v>
      </c>
      <c r="G1408" s="21" t="n">
        <f aca="false">$D1408+ft_abf*(G1392-G1407-$D1392)+ft_bt*(G1397-$D1397)+ft_lens*(G1398-$D1398)+G1407-(G1405-$D1405)</f>
        <v>34.870929802464</v>
      </c>
      <c r="K1408" s="3" t="s">
        <v>746</v>
      </c>
    </row>
    <row r="1409" customFormat="false" ht="15" hidden="false" customHeight="false" outlineLevel="0" collapsed="false">
      <c r="A1409" s="3" t="s">
        <v>580</v>
      </c>
      <c r="B1409" s="0" t="s">
        <v>43</v>
      </c>
      <c r="C1409" s="16" t="n">
        <f aca="false">C1408/C1399</f>
        <v>0.211277985311682</v>
      </c>
      <c r="D1409" s="16" t="n">
        <f aca="false">D1408/D1399</f>
        <v>0.281640986443929</v>
      </c>
      <c r="E1409" s="16" t="n">
        <f aca="false">E1408/E1399</f>
        <v>0.355256762993101</v>
      </c>
      <c r="F1409" s="16" t="n">
        <f aca="false">F1408/F1399</f>
        <v>0.362172680814638</v>
      </c>
      <c r="G1409" s="16" t="n">
        <f aca="false">G1408/G1399</f>
        <v>0.365998210817763</v>
      </c>
    </row>
    <row r="1410" customFormat="false" ht="15" hidden="false" customHeight="false" outlineLevel="0" collapsed="false">
      <c r="A1410" s="3" t="s">
        <v>582</v>
      </c>
      <c r="B1410" s="0" t="s">
        <v>379</v>
      </c>
      <c r="C1410" s="21" t="n">
        <f aca="false">a25_opx</f>
        <v>5.644</v>
      </c>
      <c r="D1410" s="21" t="n">
        <f aca="false">a26_opx</f>
        <v>6.54036</v>
      </c>
      <c r="E1410" s="21" t="n">
        <f aca="false">D1410*(1+phi*E1400)</f>
        <v>7.80994777401287</v>
      </c>
      <c r="F1410" s="21" t="n">
        <f aca="false">E1410*(1+phi*F1400)</f>
        <v>8.59501446198315</v>
      </c>
      <c r="G1410" s="21" t="n">
        <f aca="false">F1410*(1+phi*G1400)</f>
        <v>9.28018441160253</v>
      </c>
    </row>
    <row r="1411" customFormat="false" ht="15" hidden="false" customHeight="false" outlineLevel="0" collapsed="false">
      <c r="A1411" s="3" t="s">
        <v>585</v>
      </c>
      <c r="B1411" s="0" t="s">
        <v>379</v>
      </c>
      <c r="C1411" s="21" t="n">
        <f aca="false">C1408-C1410</f>
        <v>2.67</v>
      </c>
      <c r="D1411" s="21" t="n">
        <f aca="false">D1408-D1410</f>
        <v>8.788176</v>
      </c>
      <c r="E1411" s="21" t="n">
        <f aca="false">E1408-E1410</f>
        <v>17.7806133739871</v>
      </c>
      <c r="F1411" s="21" t="n">
        <f aca="false">F1408-F1410</f>
        <v>21.8645215612155</v>
      </c>
      <c r="G1411" s="21" t="n">
        <f aca="false">G1408-G1410</f>
        <v>25.5907453908615</v>
      </c>
    </row>
    <row r="1412" customFormat="false" ht="15" hidden="false" customHeight="false" outlineLevel="0" collapsed="false">
      <c r="A1412" s="3" t="s">
        <v>683</v>
      </c>
      <c r="B1412" s="0" t="s">
        <v>43</v>
      </c>
      <c r="C1412" s="16" t="n">
        <f aca="false">C1411/C1399</f>
        <v>0.0678508805367081</v>
      </c>
      <c r="D1412" s="16" t="n">
        <f aca="false">D1411/D1399</f>
        <v>0.161470773052486</v>
      </c>
      <c r="E1412" s="16" t="n">
        <f aca="false">E1411/E1399</f>
        <v>0.246836445466854</v>
      </c>
      <c r="F1412" s="16" t="n">
        <f aca="false">F1411/F1399</f>
        <v>0.259975476400027</v>
      </c>
      <c r="G1412" s="16" t="n">
        <f aca="false">G1411/G1399</f>
        <v>0.26859527634065</v>
      </c>
    </row>
    <row r="1413" customFormat="false" ht="15" hidden="false" customHeight="false" outlineLevel="0" collapsed="false">
      <c r="A1413" s="3" t="s">
        <v>588</v>
      </c>
      <c r="B1413" s="0" t="s">
        <v>379</v>
      </c>
      <c r="C1413" s="21" t="n">
        <f aca="false">a25_nonop</f>
        <v>0.417</v>
      </c>
      <c r="D1413" s="21" t="n">
        <f aca="false">a26_nonop</f>
        <v>0.37882</v>
      </c>
      <c r="E1413" s="21" t="n">
        <f aca="false">nonop27</f>
        <v>0.4</v>
      </c>
      <c r="F1413" s="21" t="n">
        <f aca="false">nonop28</f>
        <v>0.4</v>
      </c>
      <c r="G1413" s="21" t="n">
        <f aca="false">nonop29</f>
        <v>0.4</v>
      </c>
    </row>
    <row r="1414" customFormat="false" ht="15" hidden="false" customHeight="false" outlineLevel="0" collapsed="false">
      <c r="A1414" s="3" t="s">
        <v>590</v>
      </c>
      <c r="B1414" s="0" t="s">
        <v>379</v>
      </c>
      <c r="C1414" s="21" t="n">
        <f aca="false">C1411+C1413</f>
        <v>3.087</v>
      </c>
      <c r="D1414" s="21" t="n">
        <f aca="false">D1411+D1413</f>
        <v>9.166996</v>
      </c>
      <c r="E1414" s="21" t="n">
        <f aca="false">E1411+E1413</f>
        <v>18.1806133739871</v>
      </c>
      <c r="F1414" s="21" t="n">
        <f aca="false">F1411+F1413</f>
        <v>22.2645215612155</v>
      </c>
      <c r="G1414" s="21" t="n">
        <f aca="false">G1411+G1413</f>
        <v>25.9907453908615</v>
      </c>
    </row>
    <row r="1415" customFormat="false" ht="15" hidden="false" customHeight="false" outlineLevel="0" collapsed="false">
      <c r="A1415" s="3" t="s">
        <v>591</v>
      </c>
      <c r="B1415" s="0" t="s">
        <v>379</v>
      </c>
      <c r="E1415" s="21" t="n">
        <f aca="false">E1414*tax</f>
        <v>2.18167360487846</v>
      </c>
      <c r="F1415" s="21" t="n">
        <f aca="false">F1414*tax</f>
        <v>2.67174258734585</v>
      </c>
      <c r="G1415" s="21" t="n">
        <f aca="false">G1414*tax</f>
        <v>3.11888944690338</v>
      </c>
    </row>
    <row r="1416" customFormat="false" ht="15" hidden="false" customHeight="false" outlineLevel="0" collapsed="false">
      <c r="A1416" s="3" t="s">
        <v>592</v>
      </c>
      <c r="B1416" s="0" t="s">
        <v>379</v>
      </c>
      <c r="C1416" s="21" t="n">
        <f aca="false">a25_nic</f>
        <v>2.71712</v>
      </c>
      <c r="D1416" s="21" t="n">
        <f aca="false">a26_nic</f>
        <v>8.39979776</v>
      </c>
      <c r="E1416" s="21" t="n">
        <f aca="false">E1414-E1415</f>
        <v>15.9989397691087</v>
      </c>
      <c r="F1416" s="21" t="n">
        <f aca="false">F1414-F1415</f>
        <v>19.5927789738696</v>
      </c>
      <c r="G1416" s="21" t="n">
        <f aca="false">G1414-G1415</f>
        <v>22.8718559439581</v>
      </c>
    </row>
    <row r="1417" customFormat="false" ht="17.15" hidden="false" customHeight="false" outlineLevel="0" collapsed="false">
      <c r="A1417" s="3" t="s">
        <v>747</v>
      </c>
      <c r="B1417" s="0" t="s">
        <v>379</v>
      </c>
      <c r="C1417" s="21" t="n">
        <f aca="false">a25_nci</f>
        <v>1.12112</v>
      </c>
      <c r="D1417" s="21" t="n">
        <f aca="false">a26_nci</f>
        <v>1.43839238487797</v>
      </c>
      <c r="E1417" s="21" t="n">
        <f aca="false">E1398*nm_lens*nci_sh</f>
        <v>1.57074538036261</v>
      </c>
      <c r="F1417" s="21" t="n">
        <f aca="false">F1398*nm_lens*nci_sh</f>
        <v>1.72781991839887</v>
      </c>
      <c r="G1417" s="21" t="n">
        <f aca="false">G1398*nm_lens*nci_sh</f>
        <v>1.90060191023875</v>
      </c>
      <c r="K1417" s="3" t="s">
        <v>748</v>
      </c>
    </row>
    <row r="1418" customFormat="false" ht="15" hidden="false" customHeight="false" outlineLevel="0" collapsed="false">
      <c r="A1418" s="3" t="s">
        <v>598</v>
      </c>
      <c r="B1418" s="0" t="s">
        <v>379</v>
      </c>
      <c r="C1418" s="21" t="n">
        <f aca="false">a25_ni</f>
        <v>1.596</v>
      </c>
      <c r="D1418" s="21" t="n">
        <f aca="false">a26_ni</f>
        <v>6.96140537512203</v>
      </c>
      <c r="E1418" s="21" t="n">
        <f aca="false">E1416-E1417</f>
        <v>14.4281943887461</v>
      </c>
      <c r="F1418" s="21" t="n">
        <f aca="false">F1416-F1417</f>
        <v>17.8649590554707</v>
      </c>
      <c r="G1418" s="21" t="n">
        <f aca="false">G1416-G1417</f>
        <v>20.9712540337194</v>
      </c>
      <c r="H1418" s="30" t="n">
        <f aca="false">H1399*H1422</f>
        <v>23.2766238223763</v>
      </c>
      <c r="I1418" s="30" t="n">
        <f aca="false">I1399*I1422</f>
        <v>25.269367703821</v>
      </c>
      <c r="J1418" s="30" t="n">
        <f aca="false">J1399*J1422</f>
        <v>26.8181991131372</v>
      </c>
    </row>
    <row r="1419" customFormat="false" ht="15" hidden="false" customHeight="false" outlineLevel="0" collapsed="false">
      <c r="A1419" s="3" t="s">
        <v>749</v>
      </c>
      <c r="B1419" s="3" t="s">
        <v>465</v>
      </c>
      <c r="C1419" s="29" t="n">
        <f aca="false">a25_sh</f>
        <v>0.454700854700855</v>
      </c>
      <c r="D1419" s="29" t="n">
        <f aca="false">a26_sh</f>
        <v>0.508341020486215</v>
      </c>
      <c r="E1419" s="29" t="n">
        <f aca="false">a26_shend*(1+sh_g)</f>
        <v>0.52691</v>
      </c>
      <c r="F1419" s="29" t="n">
        <f aca="false">E1419*(1+sh_g)</f>
        <v>0.52691</v>
      </c>
      <c r="G1419" s="29" t="n">
        <f aca="false">F1419*(1+sh_g)</f>
        <v>0.52691</v>
      </c>
      <c r="H1419" s="31" t="n">
        <f aca="false">G1419*(1+sh_g)</f>
        <v>0.52691</v>
      </c>
      <c r="I1419" s="31" t="n">
        <f aca="false">H1419*(1+sh_g)</f>
        <v>0.52691</v>
      </c>
      <c r="J1419" s="31" t="n">
        <f aca="false">I1419*(1+sh_g)</f>
        <v>0.52691</v>
      </c>
    </row>
    <row r="1420" customFormat="false" ht="17.15" hidden="false" customHeight="false" outlineLevel="0" collapsed="false">
      <c r="A1420" s="0" t="s">
        <v>603</v>
      </c>
      <c r="B1420" s="0" t="s">
        <v>471</v>
      </c>
      <c r="C1420" s="18" t="n">
        <f aca="false">C1418/C1419</f>
        <v>3.51</v>
      </c>
      <c r="D1420" s="18" t="n">
        <f aca="false">D1418/D1419</f>
        <v>13.6943608612652</v>
      </c>
      <c r="E1420" s="18" t="n">
        <f aca="false">E1418/E1419</f>
        <v>27.3826543218881</v>
      </c>
      <c r="F1420" s="18" t="n">
        <f aca="false">F1418/F1419</f>
        <v>33.9051432986103</v>
      </c>
      <c r="G1420" s="18" t="n">
        <f aca="false">G1418/G1419</f>
        <v>39.8004479583218</v>
      </c>
      <c r="H1420" s="28" t="n">
        <f aca="false">H1418/H1419</f>
        <v>44.175710884926</v>
      </c>
      <c r="I1420" s="28" t="n">
        <f aca="false">I1418/I1419</f>
        <v>47.957654445391</v>
      </c>
      <c r="J1420" s="28" t="n">
        <f aca="false">J1418/J1419</f>
        <v>50.8971154715932</v>
      </c>
    </row>
    <row r="1421" customFormat="false" ht="17.15" hidden="false" customHeight="false" outlineLevel="0" collapsed="false">
      <c r="A1421" s="0" t="s">
        <v>750</v>
      </c>
      <c r="B1421" s="0" t="s">
        <v>43</v>
      </c>
      <c r="D1421" s="20" t="n">
        <f aca="false">D1420/C1420-1</f>
        <v>2.90152731090177</v>
      </c>
      <c r="E1421" s="20" t="n">
        <f aca="false">E1420/D1420-1</f>
        <v>0.999556941670829</v>
      </c>
      <c r="F1421" s="20" t="n">
        <f aca="false">F1420/E1420-1</f>
        <v>0.23819783502538</v>
      </c>
      <c r="G1421" s="20" t="n">
        <f aca="false">G1420/F1420-1</f>
        <v>0.173876411840832</v>
      </c>
      <c r="H1421" s="26" t="n">
        <f aca="false">H1420/G1420-1</f>
        <v>0.109929992023854</v>
      </c>
      <c r="I1421" s="26" t="n">
        <f aca="false">I1420/H1420-1</f>
        <v>0.0856113797538352</v>
      </c>
      <c r="J1421" s="26" t="n">
        <f aca="false">J1420/I1420-1</f>
        <v>0.0612928438681122</v>
      </c>
    </row>
    <row r="1422" customFormat="false" ht="17.15" hidden="false" customHeight="false" outlineLevel="0" collapsed="false">
      <c r="A1422" s="3" t="s">
        <v>751</v>
      </c>
      <c r="B1422" s="0" t="s">
        <v>43</v>
      </c>
      <c r="C1422" s="16" t="n">
        <f aca="false">C1418/C1399</f>
        <v>0.0405580544331783</v>
      </c>
      <c r="D1422" s="16" t="n">
        <f aca="false">D1418/D1399</f>
        <v>0.127906349105057</v>
      </c>
      <c r="E1422" s="16" t="n">
        <f aca="false">E1418/E1399</f>
        <v>0.20029703939422</v>
      </c>
      <c r="F1422" s="16" t="n">
        <f aca="false">F1418/F1399</f>
        <v>0.21241952303002</v>
      </c>
      <c r="G1422" s="16" t="n">
        <f aca="false">G1418/G1399</f>
        <v>0.220110031433797</v>
      </c>
      <c r="H1422" s="27" t="n">
        <f aca="false">$G1422+(fade_mA-$G1422)*1/3</f>
        <v>0.220379148185054</v>
      </c>
      <c r="I1422" s="27" t="n">
        <f aca="false">$G1422+(fade_mA-$G1422)*2/3</f>
        <v>0.220648264936311</v>
      </c>
      <c r="J1422" s="27" t="n">
        <f aca="false">$G1422+(fade_mA-$G1422)*3/3</f>
        <v>0.220917381687568</v>
      </c>
    </row>
    <row r="1423" customFormat="false" ht="17.15" hidden="false" customHeight="false" outlineLevel="0" collapsed="false">
      <c r="A1423" s="3" t="s">
        <v>752</v>
      </c>
      <c r="B1423" s="0" t="s">
        <v>43</v>
      </c>
      <c r="C1423" s="20" t="n">
        <f aca="false">C1404/C1399</f>
        <v>0.155421717364235</v>
      </c>
      <c r="D1423" s="20" t="n">
        <f aca="false">D1404/D1399</f>
        <v>0.202110028699624</v>
      </c>
      <c r="E1423" s="20" t="n">
        <f aca="false">E1404/E1399</f>
        <v>0.235999708484498</v>
      </c>
      <c r="F1423" s="20" t="n">
        <f aca="false">F1404/F1399</f>
        <v>0.190244621212247</v>
      </c>
      <c r="G1423" s="20" t="n">
        <f aca="false">G1404/G1399</f>
        <v>0.125949567582302</v>
      </c>
      <c r="H1423" s="26" t="n">
        <f aca="false">$G1423+($G1406*(1+tp_g)^(life/2)-$G1423)*1/3</f>
        <v>0.126883596801407</v>
      </c>
      <c r="I1423" s="26" t="n">
        <f aca="false">$G1423+($G1406*(1+tp_g)^(life/2)-$G1423)*2/3</f>
        <v>0.127817626020513</v>
      </c>
      <c r="J1423" s="26" t="n">
        <f aca="false">$G1423+($G1406*(1+tp_g)^(life/2)-$G1423)*3/3</f>
        <v>0.128751655239618</v>
      </c>
      <c r="K1423" s="7" t="s">
        <v>753</v>
      </c>
    </row>
    <row r="1424" customFormat="false" ht="15" hidden="false" customHeight="false" outlineLevel="0" collapsed="false">
      <c r="A1424" s="3" t="s">
        <v>754</v>
      </c>
      <c r="B1424" s="0" t="s">
        <v>379</v>
      </c>
      <c r="D1424" s="21" t="n">
        <f aca="false">D1418+D1405-D1404</f>
        <v>4.28140537512203</v>
      </c>
      <c r="E1424" s="21" t="n">
        <f aca="false">E1418+E1405-E1404</f>
        <v>6.08319438874607</v>
      </c>
      <c r="F1424" s="21" t="n">
        <f aca="false">F1418+F1405-F1404</f>
        <v>11.5630840554707</v>
      </c>
      <c r="G1424" s="21" t="n">
        <f aca="false">G1418+G1405-G1404</f>
        <v>19.4571134087194</v>
      </c>
      <c r="H1424" s="30" t="n">
        <f aca="false">H1418+H1405-H1404</f>
        <v>21.499433067545</v>
      </c>
      <c r="I1424" s="30" t="n">
        <f aca="false">I1418+I1405-I1404</f>
        <v>23.2354142315692</v>
      </c>
      <c r="J1424" s="30" t="n">
        <f aca="false">J1418+J1405-J1404</f>
        <v>24.548822236389</v>
      </c>
      <c r="K1424" s="3" t="s">
        <v>755</v>
      </c>
    </row>
    <row r="1425" customFormat="false" ht="15" hidden="false" customHeight="false" outlineLevel="0" collapsed="false">
      <c r="A1425" s="3" t="s">
        <v>756</v>
      </c>
      <c r="B1425" s="0" t="s">
        <v>471</v>
      </c>
      <c r="D1425" s="18" t="n">
        <f aca="false">D1424/D1419</f>
        <v>8.42230943909854</v>
      </c>
      <c r="E1425" s="18" t="n">
        <f aca="false">E1424/E1419</f>
        <v>11.5450349941092</v>
      </c>
      <c r="F1425" s="18" t="n">
        <f aca="false">F1424/F1419</f>
        <v>21.9450837058904</v>
      </c>
      <c r="G1425" s="18" t="n">
        <f aca="false">G1424/G1419</f>
        <v>36.926825091039</v>
      </c>
      <c r="H1425" s="28" t="n">
        <f aca="false">H1424/H1419</f>
        <v>40.802856403456</v>
      </c>
      <c r="I1425" s="28" t="n">
        <f aca="false">I1424/I1419</f>
        <v>44.097500961396</v>
      </c>
      <c r="J1425" s="28" t="n">
        <f aca="false">J1424/J1419</f>
        <v>46.5901619562905</v>
      </c>
    </row>
    <row r="1428" customFormat="false" ht="17.15" hidden="false" customHeight="false" outlineLevel="0" collapsed="false">
      <c r="A1428" s="1" t="s">
        <v>1114</v>
      </c>
    </row>
    <row r="1429" customFormat="false" ht="17.15" hidden="false" customHeight="false" outlineLevel="0" collapsed="false">
      <c r="A1429" s="4" t="s">
        <v>20</v>
      </c>
      <c r="B1429" s="4" t="s">
        <v>21</v>
      </c>
      <c r="C1429" s="13" t="s">
        <v>566</v>
      </c>
      <c r="D1429" s="13" t="s">
        <v>670</v>
      </c>
      <c r="E1429" s="13" t="s">
        <v>671</v>
      </c>
      <c r="F1429" s="13" t="s">
        <v>672</v>
      </c>
      <c r="G1429" s="13" t="s">
        <v>673</v>
      </c>
      <c r="H1429" s="13" t="s">
        <v>674</v>
      </c>
      <c r="I1429" s="13" t="s">
        <v>675</v>
      </c>
      <c r="J1429" s="13" t="s">
        <v>676</v>
      </c>
      <c r="K1429" s="4" t="s">
        <v>630</v>
      </c>
    </row>
    <row r="1430" customFormat="false" ht="17.15" hidden="false" customHeight="false" outlineLevel="0" collapsed="false">
      <c r="A1430" s="5" t="s">
        <v>694</v>
      </c>
    </row>
    <row r="1431" customFormat="false" ht="17.15" hidden="false" customHeight="false" outlineLevel="0" collapsed="false">
      <c r="A1431" s="0" t="s">
        <v>695</v>
      </c>
      <c r="B1431" s="3" t="s">
        <v>31</v>
      </c>
      <c r="D1431" s="21" t="n">
        <f aca="false">(u_bw_26+u_rb_26+u_ru_26+u_hp_26)*1</f>
        <v>7.6</v>
      </c>
      <c r="E1431" s="21" t="n">
        <f aca="false">(u_bw_27+u_rb_27+u_ru_27+u_hp_27)*1*1</f>
        <v>9.7</v>
      </c>
      <c r="F1431" s="21" t="n">
        <f aca="false">(u_bw_28+u_rb_28+u_ru_28+u_hp_28)*um28_A*1</f>
        <v>9.5</v>
      </c>
      <c r="G1431" s="21" t="n">
        <f aca="false">(u_bw_28*(1+g29_bw)+u_rb_28*(1+g29_rb)+u_ru_28*(1+g29_ru)+u_hp_28*(1+g29_hp))*um29_A*1</f>
        <v>10.6</v>
      </c>
      <c r="K1431" s="7" t="s">
        <v>696</v>
      </c>
    </row>
    <row r="1432" customFormat="false" ht="17.15" hidden="false" customHeight="false" outlineLevel="0" collapsed="false">
      <c r="A1432" s="3" t="s">
        <v>697</v>
      </c>
      <c r="B1432" s="3" t="s">
        <v>31</v>
      </c>
      <c r="D1432" s="21" t="n">
        <f aca="false">(u_amd_26+u_tpu_26+u_trn_26+u_oth_26)*1</f>
        <v>7.6</v>
      </c>
      <c r="E1432" s="21" t="n">
        <f aca="false">(u_amd_27+u_tpu_27+u_trn_27+u_oth_27)*1*1</f>
        <v>14</v>
      </c>
      <c r="F1432" s="21" t="n">
        <f aca="false">(u_amd_28+u_tpu_28+u_trn_28+u_oth_28)*um28_A*1</f>
        <v>17</v>
      </c>
      <c r="G1432" s="21" t="n">
        <f aca="false">(u_amd_28*(1+g29_amd)+u_tpu_28*(1+g29_tpu)+u_trn_28*(1+g29_trn)+u_oth_28*(1+g29_oth))*um29_A*1</f>
        <v>19.55</v>
      </c>
      <c r="K1432" s="7" t="s">
        <v>698</v>
      </c>
    </row>
    <row r="1433" customFormat="false" ht="17.15" hidden="false" customHeight="false" outlineLevel="0" collapsed="false">
      <c r="A1433" s="0" t="s">
        <v>699</v>
      </c>
      <c r="B1433" s="3" t="s">
        <v>31</v>
      </c>
      <c r="D1433" s="21" t="n">
        <f aca="false">D1431*cpu_r</f>
        <v>3.04</v>
      </c>
      <c r="E1433" s="21" t="n">
        <f aca="false">E1431*cpu_r</f>
        <v>3.88</v>
      </c>
      <c r="F1433" s="21" t="n">
        <f aca="false">F1431*cpu_r</f>
        <v>3.8</v>
      </c>
      <c r="G1433" s="21" t="n">
        <f aca="false">G1431*cpu_r</f>
        <v>4.24</v>
      </c>
      <c r="K1433" s="7" t="s">
        <v>700</v>
      </c>
    </row>
    <row r="1434" customFormat="false" ht="17.15" hidden="false" customHeight="false" outlineLevel="0" collapsed="false">
      <c r="A1434" s="3" t="s">
        <v>701</v>
      </c>
      <c r="B1434" s="0" t="s">
        <v>153</v>
      </c>
      <c r="D1434" s="19" t="n">
        <f aca="false">1</f>
        <v>1</v>
      </c>
      <c r="E1434" s="19" t="n">
        <f aca="false">D1434*(1+g_asp)</f>
        <v>1.18</v>
      </c>
      <c r="F1434" s="19" t="n">
        <f aca="false">E1434*(1+g_asp)</f>
        <v>1.3924</v>
      </c>
      <c r="G1434" s="19" t="n">
        <f aca="false">F1434*(1+g_asp)</f>
        <v>1.643032</v>
      </c>
      <c r="K1434" s="7" t="s">
        <v>702</v>
      </c>
    </row>
    <row r="1435" customFormat="false" ht="17.15" hidden="false" customHeight="false" outlineLevel="0" collapsed="false">
      <c r="A1435" s="0" t="s">
        <v>703</v>
      </c>
      <c r="B1435" s="0" t="s">
        <v>153</v>
      </c>
      <c r="D1435" s="18" t="n">
        <f aca="false">1</f>
        <v>1</v>
      </c>
      <c r="E1435" s="18" t="n">
        <f aca="false">ibpp_27</f>
        <v>1</v>
      </c>
      <c r="F1435" s="18" t="n">
        <f aca="false">ibpp_28</f>
        <v>0.95</v>
      </c>
      <c r="G1435" s="18" t="n">
        <f aca="false">ibpp_29</f>
        <v>0.9</v>
      </c>
      <c r="K1435" s="7" t="s">
        <v>704</v>
      </c>
    </row>
    <row r="1436" customFormat="false" ht="17.15" hidden="false" customHeight="false" outlineLevel="0" collapsed="false">
      <c r="A1436" s="3" t="s">
        <v>705</v>
      </c>
      <c r="B1436" s="0" t="s">
        <v>153</v>
      </c>
      <c r="D1436" s="18" t="n">
        <f aca="false">1</f>
        <v>1</v>
      </c>
      <c r="E1436" s="18" t="n">
        <f aca="false">1+carry</f>
        <v>1.15</v>
      </c>
      <c r="F1436" s="18" t="n">
        <f aca="false">1+carry</f>
        <v>1.15</v>
      </c>
      <c r="G1436" s="18" t="n">
        <f aca="false">1+carry</f>
        <v>1.15</v>
      </c>
      <c r="K1436" s="7" t="s">
        <v>706</v>
      </c>
    </row>
    <row r="1437" customFormat="false" ht="17.15" hidden="false" customHeight="false" outlineLevel="0" collapsed="false">
      <c r="A1437" s="3" t="s">
        <v>707</v>
      </c>
      <c r="B1437" s="0" t="s">
        <v>708</v>
      </c>
      <c r="D1437" s="23" t="n">
        <f aca="false">v26*D1434*D1435</f>
        <v>215.308596</v>
      </c>
      <c r="E1437" s="23" t="n">
        <f aca="false">v26*E1434*E1435</f>
        <v>254.06414328</v>
      </c>
      <c r="F1437" s="23" t="n">
        <f aca="false">v26*F1434*F1435</f>
        <v>284.80590461688</v>
      </c>
      <c r="G1437" s="23" t="n">
        <f aca="false">v26*G1434*G1435</f>
        <v>318.383021792765</v>
      </c>
      <c r="K1437" s="7" t="s">
        <v>709</v>
      </c>
    </row>
    <row r="1438" customFormat="false" ht="17.15" hidden="false" customHeight="false" outlineLevel="0" collapsed="false">
      <c r="A1438" s="3" t="s">
        <v>710</v>
      </c>
      <c r="B1438" s="0" t="s">
        <v>43</v>
      </c>
      <c r="D1438" s="20" t="n">
        <f aca="false">sh_nv_26</f>
        <v>0.02</v>
      </c>
      <c r="E1438" s="20" t="n">
        <f aca="false">sh_nv_27</f>
        <v>0.03</v>
      </c>
      <c r="F1438" s="20" t="n">
        <f aca="false">sh_nv_28</f>
        <v>0.05</v>
      </c>
      <c r="G1438" s="20" t="n">
        <f aca="false">sh_nv_29</f>
        <v>0.06</v>
      </c>
    </row>
    <row r="1439" customFormat="false" ht="17.15" hidden="false" customHeight="false" outlineLevel="0" collapsed="false">
      <c r="A1439" s="3" t="s">
        <v>711</v>
      </c>
      <c r="B1439" s="0" t="s">
        <v>43</v>
      </c>
      <c r="D1439" s="20" t="n">
        <f aca="false">sh_ot_26_hi</f>
        <v>0.05</v>
      </c>
      <c r="E1439" s="20" t="n">
        <f aca="false">sh_ot_27_hi</f>
        <v>0.08</v>
      </c>
      <c r="F1439" s="20" t="n">
        <f aca="false">sh_ot_28_hi</f>
        <v>0.1</v>
      </c>
      <c r="G1439" s="20" t="n">
        <f aca="false">sh_ot_29_hi</f>
        <v>0.1</v>
      </c>
    </row>
    <row r="1440" customFormat="false" ht="17.15" hidden="false" customHeight="false" outlineLevel="0" collapsed="false">
      <c r="A1440" s="3" t="s">
        <v>712</v>
      </c>
      <c r="B1440" s="0" t="s">
        <v>43</v>
      </c>
      <c r="D1440" s="20" t="n">
        <f aca="false">sh_cpu_26</f>
        <v>0.35</v>
      </c>
      <c r="E1440" s="20" t="n">
        <f aca="false">sh_cpu_27</f>
        <v>0.7</v>
      </c>
      <c r="F1440" s="20" t="n">
        <f aca="false">sh_cpu_28</f>
        <v>0.75</v>
      </c>
      <c r="G1440" s="20" t="n">
        <f aca="false">sh_cpu_29</f>
        <v>0.7</v>
      </c>
    </row>
    <row r="1441" customFormat="false" ht="17.15" hidden="false" customHeight="false" outlineLevel="0" collapsed="false">
      <c r="A1441" s="3" t="s">
        <v>713</v>
      </c>
      <c r="B1441" s="0" t="s">
        <v>660</v>
      </c>
      <c r="D1441" s="22" t="n">
        <f aca="false">(D1431*D1437*D1438+D1432*D1437*v_ot*D1439+D1433*D1437*v_cpu*D1440)*D1436</f>
        <v>166.9072236192</v>
      </c>
      <c r="E1441" s="22" t="n">
        <f aca="false">(E1431*E1437*E1438+E1432*E1437*v_ot*E1439+E1433*E1437*v_cpu*E1440)*E1436</f>
        <v>584.87344232059</v>
      </c>
      <c r="F1441" s="22" t="n">
        <f aca="false">(F1431*F1437*F1438+F1432*F1437*v_ot*F1439+F1433*F1437*v_cpu*F1440)*F1436</f>
        <v>881.047065932318</v>
      </c>
      <c r="G1441" s="22" t="n">
        <f aca="false">(G1431*G1437*G1438+G1432*G1437*v_ot*G1439+G1433*G1437*v_cpu*G1440)*G1436</f>
        <v>1131.52052413061</v>
      </c>
    </row>
    <row r="1442" customFormat="false" ht="17.15" hidden="false" customHeight="false" outlineLevel="0" collapsed="false">
      <c r="A1442" s="3" t="s">
        <v>714</v>
      </c>
      <c r="B1442" s="0" t="s">
        <v>379</v>
      </c>
      <c r="D1442" s="21" t="n">
        <f aca="false">D1441*fx/1000</f>
        <v>5.424484767624</v>
      </c>
      <c r="E1442" s="21" t="n">
        <f aca="false">E1441*fx/1000</f>
        <v>19.0083868754192</v>
      </c>
      <c r="F1442" s="21" t="n">
        <f aca="false">F1441*fx/1000</f>
        <v>28.6340296428003</v>
      </c>
      <c r="G1442" s="21" t="n">
        <f aca="false">G1441*fx/1000</f>
        <v>36.774417034245</v>
      </c>
    </row>
    <row r="1443" customFormat="false" ht="17.15" hidden="false" customHeight="false" outlineLevel="0" collapsed="false">
      <c r="A1443" s="5" t="s">
        <v>715</v>
      </c>
    </row>
    <row r="1444" customFormat="false" ht="17.15" hidden="false" customHeight="false" outlineLevel="0" collapsed="false">
      <c r="A1444" s="0" t="s">
        <v>716</v>
      </c>
      <c r="B1444" s="0" t="s">
        <v>379</v>
      </c>
      <c r="D1444" s="21" t="n">
        <f aca="false">a26_abf*ai_abf</f>
        <v>5.714709</v>
      </c>
      <c r="K1444" s="3" t="s">
        <v>717</v>
      </c>
    </row>
    <row r="1445" customFormat="false" ht="17.15" hidden="false" customHeight="false" outlineLevel="0" collapsed="false">
      <c r="A1445" s="3" t="s">
        <v>718</v>
      </c>
      <c r="B1445" s="0" t="s">
        <v>379</v>
      </c>
      <c r="D1445" s="21" t="n">
        <f aca="false">D1444-D1442</f>
        <v>0.290224232375999</v>
      </c>
      <c r="E1445" s="21" t="n">
        <f aca="false">$D1445*(swm_27/swm_26)^el_o*1*1*E1435*E1436</f>
        <v>0.46683139821876</v>
      </c>
      <c r="F1445" s="21" t="n">
        <f aca="false">$D1445*(swm_28/swm_26)^el_o*um28_A*1*F1435*F1436</f>
        <v>0.47708364033105</v>
      </c>
      <c r="G1445" s="21" t="n">
        <f aca="false">$D1445*(swm_29/swm_26)^el_o*um29_A*1*G1435*G1436</f>
        <v>0.482169446245855</v>
      </c>
      <c r="K1445" s="7" t="s">
        <v>719</v>
      </c>
    </row>
    <row r="1446" customFormat="false" ht="17.15" hidden="false" customHeight="false" outlineLevel="0" collapsed="false">
      <c r="A1446" s="3" t="s">
        <v>720</v>
      </c>
      <c r="B1446" s="0" t="s">
        <v>379</v>
      </c>
      <c r="D1446" s="21" t="n">
        <f aca="false">a26_abf-D1444</f>
        <v>17.144127</v>
      </c>
      <c r="E1446" s="21" t="n">
        <f aca="false">$D1446*(1+g_nai)^1*E1436</f>
        <v>20.898690813</v>
      </c>
      <c r="F1446" s="21" t="n">
        <f aca="false">$D1446*(1+g_nai)^2*F1436</f>
        <v>22.15261226178</v>
      </c>
      <c r="G1446" s="21" t="n">
        <f aca="false">$D1446*(1+g_nai)^3*G1436</f>
        <v>23.4817689974868</v>
      </c>
      <c r="K1446" s="3" t="s">
        <v>721</v>
      </c>
    </row>
    <row r="1447" customFormat="false" ht="17.15" hidden="false" customHeight="false" outlineLevel="0" collapsed="false">
      <c r="A1447" s="0" t="s">
        <v>722</v>
      </c>
      <c r="B1447" s="0" t="s">
        <v>379</v>
      </c>
      <c r="D1447" s="21" t="n">
        <f aca="false">D1442+D1445+D1446</f>
        <v>22.858836</v>
      </c>
      <c r="E1447" s="21" t="n">
        <f aca="false">E1442+E1445+E1446</f>
        <v>40.3739090866379</v>
      </c>
      <c r="F1447" s="21" t="n">
        <f aca="false">F1442+F1445+F1446</f>
        <v>51.2637255449114</v>
      </c>
      <c r="G1447" s="21" t="n">
        <f aca="false">G1442+G1445+G1446</f>
        <v>60.7383554779776</v>
      </c>
    </row>
    <row r="1448" customFormat="false" ht="17.15" hidden="false" customHeight="false" outlineLevel="0" collapsed="false">
      <c r="A1448" s="0" t="s">
        <v>723</v>
      </c>
      <c r="B1448" s="0" t="s">
        <v>379</v>
      </c>
      <c r="D1448" s="21" t="n">
        <f aca="false">a26_abf</f>
        <v>22.858836</v>
      </c>
      <c r="E1448" s="21" t="n">
        <f aca="false">$D1447*cap_27*(1+g_mix)^1*E1435*E1436</f>
        <v>33.122453364</v>
      </c>
      <c r="F1448" s="21" t="n">
        <f aca="false">$D1447*cap_28*(1+g_mix)^2*F1435*F1436</f>
        <v>41.2995590382375</v>
      </c>
      <c r="G1448" s="21" t="n">
        <f aca="false">$D1447*cap_29*(1+g_mix)^3*G1435*G1436</f>
        <v>50.6680379569114</v>
      </c>
      <c r="K1448" s="7" t="s">
        <v>724</v>
      </c>
    </row>
    <row r="1449" customFormat="false" ht="17.15" hidden="false" customHeight="false" outlineLevel="0" collapsed="false">
      <c r="A1449" s="0" t="s">
        <v>725</v>
      </c>
      <c r="B1449" s="0" t="s">
        <v>379</v>
      </c>
      <c r="D1449" s="21" t="n">
        <f aca="false">a26_abf</f>
        <v>22.858836</v>
      </c>
      <c r="E1449" s="21" t="n">
        <f aca="false">MIN(E1447,E1448)</f>
        <v>33.122453364</v>
      </c>
      <c r="F1449" s="21" t="n">
        <f aca="false">MIN(F1447,F1448)</f>
        <v>41.2995590382375</v>
      </c>
      <c r="G1449" s="21" t="n">
        <f aca="false">MIN(G1447,G1448)</f>
        <v>50.6680379569114</v>
      </c>
    </row>
    <row r="1450" customFormat="false" ht="17.15" hidden="false" customHeight="false" outlineLevel="0" collapsed="false">
      <c r="A1450" s="3" t="s">
        <v>726</v>
      </c>
      <c r="B1450" s="0" t="s">
        <v>43</v>
      </c>
      <c r="D1450" s="20" t="n">
        <f aca="false">D1449/D1447</f>
        <v>1</v>
      </c>
      <c r="E1450" s="20" t="n">
        <f aca="false">E1449/E1447</f>
        <v>0.820392528573909</v>
      </c>
      <c r="F1450" s="20" t="n">
        <f aca="false">F1449/F1447</f>
        <v>0.805629294383912</v>
      </c>
      <c r="G1450" s="20" t="n">
        <f aca="false">G1449/G1447</f>
        <v>0.83420167632432</v>
      </c>
    </row>
    <row r="1451" customFormat="false" ht="17.15" hidden="false" customHeight="false" outlineLevel="0" collapsed="false">
      <c r="A1451" s="0" t="s">
        <v>727</v>
      </c>
      <c r="B1451" s="0" t="s">
        <v>379</v>
      </c>
      <c r="D1451" s="21" t="n">
        <f aca="false">(D1442+D1445)*D1450</f>
        <v>5.714709</v>
      </c>
      <c r="E1451" s="21" t="n">
        <f aca="false">(E1442+E1445)*E1450</f>
        <v>15.9773235640386</v>
      </c>
      <c r="F1451" s="21" t="n">
        <f aca="false">(F1442+F1445)*F1450</f>
        <v>23.4527656530193</v>
      </c>
      <c r="G1451" s="21" t="n">
        <f aca="false">(G1442+G1445)*G1450</f>
        <v>31.0795068961474</v>
      </c>
    </row>
    <row r="1452" customFormat="false" ht="17.15" hidden="false" customHeight="false" outlineLevel="0" collapsed="false">
      <c r="A1452" s="3" t="s">
        <v>728</v>
      </c>
      <c r="B1452" s="0" t="s">
        <v>43</v>
      </c>
      <c r="D1452" s="20" t="n">
        <f aca="false">D1442/(D1442+D1445)</f>
        <v>0.949214521268537</v>
      </c>
      <c r="E1452" s="20" t="n">
        <f aca="false">E1442/(E1442+E1445)</f>
        <v>0.976029465156205</v>
      </c>
      <c r="F1452" s="20" t="n">
        <f aca="false">F1442/(F1442+F1445)</f>
        <v>0.98361163189841</v>
      </c>
      <c r="G1452" s="20" t="n">
        <f aca="false">G1442/(G1442+G1445)</f>
        <v>0.98705814214895</v>
      </c>
    </row>
    <row r="1453" customFormat="false" ht="17.15" hidden="false" customHeight="false" outlineLevel="0" collapsed="false">
      <c r="A1453" s="5" t="s">
        <v>729</v>
      </c>
    </row>
    <row r="1454" customFormat="false" ht="17.15" hidden="false" customHeight="false" outlineLevel="0" collapsed="false">
      <c r="A1454" s="0" t="s">
        <v>730</v>
      </c>
      <c r="B1454" s="0" t="s">
        <v>379</v>
      </c>
      <c r="D1454" s="21" t="n">
        <f aca="false">a26_bt</f>
        <v>23.265964</v>
      </c>
      <c r="E1454" s="21" t="n">
        <f aca="false">D1454*(1+g_bt27_A)</f>
        <v>29.78043392</v>
      </c>
      <c r="F1454" s="21" t="n">
        <f aca="false">E1454*(1+g_bt28_A)</f>
        <v>32.758477312</v>
      </c>
      <c r="G1454" s="21" t="n">
        <f aca="false">F1454*(1+g_bt29_A)</f>
        <v>34.3964011776</v>
      </c>
      <c r="K1454" s="7" t="s">
        <v>731</v>
      </c>
    </row>
    <row r="1455" customFormat="false" ht="17.15" hidden="false" customHeight="false" outlineLevel="0" collapsed="false">
      <c r="A1455" s="3" t="s">
        <v>616</v>
      </c>
      <c r="B1455" s="0" t="s">
        <v>379</v>
      </c>
      <c r="C1455" s="21" t="n">
        <f aca="false">a25_lens</f>
        <v>7.039</v>
      </c>
      <c r="D1455" s="21" t="n">
        <f aca="false">a26_lens</f>
        <v>8.301</v>
      </c>
      <c r="E1455" s="21" t="n">
        <f aca="false">D1455*(1+g_lens)</f>
        <v>9.1311</v>
      </c>
      <c r="F1455" s="21" t="n">
        <f aca="false">E1455*(1+g_lens)</f>
        <v>10.04421</v>
      </c>
      <c r="G1455" s="21" t="n">
        <f aca="false">F1455*(1+g_lens)</f>
        <v>11.048631</v>
      </c>
      <c r="K1455" s="3" t="s">
        <v>732</v>
      </c>
    </row>
    <row r="1456" customFormat="false" ht="17.15" hidden="false" customHeight="false" outlineLevel="0" collapsed="false">
      <c r="A1456" s="3" t="s">
        <v>573</v>
      </c>
      <c r="B1456" s="0" t="s">
        <v>379</v>
      </c>
      <c r="C1456" s="23" t="n">
        <f aca="false">a25_rev</f>
        <v>39.351</v>
      </c>
      <c r="D1456" s="23" t="n">
        <f aca="false">D1449+D1454+D1455</f>
        <v>54.4258</v>
      </c>
      <c r="E1456" s="23" t="n">
        <f aca="false">E1449+E1454+E1455</f>
        <v>72.033987284</v>
      </c>
      <c r="F1456" s="23" t="n">
        <f aca="false">F1449+F1454+F1455</f>
        <v>84.1022463502375</v>
      </c>
      <c r="G1456" s="23" t="n">
        <f aca="false">G1449+G1454+G1455</f>
        <v>96.1130701345114</v>
      </c>
      <c r="H1456" s="25" t="n">
        <f aca="false">G1456*(1+H1457)</f>
        <v>107.186075216063</v>
      </c>
      <c r="I1456" s="25" t="n">
        <f aca="false">H1456*(1+I1457)</f>
        <v>116.576010002736</v>
      </c>
      <c r="J1456" s="25" t="n">
        <f aca="false">I1456*(1+J1457)</f>
        <v>123.5705706029</v>
      </c>
      <c r="K1456" s="7" t="s">
        <v>733</v>
      </c>
    </row>
    <row r="1457" customFormat="false" ht="15" hidden="false" customHeight="false" outlineLevel="0" collapsed="false">
      <c r="A1457" s="3" t="s">
        <v>734</v>
      </c>
      <c r="B1457" s="0" t="s">
        <v>43</v>
      </c>
      <c r="D1457" s="20" t="n">
        <f aca="false">D1456/C1456-1</f>
        <v>0.383085563263958</v>
      </c>
      <c r="E1457" s="20" t="n">
        <f aca="false">E1456/D1456-1</f>
        <v>0.323526476119781</v>
      </c>
      <c r="F1457" s="20" t="n">
        <f aca="false">F1456/E1456-1</f>
        <v>0.167535624796909</v>
      </c>
      <c r="G1457" s="20" t="n">
        <f aca="false">G1456/F1456-1</f>
        <v>0.142812163830389</v>
      </c>
      <c r="H1457" s="26" t="n">
        <f aca="false">$G1457+(fade_gA-$G1457)*1/3</f>
        <v>0.115208109220259</v>
      </c>
      <c r="I1457" s="26" t="n">
        <f aca="false">$G1457+(fade_gA-$G1457)*2/3</f>
        <v>0.0876040546101297</v>
      </c>
      <c r="J1457" s="26" t="n">
        <f aca="false">$G1457+(fade_gA-$G1457)*3/3</f>
        <v>0.06</v>
      </c>
    </row>
    <row r="1458" customFormat="false" ht="17.15" hidden="false" customHeight="false" outlineLevel="0" collapsed="false">
      <c r="A1458" s="0" t="s">
        <v>735</v>
      </c>
      <c r="B1458" s="0" t="s">
        <v>43</v>
      </c>
      <c r="D1458" s="20" t="n">
        <f aca="false">D1449/D1456</f>
        <v>0.42</v>
      </c>
      <c r="E1458" s="20" t="n">
        <f aca="false">E1449/E1456</f>
        <v>0.459817019893845</v>
      </c>
      <c r="F1458" s="20" t="n">
        <f aca="false">F1449/F1456</f>
        <v>0.491063685341395</v>
      </c>
      <c r="G1458" s="20" t="n">
        <f aca="false">G1449/G1456</f>
        <v>0.527171152539409</v>
      </c>
    </row>
    <row r="1459" customFormat="false" ht="17.15" hidden="false" customHeight="false" outlineLevel="0" collapsed="false">
      <c r="A1459" s="0" t="s">
        <v>736</v>
      </c>
      <c r="B1459" s="0" t="s">
        <v>43</v>
      </c>
      <c r="D1459" s="20" t="n">
        <f aca="false">D1451/D1456</f>
        <v>0.105</v>
      </c>
      <c r="E1459" s="20" t="n">
        <f aca="false">E1451/E1456</f>
        <v>0.221802570792683</v>
      </c>
      <c r="F1459" s="20" t="n">
        <f aca="false">F1451/F1456</f>
        <v>0.27886015737739</v>
      </c>
      <c r="G1459" s="20" t="n">
        <f aca="false">G1451/G1456</f>
        <v>0.323364000886157</v>
      </c>
      <c r="K1459" s="3" t="s">
        <v>737</v>
      </c>
    </row>
    <row r="1460" customFormat="false" ht="17.15" hidden="false" customHeight="false" outlineLevel="0" collapsed="false">
      <c r="A1460" s="5" t="s">
        <v>738</v>
      </c>
    </row>
    <row r="1461" customFormat="false" ht="15" hidden="false" customHeight="false" outlineLevel="0" collapsed="false">
      <c r="A1461" s="3" t="s">
        <v>739</v>
      </c>
      <c r="B1461" s="0" t="s">
        <v>379</v>
      </c>
      <c r="C1461" s="23" t="n">
        <f aca="false">a25_cx</f>
        <v>6.116</v>
      </c>
      <c r="D1461" s="23" t="n">
        <f aca="false">capex26</f>
        <v>11</v>
      </c>
      <c r="E1461" s="23" t="n">
        <f aca="false">cx27</f>
        <v>17</v>
      </c>
      <c r="F1461" s="23" t="n">
        <f aca="false">cx28</f>
        <v>16</v>
      </c>
      <c r="G1461" s="23" t="n">
        <f aca="false">cx29</f>
        <v>12</v>
      </c>
      <c r="H1461" s="25" t="n">
        <f aca="false">H1456*H1480</f>
        <v>13.4817405534162</v>
      </c>
      <c r="I1461" s="25" t="n">
        <f aca="false">I1456*I1480</f>
        <v>14.77073304233</v>
      </c>
      <c r="J1461" s="25" t="n">
        <f aca="false">J1456*J1480</f>
        <v>15.7713906192965</v>
      </c>
    </row>
    <row r="1462" customFormat="false" ht="17.15" hidden="false" customHeight="false" outlineLevel="0" collapsed="false">
      <c r="A1462" s="3" t="s">
        <v>740</v>
      </c>
      <c r="B1462" s="0" t="s">
        <v>379</v>
      </c>
      <c r="C1462" s="23" t="n">
        <f aca="false">a25_da</f>
        <v>7.158</v>
      </c>
      <c r="D1462" s="23" t="n">
        <f aca="false">da26</f>
        <v>8.32</v>
      </c>
      <c r="E1462" s="23" t="n">
        <f aca="false">D1462*(1-1/life)+D1461/life</f>
        <v>8.655</v>
      </c>
      <c r="F1462" s="23" t="n">
        <f aca="false">E1462*(1-1/life)+E1461/life</f>
        <v>9.698125</v>
      </c>
      <c r="G1462" s="23" t="n">
        <f aca="false">F1462*(1-1/life)+F1461/life</f>
        <v>10.485859375</v>
      </c>
      <c r="H1462" s="25" t="n">
        <f aca="false">H1456*H1463</f>
        <v>11.6939154071433</v>
      </c>
      <c r="I1462" s="25" t="n">
        <f aca="false">I1456*I1463</f>
        <v>12.7183498110769</v>
      </c>
      <c r="J1462" s="25" t="n">
        <f aca="false">J1456*J1463</f>
        <v>13.4814507997415</v>
      </c>
      <c r="K1462" s="3" t="s">
        <v>741</v>
      </c>
    </row>
    <row r="1463" customFormat="false" ht="17.15" hidden="false" customHeight="false" outlineLevel="0" collapsed="false">
      <c r="A1463" s="3" t="s">
        <v>742</v>
      </c>
      <c r="B1463" s="0" t="s">
        <v>43</v>
      </c>
      <c r="C1463" s="20" t="n">
        <f aca="false">C1462/C1456</f>
        <v>0.181901349393916</v>
      </c>
      <c r="D1463" s="20" t="n">
        <f aca="false">D1462/D1456</f>
        <v>0.152868676252807</v>
      </c>
      <c r="E1463" s="20" t="n">
        <f aca="false">E1462/E1456</f>
        <v>0.120151616290196</v>
      </c>
      <c r="F1463" s="20" t="n">
        <f aca="false">F1462/F1456</f>
        <v>0.115313507318376</v>
      </c>
      <c r="G1463" s="20" t="n">
        <f aca="false">G1462/G1456</f>
        <v>0.109099203264706</v>
      </c>
      <c r="H1463" s="26" t="n">
        <f aca="false">$G1463</f>
        <v>0.109099203264706</v>
      </c>
      <c r="I1463" s="26" t="n">
        <f aca="false">$G1463</f>
        <v>0.109099203264706</v>
      </c>
      <c r="J1463" s="26" t="n">
        <f aca="false">$G1463</f>
        <v>0.109099203264706</v>
      </c>
    </row>
    <row r="1464" customFormat="false" ht="17.15" hidden="false" customHeight="false" outlineLevel="0" collapsed="false">
      <c r="A1464" s="0" t="s">
        <v>743</v>
      </c>
      <c r="B1464" s="0" t="s">
        <v>379</v>
      </c>
      <c r="E1464" s="21" t="n">
        <f aca="false">E1450*((E1442+E1445)*(1-1/(E1435*E1436))+E1446*(1-1/E1436))</f>
        <v>4.320320004</v>
      </c>
      <c r="F1464" s="21" t="n">
        <f aca="false">F1450*((F1442+F1445)*(1-1/(F1435*F1436))+F1446*(1-1/F1436))</f>
        <v>4.31354588585618</v>
      </c>
      <c r="G1464" s="21" t="n">
        <f aca="false">G1450*((G1442+G1445)*(1-1/(G1435*G1436))+G1446*(1-1/G1436))</f>
        <v>3.60602360827854</v>
      </c>
      <c r="K1464" s="7" t="s">
        <v>744</v>
      </c>
    </row>
    <row r="1465" customFormat="false" ht="17.15" hidden="false" customHeight="false" outlineLevel="0" collapsed="false">
      <c r="A1465" s="3" t="s">
        <v>745</v>
      </c>
      <c r="B1465" s="0" t="s">
        <v>379</v>
      </c>
      <c r="C1465" s="21" t="n">
        <f aca="false">a25_gp</f>
        <v>8.314</v>
      </c>
      <c r="D1465" s="21" t="n">
        <f aca="false">a26_gp</f>
        <v>15.328536</v>
      </c>
      <c r="E1465" s="21" t="n">
        <f aca="false">$D1465+ft_abf*(E1449-E1464-$D1449)+ft_bt*(E1454-$D1454)+ft_lens*(E1455-$D1455)+E1464-(E1462-$D1462)</f>
        <v>25.590561148</v>
      </c>
      <c r="F1465" s="21" t="n">
        <f aca="false">$D1465+ft_abf*(F1449-F1464-$D1449)+ft_bt*(F1454-$D1454)+ft_lens*(F1455-$D1455)+F1464-(F1462-$D1462)</f>
        <v>30.3836209524468</v>
      </c>
      <c r="G1465" s="21" t="n">
        <f aca="false">$D1465+ft_abf*(G1449-G1464-$D1449)+ft_bt*(G1454-$D1454)+ft_lens*(G1455-$D1455)+G1464-(G1462-$D1462)</f>
        <v>35.115420087515</v>
      </c>
      <c r="K1465" s="3" t="s">
        <v>746</v>
      </c>
    </row>
    <row r="1466" customFormat="false" ht="15" hidden="false" customHeight="false" outlineLevel="0" collapsed="false">
      <c r="A1466" s="3" t="s">
        <v>580</v>
      </c>
      <c r="B1466" s="0" t="s">
        <v>43</v>
      </c>
      <c r="C1466" s="16" t="n">
        <f aca="false">C1465/C1456</f>
        <v>0.211277985311682</v>
      </c>
      <c r="D1466" s="16" t="n">
        <f aca="false">D1465/D1456</f>
        <v>0.281640986443929</v>
      </c>
      <c r="E1466" s="16" t="n">
        <f aca="false">E1465/E1456</f>
        <v>0.3552567629931</v>
      </c>
      <c r="F1466" s="16" t="n">
        <f aca="false">F1465/F1456</f>
        <v>0.361270028697171</v>
      </c>
      <c r="G1466" s="16" t="n">
        <f aca="false">G1465/G1456</f>
        <v>0.365355305354106</v>
      </c>
    </row>
    <row r="1467" customFormat="false" ht="15" hidden="false" customHeight="false" outlineLevel="0" collapsed="false">
      <c r="A1467" s="3" t="s">
        <v>582</v>
      </c>
      <c r="B1467" s="0" t="s">
        <v>379</v>
      </c>
      <c r="C1467" s="21" t="n">
        <f aca="false">a25_opx</f>
        <v>5.644</v>
      </c>
      <c r="D1467" s="21" t="n">
        <f aca="false">a26_opx</f>
        <v>6.54036</v>
      </c>
      <c r="E1467" s="21" t="n">
        <f aca="false">D1467*(1+phi*E1457)</f>
        <v>7.80994777401287</v>
      </c>
      <c r="F1467" s="21" t="n">
        <f aca="false">E1467*(1+phi*F1457)</f>
        <v>8.59501446198315</v>
      </c>
      <c r="G1467" s="21" t="n">
        <f aca="false">F1467*(1+phi*G1457)</f>
        <v>9.33149803006473</v>
      </c>
    </row>
    <row r="1468" customFormat="false" ht="15" hidden="false" customHeight="false" outlineLevel="0" collapsed="false">
      <c r="A1468" s="3" t="s">
        <v>585</v>
      </c>
      <c r="B1468" s="0" t="s">
        <v>379</v>
      </c>
      <c r="C1468" s="21" t="n">
        <f aca="false">C1465-C1467</f>
        <v>2.67</v>
      </c>
      <c r="D1468" s="21" t="n">
        <f aca="false">D1465-D1467</f>
        <v>8.788176</v>
      </c>
      <c r="E1468" s="21" t="n">
        <f aca="false">E1465-E1467</f>
        <v>17.7806133739871</v>
      </c>
      <c r="F1468" s="21" t="n">
        <f aca="false">F1465-F1467</f>
        <v>21.7886064904637</v>
      </c>
      <c r="G1468" s="21" t="n">
        <f aca="false">G1465-G1467</f>
        <v>25.7839220574502</v>
      </c>
    </row>
    <row r="1469" customFormat="false" ht="15" hidden="false" customHeight="false" outlineLevel="0" collapsed="false">
      <c r="A1469" s="3" t="s">
        <v>683</v>
      </c>
      <c r="B1469" s="0" t="s">
        <v>43</v>
      </c>
      <c r="C1469" s="16" t="n">
        <f aca="false">C1468/C1456</f>
        <v>0.0678508805367081</v>
      </c>
      <c r="D1469" s="16" t="n">
        <f aca="false">D1468/D1456</f>
        <v>0.161470773052486</v>
      </c>
      <c r="E1469" s="16" t="n">
        <f aca="false">E1468/E1456</f>
        <v>0.246836445466854</v>
      </c>
      <c r="F1469" s="16" t="n">
        <f aca="false">F1468/F1456</f>
        <v>0.25907282428256</v>
      </c>
      <c r="G1469" s="16" t="n">
        <f aca="false">G1468/G1456</f>
        <v>0.268266553356014</v>
      </c>
    </row>
    <row r="1470" customFormat="false" ht="15" hidden="false" customHeight="false" outlineLevel="0" collapsed="false">
      <c r="A1470" s="3" t="s">
        <v>588</v>
      </c>
      <c r="B1470" s="0" t="s">
        <v>379</v>
      </c>
      <c r="C1470" s="21" t="n">
        <f aca="false">a25_nonop</f>
        <v>0.417</v>
      </c>
      <c r="D1470" s="21" t="n">
        <f aca="false">a26_nonop</f>
        <v>0.37882</v>
      </c>
      <c r="E1470" s="21" t="n">
        <f aca="false">nonop27</f>
        <v>0.4</v>
      </c>
      <c r="F1470" s="21" t="n">
        <f aca="false">nonop28</f>
        <v>0.4</v>
      </c>
      <c r="G1470" s="21" t="n">
        <f aca="false">nonop29</f>
        <v>0.4</v>
      </c>
    </row>
    <row r="1471" customFormat="false" ht="15" hidden="false" customHeight="false" outlineLevel="0" collapsed="false">
      <c r="A1471" s="3" t="s">
        <v>590</v>
      </c>
      <c r="B1471" s="0" t="s">
        <v>379</v>
      </c>
      <c r="C1471" s="21" t="n">
        <f aca="false">C1468+C1470</f>
        <v>3.087</v>
      </c>
      <c r="D1471" s="21" t="n">
        <f aca="false">D1468+D1470</f>
        <v>9.166996</v>
      </c>
      <c r="E1471" s="21" t="n">
        <f aca="false">E1468+E1470</f>
        <v>18.1806133739871</v>
      </c>
      <c r="F1471" s="21" t="n">
        <f aca="false">F1468+F1470</f>
        <v>22.1886064904637</v>
      </c>
      <c r="G1471" s="21" t="n">
        <f aca="false">G1468+G1470</f>
        <v>26.1839220574502</v>
      </c>
    </row>
    <row r="1472" customFormat="false" ht="15" hidden="false" customHeight="false" outlineLevel="0" collapsed="false">
      <c r="A1472" s="3" t="s">
        <v>591</v>
      </c>
      <c r="B1472" s="0" t="s">
        <v>379</v>
      </c>
      <c r="E1472" s="21" t="n">
        <f aca="false">E1471*tax</f>
        <v>2.18167360487846</v>
      </c>
      <c r="F1472" s="21" t="n">
        <f aca="false">F1471*tax</f>
        <v>2.66263277885564</v>
      </c>
      <c r="G1472" s="21" t="n">
        <f aca="false">G1471*tax</f>
        <v>3.14207064689403</v>
      </c>
    </row>
    <row r="1473" customFormat="false" ht="15" hidden="false" customHeight="false" outlineLevel="0" collapsed="false">
      <c r="A1473" s="3" t="s">
        <v>592</v>
      </c>
      <c r="B1473" s="0" t="s">
        <v>379</v>
      </c>
      <c r="C1473" s="21" t="n">
        <f aca="false">a25_nic</f>
        <v>2.71712</v>
      </c>
      <c r="D1473" s="21" t="n">
        <f aca="false">a26_nic</f>
        <v>8.39979776</v>
      </c>
      <c r="E1473" s="21" t="n">
        <f aca="false">E1471-E1472</f>
        <v>15.9989397691087</v>
      </c>
      <c r="F1473" s="21" t="n">
        <f aca="false">F1471-F1472</f>
        <v>19.525973711608</v>
      </c>
      <c r="G1473" s="21" t="n">
        <f aca="false">G1471-G1472</f>
        <v>23.0418514105562</v>
      </c>
    </row>
    <row r="1474" customFormat="false" ht="17.15" hidden="false" customHeight="false" outlineLevel="0" collapsed="false">
      <c r="A1474" s="3" t="s">
        <v>747</v>
      </c>
      <c r="B1474" s="0" t="s">
        <v>379</v>
      </c>
      <c r="C1474" s="21" t="n">
        <f aca="false">a25_nci</f>
        <v>1.12112</v>
      </c>
      <c r="D1474" s="21" t="n">
        <f aca="false">a26_nci</f>
        <v>1.43839238487797</v>
      </c>
      <c r="E1474" s="21" t="n">
        <f aca="false">E1455*nm_lens*nci_sh</f>
        <v>1.57074538036261</v>
      </c>
      <c r="F1474" s="21" t="n">
        <f aca="false">F1455*nm_lens*nci_sh</f>
        <v>1.72781991839887</v>
      </c>
      <c r="G1474" s="21" t="n">
        <f aca="false">G1455*nm_lens*nci_sh</f>
        <v>1.90060191023875</v>
      </c>
      <c r="K1474" s="3" t="s">
        <v>748</v>
      </c>
    </row>
    <row r="1475" customFormat="false" ht="15" hidden="false" customHeight="false" outlineLevel="0" collapsed="false">
      <c r="A1475" s="3" t="s">
        <v>598</v>
      </c>
      <c r="B1475" s="0" t="s">
        <v>379</v>
      </c>
      <c r="C1475" s="21" t="n">
        <f aca="false">a25_ni</f>
        <v>1.596</v>
      </c>
      <c r="D1475" s="21" t="n">
        <f aca="false">a26_ni</f>
        <v>6.96140537512203</v>
      </c>
      <c r="E1475" s="21" t="n">
        <f aca="false">E1473-E1474</f>
        <v>14.4281943887461</v>
      </c>
      <c r="F1475" s="21" t="n">
        <f aca="false">F1473-F1474</f>
        <v>17.7981537932092</v>
      </c>
      <c r="G1475" s="21" t="n">
        <f aca="false">G1473-G1474</f>
        <v>21.1412495003175</v>
      </c>
      <c r="H1475" s="30" t="n">
        <f aca="false">H1456*H1479</f>
        <v>23.6110176179016</v>
      </c>
      <c r="I1475" s="30" t="n">
        <f aca="false">I1456*I1479</f>
        <v>25.7165526960446</v>
      </c>
      <c r="J1475" s="30" t="n">
        <f aca="false">J1456*J1479</f>
        <v>27.2988869112315</v>
      </c>
    </row>
    <row r="1476" customFormat="false" ht="15" hidden="false" customHeight="false" outlineLevel="0" collapsed="false">
      <c r="A1476" s="3" t="s">
        <v>749</v>
      </c>
      <c r="B1476" s="3" t="s">
        <v>465</v>
      </c>
      <c r="C1476" s="29" t="n">
        <f aca="false">a25_sh</f>
        <v>0.454700854700855</v>
      </c>
      <c r="D1476" s="29" t="n">
        <f aca="false">a26_sh</f>
        <v>0.508341020486215</v>
      </c>
      <c r="E1476" s="29" t="n">
        <f aca="false">a26_shend*(1+sh_g)</f>
        <v>0.52691</v>
      </c>
      <c r="F1476" s="29" t="n">
        <f aca="false">E1476*(1+sh_g)</f>
        <v>0.52691</v>
      </c>
      <c r="G1476" s="29" t="n">
        <f aca="false">F1476*(1+sh_g)</f>
        <v>0.52691</v>
      </c>
      <c r="H1476" s="31" t="n">
        <f aca="false">G1476*(1+sh_g)</f>
        <v>0.52691</v>
      </c>
      <c r="I1476" s="31" t="n">
        <f aca="false">H1476*(1+sh_g)</f>
        <v>0.52691</v>
      </c>
      <c r="J1476" s="31" t="n">
        <f aca="false">I1476*(1+sh_g)</f>
        <v>0.52691</v>
      </c>
    </row>
    <row r="1477" customFormat="false" ht="17.15" hidden="false" customHeight="false" outlineLevel="0" collapsed="false">
      <c r="A1477" s="0" t="s">
        <v>603</v>
      </c>
      <c r="B1477" s="0" t="s">
        <v>471</v>
      </c>
      <c r="C1477" s="18" t="n">
        <f aca="false">C1475/C1476</f>
        <v>3.51</v>
      </c>
      <c r="D1477" s="18" t="n">
        <f aca="false">D1475/D1476</f>
        <v>13.6943608612652</v>
      </c>
      <c r="E1477" s="18" t="n">
        <f aca="false">E1475/E1476</f>
        <v>27.3826543218881</v>
      </c>
      <c r="F1477" s="18" t="n">
        <f aca="false">F1475/F1476</f>
        <v>33.7783564426737</v>
      </c>
      <c r="G1477" s="18" t="n">
        <f aca="false">G1475/G1476</f>
        <v>40.1230750988166</v>
      </c>
      <c r="H1477" s="28" t="n">
        <f aca="false">H1475/H1476</f>
        <v>44.8103425972208</v>
      </c>
      <c r="I1477" s="28" t="n">
        <f aca="false">I1475/I1476</f>
        <v>48.8063477558683</v>
      </c>
      <c r="J1477" s="28" t="n">
        <f aca="false">J1475/J1476</f>
        <v>51.8093923274022</v>
      </c>
    </row>
    <row r="1478" customFormat="false" ht="17.15" hidden="false" customHeight="false" outlineLevel="0" collapsed="false">
      <c r="A1478" s="0" t="s">
        <v>750</v>
      </c>
      <c r="B1478" s="0" t="s">
        <v>43</v>
      </c>
      <c r="D1478" s="20" t="n">
        <f aca="false">D1477/C1477-1</f>
        <v>2.90152731090177</v>
      </c>
      <c r="E1478" s="20" t="n">
        <f aca="false">E1477/D1477-1</f>
        <v>0.999556941670828</v>
      </c>
      <c r="F1478" s="20" t="n">
        <f aca="false">F1477/E1477-1</f>
        <v>0.233567646350237</v>
      </c>
      <c r="G1478" s="20" t="n">
        <f aca="false">G1477/F1477-1</f>
        <v>0.187833847597374</v>
      </c>
      <c r="H1478" s="26" t="n">
        <f aca="false">H1477/G1477-1</f>
        <v>0.116822239742598</v>
      </c>
      <c r="I1478" s="26" t="n">
        <f aca="false">I1477/H1477-1</f>
        <v>0.0891759564207257</v>
      </c>
      <c r="J1478" s="26" t="n">
        <f aca="false">J1477/I1477-1</f>
        <v>0.0615297949880449</v>
      </c>
    </row>
    <row r="1479" customFormat="false" ht="17.15" hidden="false" customHeight="false" outlineLevel="0" collapsed="false">
      <c r="A1479" s="3" t="s">
        <v>751</v>
      </c>
      <c r="B1479" s="0" t="s">
        <v>43</v>
      </c>
      <c r="C1479" s="16" t="n">
        <f aca="false">C1475/C1456</f>
        <v>0.0405580544331783</v>
      </c>
      <c r="D1479" s="16" t="n">
        <f aca="false">D1475/D1456</f>
        <v>0.127906349105057</v>
      </c>
      <c r="E1479" s="16" t="n">
        <f aca="false">E1475/E1456</f>
        <v>0.20029703939422</v>
      </c>
      <c r="F1479" s="16" t="n">
        <f aca="false">F1475/F1456</f>
        <v>0.21162518916665</v>
      </c>
      <c r="G1479" s="16" t="n">
        <f aca="false">G1475/G1456</f>
        <v>0.219962274337195</v>
      </c>
      <c r="H1479" s="27" t="n">
        <f aca="false">$G1479+(fade_mA-$G1479)*1/3</f>
        <v>0.220280643453986</v>
      </c>
      <c r="I1479" s="27" t="n">
        <f aca="false">$G1479+(fade_mA-$G1479)*2/3</f>
        <v>0.220599012570777</v>
      </c>
      <c r="J1479" s="27" t="n">
        <f aca="false">$G1479+(fade_mA-$G1479)*3/3</f>
        <v>0.220917381687568</v>
      </c>
    </row>
    <row r="1480" customFormat="false" ht="17.15" hidden="false" customHeight="false" outlineLevel="0" collapsed="false">
      <c r="A1480" s="3" t="s">
        <v>752</v>
      </c>
      <c r="B1480" s="0" t="s">
        <v>43</v>
      </c>
      <c r="C1480" s="20" t="n">
        <f aca="false">C1461/C1456</f>
        <v>0.155421717364235</v>
      </c>
      <c r="D1480" s="20" t="n">
        <f aca="false">D1461/D1456</f>
        <v>0.202110028699624</v>
      </c>
      <c r="E1480" s="20" t="n">
        <f aca="false">E1461/E1456</f>
        <v>0.235999708484498</v>
      </c>
      <c r="F1480" s="20" t="n">
        <f aca="false">F1461/F1456</f>
        <v>0.190244621212247</v>
      </c>
      <c r="G1480" s="20" t="n">
        <f aca="false">G1461/G1456</f>
        <v>0.124852946464054</v>
      </c>
      <c r="H1480" s="26" t="n">
        <f aca="false">$G1480+($G1463*(1+tp_g)^(life/2)-$G1480)*1/3</f>
        <v>0.125778843252168</v>
      </c>
      <c r="I1480" s="26" t="n">
        <f aca="false">$G1480+($G1463*(1+tp_g)^(life/2)-$G1480)*2/3</f>
        <v>0.126704740040282</v>
      </c>
      <c r="J1480" s="26" t="n">
        <f aca="false">$G1480+($G1463*(1+tp_g)^(life/2)-$G1480)*3/3</f>
        <v>0.127630636828396</v>
      </c>
      <c r="K1480" s="7" t="s">
        <v>753</v>
      </c>
    </row>
    <row r="1481" customFormat="false" ht="15" hidden="false" customHeight="false" outlineLevel="0" collapsed="false">
      <c r="A1481" s="3" t="s">
        <v>754</v>
      </c>
      <c r="B1481" s="0" t="s">
        <v>379</v>
      </c>
      <c r="D1481" s="21" t="n">
        <f aca="false">D1475+D1462-D1461</f>
        <v>4.28140537512203</v>
      </c>
      <c r="E1481" s="21" t="n">
        <f aca="false">E1475+E1462-E1461</f>
        <v>6.08319438874607</v>
      </c>
      <c r="F1481" s="21" t="n">
        <f aca="false">F1475+F1462-F1461</f>
        <v>11.4962787932092</v>
      </c>
      <c r="G1481" s="21" t="n">
        <f aca="false">G1475+G1462-G1461</f>
        <v>19.6271088753175</v>
      </c>
      <c r="H1481" s="30" t="n">
        <f aca="false">H1475+H1462-H1461</f>
        <v>21.8231924716287</v>
      </c>
      <c r="I1481" s="30" t="n">
        <f aca="false">I1475+I1462-I1461</f>
        <v>23.6641694647915</v>
      </c>
      <c r="J1481" s="30" t="n">
        <f aca="false">J1475+J1462-J1461</f>
        <v>25.0089470916765</v>
      </c>
      <c r="K1481" s="3" t="s">
        <v>755</v>
      </c>
    </row>
    <row r="1482" customFormat="false" ht="15" hidden="false" customHeight="false" outlineLevel="0" collapsed="false">
      <c r="A1482" s="3" t="s">
        <v>756</v>
      </c>
      <c r="B1482" s="0" t="s">
        <v>471</v>
      </c>
      <c r="D1482" s="18" t="n">
        <f aca="false">D1481/D1476</f>
        <v>8.42230943909854</v>
      </c>
      <c r="E1482" s="18" t="n">
        <f aca="false">E1481/E1476</f>
        <v>11.5450349941092</v>
      </c>
      <c r="F1482" s="18" t="n">
        <f aca="false">F1481/F1476</f>
        <v>21.8182968499538</v>
      </c>
      <c r="G1482" s="18" t="n">
        <f aca="false">G1481/G1476</f>
        <v>37.2494522315338</v>
      </c>
      <c r="H1482" s="28" t="n">
        <f aca="false">H1481/H1476</f>
        <v>41.4173055581193</v>
      </c>
      <c r="I1482" s="28" t="n">
        <f aca="false">I1481/I1476</f>
        <v>44.9112172188637</v>
      </c>
      <c r="J1482" s="28" t="n">
        <f aca="false">J1481/J1476</f>
        <v>47.4634132805916</v>
      </c>
    </row>
    <row r="1485" customFormat="false" ht="17.15" hidden="false" customHeight="false" outlineLevel="0" collapsed="false">
      <c r="A1485" s="1" t="s">
        <v>1115</v>
      </c>
    </row>
    <row r="1486" customFormat="false" ht="17.15" hidden="false" customHeight="false" outlineLevel="0" collapsed="false">
      <c r="A1486" s="4" t="s">
        <v>20</v>
      </c>
      <c r="B1486" s="4" t="s">
        <v>21</v>
      </c>
      <c r="C1486" s="13" t="s">
        <v>566</v>
      </c>
      <c r="D1486" s="13" t="s">
        <v>670</v>
      </c>
      <c r="E1486" s="13" t="s">
        <v>671</v>
      </c>
      <c r="F1486" s="13" t="s">
        <v>672</v>
      </c>
      <c r="G1486" s="13" t="s">
        <v>673</v>
      </c>
      <c r="H1486" s="13" t="s">
        <v>674</v>
      </c>
      <c r="I1486" s="13" t="s">
        <v>675</v>
      </c>
      <c r="J1486" s="13" t="s">
        <v>676</v>
      </c>
      <c r="K1486" s="4" t="s">
        <v>630</v>
      </c>
    </row>
    <row r="1487" customFormat="false" ht="17.15" hidden="false" customHeight="false" outlineLevel="0" collapsed="false">
      <c r="A1487" s="5" t="s">
        <v>694</v>
      </c>
    </row>
    <row r="1488" customFormat="false" ht="17.15" hidden="false" customHeight="false" outlineLevel="0" collapsed="false">
      <c r="A1488" s="0" t="s">
        <v>695</v>
      </c>
      <c r="B1488" s="3" t="s">
        <v>31</v>
      </c>
      <c r="D1488" s="21" t="n">
        <f aca="false">(u_bw_26+u_rb_26+u_ru_26+u_hp_26)*1</f>
        <v>7.6</v>
      </c>
      <c r="E1488" s="21" t="n">
        <f aca="false">(u_bw_27+u_rb_27+u_ru_27+u_hp_27)*1*1</f>
        <v>9.7</v>
      </c>
      <c r="F1488" s="21" t="n">
        <f aca="false">(u_bw_28+u_rb_28+u_ru_28+u_hp_28)*um28_A*1</f>
        <v>9.5</v>
      </c>
      <c r="G1488" s="21" t="n">
        <f aca="false">(u_bw_28*(1+g29_bw)+u_rb_28*(1+g29_rb)+u_ru_28*(1+g29_ru)+u_hp_28*(1+g29_hp))*um29_A*1</f>
        <v>10.6</v>
      </c>
      <c r="K1488" s="7" t="s">
        <v>696</v>
      </c>
    </row>
    <row r="1489" customFormat="false" ht="17.15" hidden="false" customHeight="false" outlineLevel="0" collapsed="false">
      <c r="A1489" s="3" t="s">
        <v>697</v>
      </c>
      <c r="B1489" s="3" t="s">
        <v>31</v>
      </c>
      <c r="D1489" s="21" t="n">
        <f aca="false">(u_amd_26+u_tpu_26+u_trn_26+u_oth_26)*1</f>
        <v>7.6</v>
      </c>
      <c r="E1489" s="21" t="n">
        <f aca="false">(u_amd_27+u_tpu_27+u_trn_27+u_oth_27)*1*1</f>
        <v>14</v>
      </c>
      <c r="F1489" s="21" t="n">
        <f aca="false">(u_amd_28+u_tpu_28+u_trn_28+u_oth_28)*um28_A*1</f>
        <v>17</v>
      </c>
      <c r="G1489" s="21" t="n">
        <f aca="false">(u_amd_28*(1+g29_amd)+u_tpu_28*(1+g29_tpu)+u_trn_28*(1+g29_trn)+u_oth_28*(1+g29_oth))*um29_A*1</f>
        <v>19.55</v>
      </c>
      <c r="K1489" s="7" t="s">
        <v>698</v>
      </c>
    </row>
    <row r="1490" customFormat="false" ht="17.15" hidden="false" customHeight="false" outlineLevel="0" collapsed="false">
      <c r="A1490" s="0" t="s">
        <v>699</v>
      </c>
      <c r="B1490" s="3" t="s">
        <v>31</v>
      </c>
      <c r="D1490" s="21" t="n">
        <f aca="false">D1488*cpu_r</f>
        <v>3.04</v>
      </c>
      <c r="E1490" s="21" t="n">
        <f aca="false">E1488*cpu_r</f>
        <v>3.88</v>
      </c>
      <c r="F1490" s="21" t="n">
        <f aca="false">F1488*cpu_r</f>
        <v>3.8</v>
      </c>
      <c r="G1490" s="21" t="n">
        <f aca="false">G1488*cpu_r</f>
        <v>4.24</v>
      </c>
      <c r="K1490" s="7" t="s">
        <v>700</v>
      </c>
    </row>
    <row r="1491" customFormat="false" ht="17.15" hidden="false" customHeight="false" outlineLevel="0" collapsed="false">
      <c r="A1491" s="3" t="s">
        <v>701</v>
      </c>
      <c r="B1491" s="0" t="s">
        <v>153</v>
      </c>
      <c r="D1491" s="19" t="n">
        <f aca="false">1</f>
        <v>1</v>
      </c>
      <c r="E1491" s="19" t="n">
        <f aca="false">D1491*(1+g_asp)</f>
        <v>1.18</v>
      </c>
      <c r="F1491" s="19" t="n">
        <f aca="false">E1491*(1+g_asp)</f>
        <v>1.3924</v>
      </c>
      <c r="G1491" s="19" t="n">
        <f aca="false">F1491*(1+g_asp)</f>
        <v>1.643032</v>
      </c>
      <c r="K1491" s="7" t="s">
        <v>702</v>
      </c>
    </row>
    <row r="1492" customFormat="false" ht="17.15" hidden="false" customHeight="false" outlineLevel="0" collapsed="false">
      <c r="A1492" s="0" t="s">
        <v>703</v>
      </c>
      <c r="B1492" s="0" t="s">
        <v>153</v>
      </c>
      <c r="D1492" s="18" t="n">
        <f aca="false">1</f>
        <v>1</v>
      </c>
      <c r="E1492" s="18" t="n">
        <f aca="false">ibpp_27</f>
        <v>1</v>
      </c>
      <c r="F1492" s="18" t="n">
        <f aca="false">ibpp_28</f>
        <v>0.95</v>
      </c>
      <c r="G1492" s="18" t="n">
        <f aca="false">ibpp_29</f>
        <v>0.9</v>
      </c>
      <c r="K1492" s="7" t="s">
        <v>704</v>
      </c>
    </row>
    <row r="1493" customFormat="false" ht="17.15" hidden="false" customHeight="false" outlineLevel="0" collapsed="false">
      <c r="A1493" s="3" t="s">
        <v>705</v>
      </c>
      <c r="B1493" s="0" t="s">
        <v>153</v>
      </c>
      <c r="D1493" s="18" t="n">
        <f aca="false">1</f>
        <v>1</v>
      </c>
      <c r="E1493" s="18" t="n">
        <f aca="false">1+carry</f>
        <v>1.15</v>
      </c>
      <c r="F1493" s="18" t="n">
        <f aca="false">1+carry</f>
        <v>1.15</v>
      </c>
      <c r="G1493" s="18" t="n">
        <f aca="false">1+carry</f>
        <v>1.15</v>
      </c>
      <c r="K1493" s="7" t="s">
        <v>706</v>
      </c>
    </row>
    <row r="1494" customFormat="false" ht="17.15" hidden="false" customHeight="false" outlineLevel="0" collapsed="false">
      <c r="A1494" s="3" t="s">
        <v>707</v>
      </c>
      <c r="B1494" s="0" t="s">
        <v>708</v>
      </c>
      <c r="D1494" s="23" t="n">
        <f aca="false">v26*D1491*D1492</f>
        <v>215.308596</v>
      </c>
      <c r="E1494" s="23" t="n">
        <f aca="false">v26*E1491*E1492</f>
        <v>254.06414328</v>
      </c>
      <c r="F1494" s="23" t="n">
        <f aca="false">v26*F1491*F1492</f>
        <v>284.80590461688</v>
      </c>
      <c r="G1494" s="23" t="n">
        <f aca="false">v26*G1491*G1492</f>
        <v>318.383021792765</v>
      </c>
      <c r="K1494" s="7" t="s">
        <v>709</v>
      </c>
    </row>
    <row r="1495" customFormat="false" ht="17.15" hidden="false" customHeight="false" outlineLevel="0" collapsed="false">
      <c r="A1495" s="3" t="s">
        <v>710</v>
      </c>
      <c r="B1495" s="0" t="s">
        <v>43</v>
      </c>
      <c r="D1495" s="20" t="n">
        <f aca="false">sh_nv_26</f>
        <v>0.02</v>
      </c>
      <c r="E1495" s="20" t="n">
        <f aca="false">sh_nv_27</f>
        <v>0.03</v>
      </c>
      <c r="F1495" s="20" t="n">
        <f aca="false">sh_nv_28</f>
        <v>0.05</v>
      </c>
      <c r="G1495" s="20" t="n">
        <f aca="false">sh_nv_29</f>
        <v>0.06</v>
      </c>
    </row>
    <row r="1496" customFormat="false" ht="17.15" hidden="false" customHeight="false" outlineLevel="0" collapsed="false">
      <c r="A1496" s="3" t="s">
        <v>711</v>
      </c>
      <c r="B1496" s="0" t="s">
        <v>43</v>
      </c>
      <c r="D1496" s="20" t="n">
        <f aca="false">sh_ot_26</f>
        <v>0.03</v>
      </c>
      <c r="E1496" s="20" t="n">
        <f aca="false">sh_ot_27</f>
        <v>0.05</v>
      </c>
      <c r="F1496" s="20" t="n">
        <f aca="false">sh_ot_28</f>
        <v>0.06</v>
      </c>
      <c r="G1496" s="20" t="n">
        <f aca="false">sh_ot_29</f>
        <v>0.06</v>
      </c>
    </row>
    <row r="1497" customFormat="false" ht="17.15" hidden="false" customHeight="false" outlineLevel="0" collapsed="false">
      <c r="A1497" s="3" t="s">
        <v>712</v>
      </c>
      <c r="B1497" s="0" t="s">
        <v>43</v>
      </c>
      <c r="D1497" s="20" t="n">
        <f aca="false">sh_cpu_26</f>
        <v>0.35</v>
      </c>
      <c r="E1497" s="20" t="n">
        <f aca="false">sh_cpu_27</f>
        <v>0.7</v>
      </c>
      <c r="F1497" s="20" t="n">
        <f aca="false">sh_cpu_28</f>
        <v>0.75</v>
      </c>
      <c r="G1497" s="20" t="n">
        <f aca="false">sh_cpu_29</f>
        <v>0.7</v>
      </c>
    </row>
    <row r="1498" customFormat="false" ht="17.15" hidden="false" customHeight="false" outlineLevel="0" collapsed="false">
      <c r="A1498" s="3" t="s">
        <v>713</v>
      </c>
      <c r="B1498" s="0" t="s">
        <v>660</v>
      </c>
      <c r="D1498" s="22" t="n">
        <f aca="false">(D1488*D1494*D1495+D1489*D1494*v_ot*D1496+D1490*D1494*v_cpu_lo*D1497)*D1493</f>
        <v>117.8168637312</v>
      </c>
      <c r="E1498" s="22" t="n">
        <f aca="false">(E1488*E1494*E1495+E1489*E1494*v_ot*E1496+E1490*E1494*v_cpu_lo*E1497)*E1493</f>
        <v>407.348662845122</v>
      </c>
      <c r="F1498" s="22" t="n">
        <f aca="false">(F1488*F1494*F1495+F1489*F1494*v_ot*F1496+F1490*F1494*v_cpu_lo*F1497)*F1493</f>
        <v>609.527356765816</v>
      </c>
      <c r="G1498" s="22" t="n">
        <f aca="false">(G1488*G1494*G1495+G1489*G1494*v_ot*G1496+G1490*G1494*v_cpu_lo*G1497)*G1493</f>
        <v>793.792549933721</v>
      </c>
    </row>
    <row r="1499" customFormat="false" ht="17.15" hidden="false" customHeight="false" outlineLevel="0" collapsed="false">
      <c r="A1499" s="3" t="s">
        <v>714</v>
      </c>
      <c r="B1499" s="0" t="s">
        <v>379</v>
      </c>
      <c r="D1499" s="21" t="n">
        <f aca="false">D1498*fx/1000</f>
        <v>3.829048071264</v>
      </c>
      <c r="E1499" s="21" t="n">
        <f aca="false">E1498*fx/1000</f>
        <v>13.2388315424665</v>
      </c>
      <c r="F1499" s="21" t="n">
        <f aca="false">F1498*fx/1000</f>
        <v>19.809639094889</v>
      </c>
      <c r="G1499" s="21" t="n">
        <f aca="false">G1498*fx/1000</f>
        <v>25.7982578728459</v>
      </c>
    </row>
    <row r="1500" customFormat="false" ht="17.15" hidden="false" customHeight="false" outlineLevel="0" collapsed="false">
      <c r="A1500" s="5" t="s">
        <v>715</v>
      </c>
    </row>
    <row r="1501" customFormat="false" ht="17.15" hidden="false" customHeight="false" outlineLevel="0" collapsed="false">
      <c r="A1501" s="0" t="s">
        <v>716</v>
      </c>
      <c r="B1501" s="0" t="s">
        <v>379</v>
      </c>
      <c r="D1501" s="21" t="n">
        <f aca="false">a26_abf*ai_abf</f>
        <v>5.714709</v>
      </c>
      <c r="K1501" s="3" t="s">
        <v>717</v>
      </c>
    </row>
    <row r="1502" customFormat="false" ht="17.15" hidden="false" customHeight="false" outlineLevel="0" collapsed="false">
      <c r="A1502" s="3" t="s">
        <v>718</v>
      </c>
      <c r="B1502" s="0" t="s">
        <v>379</v>
      </c>
      <c r="D1502" s="21" t="n">
        <f aca="false">D1501-D1499</f>
        <v>1.885660928736</v>
      </c>
      <c r="E1502" s="21" t="n">
        <f aca="false">$D1502*(swm_27/swm_26)^el_o*1*1*E1492*E1493</f>
        <v>3.03312277104367</v>
      </c>
      <c r="F1502" s="21" t="n">
        <f aca="false">$D1502*(swm_28/swm_26)^el_o*um28_A*1*F1492*F1493</f>
        <v>3.09973420532957</v>
      </c>
      <c r="G1502" s="21" t="n">
        <f aca="false">$D1502*(swm_29/swm_26)^el_o*um29_A*1*G1492*G1493</f>
        <v>3.13277798470722</v>
      </c>
      <c r="K1502" s="7" t="s">
        <v>719</v>
      </c>
    </row>
    <row r="1503" customFormat="false" ht="17.15" hidden="false" customHeight="false" outlineLevel="0" collapsed="false">
      <c r="A1503" s="3" t="s">
        <v>720</v>
      </c>
      <c r="B1503" s="0" t="s">
        <v>379</v>
      </c>
      <c r="D1503" s="21" t="n">
        <f aca="false">a26_abf-D1501</f>
        <v>17.144127</v>
      </c>
      <c r="E1503" s="21" t="n">
        <f aca="false">$D1503*(1+g_nai)^1*E1493</f>
        <v>20.898690813</v>
      </c>
      <c r="F1503" s="21" t="n">
        <f aca="false">$D1503*(1+g_nai)^2*F1493</f>
        <v>22.15261226178</v>
      </c>
      <c r="G1503" s="21" t="n">
        <f aca="false">$D1503*(1+g_nai)^3*G1493</f>
        <v>23.4817689974868</v>
      </c>
      <c r="K1503" s="3" t="s">
        <v>721</v>
      </c>
    </row>
    <row r="1504" customFormat="false" ht="17.15" hidden="false" customHeight="false" outlineLevel="0" collapsed="false">
      <c r="A1504" s="0" t="s">
        <v>722</v>
      </c>
      <c r="B1504" s="0" t="s">
        <v>379</v>
      </c>
      <c r="D1504" s="21" t="n">
        <f aca="false">D1499+D1502+D1503</f>
        <v>22.858836</v>
      </c>
      <c r="E1504" s="21" t="n">
        <f aca="false">E1499+E1502+E1503</f>
        <v>37.1706451265102</v>
      </c>
      <c r="F1504" s="21" t="n">
        <f aca="false">F1499+F1502+F1503</f>
        <v>45.0619855619986</v>
      </c>
      <c r="G1504" s="21" t="n">
        <f aca="false">G1499+G1502+G1503</f>
        <v>52.41280485504</v>
      </c>
    </row>
    <row r="1505" customFormat="false" ht="17.15" hidden="false" customHeight="false" outlineLevel="0" collapsed="false">
      <c r="A1505" s="0" t="s">
        <v>723</v>
      </c>
      <c r="B1505" s="0" t="s">
        <v>379</v>
      </c>
      <c r="D1505" s="21" t="n">
        <f aca="false">a26_abf</f>
        <v>22.858836</v>
      </c>
      <c r="E1505" s="21" t="n">
        <f aca="false">$D1504*cap_27*(1+g_mix)^1*E1492*E1493</f>
        <v>33.122453364</v>
      </c>
      <c r="F1505" s="21" t="n">
        <f aca="false">$D1504*cap_28*(1+g_mix)^2*F1492*F1493</f>
        <v>41.2995590382375</v>
      </c>
      <c r="G1505" s="21" t="n">
        <f aca="false">$D1504*cap_29*(1+g_mix)^3*G1492*G1493</f>
        <v>50.6680379569114</v>
      </c>
      <c r="K1505" s="7" t="s">
        <v>724</v>
      </c>
    </row>
    <row r="1506" customFormat="false" ht="17.15" hidden="false" customHeight="false" outlineLevel="0" collapsed="false">
      <c r="A1506" s="0" t="s">
        <v>725</v>
      </c>
      <c r="B1506" s="0" t="s">
        <v>379</v>
      </c>
      <c r="D1506" s="21" t="n">
        <f aca="false">a26_abf</f>
        <v>22.858836</v>
      </c>
      <c r="E1506" s="21" t="n">
        <f aca="false">MIN(E1504,E1505)</f>
        <v>33.122453364</v>
      </c>
      <c r="F1506" s="21" t="n">
        <f aca="false">MIN(F1504,F1505)</f>
        <v>41.2995590382375</v>
      </c>
      <c r="G1506" s="21" t="n">
        <f aca="false">MIN(G1504,G1505)</f>
        <v>50.6680379569114</v>
      </c>
    </row>
    <row r="1507" customFormat="false" ht="17.15" hidden="false" customHeight="false" outlineLevel="0" collapsed="false">
      <c r="A1507" s="3" t="s">
        <v>726</v>
      </c>
      <c r="B1507" s="0" t="s">
        <v>43</v>
      </c>
      <c r="D1507" s="20" t="n">
        <f aca="false">D1506/D1504</f>
        <v>1</v>
      </c>
      <c r="E1507" s="20" t="n">
        <f aca="false">E1506/E1504</f>
        <v>0.891091700218488</v>
      </c>
      <c r="F1507" s="20" t="n">
        <f aca="false">F1506/F1504</f>
        <v>0.916505531728411</v>
      </c>
      <c r="G1507" s="20" t="n">
        <f aca="false">G1506/G1504</f>
        <v>0.966711056526089</v>
      </c>
    </row>
    <row r="1508" customFormat="false" ht="17.15" hidden="false" customHeight="false" outlineLevel="0" collapsed="false">
      <c r="A1508" s="0" t="s">
        <v>727</v>
      </c>
      <c r="B1508" s="0" t="s">
        <v>379</v>
      </c>
      <c r="D1508" s="21" t="n">
        <f aca="false">(D1499+D1502)*D1507</f>
        <v>5.714709</v>
      </c>
      <c r="E1508" s="21" t="n">
        <f aca="false">(E1499+E1502)*E1507</f>
        <v>14.4998034351033</v>
      </c>
      <c r="F1508" s="21" t="n">
        <f aca="false">(F1499+F1502)*F1507</f>
        <v>20.9965673580815</v>
      </c>
      <c r="G1508" s="21" t="n">
        <f aca="false">(G1499+G1502)*G1507</f>
        <v>27.9679522402494</v>
      </c>
    </row>
    <row r="1509" customFormat="false" ht="17.15" hidden="false" customHeight="false" outlineLevel="0" collapsed="false">
      <c r="A1509" s="3" t="s">
        <v>728</v>
      </c>
      <c r="B1509" s="0" t="s">
        <v>43</v>
      </c>
      <c r="D1509" s="20" t="n">
        <f aca="false">D1499/(D1499+D1502)</f>
        <v>0.670033779718968</v>
      </c>
      <c r="E1509" s="20" t="n">
        <f aca="false">E1499/(E1499+E1502)</f>
        <v>0.81359812640788</v>
      </c>
      <c r="F1509" s="20" t="n">
        <f aca="false">F1499/(F1499+F1502)</f>
        <v>0.864695809671058</v>
      </c>
      <c r="G1509" s="20" t="n">
        <f aca="false">G1499/(G1499+G1502)</f>
        <v>0.891715664792233</v>
      </c>
    </row>
    <row r="1510" customFormat="false" ht="17.15" hidden="false" customHeight="false" outlineLevel="0" collapsed="false">
      <c r="A1510" s="5" t="s">
        <v>729</v>
      </c>
    </row>
    <row r="1511" customFormat="false" ht="17.15" hidden="false" customHeight="false" outlineLevel="0" collapsed="false">
      <c r="A1511" s="0" t="s">
        <v>730</v>
      </c>
      <c r="B1511" s="0" t="s">
        <v>379</v>
      </c>
      <c r="D1511" s="21" t="n">
        <f aca="false">a26_bt</f>
        <v>23.265964</v>
      </c>
      <c r="E1511" s="21" t="n">
        <f aca="false">D1511*(1+g_bt27_A)</f>
        <v>29.78043392</v>
      </c>
      <c r="F1511" s="21" t="n">
        <f aca="false">E1511*(1+g_bt28_A)</f>
        <v>32.758477312</v>
      </c>
      <c r="G1511" s="21" t="n">
        <f aca="false">F1511*(1+g_bt29_A)</f>
        <v>34.3964011776</v>
      </c>
      <c r="K1511" s="7" t="s">
        <v>731</v>
      </c>
    </row>
    <row r="1512" customFormat="false" ht="17.15" hidden="false" customHeight="false" outlineLevel="0" collapsed="false">
      <c r="A1512" s="3" t="s">
        <v>616</v>
      </c>
      <c r="B1512" s="0" t="s">
        <v>379</v>
      </c>
      <c r="C1512" s="21" t="n">
        <f aca="false">a25_lens</f>
        <v>7.039</v>
      </c>
      <c r="D1512" s="21" t="n">
        <f aca="false">a26_lens</f>
        <v>8.301</v>
      </c>
      <c r="E1512" s="21" t="n">
        <f aca="false">D1512*(1+g_lens)</f>
        <v>9.1311</v>
      </c>
      <c r="F1512" s="21" t="n">
        <f aca="false">E1512*(1+g_lens)</f>
        <v>10.04421</v>
      </c>
      <c r="G1512" s="21" t="n">
        <f aca="false">F1512*(1+g_lens)</f>
        <v>11.048631</v>
      </c>
      <c r="K1512" s="3" t="s">
        <v>732</v>
      </c>
    </row>
    <row r="1513" customFormat="false" ht="17.15" hidden="false" customHeight="false" outlineLevel="0" collapsed="false">
      <c r="A1513" s="3" t="s">
        <v>573</v>
      </c>
      <c r="B1513" s="0" t="s">
        <v>379</v>
      </c>
      <c r="C1513" s="23" t="n">
        <f aca="false">a25_rev</f>
        <v>39.351</v>
      </c>
      <c r="D1513" s="23" t="n">
        <f aca="false">D1506+D1511+D1512</f>
        <v>54.4258</v>
      </c>
      <c r="E1513" s="23" t="n">
        <f aca="false">E1506+E1511+E1512</f>
        <v>72.033987284</v>
      </c>
      <c r="F1513" s="23" t="n">
        <f aca="false">F1506+F1511+F1512</f>
        <v>84.1022463502375</v>
      </c>
      <c r="G1513" s="23" t="n">
        <f aca="false">G1506+G1511+G1512</f>
        <v>96.1130701345114</v>
      </c>
      <c r="H1513" s="25" t="n">
        <f aca="false">G1513*(1+H1514)</f>
        <v>107.186075216063</v>
      </c>
      <c r="I1513" s="25" t="n">
        <f aca="false">H1513*(1+I1514)</f>
        <v>116.576010002736</v>
      </c>
      <c r="J1513" s="25" t="n">
        <f aca="false">I1513*(1+J1514)</f>
        <v>123.5705706029</v>
      </c>
      <c r="K1513" s="7" t="s">
        <v>733</v>
      </c>
    </row>
    <row r="1514" customFormat="false" ht="15" hidden="false" customHeight="false" outlineLevel="0" collapsed="false">
      <c r="A1514" s="3" t="s">
        <v>734</v>
      </c>
      <c r="B1514" s="0" t="s">
        <v>43</v>
      </c>
      <c r="D1514" s="20" t="n">
        <f aca="false">D1513/C1513-1</f>
        <v>0.383085563263958</v>
      </c>
      <c r="E1514" s="20" t="n">
        <f aca="false">E1513/D1513-1</f>
        <v>0.323526476119781</v>
      </c>
      <c r="F1514" s="20" t="n">
        <f aca="false">F1513/E1513-1</f>
        <v>0.167535624796909</v>
      </c>
      <c r="G1514" s="20" t="n">
        <f aca="false">G1513/F1513-1</f>
        <v>0.142812163830389</v>
      </c>
      <c r="H1514" s="26" t="n">
        <f aca="false">$G1514+(fade_gA-$G1514)*1/3</f>
        <v>0.115208109220259</v>
      </c>
      <c r="I1514" s="26" t="n">
        <f aca="false">$G1514+(fade_gA-$G1514)*2/3</f>
        <v>0.0876040546101297</v>
      </c>
      <c r="J1514" s="26" t="n">
        <f aca="false">$G1514+(fade_gA-$G1514)*3/3</f>
        <v>0.06</v>
      </c>
    </row>
    <row r="1515" customFormat="false" ht="17.15" hidden="false" customHeight="false" outlineLevel="0" collapsed="false">
      <c r="A1515" s="0" t="s">
        <v>735</v>
      </c>
      <c r="B1515" s="0" t="s">
        <v>43</v>
      </c>
      <c r="D1515" s="20" t="n">
        <f aca="false">D1506/D1513</f>
        <v>0.42</v>
      </c>
      <c r="E1515" s="20" t="n">
        <f aca="false">E1506/E1513</f>
        <v>0.459817019893845</v>
      </c>
      <c r="F1515" s="20" t="n">
        <f aca="false">F1506/F1513</f>
        <v>0.491063685341395</v>
      </c>
      <c r="G1515" s="20" t="n">
        <f aca="false">G1506/G1513</f>
        <v>0.527171152539409</v>
      </c>
    </row>
    <row r="1516" customFormat="false" ht="17.15" hidden="false" customHeight="false" outlineLevel="0" collapsed="false">
      <c r="A1516" s="0" t="s">
        <v>736</v>
      </c>
      <c r="B1516" s="0" t="s">
        <v>43</v>
      </c>
      <c r="D1516" s="20" t="n">
        <f aca="false">D1508/D1513</f>
        <v>0.105</v>
      </c>
      <c r="E1516" s="20" t="n">
        <f aca="false">E1508/E1513</f>
        <v>0.201291140221582</v>
      </c>
      <c r="F1516" s="20" t="n">
        <f aca="false">F1508/F1513</f>
        <v>0.249655250237227</v>
      </c>
      <c r="G1516" s="20" t="n">
        <f aca="false">G1508/G1513</f>
        <v>0.290990103646756</v>
      </c>
      <c r="K1516" s="3" t="s">
        <v>737</v>
      </c>
    </row>
    <row r="1517" customFormat="false" ht="17.15" hidden="false" customHeight="false" outlineLevel="0" collapsed="false">
      <c r="A1517" s="5" t="s">
        <v>738</v>
      </c>
    </row>
    <row r="1518" customFormat="false" ht="15" hidden="false" customHeight="false" outlineLevel="0" collapsed="false">
      <c r="A1518" s="3" t="s">
        <v>739</v>
      </c>
      <c r="B1518" s="0" t="s">
        <v>379</v>
      </c>
      <c r="C1518" s="23" t="n">
        <f aca="false">a25_cx</f>
        <v>6.116</v>
      </c>
      <c r="D1518" s="23" t="n">
        <f aca="false">capex26</f>
        <v>11</v>
      </c>
      <c r="E1518" s="23" t="n">
        <f aca="false">cx27</f>
        <v>17</v>
      </c>
      <c r="F1518" s="23" t="n">
        <f aca="false">cx28</f>
        <v>16</v>
      </c>
      <c r="G1518" s="23" t="n">
        <f aca="false">cx29</f>
        <v>12</v>
      </c>
      <c r="H1518" s="25" t="n">
        <f aca="false">H1513*H1537</f>
        <v>13.4817405534162</v>
      </c>
      <c r="I1518" s="25" t="n">
        <f aca="false">I1513*I1537</f>
        <v>14.77073304233</v>
      </c>
      <c r="J1518" s="25" t="n">
        <f aca="false">J1513*J1537</f>
        <v>15.7713906192965</v>
      </c>
    </row>
    <row r="1519" customFormat="false" ht="17.15" hidden="false" customHeight="false" outlineLevel="0" collapsed="false">
      <c r="A1519" s="3" t="s">
        <v>740</v>
      </c>
      <c r="B1519" s="0" t="s">
        <v>379</v>
      </c>
      <c r="C1519" s="23" t="n">
        <f aca="false">a25_da</f>
        <v>7.158</v>
      </c>
      <c r="D1519" s="23" t="n">
        <f aca="false">da26</f>
        <v>8.32</v>
      </c>
      <c r="E1519" s="23" t="n">
        <f aca="false">D1519*(1-1/life)+D1518/life</f>
        <v>8.655</v>
      </c>
      <c r="F1519" s="23" t="n">
        <f aca="false">E1519*(1-1/life)+E1518/life</f>
        <v>9.698125</v>
      </c>
      <c r="G1519" s="23" t="n">
        <f aca="false">F1519*(1-1/life)+F1518/life</f>
        <v>10.485859375</v>
      </c>
      <c r="H1519" s="25" t="n">
        <f aca="false">H1513*H1520</f>
        <v>11.6939154071433</v>
      </c>
      <c r="I1519" s="25" t="n">
        <f aca="false">I1513*I1520</f>
        <v>12.7183498110769</v>
      </c>
      <c r="J1519" s="25" t="n">
        <f aca="false">J1513*J1520</f>
        <v>13.4814507997415</v>
      </c>
      <c r="K1519" s="3" t="s">
        <v>741</v>
      </c>
    </row>
    <row r="1520" customFormat="false" ht="17.15" hidden="false" customHeight="false" outlineLevel="0" collapsed="false">
      <c r="A1520" s="3" t="s">
        <v>742</v>
      </c>
      <c r="B1520" s="0" t="s">
        <v>43</v>
      </c>
      <c r="C1520" s="20" t="n">
        <f aca="false">C1519/C1513</f>
        <v>0.181901349393916</v>
      </c>
      <c r="D1520" s="20" t="n">
        <f aca="false">D1519/D1513</f>
        <v>0.152868676252807</v>
      </c>
      <c r="E1520" s="20" t="n">
        <f aca="false">E1519/E1513</f>
        <v>0.120151616290196</v>
      </c>
      <c r="F1520" s="20" t="n">
        <f aca="false">F1519/F1513</f>
        <v>0.115313507318376</v>
      </c>
      <c r="G1520" s="20" t="n">
        <f aca="false">G1519/G1513</f>
        <v>0.109099203264706</v>
      </c>
      <c r="H1520" s="26" t="n">
        <f aca="false">$G1520</f>
        <v>0.109099203264706</v>
      </c>
      <c r="I1520" s="26" t="n">
        <f aca="false">$G1520</f>
        <v>0.109099203264706</v>
      </c>
      <c r="J1520" s="26" t="n">
        <f aca="false">$G1520</f>
        <v>0.109099203264706</v>
      </c>
    </row>
    <row r="1521" customFormat="false" ht="17.15" hidden="false" customHeight="false" outlineLevel="0" collapsed="false">
      <c r="A1521" s="0" t="s">
        <v>743</v>
      </c>
      <c r="B1521" s="0" t="s">
        <v>379</v>
      </c>
      <c r="E1521" s="21" t="n">
        <f aca="false">E1507*((E1499+E1502)*(1-1/(E1492*E1493))+E1503*(1-1/E1493))</f>
        <v>4.320320004</v>
      </c>
      <c r="F1521" s="21" t="n">
        <f aca="false">F1507*((F1499+F1502)*(1-1/(F1492*F1493))+F1503*(1-1/F1493))</f>
        <v>4.4259577071348</v>
      </c>
      <c r="G1521" s="21" t="n">
        <f aca="false">G1507*((G1499+G1502)*(1-1/(G1492*G1493))+G1503*(1-1/G1493))</f>
        <v>3.90665690836531</v>
      </c>
      <c r="K1521" s="7" t="s">
        <v>744</v>
      </c>
    </row>
    <row r="1522" customFormat="false" ht="17.15" hidden="false" customHeight="false" outlineLevel="0" collapsed="false">
      <c r="A1522" s="3" t="s">
        <v>745</v>
      </c>
      <c r="B1522" s="0" t="s">
        <v>379</v>
      </c>
      <c r="C1522" s="21" t="n">
        <f aca="false">a25_gp</f>
        <v>8.314</v>
      </c>
      <c r="D1522" s="21" t="n">
        <f aca="false">a26_gp</f>
        <v>15.328536</v>
      </c>
      <c r="E1522" s="21" t="n">
        <f aca="false">$D1522+ft_abf*(E1506-E1521-$D1506)+ft_bt*(E1511-$D1511)+ft_lens*(E1512-$D1512)+E1521-(E1519-$D1519)</f>
        <v>25.590561148</v>
      </c>
      <c r="F1522" s="21" t="n">
        <f aca="false">$D1522+ft_abf*(F1506-F1521-$D1506)+ft_bt*(F1511-$D1511)+ft_lens*(F1512-$D1512)+F1521-(F1519-$D1519)</f>
        <v>30.4398268630862</v>
      </c>
      <c r="G1522" s="21" t="n">
        <f aca="false">$D1522+ft_abf*(G1506-G1521-$D1506)+ft_bt*(G1511-$D1511)+ft_lens*(G1512-$D1512)+G1521-(G1519-$D1519)</f>
        <v>35.2657367375583</v>
      </c>
      <c r="K1522" s="3" t="s">
        <v>746</v>
      </c>
    </row>
    <row r="1523" customFormat="false" ht="15" hidden="false" customHeight="false" outlineLevel="0" collapsed="false">
      <c r="A1523" s="3" t="s">
        <v>580</v>
      </c>
      <c r="B1523" s="0" t="s">
        <v>43</v>
      </c>
      <c r="C1523" s="16" t="n">
        <f aca="false">C1522/C1513</f>
        <v>0.211277985311682</v>
      </c>
      <c r="D1523" s="16" t="n">
        <f aca="false">D1522/D1513</f>
        <v>0.281640986443929</v>
      </c>
      <c r="E1523" s="16" t="n">
        <f aca="false">E1522/E1513</f>
        <v>0.3552567629931</v>
      </c>
      <c r="F1523" s="16" t="n">
        <f aca="false">F1522/F1513</f>
        <v>0.361938333208388</v>
      </c>
      <c r="G1523" s="16" t="n">
        <f aca="false">G1522/G1513</f>
        <v>0.366919261742482</v>
      </c>
    </row>
    <row r="1524" customFormat="false" ht="15" hidden="false" customHeight="false" outlineLevel="0" collapsed="false">
      <c r="A1524" s="3" t="s">
        <v>582</v>
      </c>
      <c r="B1524" s="0" t="s">
        <v>379</v>
      </c>
      <c r="C1524" s="21" t="n">
        <f aca="false">a25_opx</f>
        <v>5.644</v>
      </c>
      <c r="D1524" s="21" t="n">
        <f aca="false">a26_opx</f>
        <v>6.54036</v>
      </c>
      <c r="E1524" s="21" t="n">
        <f aca="false">D1524*(1+phi*E1514)</f>
        <v>7.80994777401287</v>
      </c>
      <c r="F1524" s="21" t="n">
        <f aca="false">E1524*(1+phi*F1514)</f>
        <v>8.59501446198315</v>
      </c>
      <c r="G1524" s="21" t="n">
        <f aca="false">F1524*(1+phi*G1514)</f>
        <v>9.33149803006473</v>
      </c>
    </row>
    <row r="1525" customFormat="false" ht="15" hidden="false" customHeight="false" outlineLevel="0" collapsed="false">
      <c r="A1525" s="3" t="s">
        <v>585</v>
      </c>
      <c r="B1525" s="0" t="s">
        <v>379</v>
      </c>
      <c r="C1525" s="21" t="n">
        <f aca="false">C1522-C1524</f>
        <v>2.67</v>
      </c>
      <c r="D1525" s="21" t="n">
        <f aca="false">D1522-D1524</f>
        <v>8.788176</v>
      </c>
      <c r="E1525" s="21" t="n">
        <f aca="false">E1522-E1524</f>
        <v>17.7806133739871</v>
      </c>
      <c r="F1525" s="21" t="n">
        <f aca="false">F1522-F1524</f>
        <v>21.844812401103</v>
      </c>
      <c r="G1525" s="21" t="n">
        <f aca="false">G1522-G1524</f>
        <v>25.9342387074936</v>
      </c>
    </row>
    <row r="1526" customFormat="false" ht="15" hidden="false" customHeight="false" outlineLevel="0" collapsed="false">
      <c r="A1526" s="3" t="s">
        <v>683</v>
      </c>
      <c r="B1526" s="0" t="s">
        <v>43</v>
      </c>
      <c r="C1526" s="16" t="n">
        <f aca="false">C1525/C1513</f>
        <v>0.0678508805367081</v>
      </c>
      <c r="D1526" s="16" t="n">
        <f aca="false">D1525/D1513</f>
        <v>0.161470773052486</v>
      </c>
      <c r="E1526" s="16" t="n">
        <f aca="false">E1525/E1513</f>
        <v>0.246836445466854</v>
      </c>
      <c r="F1526" s="16" t="n">
        <f aca="false">F1525/F1513</f>
        <v>0.259741128793777</v>
      </c>
      <c r="G1526" s="16" t="n">
        <f aca="false">G1525/G1513</f>
        <v>0.269830509744391</v>
      </c>
    </row>
    <row r="1527" customFormat="false" ht="15" hidden="false" customHeight="false" outlineLevel="0" collapsed="false">
      <c r="A1527" s="3" t="s">
        <v>588</v>
      </c>
      <c r="B1527" s="0" t="s">
        <v>379</v>
      </c>
      <c r="C1527" s="21" t="n">
        <f aca="false">a25_nonop</f>
        <v>0.417</v>
      </c>
      <c r="D1527" s="21" t="n">
        <f aca="false">a26_nonop</f>
        <v>0.37882</v>
      </c>
      <c r="E1527" s="21" t="n">
        <f aca="false">nonop27</f>
        <v>0.4</v>
      </c>
      <c r="F1527" s="21" t="n">
        <f aca="false">nonop28</f>
        <v>0.4</v>
      </c>
      <c r="G1527" s="21" t="n">
        <f aca="false">nonop29</f>
        <v>0.4</v>
      </c>
    </row>
    <row r="1528" customFormat="false" ht="15" hidden="false" customHeight="false" outlineLevel="0" collapsed="false">
      <c r="A1528" s="3" t="s">
        <v>590</v>
      </c>
      <c r="B1528" s="0" t="s">
        <v>379</v>
      </c>
      <c r="C1528" s="21" t="n">
        <f aca="false">C1525+C1527</f>
        <v>3.087</v>
      </c>
      <c r="D1528" s="21" t="n">
        <f aca="false">D1525+D1527</f>
        <v>9.166996</v>
      </c>
      <c r="E1528" s="21" t="n">
        <f aca="false">E1525+E1527</f>
        <v>18.1806133739871</v>
      </c>
      <c r="F1528" s="21" t="n">
        <f aca="false">F1525+F1527</f>
        <v>22.244812401103</v>
      </c>
      <c r="G1528" s="21" t="n">
        <f aca="false">G1525+G1527</f>
        <v>26.3342387074936</v>
      </c>
    </row>
    <row r="1529" customFormat="false" ht="15" hidden="false" customHeight="false" outlineLevel="0" collapsed="false">
      <c r="A1529" s="3" t="s">
        <v>591</v>
      </c>
      <c r="B1529" s="0" t="s">
        <v>379</v>
      </c>
      <c r="E1529" s="21" t="n">
        <f aca="false">E1528*tax</f>
        <v>2.18167360487846</v>
      </c>
      <c r="F1529" s="21" t="n">
        <f aca="false">F1528*tax</f>
        <v>2.66937748813236</v>
      </c>
      <c r="G1529" s="21" t="n">
        <f aca="false">G1528*tax</f>
        <v>3.16010864489923</v>
      </c>
    </row>
    <row r="1530" customFormat="false" ht="15" hidden="false" customHeight="false" outlineLevel="0" collapsed="false">
      <c r="A1530" s="3" t="s">
        <v>592</v>
      </c>
      <c r="B1530" s="0" t="s">
        <v>379</v>
      </c>
      <c r="C1530" s="21" t="n">
        <f aca="false">a25_nic</f>
        <v>2.71712</v>
      </c>
      <c r="D1530" s="21" t="n">
        <f aca="false">a26_nic</f>
        <v>8.39979776</v>
      </c>
      <c r="E1530" s="21" t="n">
        <f aca="false">E1528-E1529</f>
        <v>15.9989397691087</v>
      </c>
      <c r="F1530" s="21" t="n">
        <f aca="false">F1528-F1529</f>
        <v>19.5754349129706</v>
      </c>
      <c r="G1530" s="21" t="n">
        <f aca="false">G1528-G1529</f>
        <v>23.1741300625944</v>
      </c>
    </row>
    <row r="1531" customFormat="false" ht="17.15" hidden="false" customHeight="false" outlineLevel="0" collapsed="false">
      <c r="A1531" s="3" t="s">
        <v>747</v>
      </c>
      <c r="B1531" s="0" t="s">
        <v>379</v>
      </c>
      <c r="C1531" s="21" t="n">
        <f aca="false">a25_nci</f>
        <v>1.12112</v>
      </c>
      <c r="D1531" s="21" t="n">
        <f aca="false">a26_nci</f>
        <v>1.43839238487797</v>
      </c>
      <c r="E1531" s="21" t="n">
        <f aca="false">E1512*nm_lens*nci_sh</f>
        <v>1.57074538036261</v>
      </c>
      <c r="F1531" s="21" t="n">
        <f aca="false">F1512*nm_lens*nci_sh</f>
        <v>1.72781991839887</v>
      </c>
      <c r="G1531" s="21" t="n">
        <f aca="false">G1512*nm_lens*nci_sh</f>
        <v>1.90060191023875</v>
      </c>
      <c r="K1531" s="3" t="s">
        <v>748</v>
      </c>
    </row>
    <row r="1532" customFormat="false" ht="15" hidden="false" customHeight="false" outlineLevel="0" collapsed="false">
      <c r="A1532" s="3" t="s">
        <v>598</v>
      </c>
      <c r="B1532" s="0" t="s">
        <v>379</v>
      </c>
      <c r="C1532" s="21" t="n">
        <f aca="false">a25_ni</f>
        <v>1.596</v>
      </c>
      <c r="D1532" s="21" t="n">
        <f aca="false">a26_ni</f>
        <v>6.96140537512203</v>
      </c>
      <c r="E1532" s="21" t="n">
        <f aca="false">E1530-E1531</f>
        <v>14.4281943887461</v>
      </c>
      <c r="F1532" s="21" t="n">
        <f aca="false">F1530-F1531</f>
        <v>17.8476149945718</v>
      </c>
      <c r="G1532" s="21" t="n">
        <f aca="false">G1530-G1531</f>
        <v>21.2735281523556</v>
      </c>
      <c r="H1532" s="30" t="n">
        <f aca="false">H1513*H1536</f>
        <v>23.7093631015214</v>
      </c>
      <c r="I1532" s="30" t="n">
        <f aca="false">I1513*I1536</f>
        <v>25.7700331694133</v>
      </c>
      <c r="J1532" s="30" t="n">
        <f aca="false">J1513*J1536</f>
        <v>27.2988869112315</v>
      </c>
    </row>
    <row r="1533" customFormat="false" ht="15" hidden="false" customHeight="false" outlineLevel="0" collapsed="false">
      <c r="A1533" s="3" t="s">
        <v>749</v>
      </c>
      <c r="B1533" s="3" t="s">
        <v>465</v>
      </c>
      <c r="C1533" s="29" t="n">
        <f aca="false">a25_sh</f>
        <v>0.454700854700855</v>
      </c>
      <c r="D1533" s="29" t="n">
        <f aca="false">a26_sh</f>
        <v>0.508341020486215</v>
      </c>
      <c r="E1533" s="29" t="n">
        <f aca="false">a26_shend*(1+sh_g)</f>
        <v>0.52691</v>
      </c>
      <c r="F1533" s="29" t="n">
        <f aca="false">E1533*(1+sh_g)</f>
        <v>0.52691</v>
      </c>
      <c r="G1533" s="29" t="n">
        <f aca="false">F1533*(1+sh_g)</f>
        <v>0.52691</v>
      </c>
      <c r="H1533" s="31" t="n">
        <f aca="false">G1533*(1+sh_g)</f>
        <v>0.52691</v>
      </c>
      <c r="I1533" s="31" t="n">
        <f aca="false">H1533*(1+sh_g)</f>
        <v>0.52691</v>
      </c>
      <c r="J1533" s="31" t="n">
        <f aca="false">I1533*(1+sh_g)</f>
        <v>0.52691</v>
      </c>
    </row>
    <row r="1534" customFormat="false" ht="17.15" hidden="false" customHeight="false" outlineLevel="0" collapsed="false">
      <c r="A1534" s="0" t="s">
        <v>603</v>
      </c>
      <c r="B1534" s="0" t="s">
        <v>471</v>
      </c>
      <c r="C1534" s="18" t="n">
        <f aca="false">C1532/C1533</f>
        <v>3.51</v>
      </c>
      <c r="D1534" s="18" t="n">
        <f aca="false">D1532/D1533</f>
        <v>13.6943608612652</v>
      </c>
      <c r="E1534" s="18" t="n">
        <f aca="false">E1532/E1533</f>
        <v>27.3826543218881</v>
      </c>
      <c r="F1534" s="18" t="n">
        <f aca="false">F1532/F1533</f>
        <v>33.8722267456905</v>
      </c>
      <c r="G1534" s="18" t="n">
        <f aca="false">G1532/G1533</f>
        <v>40.3741211067462</v>
      </c>
      <c r="H1534" s="28" t="n">
        <f aca="false">H1532/H1533</f>
        <v>44.9969882931078</v>
      </c>
      <c r="I1534" s="28" t="n">
        <f aca="false">I1532/I1533</f>
        <v>48.9078460636794</v>
      </c>
      <c r="J1534" s="28" t="n">
        <f aca="false">J1532/J1533</f>
        <v>51.8093923274022</v>
      </c>
    </row>
    <row r="1535" customFormat="false" ht="17.15" hidden="false" customHeight="false" outlineLevel="0" collapsed="false">
      <c r="A1535" s="0" t="s">
        <v>750</v>
      </c>
      <c r="B1535" s="0" t="s">
        <v>43</v>
      </c>
      <c r="D1535" s="20" t="n">
        <f aca="false">D1534/C1534-1</f>
        <v>2.90152731090177</v>
      </c>
      <c r="E1535" s="20" t="n">
        <f aca="false">E1534/D1534-1</f>
        <v>0.999556941670828</v>
      </c>
      <c r="F1535" s="20" t="n">
        <f aca="false">F1534/E1534-1</f>
        <v>0.236995739986207</v>
      </c>
      <c r="G1535" s="20" t="n">
        <f aca="false">G1534/F1534-1</f>
        <v>0.191953555633389</v>
      </c>
      <c r="H1535" s="26" t="n">
        <f aca="false">H1534/G1534-1</f>
        <v>0.114500750967162</v>
      </c>
      <c r="I1535" s="26" t="n">
        <f aca="false">I1534/H1534-1</f>
        <v>0.0869137673191944</v>
      </c>
      <c r="J1535" s="26" t="n">
        <f aca="false">J1534/I1534-1</f>
        <v>0.0593268053543969</v>
      </c>
    </row>
    <row r="1536" customFormat="false" ht="17.15" hidden="false" customHeight="false" outlineLevel="0" collapsed="false">
      <c r="A1536" s="3" t="s">
        <v>751</v>
      </c>
      <c r="B1536" s="0" t="s">
        <v>43</v>
      </c>
      <c r="C1536" s="16" t="n">
        <f aca="false">C1532/C1513</f>
        <v>0.0405580544331783</v>
      </c>
      <c r="D1536" s="16" t="n">
        <f aca="false">D1532/D1513</f>
        <v>0.127906349105057</v>
      </c>
      <c r="E1536" s="16" t="n">
        <f aca="false">E1532/E1513</f>
        <v>0.20029703939422</v>
      </c>
      <c r="F1536" s="16" t="n">
        <f aca="false">F1532/F1513</f>
        <v>0.21221329713652</v>
      </c>
      <c r="G1536" s="16" t="n">
        <f aca="false">G1532/G1513</f>
        <v>0.221338555958967</v>
      </c>
      <c r="H1536" s="27" t="n">
        <f aca="false">$G1536+(fade_mA-$G1536)*1/3</f>
        <v>0.221198164535167</v>
      </c>
      <c r="I1536" s="27" t="n">
        <f aca="false">$G1536+(fade_mA-$G1536)*2/3</f>
        <v>0.221057773111367</v>
      </c>
      <c r="J1536" s="27" t="n">
        <f aca="false">$G1536+(fade_mA-$G1536)*3/3</f>
        <v>0.220917381687568</v>
      </c>
    </row>
    <row r="1537" customFormat="false" ht="17.15" hidden="false" customHeight="false" outlineLevel="0" collapsed="false">
      <c r="A1537" s="3" t="s">
        <v>752</v>
      </c>
      <c r="B1537" s="0" t="s">
        <v>43</v>
      </c>
      <c r="C1537" s="20" t="n">
        <f aca="false">C1518/C1513</f>
        <v>0.155421717364235</v>
      </c>
      <c r="D1537" s="20" t="n">
        <f aca="false">D1518/D1513</f>
        <v>0.202110028699624</v>
      </c>
      <c r="E1537" s="20" t="n">
        <f aca="false">E1518/E1513</f>
        <v>0.235999708484498</v>
      </c>
      <c r="F1537" s="20" t="n">
        <f aca="false">F1518/F1513</f>
        <v>0.190244621212247</v>
      </c>
      <c r="G1537" s="20" t="n">
        <f aca="false">G1518/G1513</f>
        <v>0.124852946464054</v>
      </c>
      <c r="H1537" s="26" t="n">
        <f aca="false">$G1537+($G1520*(1+tp_g)^(life/2)-$G1537)*1/3</f>
        <v>0.125778843252168</v>
      </c>
      <c r="I1537" s="26" t="n">
        <f aca="false">$G1537+($G1520*(1+tp_g)^(life/2)-$G1537)*2/3</f>
        <v>0.126704740040282</v>
      </c>
      <c r="J1537" s="26" t="n">
        <f aca="false">$G1537+($G1520*(1+tp_g)^(life/2)-$G1537)*3/3</f>
        <v>0.127630636828396</v>
      </c>
      <c r="K1537" s="7" t="s">
        <v>753</v>
      </c>
    </row>
    <row r="1538" customFormat="false" ht="15" hidden="false" customHeight="false" outlineLevel="0" collapsed="false">
      <c r="A1538" s="3" t="s">
        <v>754</v>
      </c>
      <c r="B1538" s="0" t="s">
        <v>379</v>
      </c>
      <c r="D1538" s="21" t="n">
        <f aca="false">D1532+D1519-D1518</f>
        <v>4.28140537512203</v>
      </c>
      <c r="E1538" s="21" t="n">
        <f aca="false">E1532+E1519-E1518</f>
        <v>6.08319438874607</v>
      </c>
      <c r="F1538" s="21" t="n">
        <f aca="false">F1532+F1519-F1518</f>
        <v>11.5457399945718</v>
      </c>
      <c r="G1538" s="21" t="n">
        <f aca="false">G1532+G1519-G1518</f>
        <v>19.7593875273556</v>
      </c>
      <c r="H1538" s="30" t="n">
        <f aca="false">H1532+H1519-H1518</f>
        <v>21.9215379552485</v>
      </c>
      <c r="I1538" s="30" t="n">
        <f aca="false">I1532+I1519-I1518</f>
        <v>23.7176499381602</v>
      </c>
      <c r="J1538" s="30" t="n">
        <f aca="false">J1532+J1519-J1518</f>
        <v>25.0089470916765</v>
      </c>
      <c r="K1538" s="3" t="s">
        <v>755</v>
      </c>
    </row>
    <row r="1539" customFormat="false" ht="15" hidden="false" customHeight="false" outlineLevel="0" collapsed="false">
      <c r="A1539" s="3" t="s">
        <v>756</v>
      </c>
      <c r="B1539" s="0" t="s">
        <v>471</v>
      </c>
      <c r="D1539" s="18" t="n">
        <f aca="false">D1538/D1533</f>
        <v>8.42230943909854</v>
      </c>
      <c r="E1539" s="18" t="n">
        <f aca="false">E1538/E1533</f>
        <v>11.5450349941092</v>
      </c>
      <c r="F1539" s="18" t="n">
        <f aca="false">F1538/F1533</f>
        <v>21.9121671529707</v>
      </c>
      <c r="G1539" s="18" t="n">
        <f aca="false">G1538/G1533</f>
        <v>37.5004982394633</v>
      </c>
      <c r="H1539" s="28" t="n">
        <f aca="false">H1538/H1533</f>
        <v>41.6039512540063</v>
      </c>
      <c r="I1539" s="28" t="n">
        <f aca="false">I1538/I1533</f>
        <v>45.0127155266748</v>
      </c>
      <c r="J1539" s="28" t="n">
        <f aca="false">J1538/J1533</f>
        <v>47.4634132805916</v>
      </c>
    </row>
    <row r="1542" customFormat="false" ht="17.15" hidden="false" customHeight="false" outlineLevel="0" collapsed="false">
      <c r="A1542" s="1" t="s">
        <v>1116</v>
      </c>
    </row>
    <row r="1543" customFormat="false" ht="17.15" hidden="false" customHeight="false" outlineLevel="0" collapsed="false">
      <c r="A1543" s="4" t="s">
        <v>20</v>
      </c>
      <c r="B1543" s="4" t="s">
        <v>21</v>
      </c>
      <c r="C1543" s="13" t="s">
        <v>566</v>
      </c>
      <c r="D1543" s="13" t="s">
        <v>670</v>
      </c>
      <c r="E1543" s="13" t="s">
        <v>671</v>
      </c>
      <c r="F1543" s="13" t="s">
        <v>672</v>
      </c>
      <c r="G1543" s="13" t="s">
        <v>673</v>
      </c>
      <c r="H1543" s="13" t="s">
        <v>674</v>
      </c>
      <c r="I1543" s="13" t="s">
        <v>675</v>
      </c>
      <c r="J1543" s="13" t="s">
        <v>676</v>
      </c>
      <c r="K1543" s="4" t="s">
        <v>630</v>
      </c>
    </row>
    <row r="1544" customFormat="false" ht="17.15" hidden="false" customHeight="false" outlineLevel="0" collapsed="false">
      <c r="A1544" s="5" t="s">
        <v>694</v>
      </c>
    </row>
    <row r="1545" customFormat="false" ht="17.15" hidden="false" customHeight="false" outlineLevel="0" collapsed="false">
      <c r="A1545" s="0" t="s">
        <v>695</v>
      </c>
      <c r="B1545" s="3" t="s">
        <v>31</v>
      </c>
      <c r="D1545" s="21" t="n">
        <f aca="false">(u_bw_26+u_rb_26+u_ru_26+u_hp_26)*1</f>
        <v>7.6</v>
      </c>
      <c r="E1545" s="21" t="n">
        <f aca="false">(u_bw_27+u_rb_27+u_ru_27+u_hp_27)*1*1</f>
        <v>9.7</v>
      </c>
      <c r="F1545" s="21" t="n">
        <f aca="false">(u_bw_28+u_rb_28+u_ru_28+u_hp_28)*um28_A*1</f>
        <v>9.5</v>
      </c>
      <c r="G1545" s="21" t="n">
        <f aca="false">(u_bw_28*(1+g29_bw)+u_rb_28*(1+g29_rb)+u_ru_28*(1+g29_ru)+u_hp_28*(1+g29_hp))*um29_A*1</f>
        <v>10.6</v>
      </c>
      <c r="K1545" s="7" t="s">
        <v>696</v>
      </c>
    </row>
    <row r="1546" customFormat="false" ht="17.15" hidden="false" customHeight="false" outlineLevel="0" collapsed="false">
      <c r="A1546" s="3" t="s">
        <v>697</v>
      </c>
      <c r="B1546" s="3" t="s">
        <v>31</v>
      </c>
      <c r="D1546" s="21" t="n">
        <f aca="false">(u_amd_26+u_tpu_26+u_trn_26+u_oth_26)*1</f>
        <v>7.6</v>
      </c>
      <c r="E1546" s="21" t="n">
        <f aca="false">(u_amd_27+u_tpu_27+u_trn_27+u_oth_27)*1*1</f>
        <v>14</v>
      </c>
      <c r="F1546" s="21" t="n">
        <f aca="false">(u_amd_28+u_tpu_28+u_trn_28+u_oth_28)*um28_A*1</f>
        <v>17</v>
      </c>
      <c r="G1546" s="21" t="n">
        <f aca="false">(u_amd_28*(1+g29_amd)+u_tpu_28*(1+g29_tpu)+u_trn_28*(1+g29_trn)+u_oth_28*(1+g29_oth))*um29_A*1</f>
        <v>19.55</v>
      </c>
      <c r="K1546" s="7" t="s">
        <v>698</v>
      </c>
    </row>
    <row r="1547" customFormat="false" ht="17.15" hidden="false" customHeight="false" outlineLevel="0" collapsed="false">
      <c r="A1547" s="0" t="s">
        <v>699</v>
      </c>
      <c r="B1547" s="3" t="s">
        <v>31</v>
      </c>
      <c r="D1547" s="21" t="n">
        <f aca="false">D1545*cpu_r</f>
        <v>3.04</v>
      </c>
      <c r="E1547" s="21" t="n">
        <f aca="false">E1545*cpu_r</f>
        <v>3.88</v>
      </c>
      <c r="F1547" s="21" t="n">
        <f aca="false">F1545*cpu_r</f>
        <v>3.8</v>
      </c>
      <c r="G1547" s="21" t="n">
        <f aca="false">G1545*cpu_r</f>
        <v>4.24</v>
      </c>
      <c r="K1547" s="7" t="s">
        <v>700</v>
      </c>
    </row>
    <row r="1548" customFormat="false" ht="17.15" hidden="false" customHeight="false" outlineLevel="0" collapsed="false">
      <c r="A1548" s="3" t="s">
        <v>701</v>
      </c>
      <c r="B1548" s="0" t="s">
        <v>153</v>
      </c>
      <c r="D1548" s="19" t="n">
        <f aca="false">1</f>
        <v>1</v>
      </c>
      <c r="E1548" s="19" t="n">
        <f aca="false">D1548*(1+g_asp)</f>
        <v>1.18</v>
      </c>
      <c r="F1548" s="19" t="n">
        <f aca="false">E1548*(1+g_asp)</f>
        <v>1.3924</v>
      </c>
      <c r="G1548" s="19" t="n">
        <f aca="false">F1548*(1+g_asp)</f>
        <v>1.643032</v>
      </c>
      <c r="K1548" s="7" t="s">
        <v>702</v>
      </c>
    </row>
    <row r="1549" customFormat="false" ht="17.15" hidden="false" customHeight="false" outlineLevel="0" collapsed="false">
      <c r="A1549" s="0" t="s">
        <v>703</v>
      </c>
      <c r="B1549" s="0" t="s">
        <v>153</v>
      </c>
      <c r="D1549" s="18" t="n">
        <f aca="false">1</f>
        <v>1</v>
      </c>
      <c r="E1549" s="18" t="n">
        <f aca="false">ibpp_27</f>
        <v>1</v>
      </c>
      <c r="F1549" s="18" t="n">
        <f aca="false">ibpp_28</f>
        <v>0.95</v>
      </c>
      <c r="G1549" s="18" t="n">
        <f aca="false">ibpp_29</f>
        <v>0.9</v>
      </c>
      <c r="K1549" s="7" t="s">
        <v>704</v>
      </c>
    </row>
    <row r="1550" customFormat="false" ht="17.15" hidden="false" customHeight="false" outlineLevel="0" collapsed="false">
      <c r="A1550" s="3" t="s">
        <v>705</v>
      </c>
      <c r="B1550" s="0" t="s">
        <v>153</v>
      </c>
      <c r="D1550" s="18" t="n">
        <f aca="false">1</f>
        <v>1</v>
      </c>
      <c r="E1550" s="18" t="n">
        <f aca="false">1+carry</f>
        <v>1.15</v>
      </c>
      <c r="F1550" s="18" t="n">
        <f aca="false">1+carry</f>
        <v>1.15</v>
      </c>
      <c r="G1550" s="18" t="n">
        <f aca="false">1+carry</f>
        <v>1.15</v>
      </c>
      <c r="K1550" s="7" t="s">
        <v>706</v>
      </c>
    </row>
    <row r="1551" customFormat="false" ht="17.15" hidden="false" customHeight="false" outlineLevel="0" collapsed="false">
      <c r="A1551" s="3" t="s">
        <v>707</v>
      </c>
      <c r="B1551" s="0" t="s">
        <v>708</v>
      </c>
      <c r="D1551" s="23" t="n">
        <f aca="false">v26*D1548*D1549</f>
        <v>215.308596</v>
      </c>
      <c r="E1551" s="23" t="n">
        <f aca="false">v26*E1548*E1549</f>
        <v>254.06414328</v>
      </c>
      <c r="F1551" s="23" t="n">
        <f aca="false">v26*F1548*F1549</f>
        <v>284.80590461688</v>
      </c>
      <c r="G1551" s="23" t="n">
        <f aca="false">v26*G1548*G1549</f>
        <v>318.383021792765</v>
      </c>
      <c r="K1551" s="7" t="s">
        <v>709</v>
      </c>
    </row>
    <row r="1552" customFormat="false" ht="17.15" hidden="false" customHeight="false" outlineLevel="0" collapsed="false">
      <c r="A1552" s="3" t="s">
        <v>710</v>
      </c>
      <c r="B1552" s="0" t="s">
        <v>43</v>
      </c>
      <c r="D1552" s="20" t="n">
        <f aca="false">sh_nv_26</f>
        <v>0.02</v>
      </c>
      <c r="E1552" s="20" t="n">
        <f aca="false">sh_nv_27</f>
        <v>0.03</v>
      </c>
      <c r="F1552" s="20" t="n">
        <f aca="false">sh_nv_28</f>
        <v>0.05</v>
      </c>
      <c r="G1552" s="20" t="n">
        <f aca="false">sh_nv_29</f>
        <v>0.06</v>
      </c>
    </row>
    <row r="1553" customFormat="false" ht="17.15" hidden="false" customHeight="false" outlineLevel="0" collapsed="false">
      <c r="A1553" s="3" t="s">
        <v>711</v>
      </c>
      <c r="B1553" s="0" t="s">
        <v>43</v>
      </c>
      <c r="D1553" s="20" t="n">
        <f aca="false">sh_ot_26</f>
        <v>0.03</v>
      </c>
      <c r="E1553" s="20" t="n">
        <f aca="false">sh_ot_27</f>
        <v>0.05</v>
      </c>
      <c r="F1553" s="20" t="n">
        <f aca="false">sh_ot_28</f>
        <v>0.06</v>
      </c>
      <c r="G1553" s="20" t="n">
        <f aca="false">sh_ot_29</f>
        <v>0.06</v>
      </c>
    </row>
    <row r="1554" customFormat="false" ht="17.15" hidden="false" customHeight="false" outlineLevel="0" collapsed="false">
      <c r="A1554" s="3" t="s">
        <v>712</v>
      </c>
      <c r="B1554" s="0" t="s">
        <v>43</v>
      </c>
      <c r="D1554" s="20" t="n">
        <f aca="false">sh_cpu_26</f>
        <v>0.35</v>
      </c>
      <c r="E1554" s="20" t="n">
        <f aca="false">sh_cpu_27</f>
        <v>0.7</v>
      </c>
      <c r="F1554" s="20" t="n">
        <f aca="false">sh_cpu_28</f>
        <v>0.75</v>
      </c>
      <c r="G1554" s="20" t="n">
        <f aca="false">sh_cpu_29</f>
        <v>0.7</v>
      </c>
    </row>
    <row r="1555" customFormat="false" ht="17.15" hidden="false" customHeight="false" outlineLevel="0" collapsed="false">
      <c r="A1555" s="3" t="s">
        <v>713</v>
      </c>
      <c r="B1555" s="0" t="s">
        <v>660</v>
      </c>
      <c r="D1555" s="22" t="n">
        <f aca="false">(D1545*D1551*D1552+D1546*D1551*v_ot*D1553+D1547*D1551*v_cpu_hi*D1554)*D1550</f>
        <v>175.0889502672</v>
      </c>
      <c r="E1555" s="22" t="n">
        <f aca="false">(E1545*E1551*E1552+E1546*E1551*v_ot*E1553+E1547*E1551*v_cpu_hi*E1554)*E1550</f>
        <v>605.73464912531</v>
      </c>
      <c r="F1555" s="22" t="n">
        <f aca="false">(F1545*F1551*F1552+F1546*F1551*v_ot*F1553+F1547*F1551*v_cpu_hi*F1554)*F1550</f>
        <v>842.890194861272</v>
      </c>
      <c r="G1555" s="22" t="n">
        <f aca="false">(G1545*G1551*G1552+G1546*G1551*v_ot*G1553+G1547*G1551*v_cpu_hi*G1554)*G1550</f>
        <v>1065.46878242949</v>
      </c>
    </row>
    <row r="1556" customFormat="false" ht="17.15" hidden="false" customHeight="false" outlineLevel="0" collapsed="false">
      <c r="A1556" s="3" t="s">
        <v>714</v>
      </c>
      <c r="B1556" s="0" t="s">
        <v>379</v>
      </c>
      <c r="D1556" s="21" t="n">
        <f aca="false">D1555*fx/1000</f>
        <v>5.690390883684</v>
      </c>
      <c r="E1556" s="21" t="n">
        <f aca="false">E1555*fx/1000</f>
        <v>19.6863760965726</v>
      </c>
      <c r="F1556" s="21" t="n">
        <f aca="false">F1555*fx/1000</f>
        <v>27.3939313329913</v>
      </c>
      <c r="G1556" s="21" t="n">
        <f aca="false">G1555*fx/1000</f>
        <v>34.6277354289583</v>
      </c>
    </row>
    <row r="1557" customFormat="false" ht="17.15" hidden="false" customHeight="false" outlineLevel="0" collapsed="false">
      <c r="A1557" s="5" t="s">
        <v>715</v>
      </c>
    </row>
    <row r="1558" customFormat="false" ht="17.15" hidden="false" customHeight="false" outlineLevel="0" collapsed="false">
      <c r="A1558" s="0" t="s">
        <v>716</v>
      </c>
      <c r="B1558" s="0" t="s">
        <v>379</v>
      </c>
      <c r="D1558" s="21" t="n">
        <f aca="false">a26_abf*ai_abf</f>
        <v>5.714709</v>
      </c>
      <c r="K1558" s="3" t="s">
        <v>717</v>
      </c>
    </row>
    <row r="1559" customFormat="false" ht="17.15" hidden="false" customHeight="false" outlineLevel="0" collapsed="false">
      <c r="A1559" s="3" t="s">
        <v>718</v>
      </c>
      <c r="B1559" s="0" t="s">
        <v>379</v>
      </c>
      <c r="D1559" s="21" t="n">
        <f aca="false">D1558-D1556</f>
        <v>0.0243181163159987</v>
      </c>
      <c r="E1559" s="21" t="n">
        <f aca="false">$D1559*(swm_27/swm_26)^el_o*1*1*E1549*E1550</f>
        <v>0.0391161694146079</v>
      </c>
      <c r="F1559" s="21" t="n">
        <f aca="false">$D1559*(swm_28/swm_26)^el_o*um28_A*1*F1549*F1550</f>
        <v>0.0399752128312977</v>
      </c>
      <c r="G1559" s="21" t="n">
        <f aca="false">$D1559*(swm_29/swm_26)^el_o*um29_A*1*G1549*G1550</f>
        <v>0.0404013565022941</v>
      </c>
      <c r="K1559" s="7" t="s">
        <v>719</v>
      </c>
    </row>
    <row r="1560" customFormat="false" ht="17.15" hidden="false" customHeight="false" outlineLevel="0" collapsed="false">
      <c r="A1560" s="3" t="s">
        <v>720</v>
      </c>
      <c r="B1560" s="0" t="s">
        <v>379</v>
      </c>
      <c r="D1560" s="21" t="n">
        <f aca="false">a26_abf-D1558</f>
        <v>17.144127</v>
      </c>
      <c r="E1560" s="21" t="n">
        <f aca="false">$D1560*(1+g_nai)^1*E1550</f>
        <v>20.898690813</v>
      </c>
      <c r="F1560" s="21" t="n">
        <f aca="false">$D1560*(1+g_nai)^2*F1550</f>
        <v>22.15261226178</v>
      </c>
      <c r="G1560" s="21" t="n">
        <f aca="false">$D1560*(1+g_nai)^3*G1550</f>
        <v>23.4817689974868</v>
      </c>
      <c r="K1560" s="3" t="s">
        <v>721</v>
      </c>
    </row>
    <row r="1561" customFormat="false" ht="17.15" hidden="false" customHeight="false" outlineLevel="0" collapsed="false">
      <c r="A1561" s="0" t="s">
        <v>722</v>
      </c>
      <c r="B1561" s="0" t="s">
        <v>379</v>
      </c>
      <c r="D1561" s="21" t="n">
        <f aca="false">D1556+D1559+D1560</f>
        <v>22.858836</v>
      </c>
      <c r="E1561" s="21" t="n">
        <f aca="false">E1556+E1559+E1560</f>
        <v>40.6241830789872</v>
      </c>
      <c r="F1561" s="21" t="n">
        <f aca="false">F1556+F1559+F1560</f>
        <v>49.5865188076026</v>
      </c>
      <c r="G1561" s="21" t="n">
        <f aca="false">G1556+G1559+G1560</f>
        <v>58.1499057829474</v>
      </c>
    </row>
    <row r="1562" customFormat="false" ht="17.15" hidden="false" customHeight="false" outlineLevel="0" collapsed="false">
      <c r="A1562" s="0" t="s">
        <v>723</v>
      </c>
      <c r="B1562" s="0" t="s">
        <v>379</v>
      </c>
      <c r="D1562" s="21" t="n">
        <f aca="false">a26_abf</f>
        <v>22.858836</v>
      </c>
      <c r="E1562" s="21" t="n">
        <f aca="false">$D1561*cap_27*(1+g_mix)^1*E1549*E1550</f>
        <v>33.122453364</v>
      </c>
      <c r="F1562" s="21" t="n">
        <f aca="false">$D1561*cap_28*(1+g_mix)^2*F1549*F1550</f>
        <v>41.2995590382375</v>
      </c>
      <c r="G1562" s="21" t="n">
        <f aca="false">$D1561*cap_29*(1+g_mix)^3*G1549*G1550</f>
        <v>50.6680379569114</v>
      </c>
      <c r="K1562" s="7" t="s">
        <v>724</v>
      </c>
    </row>
    <row r="1563" customFormat="false" ht="17.15" hidden="false" customHeight="false" outlineLevel="0" collapsed="false">
      <c r="A1563" s="0" t="s">
        <v>725</v>
      </c>
      <c r="B1563" s="0" t="s">
        <v>379</v>
      </c>
      <c r="D1563" s="21" t="n">
        <f aca="false">a26_abf</f>
        <v>22.858836</v>
      </c>
      <c r="E1563" s="21" t="n">
        <f aca="false">MIN(E1561,E1562)</f>
        <v>33.122453364</v>
      </c>
      <c r="F1563" s="21" t="n">
        <f aca="false">MIN(F1561,F1562)</f>
        <v>41.2995590382375</v>
      </c>
      <c r="G1563" s="21" t="n">
        <f aca="false">MIN(G1561,G1562)</f>
        <v>50.6680379569114</v>
      </c>
    </row>
    <row r="1564" customFormat="false" ht="17.15" hidden="false" customHeight="false" outlineLevel="0" collapsed="false">
      <c r="A1564" s="3" t="s">
        <v>726</v>
      </c>
      <c r="B1564" s="0" t="s">
        <v>43</v>
      </c>
      <c r="D1564" s="20" t="n">
        <f aca="false">D1563/D1561</f>
        <v>1</v>
      </c>
      <c r="E1564" s="20" t="n">
        <f aca="false">E1563/E1561</f>
        <v>0.815338324455626</v>
      </c>
      <c r="F1564" s="20" t="n">
        <f aca="false">F1563/F1561</f>
        <v>0.83287877494448</v>
      </c>
      <c r="G1564" s="20" t="n">
        <f aca="false">G1563/G1561</f>
        <v>0.871334824617547</v>
      </c>
    </row>
    <row r="1565" customFormat="false" ht="17.15" hidden="false" customHeight="false" outlineLevel="0" collapsed="false">
      <c r="A1565" s="0" t="s">
        <v>727</v>
      </c>
      <c r="B1565" s="0" t="s">
        <v>379</v>
      </c>
      <c r="D1565" s="21" t="n">
        <f aca="false">(D1556+D1559)*D1564</f>
        <v>5.714709</v>
      </c>
      <c r="E1565" s="21" t="n">
        <f aca="false">(E1556+E1559)*E1564</f>
        <v>16.0829498132124</v>
      </c>
      <c r="F1565" s="21" t="n">
        <f aca="false">(F1556+F1559)*F1564</f>
        <v>22.8491184758261</v>
      </c>
      <c r="G1565" s="21" t="n">
        <f aca="false">(G1556+G1559)*G1564</f>
        <v>30.2075548857765</v>
      </c>
    </row>
    <row r="1566" customFormat="false" ht="17.15" hidden="false" customHeight="false" outlineLevel="0" collapsed="false">
      <c r="A1566" s="3" t="s">
        <v>728</v>
      </c>
      <c r="B1566" s="0" t="s">
        <v>43</v>
      </c>
      <c r="D1566" s="20" t="n">
        <f aca="false">D1556/(D1556+D1559)</f>
        <v>0.995744644860132</v>
      </c>
      <c r="E1566" s="20" t="n">
        <f aca="false">E1556/(E1556+E1559)</f>
        <v>0.998016973726833</v>
      </c>
      <c r="F1566" s="20" t="n">
        <f aca="false">F1556/(F1556+F1559)</f>
        <v>0.998542853794281</v>
      </c>
      <c r="G1566" s="20" t="n">
        <f aca="false">G1556/(G1556+G1559)</f>
        <v>0.998834625675089</v>
      </c>
    </row>
    <row r="1567" customFormat="false" ht="17.15" hidden="false" customHeight="false" outlineLevel="0" collapsed="false">
      <c r="A1567" s="5" t="s">
        <v>729</v>
      </c>
    </row>
    <row r="1568" customFormat="false" ht="17.15" hidden="false" customHeight="false" outlineLevel="0" collapsed="false">
      <c r="A1568" s="0" t="s">
        <v>730</v>
      </c>
      <c r="B1568" s="0" t="s">
        <v>379</v>
      </c>
      <c r="D1568" s="21" t="n">
        <f aca="false">a26_bt</f>
        <v>23.265964</v>
      </c>
      <c r="E1568" s="21" t="n">
        <f aca="false">D1568*(1+g_bt27_A)</f>
        <v>29.78043392</v>
      </c>
      <c r="F1568" s="21" t="n">
        <f aca="false">E1568*(1+g_bt28_A)</f>
        <v>32.758477312</v>
      </c>
      <c r="G1568" s="21" t="n">
        <f aca="false">F1568*(1+g_bt29_A)</f>
        <v>34.3964011776</v>
      </c>
      <c r="K1568" s="7" t="s">
        <v>731</v>
      </c>
    </row>
    <row r="1569" customFormat="false" ht="17.15" hidden="false" customHeight="false" outlineLevel="0" collapsed="false">
      <c r="A1569" s="3" t="s">
        <v>616</v>
      </c>
      <c r="B1569" s="0" t="s">
        <v>379</v>
      </c>
      <c r="C1569" s="21" t="n">
        <f aca="false">a25_lens</f>
        <v>7.039</v>
      </c>
      <c r="D1569" s="21" t="n">
        <f aca="false">a26_lens</f>
        <v>8.301</v>
      </c>
      <c r="E1569" s="21" t="n">
        <f aca="false">D1569*(1+g_lens)</f>
        <v>9.1311</v>
      </c>
      <c r="F1569" s="21" t="n">
        <f aca="false">E1569*(1+g_lens)</f>
        <v>10.04421</v>
      </c>
      <c r="G1569" s="21" t="n">
        <f aca="false">F1569*(1+g_lens)</f>
        <v>11.048631</v>
      </c>
      <c r="K1569" s="3" t="s">
        <v>732</v>
      </c>
    </row>
    <row r="1570" customFormat="false" ht="17.15" hidden="false" customHeight="false" outlineLevel="0" collapsed="false">
      <c r="A1570" s="3" t="s">
        <v>573</v>
      </c>
      <c r="B1570" s="0" t="s">
        <v>379</v>
      </c>
      <c r="C1570" s="23" t="n">
        <f aca="false">a25_rev</f>
        <v>39.351</v>
      </c>
      <c r="D1570" s="23" t="n">
        <f aca="false">D1563+D1568+D1569</f>
        <v>54.4258</v>
      </c>
      <c r="E1570" s="23" t="n">
        <f aca="false">E1563+E1568+E1569</f>
        <v>72.033987284</v>
      </c>
      <c r="F1570" s="23" t="n">
        <f aca="false">F1563+F1568+F1569</f>
        <v>84.1022463502375</v>
      </c>
      <c r="G1570" s="23" t="n">
        <f aca="false">G1563+G1568+G1569</f>
        <v>96.1130701345114</v>
      </c>
      <c r="H1570" s="25" t="n">
        <f aca="false">G1570*(1+H1571)</f>
        <v>107.186075216063</v>
      </c>
      <c r="I1570" s="25" t="n">
        <f aca="false">H1570*(1+I1571)</f>
        <v>116.576010002736</v>
      </c>
      <c r="J1570" s="25" t="n">
        <f aca="false">I1570*(1+J1571)</f>
        <v>123.5705706029</v>
      </c>
      <c r="K1570" s="7" t="s">
        <v>733</v>
      </c>
    </row>
    <row r="1571" customFormat="false" ht="15" hidden="false" customHeight="false" outlineLevel="0" collapsed="false">
      <c r="A1571" s="3" t="s">
        <v>734</v>
      </c>
      <c r="B1571" s="0" t="s">
        <v>43</v>
      </c>
      <c r="D1571" s="20" t="n">
        <f aca="false">D1570/C1570-1</f>
        <v>0.383085563263958</v>
      </c>
      <c r="E1571" s="20" t="n">
        <f aca="false">E1570/D1570-1</f>
        <v>0.323526476119781</v>
      </c>
      <c r="F1571" s="20" t="n">
        <f aca="false">F1570/E1570-1</f>
        <v>0.167535624796909</v>
      </c>
      <c r="G1571" s="20" t="n">
        <f aca="false">G1570/F1570-1</f>
        <v>0.142812163830389</v>
      </c>
      <c r="H1571" s="26" t="n">
        <f aca="false">$G1571+(fade_gA-$G1571)*1/3</f>
        <v>0.115208109220259</v>
      </c>
      <c r="I1571" s="26" t="n">
        <f aca="false">$G1571+(fade_gA-$G1571)*2/3</f>
        <v>0.0876040546101297</v>
      </c>
      <c r="J1571" s="26" t="n">
        <f aca="false">$G1571+(fade_gA-$G1571)*3/3</f>
        <v>0.06</v>
      </c>
    </row>
    <row r="1572" customFormat="false" ht="17.15" hidden="false" customHeight="false" outlineLevel="0" collapsed="false">
      <c r="A1572" s="0" t="s">
        <v>735</v>
      </c>
      <c r="B1572" s="0" t="s">
        <v>43</v>
      </c>
      <c r="D1572" s="20" t="n">
        <f aca="false">D1563/D1570</f>
        <v>0.42</v>
      </c>
      <c r="E1572" s="20" t="n">
        <f aca="false">E1563/E1570</f>
        <v>0.459817019893845</v>
      </c>
      <c r="F1572" s="20" t="n">
        <f aca="false">F1563/F1570</f>
        <v>0.491063685341395</v>
      </c>
      <c r="G1572" s="20" t="n">
        <f aca="false">G1563/G1570</f>
        <v>0.527171152539409</v>
      </c>
    </row>
    <row r="1573" customFormat="false" ht="17.15" hidden="false" customHeight="false" outlineLevel="0" collapsed="false">
      <c r="A1573" s="0" t="s">
        <v>736</v>
      </c>
      <c r="B1573" s="0" t="s">
        <v>43</v>
      </c>
      <c r="D1573" s="20" t="n">
        <f aca="false">D1565/D1570</f>
        <v>0.105</v>
      </c>
      <c r="E1573" s="20" t="n">
        <f aca="false">E1565/E1570</f>
        <v>0.22326890985229</v>
      </c>
      <c r="F1573" s="20" t="n">
        <f aca="false">F1565/F1570</f>
        <v>0.271682618091705</v>
      </c>
      <c r="G1573" s="20" t="n">
        <f aca="false">G1565/G1570</f>
        <v>0.314291852746985</v>
      </c>
      <c r="K1573" s="3" t="s">
        <v>737</v>
      </c>
    </row>
    <row r="1574" customFormat="false" ht="17.15" hidden="false" customHeight="false" outlineLevel="0" collapsed="false">
      <c r="A1574" s="5" t="s">
        <v>738</v>
      </c>
    </row>
    <row r="1575" customFormat="false" ht="15" hidden="false" customHeight="false" outlineLevel="0" collapsed="false">
      <c r="A1575" s="3" t="s">
        <v>739</v>
      </c>
      <c r="B1575" s="0" t="s">
        <v>379</v>
      </c>
      <c r="C1575" s="23" t="n">
        <f aca="false">a25_cx</f>
        <v>6.116</v>
      </c>
      <c r="D1575" s="23" t="n">
        <f aca="false">capex26</f>
        <v>11</v>
      </c>
      <c r="E1575" s="23" t="n">
        <f aca="false">cx27</f>
        <v>17</v>
      </c>
      <c r="F1575" s="23" t="n">
        <f aca="false">cx28</f>
        <v>16</v>
      </c>
      <c r="G1575" s="23" t="n">
        <f aca="false">cx29</f>
        <v>12</v>
      </c>
      <c r="H1575" s="25" t="n">
        <f aca="false">H1570*H1594</f>
        <v>13.4817405534162</v>
      </c>
      <c r="I1575" s="25" t="n">
        <f aca="false">I1570*I1594</f>
        <v>14.77073304233</v>
      </c>
      <c r="J1575" s="25" t="n">
        <f aca="false">J1570*J1594</f>
        <v>15.7713906192965</v>
      </c>
    </row>
    <row r="1576" customFormat="false" ht="17.15" hidden="false" customHeight="false" outlineLevel="0" collapsed="false">
      <c r="A1576" s="3" t="s">
        <v>740</v>
      </c>
      <c r="B1576" s="0" t="s">
        <v>379</v>
      </c>
      <c r="C1576" s="23" t="n">
        <f aca="false">a25_da</f>
        <v>7.158</v>
      </c>
      <c r="D1576" s="23" t="n">
        <f aca="false">da26</f>
        <v>8.32</v>
      </c>
      <c r="E1576" s="23" t="n">
        <f aca="false">D1576*(1-1/life)+D1575/life</f>
        <v>8.655</v>
      </c>
      <c r="F1576" s="23" t="n">
        <f aca="false">E1576*(1-1/life)+E1575/life</f>
        <v>9.698125</v>
      </c>
      <c r="G1576" s="23" t="n">
        <f aca="false">F1576*(1-1/life)+F1575/life</f>
        <v>10.485859375</v>
      </c>
      <c r="H1576" s="25" t="n">
        <f aca="false">H1570*H1577</f>
        <v>11.6939154071433</v>
      </c>
      <c r="I1576" s="25" t="n">
        <f aca="false">I1570*I1577</f>
        <v>12.7183498110769</v>
      </c>
      <c r="J1576" s="25" t="n">
        <f aca="false">J1570*J1577</f>
        <v>13.4814507997415</v>
      </c>
      <c r="K1576" s="3" t="s">
        <v>741</v>
      </c>
    </row>
    <row r="1577" customFormat="false" ht="17.15" hidden="false" customHeight="false" outlineLevel="0" collapsed="false">
      <c r="A1577" s="3" t="s">
        <v>742</v>
      </c>
      <c r="B1577" s="0" t="s">
        <v>43</v>
      </c>
      <c r="C1577" s="20" t="n">
        <f aca="false">C1576/C1570</f>
        <v>0.181901349393916</v>
      </c>
      <c r="D1577" s="20" t="n">
        <f aca="false">D1576/D1570</f>
        <v>0.152868676252807</v>
      </c>
      <c r="E1577" s="20" t="n">
        <f aca="false">E1576/E1570</f>
        <v>0.120151616290196</v>
      </c>
      <c r="F1577" s="20" t="n">
        <f aca="false">F1576/F1570</f>
        <v>0.115313507318376</v>
      </c>
      <c r="G1577" s="20" t="n">
        <f aca="false">G1576/G1570</f>
        <v>0.109099203264706</v>
      </c>
      <c r="H1577" s="26" t="n">
        <f aca="false">$G1577</f>
        <v>0.109099203264706</v>
      </c>
      <c r="I1577" s="26" t="n">
        <f aca="false">$G1577</f>
        <v>0.109099203264706</v>
      </c>
      <c r="J1577" s="26" t="n">
        <f aca="false">$G1577</f>
        <v>0.109099203264706</v>
      </c>
    </row>
    <row r="1578" customFormat="false" ht="17.15" hidden="false" customHeight="false" outlineLevel="0" collapsed="false">
      <c r="A1578" s="0" t="s">
        <v>743</v>
      </c>
      <c r="B1578" s="0" t="s">
        <v>379</v>
      </c>
      <c r="E1578" s="21" t="n">
        <f aca="false">E1564*((E1556+E1559)*(1-1/(E1549*E1550))+E1560*(1-1/E1550))</f>
        <v>4.320320004</v>
      </c>
      <c r="F1578" s="21" t="n">
        <f aca="false">F1564*((F1556+F1559)*(1-1/(F1549*F1550))+F1560*(1-1/F1550))</f>
        <v>4.34117275895426</v>
      </c>
      <c r="G1578" s="21" t="n">
        <f aca="false">G1564*((G1556+G1559)*(1-1/(G1549*G1550))+G1560*(1-1/G1550))</f>
        <v>3.69027017932888</v>
      </c>
      <c r="K1578" s="7" t="s">
        <v>744</v>
      </c>
    </row>
    <row r="1579" customFormat="false" ht="17.15" hidden="false" customHeight="false" outlineLevel="0" collapsed="false">
      <c r="A1579" s="3" t="s">
        <v>745</v>
      </c>
      <c r="B1579" s="0" t="s">
        <v>379</v>
      </c>
      <c r="C1579" s="21" t="n">
        <f aca="false">a25_gp</f>
        <v>8.314</v>
      </c>
      <c r="D1579" s="21" t="n">
        <f aca="false">a26_gp</f>
        <v>15.328536</v>
      </c>
      <c r="E1579" s="21" t="n">
        <f aca="false">$D1579+ft_abf*(E1563-E1578-$D1563)+ft_bt*(E1568-$D1568)+ft_lens*(E1569-$D1569)+E1578-(E1576-$D1576)</f>
        <v>25.590561148</v>
      </c>
      <c r="F1579" s="21" t="n">
        <f aca="false">$D1579+ft_abf*(F1563-F1578-$D1563)+ft_bt*(F1568-$D1568)+ft_lens*(F1569-$D1569)+F1578-(F1576-$D1576)</f>
        <v>30.3974343889959</v>
      </c>
      <c r="G1579" s="21" t="n">
        <f aca="false">$D1579+ft_abf*(G1563-G1578-$D1563)+ft_bt*(G1568-$D1568)+ft_lens*(G1569-$D1569)+G1578-(G1576-$D1576)</f>
        <v>35.1575433730401</v>
      </c>
      <c r="K1579" s="3" t="s">
        <v>746</v>
      </c>
    </row>
    <row r="1580" customFormat="false" ht="15" hidden="false" customHeight="false" outlineLevel="0" collapsed="false">
      <c r="A1580" s="3" t="s">
        <v>580</v>
      </c>
      <c r="B1580" s="0" t="s">
        <v>43</v>
      </c>
      <c r="C1580" s="16" t="n">
        <f aca="false">C1579/C1570</f>
        <v>0.211277985311682</v>
      </c>
      <c r="D1580" s="16" t="n">
        <f aca="false">D1579/D1570</f>
        <v>0.281640986443929</v>
      </c>
      <c r="E1580" s="16" t="n">
        <f aca="false">E1579/E1570</f>
        <v>0.355256762993101</v>
      </c>
      <c r="F1580" s="16" t="n">
        <f aca="false">F1579/F1570</f>
        <v>0.361434274447415</v>
      </c>
      <c r="G1580" s="16" t="n">
        <f aca="false">G1579/G1570</f>
        <v>0.365793573380152</v>
      </c>
    </row>
    <row r="1581" customFormat="false" ht="15" hidden="false" customHeight="false" outlineLevel="0" collapsed="false">
      <c r="A1581" s="3" t="s">
        <v>582</v>
      </c>
      <c r="B1581" s="0" t="s">
        <v>379</v>
      </c>
      <c r="C1581" s="21" t="n">
        <f aca="false">a25_opx</f>
        <v>5.644</v>
      </c>
      <c r="D1581" s="21" t="n">
        <f aca="false">a26_opx</f>
        <v>6.54036</v>
      </c>
      <c r="E1581" s="21" t="n">
        <f aca="false">D1581*(1+phi*E1571)</f>
        <v>7.80994777401287</v>
      </c>
      <c r="F1581" s="21" t="n">
        <f aca="false">E1581*(1+phi*F1571)</f>
        <v>8.59501446198315</v>
      </c>
      <c r="G1581" s="21" t="n">
        <f aca="false">F1581*(1+phi*G1571)</f>
        <v>9.33149803006473</v>
      </c>
    </row>
    <row r="1582" customFormat="false" ht="15" hidden="false" customHeight="false" outlineLevel="0" collapsed="false">
      <c r="A1582" s="3" t="s">
        <v>585</v>
      </c>
      <c r="B1582" s="0" t="s">
        <v>379</v>
      </c>
      <c r="C1582" s="21" t="n">
        <f aca="false">C1579-C1581</f>
        <v>2.67</v>
      </c>
      <c r="D1582" s="21" t="n">
        <f aca="false">D1579-D1581</f>
        <v>8.788176</v>
      </c>
      <c r="E1582" s="21" t="n">
        <f aca="false">E1579-E1581</f>
        <v>17.7806133739871</v>
      </c>
      <c r="F1582" s="21" t="n">
        <f aca="false">F1579-F1581</f>
        <v>21.8024199270127</v>
      </c>
      <c r="G1582" s="21" t="n">
        <f aca="false">G1579-G1581</f>
        <v>25.8260453429754</v>
      </c>
    </row>
    <row r="1583" customFormat="false" ht="15" hidden="false" customHeight="false" outlineLevel="0" collapsed="false">
      <c r="A1583" s="3" t="s">
        <v>683</v>
      </c>
      <c r="B1583" s="0" t="s">
        <v>43</v>
      </c>
      <c r="C1583" s="16" t="n">
        <f aca="false">C1582/C1570</f>
        <v>0.0678508805367081</v>
      </c>
      <c r="D1583" s="16" t="n">
        <f aca="false">D1582/D1570</f>
        <v>0.161470773052486</v>
      </c>
      <c r="E1583" s="16" t="n">
        <f aca="false">E1582/E1570</f>
        <v>0.246836445466854</v>
      </c>
      <c r="F1583" s="16" t="n">
        <f aca="false">F1582/F1570</f>
        <v>0.259237070032805</v>
      </c>
      <c r="G1583" s="16" t="n">
        <f aca="false">G1582/G1570</f>
        <v>0.268704821382061</v>
      </c>
    </row>
    <row r="1584" customFormat="false" ht="15" hidden="false" customHeight="false" outlineLevel="0" collapsed="false">
      <c r="A1584" s="3" t="s">
        <v>588</v>
      </c>
      <c r="B1584" s="0" t="s">
        <v>379</v>
      </c>
      <c r="C1584" s="21" t="n">
        <f aca="false">a25_nonop</f>
        <v>0.417</v>
      </c>
      <c r="D1584" s="21" t="n">
        <f aca="false">a26_nonop</f>
        <v>0.37882</v>
      </c>
      <c r="E1584" s="21" t="n">
        <f aca="false">nonop27</f>
        <v>0.4</v>
      </c>
      <c r="F1584" s="21" t="n">
        <f aca="false">nonop28</f>
        <v>0.4</v>
      </c>
      <c r="G1584" s="21" t="n">
        <f aca="false">nonop29</f>
        <v>0.4</v>
      </c>
    </row>
    <row r="1585" customFormat="false" ht="15" hidden="false" customHeight="false" outlineLevel="0" collapsed="false">
      <c r="A1585" s="3" t="s">
        <v>590</v>
      </c>
      <c r="B1585" s="0" t="s">
        <v>379</v>
      </c>
      <c r="C1585" s="21" t="n">
        <f aca="false">C1582+C1584</f>
        <v>3.087</v>
      </c>
      <c r="D1585" s="21" t="n">
        <f aca="false">D1582+D1584</f>
        <v>9.166996</v>
      </c>
      <c r="E1585" s="21" t="n">
        <f aca="false">E1582+E1584</f>
        <v>18.1806133739871</v>
      </c>
      <c r="F1585" s="21" t="n">
        <f aca="false">F1582+F1584</f>
        <v>22.2024199270127</v>
      </c>
      <c r="G1585" s="21" t="n">
        <f aca="false">G1582+G1584</f>
        <v>26.2260453429754</v>
      </c>
    </row>
    <row r="1586" customFormat="false" ht="15" hidden="false" customHeight="false" outlineLevel="0" collapsed="false">
      <c r="A1586" s="3" t="s">
        <v>591</v>
      </c>
      <c r="B1586" s="0" t="s">
        <v>379</v>
      </c>
      <c r="E1586" s="21" t="n">
        <f aca="false">E1585*tax</f>
        <v>2.18167360487846</v>
      </c>
      <c r="F1586" s="21" t="n">
        <f aca="false">F1585*tax</f>
        <v>2.66429039124153</v>
      </c>
      <c r="G1586" s="21" t="n">
        <f aca="false">G1585*tax</f>
        <v>3.14712544115705</v>
      </c>
    </row>
    <row r="1587" customFormat="false" ht="15" hidden="false" customHeight="false" outlineLevel="0" collapsed="false">
      <c r="A1587" s="3" t="s">
        <v>592</v>
      </c>
      <c r="B1587" s="0" t="s">
        <v>379</v>
      </c>
      <c r="C1587" s="21" t="n">
        <f aca="false">a25_nic</f>
        <v>2.71712</v>
      </c>
      <c r="D1587" s="21" t="n">
        <f aca="false">a26_nic</f>
        <v>8.39979776</v>
      </c>
      <c r="E1587" s="21" t="n">
        <f aca="false">E1585-E1586</f>
        <v>15.9989397691087</v>
      </c>
      <c r="F1587" s="21" t="n">
        <f aca="false">F1585-F1586</f>
        <v>19.5381295357712</v>
      </c>
      <c r="G1587" s="21" t="n">
        <f aca="false">G1585-G1586</f>
        <v>23.0789199018184</v>
      </c>
    </row>
    <row r="1588" customFormat="false" ht="17.15" hidden="false" customHeight="false" outlineLevel="0" collapsed="false">
      <c r="A1588" s="3" t="s">
        <v>747</v>
      </c>
      <c r="B1588" s="0" t="s">
        <v>379</v>
      </c>
      <c r="C1588" s="21" t="n">
        <f aca="false">a25_nci</f>
        <v>1.12112</v>
      </c>
      <c r="D1588" s="21" t="n">
        <f aca="false">a26_nci</f>
        <v>1.43839238487797</v>
      </c>
      <c r="E1588" s="21" t="n">
        <f aca="false">E1569*nm_lens*nci_sh</f>
        <v>1.57074538036261</v>
      </c>
      <c r="F1588" s="21" t="n">
        <f aca="false">F1569*nm_lens*nci_sh</f>
        <v>1.72781991839887</v>
      </c>
      <c r="G1588" s="21" t="n">
        <f aca="false">G1569*nm_lens*nci_sh</f>
        <v>1.90060191023875</v>
      </c>
      <c r="K1588" s="3" t="s">
        <v>748</v>
      </c>
    </row>
    <row r="1589" customFormat="false" ht="15" hidden="false" customHeight="false" outlineLevel="0" collapsed="false">
      <c r="A1589" s="3" t="s">
        <v>598</v>
      </c>
      <c r="B1589" s="0" t="s">
        <v>379</v>
      </c>
      <c r="C1589" s="21" t="n">
        <f aca="false">a25_ni</f>
        <v>1.596</v>
      </c>
      <c r="D1589" s="21" t="n">
        <f aca="false">a26_ni</f>
        <v>6.96140537512203</v>
      </c>
      <c r="E1589" s="21" t="n">
        <f aca="false">E1587-E1588</f>
        <v>14.4281943887461</v>
      </c>
      <c r="F1589" s="21" t="n">
        <f aca="false">F1587-F1588</f>
        <v>17.8103096173723</v>
      </c>
      <c r="G1589" s="21" t="n">
        <f aca="false">G1587-G1588</f>
        <v>21.1783179915796</v>
      </c>
      <c r="H1589" s="30" t="n">
        <f aca="false">H1570*H1593</f>
        <v>23.6385770059363</v>
      </c>
      <c r="I1589" s="30" t="n">
        <f aca="false">I1570*I1593</f>
        <v>25.7315395471292</v>
      </c>
      <c r="J1589" s="30" t="n">
        <f aca="false">J1570*J1593</f>
        <v>27.2988869112315</v>
      </c>
    </row>
    <row r="1590" customFormat="false" ht="15" hidden="false" customHeight="false" outlineLevel="0" collapsed="false">
      <c r="A1590" s="3" t="s">
        <v>749</v>
      </c>
      <c r="B1590" s="3" t="s">
        <v>465</v>
      </c>
      <c r="C1590" s="29" t="n">
        <f aca="false">a25_sh</f>
        <v>0.454700854700855</v>
      </c>
      <c r="D1590" s="29" t="n">
        <f aca="false">a26_sh</f>
        <v>0.508341020486215</v>
      </c>
      <c r="E1590" s="29" t="n">
        <f aca="false">a26_shend*(1+sh_g)</f>
        <v>0.52691</v>
      </c>
      <c r="F1590" s="29" t="n">
        <f aca="false">E1590*(1+sh_g)</f>
        <v>0.52691</v>
      </c>
      <c r="G1590" s="29" t="n">
        <f aca="false">F1590*(1+sh_g)</f>
        <v>0.52691</v>
      </c>
      <c r="H1590" s="31" t="n">
        <f aca="false">G1590*(1+sh_g)</f>
        <v>0.52691</v>
      </c>
      <c r="I1590" s="31" t="n">
        <f aca="false">H1590*(1+sh_g)</f>
        <v>0.52691</v>
      </c>
      <c r="J1590" s="31" t="n">
        <f aca="false">I1590*(1+sh_g)</f>
        <v>0.52691</v>
      </c>
    </row>
    <row r="1591" customFormat="false" ht="17.15" hidden="false" customHeight="false" outlineLevel="0" collapsed="false">
      <c r="A1591" s="0" t="s">
        <v>603</v>
      </c>
      <c r="B1591" s="0" t="s">
        <v>471</v>
      </c>
      <c r="C1591" s="18" t="n">
        <f aca="false">C1589/C1590</f>
        <v>3.51</v>
      </c>
      <c r="D1591" s="18" t="n">
        <f aca="false">D1589/D1590</f>
        <v>13.6943608612652</v>
      </c>
      <c r="E1591" s="18" t="n">
        <f aca="false">E1589/E1590</f>
        <v>27.3826543218881</v>
      </c>
      <c r="F1591" s="18" t="n">
        <f aca="false">F1589/F1590</f>
        <v>33.8014264625312</v>
      </c>
      <c r="G1591" s="18" t="n">
        <f aca="false">G1589/G1590</f>
        <v>40.193425806266</v>
      </c>
      <c r="H1591" s="28" t="n">
        <f aca="false">H1589/H1590</f>
        <v>44.8626463835121</v>
      </c>
      <c r="I1591" s="28" t="n">
        <f aca="false">I1589/I1590</f>
        <v>48.8347906608893</v>
      </c>
      <c r="J1591" s="28" t="n">
        <f aca="false">J1589/J1590</f>
        <v>51.8093923274022</v>
      </c>
    </row>
    <row r="1592" customFormat="false" ht="17.15" hidden="false" customHeight="false" outlineLevel="0" collapsed="false">
      <c r="A1592" s="0" t="s">
        <v>750</v>
      </c>
      <c r="B1592" s="0" t="s">
        <v>43</v>
      </c>
      <c r="D1592" s="20" t="n">
        <f aca="false">D1591/C1591-1</f>
        <v>2.90152731090177</v>
      </c>
      <c r="E1592" s="20" t="n">
        <f aca="false">E1591/D1591-1</f>
        <v>0.999556941670829</v>
      </c>
      <c r="F1592" s="20" t="n">
        <f aca="false">F1591/E1591-1</f>
        <v>0.234410151228923</v>
      </c>
      <c r="G1592" s="20" t="n">
        <f aca="false">G1591/F1591-1</f>
        <v>0.189104425838958</v>
      </c>
      <c r="H1592" s="26" t="n">
        <f aca="false">H1591/G1591-1</f>
        <v>0.11616876351252</v>
      </c>
      <c r="I1592" s="26" t="n">
        <f aca="false">I1591/H1591-1</f>
        <v>0.0885401240805321</v>
      </c>
      <c r="J1592" s="26" t="n">
        <f aca="false">J1591/I1591-1</f>
        <v>0.0609115269310487</v>
      </c>
    </row>
    <row r="1593" customFormat="false" ht="17.15" hidden="false" customHeight="false" outlineLevel="0" collapsed="false">
      <c r="A1593" s="3" t="s">
        <v>751</v>
      </c>
      <c r="B1593" s="0" t="s">
        <v>43</v>
      </c>
      <c r="C1593" s="16" t="n">
        <f aca="false">C1589/C1570</f>
        <v>0.0405580544331783</v>
      </c>
      <c r="D1593" s="16" t="n">
        <f aca="false">D1589/D1570</f>
        <v>0.127906349105057</v>
      </c>
      <c r="E1593" s="16" t="n">
        <f aca="false">E1589/E1570</f>
        <v>0.20029703939422</v>
      </c>
      <c r="F1593" s="16" t="n">
        <f aca="false">F1589/F1570</f>
        <v>0.211769725426865</v>
      </c>
      <c r="G1593" s="16" t="n">
        <f aca="false">G1589/G1570</f>
        <v>0.220347950200116</v>
      </c>
      <c r="H1593" s="27" t="n">
        <f aca="false">$G1593+(fade_mA-$G1593)*1/3</f>
        <v>0.220537760695933</v>
      </c>
      <c r="I1593" s="27" t="n">
        <f aca="false">$G1593+(fade_mA-$G1593)*2/3</f>
        <v>0.220727571191751</v>
      </c>
      <c r="J1593" s="27" t="n">
        <f aca="false">$G1593+(fade_mA-$G1593)*3/3</f>
        <v>0.220917381687568</v>
      </c>
    </row>
    <row r="1594" customFormat="false" ht="17.15" hidden="false" customHeight="false" outlineLevel="0" collapsed="false">
      <c r="A1594" s="3" t="s">
        <v>752</v>
      </c>
      <c r="B1594" s="0" t="s">
        <v>43</v>
      </c>
      <c r="C1594" s="20" t="n">
        <f aca="false">C1575/C1570</f>
        <v>0.155421717364235</v>
      </c>
      <c r="D1594" s="20" t="n">
        <f aca="false">D1575/D1570</f>
        <v>0.202110028699624</v>
      </c>
      <c r="E1594" s="20" t="n">
        <f aca="false">E1575/E1570</f>
        <v>0.235999708484498</v>
      </c>
      <c r="F1594" s="20" t="n">
        <f aca="false">F1575/F1570</f>
        <v>0.190244621212247</v>
      </c>
      <c r="G1594" s="20" t="n">
        <f aca="false">G1575/G1570</f>
        <v>0.124852946464054</v>
      </c>
      <c r="H1594" s="26" t="n">
        <f aca="false">$G1594+($G1577*(1+tp_g)^(life/2)-$G1594)*1/3</f>
        <v>0.125778843252168</v>
      </c>
      <c r="I1594" s="26" t="n">
        <f aca="false">$G1594+($G1577*(1+tp_g)^(life/2)-$G1594)*2/3</f>
        <v>0.126704740040282</v>
      </c>
      <c r="J1594" s="26" t="n">
        <f aca="false">$G1594+($G1577*(1+tp_g)^(life/2)-$G1594)*3/3</f>
        <v>0.127630636828396</v>
      </c>
      <c r="K1594" s="7" t="s">
        <v>753</v>
      </c>
    </row>
    <row r="1595" customFormat="false" ht="15" hidden="false" customHeight="false" outlineLevel="0" collapsed="false">
      <c r="A1595" s="3" t="s">
        <v>754</v>
      </c>
      <c r="B1595" s="0" t="s">
        <v>379</v>
      </c>
      <c r="D1595" s="21" t="n">
        <f aca="false">D1589+D1576-D1575</f>
        <v>4.28140537512203</v>
      </c>
      <c r="E1595" s="21" t="n">
        <f aca="false">E1589+E1576-E1575</f>
        <v>6.08319438874607</v>
      </c>
      <c r="F1595" s="21" t="n">
        <f aca="false">F1589+F1576-F1575</f>
        <v>11.5084346173723</v>
      </c>
      <c r="G1595" s="21" t="n">
        <f aca="false">G1589+G1576-G1575</f>
        <v>19.6641773665796</v>
      </c>
      <c r="H1595" s="30" t="n">
        <f aca="false">H1589+H1576-H1575</f>
        <v>21.8507518596634</v>
      </c>
      <c r="I1595" s="30" t="n">
        <f aca="false">I1589+I1576-I1575</f>
        <v>23.6791563158761</v>
      </c>
      <c r="J1595" s="30" t="n">
        <f aca="false">J1589+J1576-J1575</f>
        <v>25.0089470916765</v>
      </c>
      <c r="K1595" s="3" t="s">
        <v>755</v>
      </c>
    </row>
    <row r="1596" customFormat="false" ht="15" hidden="false" customHeight="false" outlineLevel="0" collapsed="false">
      <c r="A1596" s="3" t="s">
        <v>756</v>
      </c>
      <c r="B1596" s="0" t="s">
        <v>471</v>
      </c>
      <c r="D1596" s="18" t="n">
        <f aca="false">D1595/D1590</f>
        <v>8.42230943909854</v>
      </c>
      <c r="E1596" s="18" t="n">
        <f aca="false">E1595/E1590</f>
        <v>11.5450349941092</v>
      </c>
      <c r="F1596" s="18" t="n">
        <f aca="false">F1595/F1590</f>
        <v>21.8413668698114</v>
      </c>
      <c r="G1596" s="18" t="n">
        <f aca="false">G1595/G1590</f>
        <v>37.3198029389831</v>
      </c>
      <c r="H1596" s="28" t="n">
        <f aca="false">H1595/H1590</f>
        <v>41.4696093444106</v>
      </c>
      <c r="I1596" s="28" t="n">
        <f aca="false">I1595/I1590</f>
        <v>44.9396601238847</v>
      </c>
      <c r="J1596" s="28" t="n">
        <f aca="false">J1595/J1590</f>
        <v>47.4634132805916</v>
      </c>
    </row>
    <row r="1599" customFormat="false" ht="17.15" hidden="false" customHeight="false" outlineLevel="0" collapsed="false">
      <c r="A1599" s="1" t="s">
        <v>1117</v>
      </c>
    </row>
    <row r="1600" customFormat="false" ht="17.15" hidden="false" customHeight="false" outlineLevel="0" collapsed="false">
      <c r="A1600" s="4" t="s">
        <v>20</v>
      </c>
      <c r="B1600" s="4" t="s">
        <v>21</v>
      </c>
      <c r="C1600" s="13" t="s">
        <v>566</v>
      </c>
      <c r="D1600" s="13" t="s">
        <v>670</v>
      </c>
      <c r="E1600" s="13" t="s">
        <v>671</v>
      </c>
      <c r="F1600" s="13" t="s">
        <v>672</v>
      </c>
      <c r="G1600" s="13" t="s">
        <v>673</v>
      </c>
      <c r="H1600" s="13" t="s">
        <v>674</v>
      </c>
      <c r="I1600" s="13" t="s">
        <v>675</v>
      </c>
      <c r="J1600" s="13" t="s">
        <v>676</v>
      </c>
      <c r="K1600" s="4" t="s">
        <v>630</v>
      </c>
    </row>
    <row r="1601" customFormat="false" ht="17.15" hidden="false" customHeight="false" outlineLevel="0" collapsed="false">
      <c r="A1601" s="5" t="s">
        <v>694</v>
      </c>
    </row>
    <row r="1602" customFormat="false" ht="17.15" hidden="false" customHeight="false" outlineLevel="0" collapsed="false">
      <c r="A1602" s="0" t="s">
        <v>695</v>
      </c>
      <c r="B1602" s="3" t="s">
        <v>31</v>
      </c>
      <c r="D1602" s="21" t="n">
        <f aca="false">(u_bw_26+u_rb_26+u_ru_26+u_hp_26)*1</f>
        <v>7.6</v>
      </c>
      <c r="E1602" s="21" t="n">
        <f aca="false">(u_bw_27+u_rb_27+u_ru_27+u_hp_27)*1*1</f>
        <v>9.7</v>
      </c>
      <c r="F1602" s="21" t="n">
        <f aca="false">(u_bw_28+u_rb_28+u_ru_28+u_hp_28)*um28_A*1</f>
        <v>9.5</v>
      </c>
      <c r="G1602" s="21" t="n">
        <f aca="false">(u_bw_28*(1+g29_bw)+u_rb_28*(1+g29_rb)+u_ru_28*(1+g29_ru)+u_hp_28*(1+g29_hp))*um29_A*1</f>
        <v>10.6</v>
      </c>
      <c r="K1602" s="7" t="s">
        <v>696</v>
      </c>
    </row>
    <row r="1603" customFormat="false" ht="17.15" hidden="false" customHeight="false" outlineLevel="0" collapsed="false">
      <c r="A1603" s="3" t="s">
        <v>697</v>
      </c>
      <c r="B1603" s="3" t="s">
        <v>31</v>
      </c>
      <c r="D1603" s="21" t="n">
        <f aca="false">(u_amd_26+u_tpu_26+u_trn_26+u_oth_26)*1</f>
        <v>7.6</v>
      </c>
      <c r="E1603" s="21" t="n">
        <f aca="false">(u_amd_27+u_tpu_27+u_trn_27+u_oth_27)*1*1</f>
        <v>14</v>
      </c>
      <c r="F1603" s="21" t="n">
        <f aca="false">(u_amd_28+u_tpu_28+u_trn_28+u_oth_28)*um28_A*1</f>
        <v>17</v>
      </c>
      <c r="G1603" s="21" t="n">
        <f aca="false">(u_amd_28*(1+g29_amd)+u_tpu_28*(1+g29_tpu)+u_trn_28*(1+g29_trn)+u_oth_28*(1+g29_oth))*um29_A*1</f>
        <v>19.55</v>
      </c>
      <c r="K1603" s="7" t="s">
        <v>698</v>
      </c>
    </row>
    <row r="1604" customFormat="false" ht="17.15" hidden="false" customHeight="false" outlineLevel="0" collapsed="false">
      <c r="A1604" s="0" t="s">
        <v>699</v>
      </c>
      <c r="B1604" s="3" t="s">
        <v>31</v>
      </c>
      <c r="D1604" s="21" t="n">
        <f aca="false">D1602*cpu_r</f>
        <v>3.04</v>
      </c>
      <c r="E1604" s="21" t="n">
        <f aca="false">E1602*cpu_r</f>
        <v>3.88</v>
      </c>
      <c r="F1604" s="21" t="n">
        <f aca="false">F1602*cpu_r</f>
        <v>3.8</v>
      </c>
      <c r="G1604" s="21" t="n">
        <f aca="false">G1602*cpu_r</f>
        <v>4.24</v>
      </c>
      <c r="K1604" s="7" t="s">
        <v>700</v>
      </c>
    </row>
    <row r="1605" customFormat="false" ht="17.15" hidden="false" customHeight="false" outlineLevel="0" collapsed="false">
      <c r="A1605" s="3" t="s">
        <v>701</v>
      </c>
      <c r="B1605" s="0" t="s">
        <v>153</v>
      </c>
      <c r="D1605" s="19" t="n">
        <f aca="false">1</f>
        <v>1</v>
      </c>
      <c r="E1605" s="19" t="n">
        <f aca="false">D1605*(1+g_asp)</f>
        <v>1.18</v>
      </c>
      <c r="F1605" s="19" t="n">
        <f aca="false">E1605*(1+g_asp)</f>
        <v>1.3924</v>
      </c>
      <c r="G1605" s="19" t="n">
        <f aca="false">F1605*(1+g_asp)</f>
        <v>1.643032</v>
      </c>
      <c r="K1605" s="7" t="s">
        <v>702</v>
      </c>
    </row>
    <row r="1606" customFormat="false" ht="17.15" hidden="false" customHeight="false" outlineLevel="0" collapsed="false">
      <c r="A1606" s="0" t="s">
        <v>703</v>
      </c>
      <c r="B1606" s="0" t="s">
        <v>153</v>
      </c>
      <c r="D1606" s="18" t="n">
        <f aca="false">1</f>
        <v>1</v>
      </c>
      <c r="E1606" s="18" t="n">
        <f aca="false">ibpp_27</f>
        <v>1</v>
      </c>
      <c r="F1606" s="18" t="n">
        <f aca="false">ibpp_28</f>
        <v>0.95</v>
      </c>
      <c r="G1606" s="18" t="n">
        <f aca="false">ibpp_29</f>
        <v>0.9</v>
      </c>
      <c r="K1606" s="7" t="s">
        <v>704</v>
      </c>
    </row>
    <row r="1607" customFormat="false" ht="17.15" hidden="false" customHeight="false" outlineLevel="0" collapsed="false">
      <c r="A1607" s="3" t="s">
        <v>705</v>
      </c>
      <c r="B1607" s="0" t="s">
        <v>153</v>
      </c>
      <c r="D1607" s="18" t="n">
        <f aca="false">1</f>
        <v>1</v>
      </c>
      <c r="E1607" s="18" t="n">
        <f aca="false">1+carry</f>
        <v>1.15</v>
      </c>
      <c r="F1607" s="18" t="n">
        <f aca="false">1+carry</f>
        <v>1.15</v>
      </c>
      <c r="G1607" s="18" t="n">
        <f aca="false">1+carry</f>
        <v>1.15</v>
      </c>
      <c r="K1607" s="7" t="s">
        <v>706</v>
      </c>
    </row>
    <row r="1608" customFormat="false" ht="17.15" hidden="false" customHeight="false" outlineLevel="0" collapsed="false">
      <c r="A1608" s="3" t="s">
        <v>707</v>
      </c>
      <c r="B1608" s="0" t="s">
        <v>708</v>
      </c>
      <c r="D1608" s="23" t="n">
        <f aca="false">v26*D1605*D1606</f>
        <v>215.308596</v>
      </c>
      <c r="E1608" s="23" t="n">
        <f aca="false">v26*E1605*E1606</f>
        <v>254.06414328</v>
      </c>
      <c r="F1608" s="23" t="n">
        <f aca="false">v26*F1605*F1606</f>
        <v>284.80590461688</v>
      </c>
      <c r="G1608" s="23" t="n">
        <f aca="false">v26*G1605*G1606</f>
        <v>318.383021792765</v>
      </c>
      <c r="K1608" s="7" t="s">
        <v>709</v>
      </c>
    </row>
    <row r="1609" customFormat="false" ht="17.15" hidden="false" customHeight="false" outlineLevel="0" collapsed="false">
      <c r="A1609" s="3" t="s">
        <v>710</v>
      </c>
      <c r="B1609" s="0" t="s">
        <v>43</v>
      </c>
      <c r="D1609" s="20" t="n">
        <f aca="false">sh_nv_26</f>
        <v>0.02</v>
      </c>
      <c r="E1609" s="20" t="n">
        <f aca="false">sh_nv_27</f>
        <v>0.03</v>
      </c>
      <c r="F1609" s="20" t="n">
        <f aca="false">sh_nv_28</f>
        <v>0.05</v>
      </c>
      <c r="G1609" s="20" t="n">
        <f aca="false">sh_nv_29</f>
        <v>0.06</v>
      </c>
    </row>
    <row r="1610" customFormat="false" ht="17.15" hidden="false" customHeight="false" outlineLevel="0" collapsed="false">
      <c r="A1610" s="3" t="s">
        <v>711</v>
      </c>
      <c r="B1610" s="0" t="s">
        <v>43</v>
      </c>
      <c r="D1610" s="20" t="n">
        <f aca="false">sh_ot_26</f>
        <v>0.03</v>
      </c>
      <c r="E1610" s="20" t="n">
        <f aca="false">sh_ot_27</f>
        <v>0.05</v>
      </c>
      <c r="F1610" s="20" t="n">
        <f aca="false">sh_ot_28</f>
        <v>0.06</v>
      </c>
      <c r="G1610" s="20" t="n">
        <f aca="false">sh_ot_29</f>
        <v>0.06</v>
      </c>
    </row>
    <row r="1611" customFormat="false" ht="17.15" hidden="false" customHeight="false" outlineLevel="0" collapsed="false">
      <c r="A1611" s="3" t="s">
        <v>712</v>
      </c>
      <c r="B1611" s="0" t="s">
        <v>43</v>
      </c>
      <c r="D1611" s="20" t="n">
        <f aca="false">sh_cpu_26</f>
        <v>0.35</v>
      </c>
      <c r="E1611" s="20" t="n">
        <f aca="false">sh_cpu_27</f>
        <v>0.7</v>
      </c>
      <c r="F1611" s="20" t="n">
        <f aca="false">sh_cpu_28</f>
        <v>0.75</v>
      </c>
      <c r="G1611" s="20" t="n">
        <f aca="false">sh_cpu_29</f>
        <v>0.7</v>
      </c>
    </row>
    <row r="1612" customFormat="false" ht="17.15" hidden="false" customHeight="false" outlineLevel="0" collapsed="false">
      <c r="A1612" s="3" t="s">
        <v>713</v>
      </c>
      <c r="B1612" s="0" t="s">
        <v>660</v>
      </c>
      <c r="D1612" s="22" t="n">
        <f aca="false">(D1602*D1608*D1609+D1603*D1608*v_ot*D1610+D1604*D1608*v_cpu*D1611)*D1607</f>
        <v>140.7256983456</v>
      </c>
      <c r="E1612" s="22" t="n">
        <f aca="false">(E1602*E1608*E1609+E1603*E1608*v_ot*E1610+E1604*E1608*v_cpu*E1611)*E1607</f>
        <v>486.703057357198</v>
      </c>
      <c r="F1612" s="22" t="n">
        <f aca="false">(F1602*F1608*F1609+F1603*F1608*v_ot*F1610+F1604*F1608*v_cpu*F1611)*F1607</f>
        <v>702.872492003998</v>
      </c>
      <c r="G1612" s="22" t="n">
        <f aca="false">(G1602*G1608*G1609+G1603*G1608*v_ot*G1610+G1604*G1608*v_cpu*G1611)*G1607</f>
        <v>902.463042932027</v>
      </c>
    </row>
    <row r="1613" customFormat="false" ht="17.15" hidden="false" customHeight="false" outlineLevel="0" collapsed="false">
      <c r="A1613" s="3" t="s">
        <v>714</v>
      </c>
      <c r="B1613" s="0" t="s">
        <v>379</v>
      </c>
      <c r="D1613" s="21" t="n">
        <f aca="false">D1612*fx/1000</f>
        <v>4.573585196232</v>
      </c>
      <c r="E1613" s="21" t="n">
        <f aca="false">E1612*fx/1000</f>
        <v>15.8178493641089</v>
      </c>
      <c r="F1613" s="21" t="n">
        <f aca="false">F1612*fx/1000</f>
        <v>22.8433559901299</v>
      </c>
      <c r="G1613" s="21" t="n">
        <f aca="false">G1612*fx/1000</f>
        <v>29.3300488952909</v>
      </c>
    </row>
    <row r="1614" customFormat="false" ht="17.15" hidden="false" customHeight="false" outlineLevel="0" collapsed="false">
      <c r="A1614" s="5" t="s">
        <v>715</v>
      </c>
    </row>
    <row r="1615" customFormat="false" ht="17.15" hidden="false" customHeight="false" outlineLevel="0" collapsed="false">
      <c r="A1615" s="0" t="s">
        <v>716</v>
      </c>
      <c r="B1615" s="0" t="s">
        <v>379</v>
      </c>
      <c r="D1615" s="21" t="n">
        <f aca="false">a26_abf*ai_abf</f>
        <v>5.714709</v>
      </c>
      <c r="K1615" s="3" t="s">
        <v>717</v>
      </c>
    </row>
    <row r="1616" customFormat="false" ht="17.15" hidden="false" customHeight="false" outlineLevel="0" collapsed="false">
      <c r="A1616" s="3" t="s">
        <v>718</v>
      </c>
      <c r="B1616" s="0" t="s">
        <v>379</v>
      </c>
      <c r="D1616" s="21" t="n">
        <f aca="false">D1615-D1613</f>
        <v>1.141123803768</v>
      </c>
      <c r="E1616" s="21" t="n">
        <f aca="false">$D1616*(swm_27/swm_26)^el_o*1*1*E1606*E1607</f>
        <v>1.83552013039205</v>
      </c>
      <c r="F1616" s="21" t="n">
        <f aca="false">$D1616*(swm_28/swm_26)^el_o*um28_A*1*F1606*F1607</f>
        <v>1.87583060833026</v>
      </c>
      <c r="G1616" s="21" t="n">
        <f aca="false">$D1616*(swm_29/swm_26)^el_o*um29_A*1*G1606*G1607</f>
        <v>1.89582733342525</v>
      </c>
      <c r="K1616" s="7" t="s">
        <v>719</v>
      </c>
    </row>
    <row r="1617" customFormat="false" ht="17.15" hidden="false" customHeight="false" outlineLevel="0" collapsed="false">
      <c r="A1617" s="3" t="s">
        <v>720</v>
      </c>
      <c r="B1617" s="0" t="s">
        <v>379</v>
      </c>
      <c r="D1617" s="21" t="n">
        <f aca="false">a26_abf-D1615</f>
        <v>17.144127</v>
      </c>
      <c r="E1617" s="21" t="n">
        <f aca="false">$D1617*(1+g_nai)^1*E1607</f>
        <v>20.898690813</v>
      </c>
      <c r="F1617" s="21" t="n">
        <f aca="false">$D1617*(1+g_nai)^2*F1607</f>
        <v>22.15261226178</v>
      </c>
      <c r="G1617" s="21" t="n">
        <f aca="false">$D1617*(1+g_nai)^3*G1607</f>
        <v>23.4817689974868</v>
      </c>
      <c r="K1617" s="3" t="s">
        <v>721</v>
      </c>
    </row>
    <row r="1618" customFormat="false" ht="17.15" hidden="false" customHeight="false" outlineLevel="0" collapsed="false">
      <c r="A1618" s="0" t="s">
        <v>722</v>
      </c>
      <c r="B1618" s="0" t="s">
        <v>379</v>
      </c>
      <c r="D1618" s="21" t="n">
        <f aca="false">D1613+D1616+D1617</f>
        <v>22.858836</v>
      </c>
      <c r="E1618" s="21" t="n">
        <f aca="false">E1613+E1616+E1617</f>
        <v>38.552060307501</v>
      </c>
      <c r="F1618" s="21" t="n">
        <f aca="false">F1613+F1616+F1617</f>
        <v>46.8717988602402</v>
      </c>
      <c r="G1618" s="21" t="n">
        <f aca="false">G1613+G1616+G1617</f>
        <v>54.7076452262029</v>
      </c>
    </row>
    <row r="1619" customFormat="false" ht="17.15" hidden="false" customHeight="false" outlineLevel="0" collapsed="false">
      <c r="A1619" s="0" t="s">
        <v>723</v>
      </c>
      <c r="B1619" s="0" t="s">
        <v>379</v>
      </c>
      <c r="D1619" s="21" t="n">
        <f aca="false">a26_abf</f>
        <v>22.858836</v>
      </c>
      <c r="E1619" s="21" t="n">
        <f aca="false">$D1618*cap_27*(1+g_mix)^1*E1606*E1607</f>
        <v>33.122453364</v>
      </c>
      <c r="F1619" s="21" t="n">
        <f aca="false">$D1618*cap_28*(1+g_mix)^2*F1606*F1607</f>
        <v>41.2995590382375</v>
      </c>
      <c r="G1619" s="21" t="n">
        <f aca="false">$D1618*cap_29*(1+g_mix)^3*G1606*G1607</f>
        <v>50.6680379569114</v>
      </c>
      <c r="K1619" s="7" t="s">
        <v>724</v>
      </c>
    </row>
    <row r="1620" customFormat="false" ht="17.15" hidden="false" customHeight="false" outlineLevel="0" collapsed="false">
      <c r="A1620" s="0" t="s">
        <v>725</v>
      </c>
      <c r="B1620" s="0" t="s">
        <v>379</v>
      </c>
      <c r="D1620" s="21" t="n">
        <f aca="false">a26_abf</f>
        <v>22.858836</v>
      </c>
      <c r="E1620" s="21" t="n">
        <f aca="false">MIN(E1618,E1619)</f>
        <v>33.122453364</v>
      </c>
      <c r="F1620" s="21" t="n">
        <f aca="false">MIN(F1618,F1619)</f>
        <v>41.2995590382375</v>
      </c>
      <c r="G1620" s="21" t="n">
        <f aca="false">MIN(G1618,G1619)</f>
        <v>50.6680379569114</v>
      </c>
    </row>
    <row r="1621" customFormat="false" ht="17.15" hidden="false" customHeight="false" outlineLevel="0" collapsed="false">
      <c r="A1621" s="3" t="s">
        <v>726</v>
      </c>
      <c r="B1621" s="0" t="s">
        <v>43</v>
      </c>
      <c r="D1621" s="20" t="n">
        <f aca="false">D1620/D1618</f>
        <v>1</v>
      </c>
      <c r="E1621" s="20" t="n">
        <f aca="false">E1620/E1618</f>
        <v>0.85916169200315</v>
      </c>
      <c r="F1621" s="20" t="n">
        <f aca="false">F1620/F1618</f>
        <v>0.881117431856676</v>
      </c>
      <c r="G1621" s="20" t="n">
        <f aca="false">G1620/G1618</f>
        <v>0.926160096041627</v>
      </c>
    </row>
    <row r="1622" customFormat="false" ht="17.15" hidden="false" customHeight="false" outlineLevel="0" collapsed="false">
      <c r="A1622" s="0" t="s">
        <v>727</v>
      </c>
      <c r="B1622" s="0" t="s">
        <v>379</v>
      </c>
      <c r="D1622" s="21" t="n">
        <f aca="false">(D1613+D1616)*D1621</f>
        <v>5.714709</v>
      </c>
      <c r="E1622" s="21" t="n">
        <f aca="false">(E1613+E1616)*E1621</f>
        <v>15.1670988044522</v>
      </c>
      <c r="F1622" s="21" t="n">
        <f aca="false">(F1613+F1616)*F1621</f>
        <v>21.7805062132212</v>
      </c>
      <c r="G1622" s="21" t="n">
        <f aca="false">(G1613+G1616)*G1621</f>
        <v>28.9201605269717</v>
      </c>
    </row>
    <row r="1623" customFormat="false" ht="17.15" hidden="false" customHeight="false" outlineLevel="0" collapsed="false">
      <c r="A1623" s="3" t="s">
        <v>728</v>
      </c>
      <c r="B1623" s="0" t="s">
        <v>43</v>
      </c>
      <c r="D1623" s="20" t="n">
        <f aca="false">D1613/(D1613+D1616)</f>
        <v>0.800318125775433</v>
      </c>
      <c r="E1623" s="20" t="n">
        <f aca="false">E1613/(E1613+E1616)</f>
        <v>0.896024374782173</v>
      </c>
      <c r="F1623" s="20" t="n">
        <f aca="false">F1613/(F1613+F1616)</f>
        <v>0.924114387791097</v>
      </c>
      <c r="G1623" s="20" t="n">
        <f aca="false">G1613/(G1613+G1616)</f>
        <v>0.939286657016792</v>
      </c>
    </row>
    <row r="1624" customFormat="false" ht="17.15" hidden="false" customHeight="false" outlineLevel="0" collapsed="false">
      <c r="A1624" s="5" t="s">
        <v>729</v>
      </c>
    </row>
    <row r="1625" customFormat="false" ht="17.15" hidden="false" customHeight="false" outlineLevel="0" collapsed="false">
      <c r="A1625" s="0" t="s">
        <v>730</v>
      </c>
      <c r="B1625" s="0" t="s">
        <v>379</v>
      </c>
      <c r="D1625" s="21" t="n">
        <f aca="false">a26_bt</f>
        <v>23.265964</v>
      </c>
      <c r="E1625" s="21" t="n">
        <f aca="false">D1625*(1+g_bt27_A)</f>
        <v>29.78043392</v>
      </c>
      <c r="F1625" s="21" t="n">
        <f aca="false">E1625*(1+g_bt28_A)</f>
        <v>32.758477312</v>
      </c>
      <c r="G1625" s="21" t="n">
        <f aca="false">F1625*(1+g_bt29_A)</f>
        <v>34.3964011776</v>
      </c>
      <c r="K1625" s="7" t="s">
        <v>731</v>
      </c>
    </row>
    <row r="1626" customFormat="false" ht="17.15" hidden="false" customHeight="false" outlineLevel="0" collapsed="false">
      <c r="A1626" s="3" t="s">
        <v>616</v>
      </c>
      <c r="B1626" s="0" t="s">
        <v>379</v>
      </c>
      <c r="C1626" s="21" t="n">
        <f aca="false">a25_lens</f>
        <v>7.039</v>
      </c>
      <c r="D1626" s="21" t="n">
        <f aca="false">a26_lens</f>
        <v>8.301</v>
      </c>
      <c r="E1626" s="21" t="n">
        <f aca="false">D1626*(1+g_lens)</f>
        <v>9.1311</v>
      </c>
      <c r="F1626" s="21" t="n">
        <f aca="false">E1626*(1+g_lens)</f>
        <v>10.04421</v>
      </c>
      <c r="G1626" s="21" t="n">
        <f aca="false">F1626*(1+g_lens)</f>
        <v>11.048631</v>
      </c>
      <c r="K1626" s="3" t="s">
        <v>732</v>
      </c>
    </row>
    <row r="1627" customFormat="false" ht="17.15" hidden="false" customHeight="false" outlineLevel="0" collapsed="false">
      <c r="A1627" s="3" t="s">
        <v>573</v>
      </c>
      <c r="B1627" s="0" t="s">
        <v>379</v>
      </c>
      <c r="C1627" s="23" t="n">
        <f aca="false">a25_rev</f>
        <v>39.351</v>
      </c>
      <c r="D1627" s="23" t="n">
        <f aca="false">D1620+D1625+D1626</f>
        <v>54.4258</v>
      </c>
      <c r="E1627" s="23" t="n">
        <f aca="false">E1620+E1625+E1626</f>
        <v>72.033987284</v>
      </c>
      <c r="F1627" s="23" t="n">
        <f aca="false">F1620+F1625+F1626</f>
        <v>84.1022463502375</v>
      </c>
      <c r="G1627" s="23" t="n">
        <f aca="false">G1620+G1625+G1626</f>
        <v>96.1130701345114</v>
      </c>
      <c r="H1627" s="25" t="n">
        <f aca="false">G1627*(1+H1628)</f>
        <v>107.186075216063</v>
      </c>
      <c r="I1627" s="25" t="n">
        <f aca="false">H1627*(1+I1628)</f>
        <v>116.576010002736</v>
      </c>
      <c r="J1627" s="25" t="n">
        <f aca="false">I1627*(1+J1628)</f>
        <v>123.5705706029</v>
      </c>
      <c r="K1627" s="7" t="s">
        <v>733</v>
      </c>
    </row>
    <row r="1628" customFormat="false" ht="15" hidden="false" customHeight="false" outlineLevel="0" collapsed="false">
      <c r="A1628" s="3" t="s">
        <v>734</v>
      </c>
      <c r="B1628" s="0" t="s">
        <v>43</v>
      </c>
      <c r="D1628" s="20" t="n">
        <f aca="false">D1627/C1627-1</f>
        <v>0.383085563263958</v>
      </c>
      <c r="E1628" s="20" t="n">
        <f aca="false">E1627/D1627-1</f>
        <v>0.323526476119781</v>
      </c>
      <c r="F1628" s="20" t="n">
        <f aca="false">F1627/E1627-1</f>
        <v>0.167535624796909</v>
      </c>
      <c r="G1628" s="20" t="n">
        <f aca="false">G1627/F1627-1</f>
        <v>0.142812163830389</v>
      </c>
      <c r="H1628" s="26" t="n">
        <f aca="false">$G1628+(fade_gA-$G1628)*1/3</f>
        <v>0.115208109220259</v>
      </c>
      <c r="I1628" s="26" t="n">
        <f aca="false">$G1628+(fade_gA-$G1628)*2/3</f>
        <v>0.0876040546101297</v>
      </c>
      <c r="J1628" s="26" t="n">
        <f aca="false">$G1628+(fade_gA-$G1628)*3/3</f>
        <v>0.06</v>
      </c>
    </row>
    <row r="1629" customFormat="false" ht="17.15" hidden="false" customHeight="false" outlineLevel="0" collapsed="false">
      <c r="A1629" s="0" t="s">
        <v>735</v>
      </c>
      <c r="B1629" s="0" t="s">
        <v>43</v>
      </c>
      <c r="D1629" s="20" t="n">
        <f aca="false">D1620/D1627</f>
        <v>0.42</v>
      </c>
      <c r="E1629" s="20" t="n">
        <f aca="false">E1620/E1627</f>
        <v>0.459817019893845</v>
      </c>
      <c r="F1629" s="20" t="n">
        <f aca="false">F1620/F1627</f>
        <v>0.491063685341395</v>
      </c>
      <c r="G1629" s="20" t="n">
        <f aca="false">G1620/G1627</f>
        <v>0.527171152539409</v>
      </c>
    </row>
    <row r="1630" customFormat="false" ht="17.15" hidden="false" customHeight="false" outlineLevel="0" collapsed="false">
      <c r="A1630" s="0" t="s">
        <v>736</v>
      </c>
      <c r="B1630" s="0" t="s">
        <v>43</v>
      </c>
      <c r="D1630" s="20" t="n">
        <f aca="false">D1622/D1627</f>
        <v>0.105</v>
      </c>
      <c r="E1630" s="20" t="n">
        <f aca="false">E1622/E1627</f>
        <v>0.210554758612135</v>
      </c>
      <c r="F1630" s="20" t="n">
        <f aca="false">F1622/F1627</f>
        <v>0.258976509646579</v>
      </c>
      <c r="G1630" s="20" t="n">
        <f aca="false">G1622/G1627</f>
        <v>0.300897271167153</v>
      </c>
      <c r="K1630" s="3" t="s">
        <v>737</v>
      </c>
    </row>
    <row r="1631" customFormat="false" ht="17.15" hidden="false" customHeight="false" outlineLevel="0" collapsed="false">
      <c r="A1631" s="5" t="s">
        <v>738</v>
      </c>
    </row>
    <row r="1632" customFormat="false" ht="15" hidden="false" customHeight="false" outlineLevel="0" collapsed="false">
      <c r="A1632" s="3" t="s">
        <v>739</v>
      </c>
      <c r="B1632" s="0" t="s">
        <v>379</v>
      </c>
      <c r="C1632" s="23" t="n">
        <f aca="false">a25_cx</f>
        <v>6.116</v>
      </c>
      <c r="D1632" s="23" t="n">
        <f aca="false">capex26</f>
        <v>11</v>
      </c>
      <c r="E1632" s="23" t="n">
        <f aca="false">cx27</f>
        <v>17</v>
      </c>
      <c r="F1632" s="23" t="n">
        <f aca="false">cx28</f>
        <v>16</v>
      </c>
      <c r="G1632" s="23" t="n">
        <f aca="false">cx29</f>
        <v>12</v>
      </c>
      <c r="H1632" s="25" t="n">
        <f aca="false">H1627*H1651</f>
        <v>13.4817405534162</v>
      </c>
      <c r="I1632" s="25" t="n">
        <f aca="false">I1627*I1651</f>
        <v>14.77073304233</v>
      </c>
      <c r="J1632" s="25" t="n">
        <f aca="false">J1627*J1651</f>
        <v>15.7713906192965</v>
      </c>
    </row>
    <row r="1633" customFormat="false" ht="17.15" hidden="false" customHeight="false" outlineLevel="0" collapsed="false">
      <c r="A1633" s="3" t="s">
        <v>740</v>
      </c>
      <c r="B1633" s="0" t="s">
        <v>379</v>
      </c>
      <c r="C1633" s="23" t="n">
        <f aca="false">a25_da</f>
        <v>7.158</v>
      </c>
      <c r="D1633" s="23" t="n">
        <f aca="false">da26</f>
        <v>8.32</v>
      </c>
      <c r="E1633" s="23" t="n">
        <f aca="false">D1633*(1-1/life)+D1632/life</f>
        <v>8.655</v>
      </c>
      <c r="F1633" s="23" t="n">
        <f aca="false">E1633*(1-1/life)+E1632/life</f>
        <v>9.698125</v>
      </c>
      <c r="G1633" s="23" t="n">
        <f aca="false">F1633*(1-1/life)+F1632/life</f>
        <v>10.485859375</v>
      </c>
      <c r="H1633" s="25" t="n">
        <f aca="false">H1627*H1634</f>
        <v>11.6939154071433</v>
      </c>
      <c r="I1633" s="25" t="n">
        <f aca="false">I1627*I1634</f>
        <v>12.7183498110769</v>
      </c>
      <c r="J1633" s="25" t="n">
        <f aca="false">J1627*J1634</f>
        <v>13.4814507997415</v>
      </c>
      <c r="K1633" s="3" t="s">
        <v>741</v>
      </c>
    </row>
    <row r="1634" customFormat="false" ht="17.15" hidden="false" customHeight="false" outlineLevel="0" collapsed="false">
      <c r="A1634" s="3" t="s">
        <v>742</v>
      </c>
      <c r="B1634" s="0" t="s">
        <v>43</v>
      </c>
      <c r="C1634" s="20" t="n">
        <f aca="false">C1633/C1627</f>
        <v>0.181901349393916</v>
      </c>
      <c r="D1634" s="20" t="n">
        <f aca="false">D1633/D1627</f>
        <v>0.152868676252807</v>
      </c>
      <c r="E1634" s="20" t="n">
        <f aca="false">E1633/E1627</f>
        <v>0.120151616290196</v>
      </c>
      <c r="F1634" s="20" t="n">
        <f aca="false">F1633/F1627</f>
        <v>0.115313507318376</v>
      </c>
      <c r="G1634" s="20" t="n">
        <f aca="false">G1633/G1627</f>
        <v>0.109099203264706</v>
      </c>
      <c r="H1634" s="26" t="n">
        <f aca="false">$G1634</f>
        <v>0.109099203264706</v>
      </c>
      <c r="I1634" s="26" t="n">
        <f aca="false">$G1634</f>
        <v>0.109099203264706</v>
      </c>
      <c r="J1634" s="26" t="n">
        <f aca="false">$G1634</f>
        <v>0.109099203264706</v>
      </c>
    </row>
    <row r="1635" customFormat="false" ht="17.15" hidden="false" customHeight="false" outlineLevel="0" collapsed="false">
      <c r="A1635" s="0" t="s">
        <v>743</v>
      </c>
      <c r="B1635" s="0" t="s">
        <v>379</v>
      </c>
      <c r="E1635" s="21" t="n">
        <f aca="false">E1621*((E1613+E1616)*(1-1/(E1606*E1607))+E1617*(1-1/E1607))</f>
        <v>4.320320004</v>
      </c>
      <c r="F1635" s="21" t="n">
        <f aca="false">F1621*((F1613+F1616)*(1-1/(F1606*F1607))+F1617*(1-1/F1607))</f>
        <v>4.39007949866158</v>
      </c>
      <c r="G1635" s="21" t="n">
        <f aca="false">G1621*((G1613+G1616)*(1-1/(G1606*G1607))+G1617*(1-1/G1607))</f>
        <v>3.81465610771581</v>
      </c>
      <c r="K1635" s="7" t="s">
        <v>744</v>
      </c>
    </row>
    <row r="1636" customFormat="false" ht="17.15" hidden="false" customHeight="false" outlineLevel="0" collapsed="false">
      <c r="A1636" s="3" t="s">
        <v>745</v>
      </c>
      <c r="B1636" s="0" t="s">
        <v>379</v>
      </c>
      <c r="C1636" s="21" t="n">
        <f aca="false">a25_gp</f>
        <v>8.314</v>
      </c>
      <c r="D1636" s="21" t="n">
        <f aca="false">a26_gp</f>
        <v>15.328536</v>
      </c>
      <c r="E1636" s="21" t="n">
        <f aca="false">$D1636+ft_abf*(E1620-E1635-$D1620)+ft_bt*(E1625-$D1625)+ft_lens*(E1626-$D1626)+E1635-(E1633-$D1633)</f>
        <v>25.590561148</v>
      </c>
      <c r="F1636" s="21" t="n">
        <f aca="false">$D1636+ft_abf*(F1620-F1635-$D1620)+ft_bt*(F1625-$D1625)+ft_lens*(F1626-$D1626)+F1635-(F1633-$D1633)</f>
        <v>30.4218877588495</v>
      </c>
      <c r="G1636" s="21" t="n">
        <f aca="false">$D1636+ft_abf*(G1620-G1635-$D1620)+ft_bt*(G1625-$D1625)+ft_lens*(G1626-$D1626)+G1635-(G1633-$D1633)</f>
        <v>35.2197363372336</v>
      </c>
      <c r="K1636" s="3" t="s">
        <v>746</v>
      </c>
    </row>
    <row r="1637" customFormat="false" ht="15" hidden="false" customHeight="false" outlineLevel="0" collapsed="false">
      <c r="A1637" s="3" t="s">
        <v>580</v>
      </c>
      <c r="B1637" s="0" t="s">
        <v>43</v>
      </c>
      <c r="C1637" s="16" t="n">
        <f aca="false">C1636/C1627</f>
        <v>0.211277985311682</v>
      </c>
      <c r="D1637" s="16" t="n">
        <f aca="false">D1636/D1627</f>
        <v>0.281640986443929</v>
      </c>
      <c r="E1637" s="16" t="n">
        <f aca="false">E1636/E1627</f>
        <v>0.3552567629931</v>
      </c>
      <c r="F1637" s="16" t="n">
        <f aca="false">F1636/F1627</f>
        <v>0.361725032077739</v>
      </c>
      <c r="G1637" s="16" t="n">
        <f aca="false">G1636/G1627</f>
        <v>0.366440654615893</v>
      </c>
    </row>
    <row r="1638" customFormat="false" ht="15" hidden="false" customHeight="false" outlineLevel="0" collapsed="false">
      <c r="A1638" s="3" t="s">
        <v>582</v>
      </c>
      <c r="B1638" s="0" t="s">
        <v>379</v>
      </c>
      <c r="C1638" s="21" t="n">
        <f aca="false">a25_opx</f>
        <v>5.644</v>
      </c>
      <c r="D1638" s="21" t="n">
        <f aca="false">a26_opx</f>
        <v>6.54036</v>
      </c>
      <c r="E1638" s="21" t="n">
        <f aca="false">D1638*(1+phi_hi*E1628)</f>
        <v>8.65633962335477</v>
      </c>
      <c r="F1638" s="21" t="n">
        <f aca="false">E1638*(1+phi_hi*F1628)</f>
        <v>10.1065848906078</v>
      </c>
      <c r="G1638" s="21" t="n">
        <f aca="false">F1638*(1+phi_hi*G1628)</f>
        <v>11.549928147771</v>
      </c>
    </row>
    <row r="1639" customFormat="false" ht="15" hidden="false" customHeight="false" outlineLevel="0" collapsed="false">
      <c r="A1639" s="3" t="s">
        <v>585</v>
      </c>
      <c r="B1639" s="0" t="s">
        <v>379</v>
      </c>
      <c r="C1639" s="21" t="n">
        <f aca="false">C1636-C1638</f>
        <v>2.67</v>
      </c>
      <c r="D1639" s="21" t="n">
        <f aca="false">D1636-D1638</f>
        <v>8.788176</v>
      </c>
      <c r="E1639" s="21" t="n">
        <f aca="false">E1636-E1638</f>
        <v>16.9342215246452</v>
      </c>
      <c r="F1639" s="21" t="n">
        <f aca="false">F1636-F1638</f>
        <v>20.3153028682418</v>
      </c>
      <c r="G1639" s="21" t="n">
        <f aca="false">G1636-G1638</f>
        <v>23.6698081894626</v>
      </c>
    </row>
    <row r="1640" customFormat="false" ht="15" hidden="false" customHeight="false" outlineLevel="0" collapsed="false">
      <c r="A1640" s="3" t="s">
        <v>683</v>
      </c>
      <c r="B1640" s="0" t="s">
        <v>43</v>
      </c>
      <c r="C1640" s="16" t="n">
        <f aca="false">C1639/C1627</f>
        <v>0.0678508805367081</v>
      </c>
      <c r="D1640" s="16" t="n">
        <f aca="false">D1639/D1627</f>
        <v>0.161470773052486</v>
      </c>
      <c r="E1640" s="16" t="n">
        <f aca="false">E1639/E1627</f>
        <v>0.235086549601657</v>
      </c>
      <c r="F1640" s="16" t="n">
        <f aca="false">F1639/F1627</f>
        <v>0.241554818686296</v>
      </c>
      <c r="G1640" s="16" t="n">
        <f aca="false">G1639/G1627</f>
        <v>0.24627044122445</v>
      </c>
    </row>
    <row r="1641" customFormat="false" ht="15" hidden="false" customHeight="false" outlineLevel="0" collapsed="false">
      <c r="A1641" s="3" t="s">
        <v>588</v>
      </c>
      <c r="B1641" s="0" t="s">
        <v>379</v>
      </c>
      <c r="C1641" s="21" t="n">
        <f aca="false">a25_nonop</f>
        <v>0.417</v>
      </c>
      <c r="D1641" s="21" t="n">
        <f aca="false">a26_nonop</f>
        <v>0.37882</v>
      </c>
      <c r="E1641" s="21" t="n">
        <f aca="false">nonop27</f>
        <v>0.4</v>
      </c>
      <c r="F1641" s="21" t="n">
        <f aca="false">nonop28</f>
        <v>0.4</v>
      </c>
      <c r="G1641" s="21" t="n">
        <f aca="false">nonop29</f>
        <v>0.4</v>
      </c>
    </row>
    <row r="1642" customFormat="false" ht="15" hidden="false" customHeight="false" outlineLevel="0" collapsed="false">
      <c r="A1642" s="3" t="s">
        <v>590</v>
      </c>
      <c r="B1642" s="0" t="s">
        <v>379</v>
      </c>
      <c r="C1642" s="21" t="n">
        <f aca="false">C1639+C1641</f>
        <v>3.087</v>
      </c>
      <c r="D1642" s="21" t="n">
        <f aca="false">D1639+D1641</f>
        <v>9.166996</v>
      </c>
      <c r="E1642" s="21" t="n">
        <f aca="false">E1639+E1641</f>
        <v>17.3342215246452</v>
      </c>
      <c r="F1642" s="21" t="n">
        <f aca="false">F1639+F1641</f>
        <v>20.7153028682418</v>
      </c>
      <c r="G1642" s="21" t="n">
        <f aca="false">G1639+G1641</f>
        <v>24.0698081894626</v>
      </c>
    </row>
    <row r="1643" customFormat="false" ht="15" hidden="false" customHeight="false" outlineLevel="0" collapsed="false">
      <c r="A1643" s="3" t="s">
        <v>591</v>
      </c>
      <c r="B1643" s="0" t="s">
        <v>379</v>
      </c>
      <c r="E1643" s="21" t="n">
        <f aca="false">E1642*tax</f>
        <v>2.08010658295743</v>
      </c>
      <c r="F1643" s="21" t="n">
        <f aca="false">F1642*tax</f>
        <v>2.48583634418901</v>
      </c>
      <c r="G1643" s="21" t="n">
        <f aca="false">G1642*tax</f>
        <v>2.88837698273551</v>
      </c>
    </row>
    <row r="1644" customFormat="false" ht="15" hidden="false" customHeight="false" outlineLevel="0" collapsed="false">
      <c r="A1644" s="3" t="s">
        <v>592</v>
      </c>
      <c r="B1644" s="0" t="s">
        <v>379</v>
      </c>
      <c r="C1644" s="21" t="n">
        <f aca="false">a25_nic</f>
        <v>2.71712</v>
      </c>
      <c r="D1644" s="21" t="n">
        <f aca="false">a26_nic</f>
        <v>8.39979776</v>
      </c>
      <c r="E1644" s="21" t="n">
        <f aca="false">E1642-E1643</f>
        <v>15.2541149416878</v>
      </c>
      <c r="F1644" s="21" t="n">
        <f aca="false">F1642-F1643</f>
        <v>18.2294665240528</v>
      </c>
      <c r="G1644" s="21" t="n">
        <f aca="false">G1642-G1643</f>
        <v>21.1814312067271</v>
      </c>
    </row>
    <row r="1645" customFormat="false" ht="17.15" hidden="false" customHeight="false" outlineLevel="0" collapsed="false">
      <c r="A1645" s="3" t="s">
        <v>747</v>
      </c>
      <c r="B1645" s="0" t="s">
        <v>379</v>
      </c>
      <c r="C1645" s="21" t="n">
        <f aca="false">a25_nci</f>
        <v>1.12112</v>
      </c>
      <c r="D1645" s="21" t="n">
        <f aca="false">a26_nci</f>
        <v>1.43839238487797</v>
      </c>
      <c r="E1645" s="21" t="n">
        <f aca="false">E1626*nm_lens*nci_sh</f>
        <v>1.57074538036261</v>
      </c>
      <c r="F1645" s="21" t="n">
        <f aca="false">F1626*nm_lens*nci_sh</f>
        <v>1.72781991839887</v>
      </c>
      <c r="G1645" s="21" t="n">
        <f aca="false">G1626*nm_lens*nci_sh</f>
        <v>1.90060191023875</v>
      </c>
      <c r="K1645" s="3" t="s">
        <v>748</v>
      </c>
    </row>
    <row r="1646" customFormat="false" ht="15" hidden="false" customHeight="false" outlineLevel="0" collapsed="false">
      <c r="A1646" s="3" t="s">
        <v>598</v>
      </c>
      <c r="B1646" s="0" t="s">
        <v>379</v>
      </c>
      <c r="C1646" s="21" t="n">
        <f aca="false">a25_ni</f>
        <v>1.596</v>
      </c>
      <c r="D1646" s="21" t="n">
        <f aca="false">a26_ni</f>
        <v>6.96140537512203</v>
      </c>
      <c r="E1646" s="21" t="n">
        <f aca="false">E1644-E1645</f>
        <v>13.6833695613252</v>
      </c>
      <c r="F1646" s="21" t="n">
        <f aca="false">F1644-F1645</f>
        <v>16.5016466056539</v>
      </c>
      <c r="G1646" s="21" t="n">
        <f aca="false">G1644-G1645</f>
        <v>19.2808292964884</v>
      </c>
      <c r="H1646" s="30" t="n">
        <f aca="false">H1627*H1650</f>
        <v>22.2278471526567</v>
      </c>
      <c r="I1646" s="30" t="n">
        <f aca="false">I1627*I1650</f>
        <v>24.9643817929359</v>
      </c>
      <c r="J1646" s="30" t="n">
        <f aca="false">J1627*J1650</f>
        <v>27.2988869112315</v>
      </c>
    </row>
    <row r="1647" customFormat="false" ht="15" hidden="false" customHeight="false" outlineLevel="0" collapsed="false">
      <c r="A1647" s="3" t="s">
        <v>749</v>
      </c>
      <c r="B1647" s="3" t="s">
        <v>465</v>
      </c>
      <c r="C1647" s="29" t="n">
        <f aca="false">a25_sh</f>
        <v>0.454700854700855</v>
      </c>
      <c r="D1647" s="29" t="n">
        <f aca="false">a26_sh</f>
        <v>0.508341020486215</v>
      </c>
      <c r="E1647" s="29" t="n">
        <f aca="false">a26_shend*(1+sh_g)</f>
        <v>0.52691</v>
      </c>
      <c r="F1647" s="29" t="n">
        <f aca="false">E1647*(1+sh_g)</f>
        <v>0.52691</v>
      </c>
      <c r="G1647" s="29" t="n">
        <f aca="false">F1647*(1+sh_g)</f>
        <v>0.52691</v>
      </c>
      <c r="H1647" s="31" t="n">
        <f aca="false">G1647*(1+sh_g)</f>
        <v>0.52691</v>
      </c>
      <c r="I1647" s="31" t="n">
        <f aca="false">H1647*(1+sh_g)</f>
        <v>0.52691</v>
      </c>
      <c r="J1647" s="31" t="n">
        <f aca="false">I1647*(1+sh_g)</f>
        <v>0.52691</v>
      </c>
    </row>
    <row r="1648" customFormat="false" ht="17.15" hidden="false" customHeight="false" outlineLevel="0" collapsed="false">
      <c r="A1648" s="0" t="s">
        <v>603</v>
      </c>
      <c r="B1648" s="0" t="s">
        <v>471</v>
      </c>
      <c r="C1648" s="18" t="n">
        <f aca="false">C1646/C1647</f>
        <v>3.51</v>
      </c>
      <c r="D1648" s="18" t="n">
        <f aca="false">D1646/D1647</f>
        <v>13.6943608612652</v>
      </c>
      <c r="E1648" s="18" t="n">
        <f aca="false">E1646/E1647</f>
        <v>25.9690830717299</v>
      </c>
      <c r="F1648" s="18" t="n">
        <f aca="false">F1646/F1647</f>
        <v>31.3177707875233</v>
      </c>
      <c r="G1648" s="18" t="n">
        <f aca="false">G1646/G1647</f>
        <v>36.5922629984027</v>
      </c>
      <c r="H1648" s="28" t="n">
        <f aca="false">H1646/H1647</f>
        <v>42.185282406211</v>
      </c>
      <c r="I1648" s="28" t="n">
        <f aca="false">I1646/I1647</f>
        <v>47.3788347021994</v>
      </c>
      <c r="J1648" s="28" t="n">
        <f aca="false">J1646/J1647</f>
        <v>51.8093923274022</v>
      </c>
    </row>
    <row r="1649" customFormat="false" ht="17.15" hidden="false" customHeight="false" outlineLevel="0" collapsed="false">
      <c r="A1649" s="0" t="s">
        <v>750</v>
      </c>
      <c r="B1649" s="0" t="s">
        <v>43</v>
      </c>
      <c r="D1649" s="20" t="n">
        <f aca="false">D1648/C1648-1</f>
        <v>2.90152731090177</v>
      </c>
      <c r="E1649" s="20" t="n">
        <f aca="false">E1648/D1648-1</f>
        <v>0.896334070265668</v>
      </c>
      <c r="F1649" s="20" t="n">
        <f aca="false">F1648/E1648-1</f>
        <v>0.205963672302933</v>
      </c>
      <c r="G1649" s="20" t="n">
        <f aca="false">G1648/F1648-1</f>
        <v>0.168418507391997</v>
      </c>
      <c r="H1649" s="26" t="n">
        <f aca="false">H1648/G1648-1</f>
        <v>0.152847048788771</v>
      </c>
      <c r="I1649" s="26" t="n">
        <f aca="false">I1648/H1648-1</f>
        <v>0.123112896246102</v>
      </c>
      <c r="J1649" s="26" t="n">
        <f aca="false">J1648/I1648-1</f>
        <v>0.0935134359688474</v>
      </c>
    </row>
    <row r="1650" customFormat="false" ht="17.15" hidden="false" customHeight="false" outlineLevel="0" collapsed="false">
      <c r="A1650" s="3" t="s">
        <v>751</v>
      </c>
      <c r="B1650" s="0" t="s">
        <v>43</v>
      </c>
      <c r="C1650" s="16" t="n">
        <f aca="false">C1646/C1627</f>
        <v>0.0405580544331783</v>
      </c>
      <c r="D1650" s="16" t="n">
        <f aca="false">D1646/D1627</f>
        <v>0.127906349105057</v>
      </c>
      <c r="E1650" s="16" t="n">
        <f aca="false">E1646/E1627</f>
        <v>0.189957131032847</v>
      </c>
      <c r="F1650" s="16" t="n">
        <f aca="false">F1646/F1627</f>
        <v>0.196209344241937</v>
      </c>
      <c r="G1650" s="16" t="n">
        <f aca="false">G1646/G1627</f>
        <v>0.200605695661418</v>
      </c>
      <c r="H1650" s="27" t="n">
        <f aca="false">$G1650+(fade_mA-$G1650)*1/3</f>
        <v>0.207376257670135</v>
      </c>
      <c r="I1650" s="27" t="n">
        <f aca="false">$G1650+(fade_mA-$G1650)*2/3</f>
        <v>0.214146819678851</v>
      </c>
      <c r="J1650" s="27" t="n">
        <f aca="false">$G1650+(fade_mA-$G1650)*3/3</f>
        <v>0.220917381687568</v>
      </c>
    </row>
    <row r="1651" customFormat="false" ht="17.15" hidden="false" customHeight="false" outlineLevel="0" collapsed="false">
      <c r="A1651" s="3" t="s">
        <v>752</v>
      </c>
      <c r="B1651" s="0" t="s">
        <v>43</v>
      </c>
      <c r="C1651" s="20" t="n">
        <f aca="false">C1632/C1627</f>
        <v>0.155421717364235</v>
      </c>
      <c r="D1651" s="20" t="n">
        <f aca="false">D1632/D1627</f>
        <v>0.202110028699624</v>
      </c>
      <c r="E1651" s="20" t="n">
        <f aca="false">E1632/E1627</f>
        <v>0.235999708484498</v>
      </c>
      <c r="F1651" s="20" t="n">
        <f aca="false">F1632/F1627</f>
        <v>0.190244621212247</v>
      </c>
      <c r="G1651" s="20" t="n">
        <f aca="false">G1632/G1627</f>
        <v>0.124852946464054</v>
      </c>
      <c r="H1651" s="26" t="n">
        <f aca="false">$G1651+($G1634*(1+tp_g)^(life/2)-$G1651)*1/3</f>
        <v>0.125778843252168</v>
      </c>
      <c r="I1651" s="26" t="n">
        <f aca="false">$G1651+($G1634*(1+tp_g)^(life/2)-$G1651)*2/3</f>
        <v>0.126704740040282</v>
      </c>
      <c r="J1651" s="26" t="n">
        <f aca="false">$G1651+($G1634*(1+tp_g)^(life/2)-$G1651)*3/3</f>
        <v>0.127630636828396</v>
      </c>
      <c r="K1651" s="7" t="s">
        <v>753</v>
      </c>
    </row>
    <row r="1652" customFormat="false" ht="15" hidden="false" customHeight="false" outlineLevel="0" collapsed="false">
      <c r="A1652" s="3" t="s">
        <v>754</v>
      </c>
      <c r="B1652" s="0" t="s">
        <v>379</v>
      </c>
      <c r="D1652" s="21" t="n">
        <f aca="false">D1646+D1633-D1632</f>
        <v>4.28140537512203</v>
      </c>
      <c r="E1652" s="21" t="n">
        <f aca="false">E1646+E1633-E1632</f>
        <v>5.33836956132519</v>
      </c>
      <c r="F1652" s="21" t="n">
        <f aca="false">F1646+F1633-F1632</f>
        <v>10.1997716056539</v>
      </c>
      <c r="G1652" s="21" t="n">
        <f aca="false">G1646+G1633-G1632</f>
        <v>17.7666886714884</v>
      </c>
      <c r="H1652" s="30" t="n">
        <f aca="false">H1646+H1633-H1632</f>
        <v>20.4400220063837</v>
      </c>
      <c r="I1652" s="30" t="n">
        <f aca="false">I1646+I1633-I1632</f>
        <v>22.9119985616828</v>
      </c>
      <c r="J1652" s="30" t="n">
        <f aca="false">J1646+J1633-J1632</f>
        <v>25.0089470916765</v>
      </c>
      <c r="K1652" s="3" t="s">
        <v>755</v>
      </c>
    </row>
    <row r="1653" customFormat="false" ht="15" hidden="false" customHeight="false" outlineLevel="0" collapsed="false">
      <c r="A1653" s="3" t="s">
        <v>756</v>
      </c>
      <c r="B1653" s="0" t="s">
        <v>471</v>
      </c>
      <c r="D1653" s="18" t="n">
        <f aca="false">D1652/D1647</f>
        <v>8.42230943909854</v>
      </c>
      <c r="E1653" s="18" t="n">
        <f aca="false">E1652/E1647</f>
        <v>10.1314637439509</v>
      </c>
      <c r="F1653" s="18" t="n">
        <f aca="false">F1652/F1647</f>
        <v>19.3577111948035</v>
      </c>
      <c r="G1653" s="18" t="n">
        <f aca="false">G1652/G1647</f>
        <v>33.7186401311198</v>
      </c>
      <c r="H1653" s="28" t="n">
        <f aca="false">H1652/H1647</f>
        <v>38.7922453671096</v>
      </c>
      <c r="I1653" s="28" t="n">
        <f aca="false">I1652/I1647</f>
        <v>43.4837041651948</v>
      </c>
      <c r="J1653" s="28" t="n">
        <f aca="false">J1652/J1647</f>
        <v>47.4634132805916</v>
      </c>
    </row>
    <row r="1656" customFormat="false" ht="17.15" hidden="false" customHeight="false" outlineLevel="0" collapsed="false">
      <c r="A1656" s="1" t="s">
        <v>1118</v>
      </c>
    </row>
    <row r="1657" customFormat="false" ht="17.15" hidden="false" customHeight="false" outlineLevel="0" collapsed="false">
      <c r="A1657" s="4" t="s">
        <v>20</v>
      </c>
      <c r="B1657" s="4" t="s">
        <v>21</v>
      </c>
      <c r="C1657" s="13" t="s">
        <v>566</v>
      </c>
      <c r="D1657" s="13" t="s">
        <v>670</v>
      </c>
      <c r="E1657" s="13" t="s">
        <v>671</v>
      </c>
      <c r="F1657" s="13" t="s">
        <v>672</v>
      </c>
      <c r="G1657" s="13" t="s">
        <v>673</v>
      </c>
      <c r="H1657" s="13" t="s">
        <v>674</v>
      </c>
      <c r="I1657" s="13" t="s">
        <v>675</v>
      </c>
      <c r="J1657" s="13" t="s">
        <v>676</v>
      </c>
      <c r="K1657" s="4" t="s">
        <v>630</v>
      </c>
    </row>
    <row r="1658" customFormat="false" ht="17.15" hidden="false" customHeight="false" outlineLevel="0" collapsed="false">
      <c r="A1658" s="5" t="s">
        <v>694</v>
      </c>
    </row>
    <row r="1659" customFormat="false" ht="17.15" hidden="false" customHeight="false" outlineLevel="0" collapsed="false">
      <c r="A1659" s="0" t="s">
        <v>695</v>
      </c>
      <c r="B1659" s="3" t="s">
        <v>31</v>
      </c>
      <c r="D1659" s="21" t="n">
        <f aca="false">(u_bw_26+u_rb_26+u_ru_26+u_hp_26)*1</f>
        <v>7.6</v>
      </c>
      <c r="E1659" s="21" t="n">
        <f aca="false">(u_bw_27+u_rb_27+u_ru_27+u_hp_27)*1*1</f>
        <v>9.7</v>
      </c>
      <c r="F1659" s="21" t="n">
        <f aca="false">(u_bw_28+u_rb_28+u_ru_28+u_hp_28)*um28_A*1</f>
        <v>9.5</v>
      </c>
      <c r="G1659" s="21" t="n">
        <f aca="false">(u_bw_28*(1+g29_bw)+u_rb_28*(1+g29_rb)+u_ru_28*(1+g29_ru)+u_hp_28*(1+g29_hp))*um29_A*1</f>
        <v>10.6</v>
      </c>
      <c r="K1659" s="7" t="s">
        <v>696</v>
      </c>
    </row>
    <row r="1660" customFormat="false" ht="17.15" hidden="false" customHeight="false" outlineLevel="0" collapsed="false">
      <c r="A1660" s="3" t="s">
        <v>697</v>
      </c>
      <c r="B1660" s="3" t="s">
        <v>31</v>
      </c>
      <c r="D1660" s="21" t="n">
        <f aca="false">(u_amd_26+u_tpu_26+u_trn_26+u_oth_26)*1</f>
        <v>7.6</v>
      </c>
      <c r="E1660" s="21" t="n">
        <f aca="false">(u_amd_27+u_tpu_27+u_trn_27+u_oth_27)*1*1</f>
        <v>14</v>
      </c>
      <c r="F1660" s="21" t="n">
        <f aca="false">(u_amd_28+u_tpu_28+u_trn_28+u_oth_28)*um28_A*1</f>
        <v>17</v>
      </c>
      <c r="G1660" s="21" t="n">
        <f aca="false">(u_amd_28*(1+g29_amd)+u_tpu_28*(1+g29_tpu)+u_trn_28*(1+g29_trn)+u_oth_28*(1+g29_oth))*um29_A*1</f>
        <v>19.55</v>
      </c>
      <c r="K1660" s="7" t="s">
        <v>698</v>
      </c>
    </row>
    <row r="1661" customFormat="false" ht="17.15" hidden="false" customHeight="false" outlineLevel="0" collapsed="false">
      <c r="A1661" s="0" t="s">
        <v>699</v>
      </c>
      <c r="B1661" s="3" t="s">
        <v>31</v>
      </c>
      <c r="D1661" s="21" t="n">
        <f aca="false">D1659*cpu_r</f>
        <v>3.04</v>
      </c>
      <c r="E1661" s="21" t="n">
        <f aca="false">E1659*cpu_r</f>
        <v>3.88</v>
      </c>
      <c r="F1661" s="21" t="n">
        <f aca="false">F1659*cpu_r</f>
        <v>3.8</v>
      </c>
      <c r="G1661" s="21" t="n">
        <f aca="false">G1659*cpu_r</f>
        <v>4.24</v>
      </c>
      <c r="K1661" s="7" t="s">
        <v>700</v>
      </c>
    </row>
    <row r="1662" customFormat="false" ht="17.15" hidden="false" customHeight="false" outlineLevel="0" collapsed="false">
      <c r="A1662" s="3" t="s">
        <v>701</v>
      </c>
      <c r="B1662" s="0" t="s">
        <v>153</v>
      </c>
      <c r="D1662" s="19" t="n">
        <f aca="false">1</f>
        <v>1</v>
      </c>
      <c r="E1662" s="19" t="n">
        <f aca="false">D1662*(1+g_asp)</f>
        <v>1.18</v>
      </c>
      <c r="F1662" s="19" t="n">
        <f aca="false">E1662*(1+g_asp)</f>
        <v>1.3924</v>
      </c>
      <c r="G1662" s="19" t="n">
        <f aca="false">F1662*(1+g_asp)</f>
        <v>1.643032</v>
      </c>
      <c r="K1662" s="7" t="s">
        <v>702</v>
      </c>
    </row>
    <row r="1663" customFormat="false" ht="17.15" hidden="false" customHeight="false" outlineLevel="0" collapsed="false">
      <c r="A1663" s="0" t="s">
        <v>703</v>
      </c>
      <c r="B1663" s="0" t="s">
        <v>153</v>
      </c>
      <c r="D1663" s="18" t="n">
        <f aca="false">1</f>
        <v>1</v>
      </c>
      <c r="E1663" s="18" t="n">
        <f aca="false">ibpp_27</f>
        <v>1</v>
      </c>
      <c r="F1663" s="18" t="n">
        <f aca="false">ibpp_28</f>
        <v>0.95</v>
      </c>
      <c r="G1663" s="18" t="n">
        <f aca="false">ibpp_29</f>
        <v>0.9</v>
      </c>
      <c r="K1663" s="7" t="s">
        <v>704</v>
      </c>
    </row>
    <row r="1664" customFormat="false" ht="17.15" hidden="false" customHeight="false" outlineLevel="0" collapsed="false">
      <c r="A1664" s="3" t="s">
        <v>705</v>
      </c>
      <c r="B1664" s="0" t="s">
        <v>153</v>
      </c>
      <c r="D1664" s="18" t="n">
        <f aca="false">1</f>
        <v>1</v>
      </c>
      <c r="E1664" s="18" t="n">
        <f aca="false">1+carry</f>
        <v>1.15</v>
      </c>
      <c r="F1664" s="18" t="n">
        <f aca="false">1+carry</f>
        <v>1.15</v>
      </c>
      <c r="G1664" s="18" t="n">
        <f aca="false">1+carry</f>
        <v>1.15</v>
      </c>
      <c r="K1664" s="7" t="s">
        <v>706</v>
      </c>
    </row>
    <row r="1665" customFormat="false" ht="17.15" hidden="false" customHeight="false" outlineLevel="0" collapsed="false">
      <c r="A1665" s="3" t="s">
        <v>707</v>
      </c>
      <c r="B1665" s="0" t="s">
        <v>708</v>
      </c>
      <c r="D1665" s="23" t="n">
        <f aca="false">v26*D1662*D1663</f>
        <v>215.308596</v>
      </c>
      <c r="E1665" s="23" t="n">
        <f aca="false">v26*E1662*E1663</f>
        <v>254.06414328</v>
      </c>
      <c r="F1665" s="23" t="n">
        <f aca="false">v26*F1662*F1663</f>
        <v>284.80590461688</v>
      </c>
      <c r="G1665" s="23" t="n">
        <f aca="false">v26*G1662*G1663</f>
        <v>318.383021792765</v>
      </c>
      <c r="K1665" s="7" t="s">
        <v>709</v>
      </c>
    </row>
    <row r="1666" customFormat="false" ht="17.15" hidden="false" customHeight="false" outlineLevel="0" collapsed="false">
      <c r="A1666" s="3" t="s">
        <v>710</v>
      </c>
      <c r="B1666" s="0" t="s">
        <v>43</v>
      </c>
      <c r="D1666" s="20" t="n">
        <f aca="false">sh_nv_26</f>
        <v>0.02</v>
      </c>
      <c r="E1666" s="20" t="n">
        <f aca="false">sh_nv_27</f>
        <v>0.03</v>
      </c>
      <c r="F1666" s="20" t="n">
        <f aca="false">sh_nv_28</f>
        <v>0.05</v>
      </c>
      <c r="G1666" s="20" t="n">
        <f aca="false">sh_nv_29</f>
        <v>0.06</v>
      </c>
    </row>
    <row r="1667" customFormat="false" ht="17.15" hidden="false" customHeight="false" outlineLevel="0" collapsed="false">
      <c r="A1667" s="3" t="s">
        <v>711</v>
      </c>
      <c r="B1667" s="0" t="s">
        <v>43</v>
      </c>
      <c r="D1667" s="20" t="n">
        <f aca="false">sh_ot_26</f>
        <v>0.03</v>
      </c>
      <c r="E1667" s="20" t="n">
        <f aca="false">sh_ot_27</f>
        <v>0.05</v>
      </c>
      <c r="F1667" s="20" t="n">
        <f aca="false">sh_ot_28</f>
        <v>0.06</v>
      </c>
      <c r="G1667" s="20" t="n">
        <f aca="false">sh_ot_29</f>
        <v>0.06</v>
      </c>
    </row>
    <row r="1668" customFormat="false" ht="17.15" hidden="false" customHeight="false" outlineLevel="0" collapsed="false">
      <c r="A1668" s="3" t="s">
        <v>712</v>
      </c>
      <c r="B1668" s="0" t="s">
        <v>43</v>
      </c>
      <c r="D1668" s="20" t="n">
        <f aca="false">sh_cpu_26</f>
        <v>0.35</v>
      </c>
      <c r="E1668" s="20" t="n">
        <f aca="false">sh_cpu_27</f>
        <v>0.7</v>
      </c>
      <c r="F1668" s="20" t="n">
        <f aca="false">sh_cpu_28</f>
        <v>0.75</v>
      </c>
      <c r="G1668" s="20" t="n">
        <f aca="false">sh_cpu_29</f>
        <v>0.7</v>
      </c>
    </row>
    <row r="1669" customFormat="false" ht="17.15" hidden="false" customHeight="false" outlineLevel="0" collapsed="false">
      <c r="A1669" s="3" t="s">
        <v>713</v>
      </c>
      <c r="B1669" s="0" t="s">
        <v>660</v>
      </c>
      <c r="D1669" s="22" t="n">
        <f aca="false">(D1659*D1665*D1666+D1660*D1665*v_ot*D1667+D1661*D1665*v_cpu*D1668)*D1664</f>
        <v>140.7256983456</v>
      </c>
      <c r="E1669" s="22" t="n">
        <f aca="false">(E1659*E1665*E1666+E1660*E1665*v_ot*E1667+E1661*E1665*v_cpu*E1668)*E1664</f>
        <v>486.703057357198</v>
      </c>
      <c r="F1669" s="22" t="n">
        <f aca="false">(F1659*F1665*F1666+F1660*F1665*v_ot*F1667+F1661*F1665*v_cpu*F1668)*F1664</f>
        <v>702.872492003998</v>
      </c>
      <c r="G1669" s="22" t="n">
        <f aca="false">(G1659*G1665*G1666+G1660*G1665*v_ot*G1667+G1661*G1665*v_cpu*G1668)*G1664</f>
        <v>902.463042932027</v>
      </c>
    </row>
    <row r="1670" customFormat="false" ht="17.15" hidden="false" customHeight="false" outlineLevel="0" collapsed="false">
      <c r="A1670" s="3" t="s">
        <v>714</v>
      </c>
      <c r="B1670" s="0" t="s">
        <v>379</v>
      </c>
      <c r="D1670" s="21" t="n">
        <f aca="false">D1669*fx/1000</f>
        <v>4.573585196232</v>
      </c>
      <c r="E1670" s="21" t="n">
        <f aca="false">E1669*fx/1000</f>
        <v>15.8178493641089</v>
      </c>
      <c r="F1670" s="21" t="n">
        <f aca="false">F1669*fx/1000</f>
        <v>22.8433559901299</v>
      </c>
      <c r="G1670" s="21" t="n">
        <f aca="false">G1669*fx/1000</f>
        <v>29.3300488952909</v>
      </c>
    </row>
    <row r="1671" customFormat="false" ht="17.15" hidden="false" customHeight="false" outlineLevel="0" collapsed="false">
      <c r="A1671" s="5" t="s">
        <v>715</v>
      </c>
    </row>
    <row r="1672" customFormat="false" ht="17.15" hidden="false" customHeight="false" outlineLevel="0" collapsed="false">
      <c r="A1672" s="0" t="s">
        <v>716</v>
      </c>
      <c r="B1672" s="0" t="s">
        <v>379</v>
      </c>
      <c r="D1672" s="21" t="n">
        <f aca="false">a26_abf*ai_abf</f>
        <v>5.714709</v>
      </c>
      <c r="K1672" s="3" t="s">
        <v>717</v>
      </c>
    </row>
    <row r="1673" customFormat="false" ht="17.15" hidden="false" customHeight="false" outlineLevel="0" collapsed="false">
      <c r="A1673" s="3" t="s">
        <v>718</v>
      </c>
      <c r="B1673" s="0" t="s">
        <v>379</v>
      </c>
      <c r="D1673" s="21" t="n">
        <f aca="false">D1672-D1670</f>
        <v>1.141123803768</v>
      </c>
      <c r="E1673" s="21" t="n">
        <f aca="false">$D1673*(swm_27/swm_26)^el_o*1*1*E1663*E1664</f>
        <v>1.83552013039205</v>
      </c>
      <c r="F1673" s="21" t="n">
        <f aca="false">$D1673*(swm_28/swm_26)^el_o*um28_A*1*F1663*F1664</f>
        <v>1.87583060833026</v>
      </c>
      <c r="G1673" s="21" t="n">
        <f aca="false">$D1673*(swm_29/swm_26)^el_o*um29_A*1*G1663*G1664</f>
        <v>1.89582733342525</v>
      </c>
      <c r="K1673" s="7" t="s">
        <v>719</v>
      </c>
    </row>
    <row r="1674" customFormat="false" ht="17.15" hidden="false" customHeight="false" outlineLevel="0" collapsed="false">
      <c r="A1674" s="3" t="s">
        <v>720</v>
      </c>
      <c r="B1674" s="0" t="s">
        <v>379</v>
      </c>
      <c r="D1674" s="21" t="n">
        <f aca="false">a26_abf-D1672</f>
        <v>17.144127</v>
      </c>
      <c r="E1674" s="21" t="n">
        <f aca="false">$D1674*(1+g_nai)^1*E1664</f>
        <v>20.898690813</v>
      </c>
      <c r="F1674" s="21" t="n">
        <f aca="false">$D1674*(1+g_nai)^2*F1664</f>
        <v>22.15261226178</v>
      </c>
      <c r="G1674" s="21" t="n">
        <f aca="false">$D1674*(1+g_nai)^3*G1664</f>
        <v>23.4817689974868</v>
      </c>
      <c r="K1674" s="3" t="s">
        <v>721</v>
      </c>
    </row>
    <row r="1675" customFormat="false" ht="17.15" hidden="false" customHeight="false" outlineLevel="0" collapsed="false">
      <c r="A1675" s="0" t="s">
        <v>722</v>
      </c>
      <c r="B1675" s="0" t="s">
        <v>379</v>
      </c>
      <c r="D1675" s="21" t="n">
        <f aca="false">D1670+D1673+D1674</f>
        <v>22.858836</v>
      </c>
      <c r="E1675" s="21" t="n">
        <f aca="false">E1670+E1673+E1674</f>
        <v>38.552060307501</v>
      </c>
      <c r="F1675" s="21" t="n">
        <f aca="false">F1670+F1673+F1674</f>
        <v>46.8717988602402</v>
      </c>
      <c r="G1675" s="21" t="n">
        <f aca="false">G1670+G1673+G1674</f>
        <v>54.7076452262029</v>
      </c>
    </row>
    <row r="1676" customFormat="false" ht="17.15" hidden="false" customHeight="false" outlineLevel="0" collapsed="false">
      <c r="A1676" s="0" t="s">
        <v>723</v>
      </c>
      <c r="B1676" s="0" t="s">
        <v>379</v>
      </c>
      <c r="D1676" s="21" t="n">
        <f aca="false">a26_abf</f>
        <v>22.858836</v>
      </c>
      <c r="E1676" s="21" t="n">
        <f aca="false">$D1675*cap_27*(1+g_mix)^1*E1663*E1664</f>
        <v>33.122453364</v>
      </c>
      <c r="F1676" s="21" t="n">
        <f aca="false">$D1675*cap_28*(1+g_mix)^2*F1663*F1664</f>
        <v>41.2995590382375</v>
      </c>
      <c r="G1676" s="21" t="n">
        <f aca="false">$D1675*cap_29*(1+g_mix)^3*G1663*G1664</f>
        <v>50.6680379569114</v>
      </c>
      <c r="K1676" s="7" t="s">
        <v>724</v>
      </c>
    </row>
    <row r="1677" customFormat="false" ht="17.15" hidden="false" customHeight="false" outlineLevel="0" collapsed="false">
      <c r="A1677" s="0" t="s">
        <v>725</v>
      </c>
      <c r="B1677" s="0" t="s">
        <v>379</v>
      </c>
      <c r="D1677" s="21" t="n">
        <f aca="false">a26_abf</f>
        <v>22.858836</v>
      </c>
      <c r="E1677" s="21" t="n">
        <f aca="false">MIN(E1675,E1676)</f>
        <v>33.122453364</v>
      </c>
      <c r="F1677" s="21" t="n">
        <f aca="false">MIN(F1675,F1676)</f>
        <v>41.2995590382375</v>
      </c>
      <c r="G1677" s="21" t="n">
        <f aca="false">MIN(G1675,G1676)</f>
        <v>50.6680379569114</v>
      </c>
    </row>
    <row r="1678" customFormat="false" ht="17.15" hidden="false" customHeight="false" outlineLevel="0" collapsed="false">
      <c r="A1678" s="3" t="s">
        <v>726</v>
      </c>
      <c r="B1678" s="0" t="s">
        <v>43</v>
      </c>
      <c r="D1678" s="20" t="n">
        <f aca="false">D1677/D1675</f>
        <v>1</v>
      </c>
      <c r="E1678" s="20" t="n">
        <f aca="false">E1677/E1675</f>
        <v>0.85916169200315</v>
      </c>
      <c r="F1678" s="20" t="n">
        <f aca="false">F1677/F1675</f>
        <v>0.881117431856676</v>
      </c>
      <c r="G1678" s="20" t="n">
        <f aca="false">G1677/G1675</f>
        <v>0.926160096041627</v>
      </c>
    </row>
    <row r="1679" customFormat="false" ht="17.15" hidden="false" customHeight="false" outlineLevel="0" collapsed="false">
      <c r="A1679" s="0" t="s">
        <v>727</v>
      </c>
      <c r="B1679" s="0" t="s">
        <v>379</v>
      </c>
      <c r="D1679" s="21" t="n">
        <f aca="false">(D1670+D1673)*D1678</f>
        <v>5.714709</v>
      </c>
      <c r="E1679" s="21" t="n">
        <f aca="false">(E1670+E1673)*E1678</f>
        <v>15.1670988044522</v>
      </c>
      <c r="F1679" s="21" t="n">
        <f aca="false">(F1670+F1673)*F1678</f>
        <v>21.7805062132212</v>
      </c>
      <c r="G1679" s="21" t="n">
        <f aca="false">(G1670+G1673)*G1678</f>
        <v>28.9201605269717</v>
      </c>
    </row>
    <row r="1680" customFormat="false" ht="17.15" hidden="false" customHeight="false" outlineLevel="0" collapsed="false">
      <c r="A1680" s="3" t="s">
        <v>728</v>
      </c>
      <c r="B1680" s="0" t="s">
        <v>43</v>
      </c>
      <c r="D1680" s="20" t="n">
        <f aca="false">D1670/(D1670+D1673)</f>
        <v>0.800318125775433</v>
      </c>
      <c r="E1680" s="20" t="n">
        <f aca="false">E1670/(E1670+E1673)</f>
        <v>0.896024374782173</v>
      </c>
      <c r="F1680" s="20" t="n">
        <f aca="false">F1670/(F1670+F1673)</f>
        <v>0.924114387791097</v>
      </c>
      <c r="G1680" s="20" t="n">
        <f aca="false">G1670/(G1670+G1673)</f>
        <v>0.939286657016792</v>
      </c>
    </row>
    <row r="1681" customFormat="false" ht="17.15" hidden="false" customHeight="false" outlineLevel="0" collapsed="false">
      <c r="A1681" s="5" t="s">
        <v>729</v>
      </c>
    </row>
    <row r="1682" customFormat="false" ht="17.15" hidden="false" customHeight="false" outlineLevel="0" collapsed="false">
      <c r="A1682" s="0" t="s">
        <v>730</v>
      </c>
      <c r="B1682" s="0" t="s">
        <v>379</v>
      </c>
      <c r="D1682" s="21" t="n">
        <f aca="false">a26_bt</f>
        <v>23.265964</v>
      </c>
      <c r="E1682" s="21" t="n">
        <f aca="false">D1682*(1+g_bt27_A)</f>
        <v>29.78043392</v>
      </c>
      <c r="F1682" s="21" t="n">
        <f aca="false">E1682*(1+g_bt28_A)</f>
        <v>32.758477312</v>
      </c>
      <c r="G1682" s="21" t="n">
        <f aca="false">F1682*(1+g_bt29_A)</f>
        <v>34.3964011776</v>
      </c>
      <c r="K1682" s="7" t="s">
        <v>731</v>
      </c>
    </row>
    <row r="1683" customFormat="false" ht="17.15" hidden="false" customHeight="false" outlineLevel="0" collapsed="false">
      <c r="A1683" s="3" t="s">
        <v>616</v>
      </c>
      <c r="B1683" s="0" t="s">
        <v>379</v>
      </c>
      <c r="C1683" s="21" t="n">
        <f aca="false">a25_lens</f>
        <v>7.039</v>
      </c>
      <c r="D1683" s="21" t="n">
        <f aca="false">a26_lens</f>
        <v>8.301</v>
      </c>
      <c r="E1683" s="21" t="n">
        <f aca="false">D1683*(1+g_lens)</f>
        <v>9.1311</v>
      </c>
      <c r="F1683" s="21" t="n">
        <f aca="false">E1683*(1+g_lens)</f>
        <v>10.04421</v>
      </c>
      <c r="G1683" s="21" t="n">
        <f aca="false">F1683*(1+g_lens)</f>
        <v>11.048631</v>
      </c>
      <c r="K1683" s="3" t="s">
        <v>732</v>
      </c>
    </row>
    <row r="1684" customFormat="false" ht="17.15" hidden="false" customHeight="false" outlineLevel="0" collapsed="false">
      <c r="A1684" s="3" t="s">
        <v>573</v>
      </c>
      <c r="B1684" s="0" t="s">
        <v>379</v>
      </c>
      <c r="C1684" s="23" t="n">
        <f aca="false">a25_rev</f>
        <v>39.351</v>
      </c>
      <c r="D1684" s="23" t="n">
        <f aca="false">D1677+D1682+D1683</f>
        <v>54.4258</v>
      </c>
      <c r="E1684" s="23" t="n">
        <f aca="false">E1677+E1682+E1683</f>
        <v>72.033987284</v>
      </c>
      <c r="F1684" s="23" t="n">
        <f aca="false">F1677+F1682+F1683</f>
        <v>84.1022463502375</v>
      </c>
      <c r="G1684" s="23" t="n">
        <f aca="false">G1677+G1682+G1683</f>
        <v>96.1130701345114</v>
      </c>
      <c r="H1684" s="25" t="n">
        <f aca="false">G1684*(1+H1685)</f>
        <v>107.186075216063</v>
      </c>
      <c r="I1684" s="25" t="n">
        <f aca="false">H1684*(1+I1685)</f>
        <v>116.576010002736</v>
      </c>
      <c r="J1684" s="25" t="n">
        <f aca="false">I1684*(1+J1685)</f>
        <v>123.5705706029</v>
      </c>
      <c r="K1684" s="7" t="s">
        <v>733</v>
      </c>
    </row>
    <row r="1685" customFormat="false" ht="15" hidden="false" customHeight="false" outlineLevel="0" collapsed="false">
      <c r="A1685" s="3" t="s">
        <v>734</v>
      </c>
      <c r="B1685" s="0" t="s">
        <v>43</v>
      </c>
      <c r="D1685" s="20" t="n">
        <f aca="false">D1684/C1684-1</f>
        <v>0.383085563263958</v>
      </c>
      <c r="E1685" s="20" t="n">
        <f aca="false">E1684/D1684-1</f>
        <v>0.323526476119781</v>
      </c>
      <c r="F1685" s="20" t="n">
        <f aca="false">F1684/E1684-1</f>
        <v>0.167535624796909</v>
      </c>
      <c r="G1685" s="20" t="n">
        <f aca="false">G1684/F1684-1</f>
        <v>0.142812163830389</v>
      </c>
      <c r="H1685" s="26" t="n">
        <f aca="false">$G1685+(fade_gA-$G1685)*1/3</f>
        <v>0.115208109220259</v>
      </c>
      <c r="I1685" s="26" t="n">
        <f aca="false">$G1685+(fade_gA-$G1685)*2/3</f>
        <v>0.0876040546101297</v>
      </c>
      <c r="J1685" s="26" t="n">
        <f aca="false">$G1685+(fade_gA-$G1685)*3/3</f>
        <v>0.06</v>
      </c>
    </row>
    <row r="1686" customFormat="false" ht="17.15" hidden="false" customHeight="false" outlineLevel="0" collapsed="false">
      <c r="A1686" s="0" t="s">
        <v>735</v>
      </c>
      <c r="B1686" s="0" t="s">
        <v>43</v>
      </c>
      <c r="D1686" s="20" t="n">
        <f aca="false">D1677/D1684</f>
        <v>0.42</v>
      </c>
      <c r="E1686" s="20" t="n">
        <f aca="false">E1677/E1684</f>
        <v>0.459817019893845</v>
      </c>
      <c r="F1686" s="20" t="n">
        <f aca="false">F1677/F1684</f>
        <v>0.491063685341395</v>
      </c>
      <c r="G1686" s="20" t="n">
        <f aca="false">G1677/G1684</f>
        <v>0.527171152539409</v>
      </c>
    </row>
    <row r="1687" customFormat="false" ht="17.15" hidden="false" customHeight="false" outlineLevel="0" collapsed="false">
      <c r="A1687" s="0" t="s">
        <v>736</v>
      </c>
      <c r="B1687" s="0" t="s">
        <v>43</v>
      </c>
      <c r="D1687" s="20" t="n">
        <f aca="false">D1679/D1684</f>
        <v>0.105</v>
      </c>
      <c r="E1687" s="20" t="n">
        <f aca="false">E1679/E1684</f>
        <v>0.210554758612135</v>
      </c>
      <c r="F1687" s="20" t="n">
        <f aca="false">F1679/F1684</f>
        <v>0.258976509646579</v>
      </c>
      <c r="G1687" s="20" t="n">
        <f aca="false">G1679/G1684</f>
        <v>0.300897271167153</v>
      </c>
      <c r="K1687" s="3" t="s">
        <v>737</v>
      </c>
    </row>
    <row r="1688" customFormat="false" ht="17.15" hidden="false" customHeight="false" outlineLevel="0" collapsed="false">
      <c r="A1688" s="5" t="s">
        <v>738</v>
      </c>
    </row>
    <row r="1689" customFormat="false" ht="15" hidden="false" customHeight="false" outlineLevel="0" collapsed="false">
      <c r="A1689" s="3" t="s">
        <v>739</v>
      </c>
      <c r="B1689" s="0" t="s">
        <v>379</v>
      </c>
      <c r="C1689" s="23" t="n">
        <f aca="false">a25_cx</f>
        <v>6.116</v>
      </c>
      <c r="D1689" s="23" t="n">
        <f aca="false">capex26</f>
        <v>11</v>
      </c>
      <c r="E1689" s="23" t="n">
        <f aca="false">cx27</f>
        <v>17</v>
      </c>
      <c r="F1689" s="23" t="n">
        <f aca="false">cx28</f>
        <v>16</v>
      </c>
      <c r="G1689" s="23" t="n">
        <f aca="false">cx29</f>
        <v>12</v>
      </c>
      <c r="H1689" s="25" t="n">
        <f aca="false">H1684*H1708</f>
        <v>13.4817405534162</v>
      </c>
      <c r="I1689" s="25" t="n">
        <f aca="false">I1684*I1708</f>
        <v>14.77073304233</v>
      </c>
      <c r="J1689" s="25" t="n">
        <f aca="false">J1684*J1708</f>
        <v>15.7713906192965</v>
      </c>
    </row>
    <row r="1690" customFormat="false" ht="17.15" hidden="false" customHeight="false" outlineLevel="0" collapsed="false">
      <c r="A1690" s="3" t="s">
        <v>740</v>
      </c>
      <c r="B1690" s="0" t="s">
        <v>379</v>
      </c>
      <c r="C1690" s="23" t="n">
        <f aca="false">a25_da</f>
        <v>7.158</v>
      </c>
      <c r="D1690" s="23" t="n">
        <f aca="false">da26</f>
        <v>8.32</v>
      </c>
      <c r="E1690" s="23" t="n">
        <f aca="false">D1690*(1-1/life)+D1689/life</f>
        <v>8.655</v>
      </c>
      <c r="F1690" s="23" t="n">
        <f aca="false">E1690*(1-1/life)+E1689/life</f>
        <v>9.698125</v>
      </c>
      <c r="G1690" s="23" t="n">
        <f aca="false">F1690*(1-1/life)+F1689/life</f>
        <v>10.485859375</v>
      </c>
      <c r="H1690" s="25" t="n">
        <f aca="false">H1684*H1691</f>
        <v>11.6939154071433</v>
      </c>
      <c r="I1690" s="25" t="n">
        <f aca="false">I1684*I1691</f>
        <v>12.7183498110769</v>
      </c>
      <c r="J1690" s="25" t="n">
        <f aca="false">J1684*J1691</f>
        <v>13.4814507997415</v>
      </c>
      <c r="K1690" s="3" t="s">
        <v>741</v>
      </c>
    </row>
    <row r="1691" customFormat="false" ht="17.15" hidden="false" customHeight="false" outlineLevel="0" collapsed="false">
      <c r="A1691" s="3" t="s">
        <v>742</v>
      </c>
      <c r="B1691" s="0" t="s">
        <v>43</v>
      </c>
      <c r="C1691" s="20" t="n">
        <f aca="false">C1690/C1684</f>
        <v>0.181901349393916</v>
      </c>
      <c r="D1691" s="20" t="n">
        <f aca="false">D1690/D1684</f>
        <v>0.152868676252807</v>
      </c>
      <c r="E1691" s="20" t="n">
        <f aca="false">E1690/E1684</f>
        <v>0.120151616290196</v>
      </c>
      <c r="F1691" s="20" t="n">
        <f aca="false">F1690/F1684</f>
        <v>0.115313507318376</v>
      </c>
      <c r="G1691" s="20" t="n">
        <f aca="false">G1690/G1684</f>
        <v>0.109099203264706</v>
      </c>
      <c r="H1691" s="26" t="n">
        <f aca="false">$G1691</f>
        <v>0.109099203264706</v>
      </c>
      <c r="I1691" s="26" t="n">
        <f aca="false">$G1691</f>
        <v>0.109099203264706</v>
      </c>
      <c r="J1691" s="26" t="n">
        <f aca="false">$G1691</f>
        <v>0.109099203264706</v>
      </c>
    </row>
    <row r="1692" customFormat="false" ht="17.15" hidden="false" customHeight="false" outlineLevel="0" collapsed="false">
      <c r="A1692" s="0" t="s">
        <v>743</v>
      </c>
      <c r="B1692" s="0" t="s">
        <v>379</v>
      </c>
      <c r="E1692" s="21" t="n">
        <f aca="false">E1678*((E1670+E1673)*(1-1/(E1663*E1664))+E1674*(1-1/E1664))</f>
        <v>4.320320004</v>
      </c>
      <c r="F1692" s="21" t="n">
        <f aca="false">F1678*((F1670+F1673)*(1-1/(F1663*F1664))+F1674*(1-1/F1664))</f>
        <v>4.39007949866158</v>
      </c>
      <c r="G1692" s="21" t="n">
        <f aca="false">G1678*((G1670+G1673)*(1-1/(G1663*G1664))+G1674*(1-1/G1664))</f>
        <v>3.81465610771581</v>
      </c>
      <c r="K1692" s="7" t="s">
        <v>744</v>
      </c>
    </row>
    <row r="1693" customFormat="false" ht="17.15" hidden="false" customHeight="false" outlineLevel="0" collapsed="false">
      <c r="A1693" s="3" t="s">
        <v>745</v>
      </c>
      <c r="B1693" s="0" t="s">
        <v>379</v>
      </c>
      <c r="C1693" s="21" t="n">
        <f aca="false">a25_gp</f>
        <v>8.314</v>
      </c>
      <c r="D1693" s="21" t="n">
        <f aca="false">a26_gp</f>
        <v>15.328536</v>
      </c>
      <c r="E1693" s="21" t="n">
        <f aca="false">$D1693+ft_abf*(E1677-E1692-$D1677)+ft_bt*(E1682-$D1682)+ft_lens*(E1683-$D1683)+E1692-(E1690-$D1690)</f>
        <v>25.590561148</v>
      </c>
      <c r="F1693" s="21" t="n">
        <f aca="false">$D1693+ft_abf*(F1677-F1692-$D1677)+ft_bt*(F1682-$D1682)+ft_lens*(F1683-$D1683)+F1692-(F1690-$D1690)</f>
        <v>30.4218877588495</v>
      </c>
      <c r="G1693" s="21" t="n">
        <f aca="false">$D1693+ft_abf*(G1677-G1692-$D1677)+ft_bt*(G1682-$D1682)+ft_lens*(G1683-$D1683)+G1692-(G1690-$D1690)</f>
        <v>35.2197363372336</v>
      </c>
      <c r="K1693" s="3" t="s">
        <v>746</v>
      </c>
    </row>
    <row r="1694" customFormat="false" ht="15" hidden="false" customHeight="false" outlineLevel="0" collapsed="false">
      <c r="A1694" s="3" t="s">
        <v>580</v>
      </c>
      <c r="B1694" s="0" t="s">
        <v>43</v>
      </c>
      <c r="C1694" s="16" t="n">
        <f aca="false">C1693/C1684</f>
        <v>0.211277985311682</v>
      </c>
      <c r="D1694" s="16" t="n">
        <f aca="false">D1693/D1684</f>
        <v>0.281640986443929</v>
      </c>
      <c r="E1694" s="16" t="n">
        <f aca="false">E1693/E1684</f>
        <v>0.3552567629931</v>
      </c>
      <c r="F1694" s="16" t="n">
        <f aca="false">F1693/F1684</f>
        <v>0.361725032077739</v>
      </c>
      <c r="G1694" s="16" t="n">
        <f aca="false">G1693/G1684</f>
        <v>0.366440654615893</v>
      </c>
    </row>
    <row r="1695" customFormat="false" ht="15" hidden="false" customHeight="false" outlineLevel="0" collapsed="false">
      <c r="A1695" s="3" t="s">
        <v>582</v>
      </c>
      <c r="B1695" s="0" t="s">
        <v>379</v>
      </c>
      <c r="C1695" s="21" t="n">
        <f aca="false">a25_opx</f>
        <v>5.644</v>
      </c>
      <c r="D1695" s="21" t="n">
        <f aca="false">a26_opx</f>
        <v>6.54036</v>
      </c>
      <c r="E1695" s="21" t="n">
        <f aca="false">D1695*(1+phi*E1685)</f>
        <v>7.80994777401287</v>
      </c>
      <c r="F1695" s="21" t="n">
        <f aca="false">E1695*(1+phi*F1685)</f>
        <v>8.59501446198315</v>
      </c>
      <c r="G1695" s="21" t="n">
        <f aca="false">F1695*(1+phi*G1685)</f>
        <v>9.33149803006473</v>
      </c>
    </row>
    <row r="1696" customFormat="false" ht="15" hidden="false" customHeight="false" outlineLevel="0" collapsed="false">
      <c r="A1696" s="3" t="s">
        <v>585</v>
      </c>
      <c r="B1696" s="0" t="s">
        <v>379</v>
      </c>
      <c r="C1696" s="21" t="n">
        <f aca="false">C1693-C1695</f>
        <v>2.67</v>
      </c>
      <c r="D1696" s="21" t="n">
        <f aca="false">D1693-D1695</f>
        <v>8.788176</v>
      </c>
      <c r="E1696" s="21" t="n">
        <f aca="false">E1693-E1695</f>
        <v>17.7806133739871</v>
      </c>
      <c r="F1696" s="21" t="n">
        <f aca="false">F1693-F1695</f>
        <v>21.8268732968664</v>
      </c>
      <c r="G1696" s="21" t="n">
        <f aca="false">G1693-G1695</f>
        <v>25.8882383071689</v>
      </c>
    </row>
    <row r="1697" customFormat="false" ht="15" hidden="false" customHeight="false" outlineLevel="0" collapsed="false">
      <c r="A1697" s="3" t="s">
        <v>683</v>
      </c>
      <c r="B1697" s="0" t="s">
        <v>43</v>
      </c>
      <c r="C1697" s="16" t="n">
        <f aca="false">C1696/C1684</f>
        <v>0.0678508805367081</v>
      </c>
      <c r="D1697" s="16" t="n">
        <f aca="false">D1696/D1684</f>
        <v>0.161470773052486</v>
      </c>
      <c r="E1697" s="16" t="n">
        <f aca="false">E1696/E1684</f>
        <v>0.246836445466854</v>
      </c>
      <c r="F1697" s="16" t="n">
        <f aca="false">F1696/F1684</f>
        <v>0.259527827663128</v>
      </c>
      <c r="G1697" s="16" t="n">
        <f aca="false">G1696/G1684</f>
        <v>0.269351902617802</v>
      </c>
    </row>
    <row r="1698" customFormat="false" ht="15" hidden="false" customHeight="false" outlineLevel="0" collapsed="false">
      <c r="A1698" s="3" t="s">
        <v>588</v>
      </c>
      <c r="B1698" s="0" t="s">
        <v>379</v>
      </c>
      <c r="C1698" s="21" t="n">
        <f aca="false">a25_nonop</f>
        <v>0.417</v>
      </c>
      <c r="D1698" s="21" t="n">
        <f aca="false">a26_nonop</f>
        <v>0.37882</v>
      </c>
      <c r="E1698" s="21" t="n">
        <f aca="false">nonop27</f>
        <v>0.4</v>
      </c>
      <c r="F1698" s="21" t="n">
        <f aca="false">nonop28</f>
        <v>0.4</v>
      </c>
      <c r="G1698" s="21" t="n">
        <f aca="false">nonop29</f>
        <v>0.4</v>
      </c>
    </row>
    <row r="1699" customFormat="false" ht="15" hidden="false" customHeight="false" outlineLevel="0" collapsed="false">
      <c r="A1699" s="3" t="s">
        <v>590</v>
      </c>
      <c r="B1699" s="0" t="s">
        <v>379</v>
      </c>
      <c r="C1699" s="21" t="n">
        <f aca="false">C1696+C1698</f>
        <v>3.087</v>
      </c>
      <c r="D1699" s="21" t="n">
        <f aca="false">D1696+D1698</f>
        <v>9.166996</v>
      </c>
      <c r="E1699" s="21" t="n">
        <f aca="false">E1696+E1698</f>
        <v>18.1806133739871</v>
      </c>
      <c r="F1699" s="21" t="n">
        <f aca="false">F1696+F1698</f>
        <v>22.2268732968664</v>
      </c>
      <c r="G1699" s="21" t="n">
        <f aca="false">G1696+G1698</f>
        <v>26.2882383071689</v>
      </c>
    </row>
    <row r="1700" customFormat="false" ht="15" hidden="false" customHeight="false" outlineLevel="0" collapsed="false">
      <c r="A1700" s="3" t="s">
        <v>591</v>
      </c>
      <c r="B1700" s="0" t="s">
        <v>379</v>
      </c>
      <c r="E1700" s="21" t="n">
        <f aca="false">E1699*tax_hi</f>
        <v>3.63612267479743</v>
      </c>
      <c r="F1700" s="21" t="n">
        <f aca="false">F1699*tax_hi</f>
        <v>4.44537465937328</v>
      </c>
      <c r="G1700" s="21" t="n">
        <f aca="false">G1699*tax_hi</f>
        <v>5.25764766143377</v>
      </c>
    </row>
    <row r="1701" customFormat="false" ht="15" hidden="false" customHeight="false" outlineLevel="0" collapsed="false">
      <c r="A1701" s="3" t="s">
        <v>592</v>
      </c>
      <c r="B1701" s="0" t="s">
        <v>379</v>
      </c>
      <c r="C1701" s="21" t="n">
        <f aca="false">a25_nic</f>
        <v>2.71712</v>
      </c>
      <c r="D1701" s="21" t="n">
        <f aca="false">a26_nic</f>
        <v>8.39979776</v>
      </c>
      <c r="E1701" s="21" t="n">
        <f aca="false">E1699-E1700</f>
        <v>14.5444906991897</v>
      </c>
      <c r="F1701" s="21" t="n">
        <f aca="false">F1699-F1700</f>
        <v>17.7814986374931</v>
      </c>
      <c r="G1701" s="21" t="n">
        <f aca="false">G1699-G1700</f>
        <v>21.0305906457351</v>
      </c>
    </row>
    <row r="1702" customFormat="false" ht="17.15" hidden="false" customHeight="false" outlineLevel="0" collapsed="false">
      <c r="A1702" s="3" t="s">
        <v>747</v>
      </c>
      <c r="B1702" s="0" t="s">
        <v>379</v>
      </c>
      <c r="C1702" s="21" t="n">
        <f aca="false">a25_nci</f>
        <v>1.12112</v>
      </c>
      <c r="D1702" s="21" t="n">
        <f aca="false">a26_nci</f>
        <v>1.43839238487797</v>
      </c>
      <c r="E1702" s="21" t="n">
        <f aca="false">E1683*nm_lens*nci_sh</f>
        <v>1.57074538036261</v>
      </c>
      <c r="F1702" s="21" t="n">
        <f aca="false">F1683*nm_lens*nci_sh</f>
        <v>1.72781991839887</v>
      </c>
      <c r="G1702" s="21" t="n">
        <f aca="false">G1683*nm_lens*nci_sh</f>
        <v>1.90060191023875</v>
      </c>
      <c r="K1702" s="3" t="s">
        <v>748</v>
      </c>
    </row>
    <row r="1703" customFormat="false" ht="15" hidden="false" customHeight="false" outlineLevel="0" collapsed="false">
      <c r="A1703" s="3" t="s">
        <v>598</v>
      </c>
      <c r="B1703" s="0" t="s">
        <v>379</v>
      </c>
      <c r="C1703" s="21" t="n">
        <f aca="false">a25_ni</f>
        <v>1.596</v>
      </c>
      <c r="D1703" s="21" t="n">
        <f aca="false">a26_ni</f>
        <v>6.96140537512203</v>
      </c>
      <c r="E1703" s="21" t="n">
        <f aca="false">E1701-E1702</f>
        <v>12.9737453188271</v>
      </c>
      <c r="F1703" s="21" t="n">
        <f aca="false">F1701-F1702</f>
        <v>16.0536787190942</v>
      </c>
      <c r="G1703" s="21" t="n">
        <f aca="false">G1701-G1702</f>
        <v>19.1299887354963</v>
      </c>
      <c r="H1703" s="30" t="n">
        <f aca="false">H1684*H1707</f>
        <v>22.1157014081116</v>
      </c>
      <c r="I1703" s="30" t="n">
        <f aca="false">I1684*I1707</f>
        <v>24.9033967096986</v>
      </c>
      <c r="J1703" s="30" t="n">
        <f aca="false">J1684*J1707</f>
        <v>27.2988869112315</v>
      </c>
    </row>
    <row r="1704" customFormat="false" ht="15" hidden="false" customHeight="false" outlineLevel="0" collapsed="false">
      <c r="A1704" s="3" t="s">
        <v>749</v>
      </c>
      <c r="B1704" s="3" t="s">
        <v>465</v>
      </c>
      <c r="C1704" s="29" t="n">
        <f aca="false">a25_sh</f>
        <v>0.454700854700855</v>
      </c>
      <c r="D1704" s="29" t="n">
        <f aca="false">a26_sh</f>
        <v>0.508341020486215</v>
      </c>
      <c r="E1704" s="29" t="n">
        <f aca="false">a26_shend*(1+sh_g)</f>
        <v>0.52691</v>
      </c>
      <c r="F1704" s="29" t="n">
        <f aca="false">E1704*(1+sh_g)</f>
        <v>0.52691</v>
      </c>
      <c r="G1704" s="29" t="n">
        <f aca="false">F1704*(1+sh_g)</f>
        <v>0.52691</v>
      </c>
      <c r="H1704" s="31" t="n">
        <f aca="false">G1704*(1+sh_g)</f>
        <v>0.52691</v>
      </c>
      <c r="I1704" s="31" t="n">
        <f aca="false">H1704*(1+sh_g)</f>
        <v>0.52691</v>
      </c>
      <c r="J1704" s="31" t="n">
        <f aca="false">I1704*(1+sh_g)</f>
        <v>0.52691</v>
      </c>
    </row>
    <row r="1705" customFormat="false" ht="17.15" hidden="false" customHeight="false" outlineLevel="0" collapsed="false">
      <c r="A1705" s="0" t="s">
        <v>603</v>
      </c>
      <c r="B1705" s="0" t="s">
        <v>471</v>
      </c>
      <c r="C1705" s="18" t="n">
        <f aca="false">C1703/C1704</f>
        <v>3.51</v>
      </c>
      <c r="D1705" s="18" t="n">
        <f aca="false">D1703/D1704</f>
        <v>13.6943608612652</v>
      </c>
      <c r="E1705" s="18" t="n">
        <f aca="false">E1703/E1704</f>
        <v>24.6223175093035</v>
      </c>
      <c r="F1705" s="18" t="n">
        <f aca="false">F1703/F1704</f>
        <v>30.4675916553002</v>
      </c>
      <c r="G1705" s="18" t="n">
        <f aca="false">G1703/G1704</f>
        <v>36.3059891357088</v>
      </c>
      <c r="H1705" s="28" t="n">
        <f aca="false">H1703/H1704</f>
        <v>41.9724457841217</v>
      </c>
      <c r="I1705" s="28" t="n">
        <f aca="false">I1703/I1704</f>
        <v>47.2630937156225</v>
      </c>
      <c r="J1705" s="28" t="n">
        <f aca="false">J1703/J1704</f>
        <v>51.8093923274022</v>
      </c>
    </row>
    <row r="1706" customFormat="false" ht="17.15" hidden="false" customHeight="false" outlineLevel="0" collapsed="false">
      <c r="A1706" s="0" t="s">
        <v>750</v>
      </c>
      <c r="B1706" s="0" t="s">
        <v>43</v>
      </c>
      <c r="D1706" s="20" t="n">
        <f aca="false">D1705/C1705-1</f>
        <v>2.90152731090177</v>
      </c>
      <c r="E1706" s="20" t="n">
        <f aca="false">E1705/D1705-1</f>
        <v>0.797989534432984</v>
      </c>
      <c r="F1706" s="20" t="n">
        <f aca="false">F1705/E1705-1</f>
        <v>0.237397399484761</v>
      </c>
      <c r="G1706" s="20" t="n">
        <f aca="false">G1705/F1705-1</f>
        <v>0.191626484510564</v>
      </c>
      <c r="H1706" s="26" t="n">
        <f aca="false">H1705/G1705-1</f>
        <v>0.156074983310113</v>
      </c>
      <c r="I1706" s="26" t="n">
        <f aca="false">I1705/H1705-1</f>
        <v>0.126050503673584</v>
      </c>
      <c r="J1706" s="26" t="n">
        <f aca="false">J1705/I1705-1</f>
        <v>0.0961913039195936</v>
      </c>
    </row>
    <row r="1707" customFormat="false" ht="17.15" hidden="false" customHeight="false" outlineLevel="0" collapsed="false">
      <c r="A1707" s="3" t="s">
        <v>751</v>
      </c>
      <c r="B1707" s="0" t="s">
        <v>43</v>
      </c>
      <c r="C1707" s="16" t="n">
        <f aca="false">C1703/C1684</f>
        <v>0.0405580544331783</v>
      </c>
      <c r="D1707" s="16" t="n">
        <f aca="false">D1703/D1684</f>
        <v>0.127906349105057</v>
      </c>
      <c r="E1707" s="16" t="n">
        <f aca="false">E1703/E1684</f>
        <v>0.180105889011489</v>
      </c>
      <c r="F1707" s="16" t="n">
        <f aca="false">F1703/F1684</f>
        <v>0.190882876686074</v>
      </c>
      <c r="G1707" s="16" t="n">
        <f aca="false">G1703/G1684</f>
        <v>0.199036288287573</v>
      </c>
      <c r="H1707" s="27" t="n">
        <f aca="false">$G1707+(fade_mA-$G1707)*1/3</f>
        <v>0.206329986087571</v>
      </c>
      <c r="I1707" s="27" t="n">
        <f aca="false">$G1707+(fade_mA-$G1707)*2/3</f>
        <v>0.21362368388757</v>
      </c>
      <c r="J1707" s="27" t="n">
        <f aca="false">$G1707+(fade_mA-$G1707)*3/3</f>
        <v>0.220917381687568</v>
      </c>
    </row>
    <row r="1708" customFormat="false" ht="17.15" hidden="false" customHeight="false" outlineLevel="0" collapsed="false">
      <c r="A1708" s="3" t="s">
        <v>752</v>
      </c>
      <c r="B1708" s="0" t="s">
        <v>43</v>
      </c>
      <c r="C1708" s="20" t="n">
        <f aca="false">C1689/C1684</f>
        <v>0.155421717364235</v>
      </c>
      <c r="D1708" s="20" t="n">
        <f aca="false">D1689/D1684</f>
        <v>0.202110028699624</v>
      </c>
      <c r="E1708" s="20" t="n">
        <f aca="false">E1689/E1684</f>
        <v>0.235999708484498</v>
      </c>
      <c r="F1708" s="20" t="n">
        <f aca="false">F1689/F1684</f>
        <v>0.190244621212247</v>
      </c>
      <c r="G1708" s="20" t="n">
        <f aca="false">G1689/G1684</f>
        <v>0.124852946464054</v>
      </c>
      <c r="H1708" s="26" t="n">
        <f aca="false">$G1708+($G1691*(1+tp_g)^(life/2)-$G1708)*1/3</f>
        <v>0.125778843252168</v>
      </c>
      <c r="I1708" s="26" t="n">
        <f aca="false">$G1708+($G1691*(1+tp_g)^(life/2)-$G1708)*2/3</f>
        <v>0.126704740040282</v>
      </c>
      <c r="J1708" s="26" t="n">
        <f aca="false">$G1708+($G1691*(1+tp_g)^(life/2)-$G1708)*3/3</f>
        <v>0.127630636828396</v>
      </c>
      <c r="K1708" s="7" t="s">
        <v>753</v>
      </c>
    </row>
    <row r="1709" customFormat="false" ht="15" hidden="false" customHeight="false" outlineLevel="0" collapsed="false">
      <c r="A1709" s="3" t="s">
        <v>754</v>
      </c>
      <c r="B1709" s="0" t="s">
        <v>379</v>
      </c>
      <c r="D1709" s="21" t="n">
        <f aca="false">D1703+D1690-D1689</f>
        <v>4.28140537512203</v>
      </c>
      <c r="E1709" s="21" t="n">
        <f aca="false">E1703+E1690-E1689</f>
        <v>4.6287453188271</v>
      </c>
      <c r="F1709" s="21" t="n">
        <f aca="false">F1703+F1690-F1689</f>
        <v>9.75180371909424</v>
      </c>
      <c r="G1709" s="21" t="n">
        <f aca="false">G1703+G1690-G1689</f>
        <v>17.6158481104963</v>
      </c>
      <c r="H1709" s="30" t="n">
        <f aca="false">H1703+H1690-H1689</f>
        <v>20.3278762618386</v>
      </c>
      <c r="I1709" s="30" t="n">
        <f aca="false">I1703+I1690-I1689</f>
        <v>22.8510134784455</v>
      </c>
      <c r="J1709" s="30" t="n">
        <f aca="false">J1703+J1690-J1689</f>
        <v>25.0089470916765</v>
      </c>
      <c r="K1709" s="3" t="s">
        <v>755</v>
      </c>
    </row>
    <row r="1710" customFormat="false" ht="15" hidden="false" customHeight="false" outlineLevel="0" collapsed="false">
      <c r="A1710" s="3" t="s">
        <v>756</v>
      </c>
      <c r="B1710" s="0" t="s">
        <v>471</v>
      </c>
      <c r="D1710" s="18" t="n">
        <f aca="false">D1709/D1704</f>
        <v>8.42230943909854</v>
      </c>
      <c r="E1710" s="18" t="n">
        <f aca="false">E1709/E1704</f>
        <v>8.78469818152455</v>
      </c>
      <c r="F1710" s="18" t="n">
        <f aca="false">F1709/F1704</f>
        <v>18.5075320625804</v>
      </c>
      <c r="G1710" s="18" t="n">
        <f aca="false">G1709/G1704</f>
        <v>33.432366268426</v>
      </c>
      <c r="H1710" s="28" t="n">
        <f aca="false">H1709/H1704</f>
        <v>38.5794087450203</v>
      </c>
      <c r="I1710" s="28" t="n">
        <f aca="false">I1709/I1704</f>
        <v>43.3679631786179</v>
      </c>
      <c r="J1710" s="28" t="n">
        <f aca="false">J1709/J1704</f>
        <v>47.4634132805916</v>
      </c>
    </row>
    <row r="1713" customFormat="false" ht="17.15" hidden="false" customHeight="false" outlineLevel="0" collapsed="false">
      <c r="A1713" s="1" t="s">
        <v>1119</v>
      </c>
    </row>
    <row r="1714" customFormat="false" ht="17.15" hidden="false" customHeight="false" outlineLevel="0" collapsed="false">
      <c r="A1714" s="4" t="s">
        <v>20</v>
      </c>
      <c r="B1714" s="4" t="s">
        <v>21</v>
      </c>
      <c r="C1714" s="13" t="s">
        <v>566</v>
      </c>
      <c r="D1714" s="13" t="s">
        <v>670</v>
      </c>
      <c r="E1714" s="13" t="s">
        <v>671</v>
      </c>
      <c r="F1714" s="13" t="s">
        <v>672</v>
      </c>
      <c r="G1714" s="13" t="s">
        <v>673</v>
      </c>
      <c r="H1714" s="13" t="s">
        <v>674</v>
      </c>
      <c r="I1714" s="13" t="s">
        <v>675</v>
      </c>
      <c r="J1714" s="13" t="s">
        <v>676</v>
      </c>
      <c r="K1714" s="4" t="s">
        <v>630</v>
      </c>
    </row>
    <row r="1715" customFormat="false" ht="17.15" hidden="false" customHeight="false" outlineLevel="0" collapsed="false">
      <c r="A1715" s="5" t="s">
        <v>694</v>
      </c>
    </row>
    <row r="1716" customFormat="false" ht="17.15" hidden="false" customHeight="false" outlineLevel="0" collapsed="false">
      <c r="A1716" s="0" t="s">
        <v>695</v>
      </c>
      <c r="B1716" s="3" t="s">
        <v>31</v>
      </c>
      <c r="D1716" s="21" t="n">
        <f aca="false">(u_bw_26+u_rb_26+u_ru_26+u_hp_26)*1</f>
        <v>7.6</v>
      </c>
      <c r="E1716" s="21" t="n">
        <f aca="false">(u_bw_27+u_rb_27+u_ru_27+u_hp_27)*1*1</f>
        <v>9.7</v>
      </c>
      <c r="F1716" s="21" t="n">
        <f aca="false">(u_bw_28+u_rb_28+u_ru_28+u_hp_28)*um28_A*1</f>
        <v>9.5</v>
      </c>
      <c r="G1716" s="21" t="n">
        <f aca="false">(u_bw_28*(1+g29_bw)+u_rb_28*(1+g29_rb)+u_ru_28*(1+g29_ru)+u_hp_28*(1+g29_hp))*um29_A*1</f>
        <v>10.6</v>
      </c>
      <c r="K1716" s="7" t="s">
        <v>696</v>
      </c>
    </row>
    <row r="1717" customFormat="false" ht="17.15" hidden="false" customHeight="false" outlineLevel="0" collapsed="false">
      <c r="A1717" s="3" t="s">
        <v>697</v>
      </c>
      <c r="B1717" s="3" t="s">
        <v>31</v>
      </c>
      <c r="D1717" s="21" t="n">
        <f aca="false">(u_amd_26+u_tpu_26+u_trn_26+u_oth_26)*1</f>
        <v>7.6</v>
      </c>
      <c r="E1717" s="21" t="n">
        <f aca="false">(u_amd_27+u_tpu_27+u_trn_27+u_oth_27)*1*1</f>
        <v>14</v>
      </c>
      <c r="F1717" s="21" t="n">
        <f aca="false">(u_amd_28+u_tpu_28+u_trn_28+u_oth_28)*um28_A*1</f>
        <v>17</v>
      </c>
      <c r="G1717" s="21" t="n">
        <f aca="false">(u_amd_28*(1+g29_amd)+u_tpu_28*(1+g29_tpu)+u_trn_28*(1+g29_trn)+u_oth_28*(1+g29_oth))*um29_A*1</f>
        <v>19.55</v>
      </c>
      <c r="K1717" s="7" t="s">
        <v>698</v>
      </c>
    </row>
    <row r="1718" customFormat="false" ht="17.15" hidden="false" customHeight="false" outlineLevel="0" collapsed="false">
      <c r="A1718" s="0" t="s">
        <v>699</v>
      </c>
      <c r="B1718" s="3" t="s">
        <v>31</v>
      </c>
      <c r="D1718" s="21" t="n">
        <f aca="false">D1716*cpu_r</f>
        <v>3.04</v>
      </c>
      <c r="E1718" s="21" t="n">
        <f aca="false">E1716*cpu_r</f>
        <v>3.88</v>
      </c>
      <c r="F1718" s="21" t="n">
        <f aca="false">F1716*cpu_r</f>
        <v>3.8</v>
      </c>
      <c r="G1718" s="21" t="n">
        <f aca="false">G1716*cpu_r</f>
        <v>4.24</v>
      </c>
      <c r="K1718" s="7" t="s">
        <v>700</v>
      </c>
    </row>
    <row r="1719" customFormat="false" ht="17.15" hidden="false" customHeight="false" outlineLevel="0" collapsed="false">
      <c r="A1719" s="3" t="s">
        <v>701</v>
      </c>
      <c r="B1719" s="0" t="s">
        <v>153</v>
      </c>
      <c r="D1719" s="19" t="n">
        <f aca="false">1</f>
        <v>1</v>
      </c>
      <c r="E1719" s="19" t="n">
        <f aca="false">D1719*(1+g_asp)</f>
        <v>1.18</v>
      </c>
      <c r="F1719" s="19" t="n">
        <f aca="false">E1719*(1+g_asp)</f>
        <v>1.3924</v>
      </c>
      <c r="G1719" s="19" t="n">
        <f aca="false">F1719*(1+g_asp)</f>
        <v>1.643032</v>
      </c>
      <c r="K1719" s="7" t="s">
        <v>702</v>
      </c>
    </row>
    <row r="1720" customFormat="false" ht="17.15" hidden="false" customHeight="false" outlineLevel="0" collapsed="false">
      <c r="A1720" s="0" t="s">
        <v>703</v>
      </c>
      <c r="B1720" s="0" t="s">
        <v>153</v>
      </c>
      <c r="D1720" s="18" t="n">
        <f aca="false">1</f>
        <v>1</v>
      </c>
      <c r="E1720" s="18" t="n">
        <f aca="false">ibpp_27</f>
        <v>1</v>
      </c>
      <c r="F1720" s="18" t="n">
        <f aca="false">ibpp_28</f>
        <v>0.95</v>
      </c>
      <c r="G1720" s="18" t="n">
        <f aca="false">ibpp_29</f>
        <v>0.9</v>
      </c>
      <c r="K1720" s="7" t="s">
        <v>704</v>
      </c>
    </row>
    <row r="1721" customFormat="false" ht="17.15" hidden="false" customHeight="false" outlineLevel="0" collapsed="false">
      <c r="A1721" s="3" t="s">
        <v>705</v>
      </c>
      <c r="B1721" s="0" t="s">
        <v>153</v>
      </c>
      <c r="D1721" s="18" t="n">
        <f aca="false">1</f>
        <v>1</v>
      </c>
      <c r="E1721" s="18" t="n">
        <f aca="false">1+carry</f>
        <v>1.15</v>
      </c>
      <c r="F1721" s="18" t="n">
        <f aca="false">1+carry</f>
        <v>1.15</v>
      </c>
      <c r="G1721" s="18" t="n">
        <f aca="false">1+carry</f>
        <v>1.15</v>
      </c>
      <c r="K1721" s="7" t="s">
        <v>706</v>
      </c>
    </row>
    <row r="1722" customFormat="false" ht="17.15" hidden="false" customHeight="false" outlineLevel="0" collapsed="false">
      <c r="A1722" s="3" t="s">
        <v>707</v>
      </c>
      <c r="B1722" s="0" t="s">
        <v>708</v>
      </c>
      <c r="D1722" s="23" t="n">
        <f aca="false">v26*D1719*D1720</f>
        <v>215.308596</v>
      </c>
      <c r="E1722" s="23" t="n">
        <f aca="false">v26*E1719*E1720</f>
        <v>254.06414328</v>
      </c>
      <c r="F1722" s="23" t="n">
        <f aca="false">v26*F1719*F1720</f>
        <v>284.80590461688</v>
      </c>
      <c r="G1722" s="23" t="n">
        <f aca="false">v26*G1719*G1720</f>
        <v>318.383021792765</v>
      </c>
      <c r="K1722" s="7" t="s">
        <v>709</v>
      </c>
    </row>
    <row r="1723" customFormat="false" ht="17.15" hidden="false" customHeight="false" outlineLevel="0" collapsed="false">
      <c r="A1723" s="3" t="s">
        <v>710</v>
      </c>
      <c r="B1723" s="0" t="s">
        <v>43</v>
      </c>
      <c r="D1723" s="20" t="n">
        <f aca="false">sh_nv_26</f>
        <v>0.02</v>
      </c>
      <c r="E1723" s="20" t="n">
        <f aca="false">sh_nv_27</f>
        <v>0.03</v>
      </c>
      <c r="F1723" s="20" t="n">
        <f aca="false">sh_nv_28</f>
        <v>0.05</v>
      </c>
      <c r="G1723" s="20" t="n">
        <f aca="false">sh_nv_29</f>
        <v>0.06</v>
      </c>
    </row>
    <row r="1724" customFormat="false" ht="17.15" hidden="false" customHeight="false" outlineLevel="0" collapsed="false">
      <c r="A1724" s="3" t="s">
        <v>711</v>
      </c>
      <c r="B1724" s="0" t="s">
        <v>43</v>
      </c>
      <c r="D1724" s="20" t="n">
        <f aca="false">sh_ot_26</f>
        <v>0.03</v>
      </c>
      <c r="E1724" s="20" t="n">
        <f aca="false">sh_ot_27</f>
        <v>0.05</v>
      </c>
      <c r="F1724" s="20" t="n">
        <f aca="false">sh_ot_28</f>
        <v>0.06</v>
      </c>
      <c r="G1724" s="20" t="n">
        <f aca="false">sh_ot_29</f>
        <v>0.06</v>
      </c>
    </row>
    <row r="1725" customFormat="false" ht="17.15" hidden="false" customHeight="false" outlineLevel="0" collapsed="false">
      <c r="A1725" s="3" t="s">
        <v>712</v>
      </c>
      <c r="B1725" s="0" t="s">
        <v>43</v>
      </c>
      <c r="D1725" s="20" t="n">
        <f aca="false">sh_cpu_26</f>
        <v>0.35</v>
      </c>
      <c r="E1725" s="20" t="n">
        <f aca="false">sh_cpu_27</f>
        <v>0.7</v>
      </c>
      <c r="F1725" s="20" t="n">
        <f aca="false">sh_cpu_28</f>
        <v>0.75</v>
      </c>
      <c r="G1725" s="20" t="n">
        <f aca="false">sh_cpu_29</f>
        <v>0.7</v>
      </c>
    </row>
    <row r="1726" customFormat="false" ht="17.15" hidden="false" customHeight="false" outlineLevel="0" collapsed="false">
      <c r="A1726" s="3" t="s">
        <v>713</v>
      </c>
      <c r="B1726" s="0" t="s">
        <v>660</v>
      </c>
      <c r="D1726" s="22" t="n">
        <f aca="false">(D1716*D1722*D1723+D1717*D1722*v_ot*D1724+D1718*D1722*v_cpu*D1725)*D1721</f>
        <v>140.7256983456</v>
      </c>
      <c r="E1726" s="22" t="n">
        <f aca="false">(E1716*E1722*E1723+E1717*E1722*v_ot*E1724+E1718*E1722*v_cpu*E1725)*E1721</f>
        <v>486.703057357198</v>
      </c>
      <c r="F1726" s="22" t="n">
        <f aca="false">(F1716*F1722*F1723+F1717*F1722*v_ot*F1724+F1718*F1722*v_cpu*F1725)*F1721</f>
        <v>702.872492003998</v>
      </c>
      <c r="G1726" s="22" t="n">
        <f aca="false">(G1716*G1722*G1723+G1717*G1722*v_ot*G1724+G1718*G1722*v_cpu*G1725)*G1721</f>
        <v>902.463042932027</v>
      </c>
    </row>
    <row r="1727" customFormat="false" ht="17.15" hidden="false" customHeight="false" outlineLevel="0" collapsed="false">
      <c r="A1727" s="3" t="s">
        <v>714</v>
      </c>
      <c r="B1727" s="0" t="s">
        <v>379</v>
      </c>
      <c r="D1727" s="21" t="n">
        <f aca="false">D1726*fx/1000</f>
        <v>4.573585196232</v>
      </c>
      <c r="E1727" s="21" t="n">
        <f aca="false">E1726*fx/1000</f>
        <v>15.8178493641089</v>
      </c>
      <c r="F1727" s="21" t="n">
        <f aca="false">F1726*fx/1000</f>
        <v>22.8433559901299</v>
      </c>
      <c r="G1727" s="21" t="n">
        <f aca="false">G1726*fx/1000</f>
        <v>29.3300488952909</v>
      </c>
    </row>
    <row r="1728" customFormat="false" ht="17.15" hidden="false" customHeight="false" outlineLevel="0" collapsed="false">
      <c r="A1728" s="5" t="s">
        <v>715</v>
      </c>
    </row>
    <row r="1729" customFormat="false" ht="17.15" hidden="false" customHeight="false" outlineLevel="0" collapsed="false">
      <c r="A1729" s="0" t="s">
        <v>716</v>
      </c>
      <c r="B1729" s="0" t="s">
        <v>379</v>
      </c>
      <c r="D1729" s="21" t="n">
        <f aca="false">a26_abf*ai_abf</f>
        <v>5.714709</v>
      </c>
      <c r="K1729" s="3" t="s">
        <v>717</v>
      </c>
    </row>
    <row r="1730" customFormat="false" ht="17.15" hidden="false" customHeight="false" outlineLevel="0" collapsed="false">
      <c r="A1730" s="3" t="s">
        <v>718</v>
      </c>
      <c r="B1730" s="0" t="s">
        <v>379</v>
      </c>
      <c r="D1730" s="21" t="n">
        <f aca="false">D1729-D1727</f>
        <v>1.141123803768</v>
      </c>
      <c r="E1730" s="21" t="n">
        <f aca="false">$D1730*(swm_27/swm_26)^el_o*1*1*E1720*E1721</f>
        <v>1.83552013039205</v>
      </c>
      <c r="F1730" s="21" t="n">
        <f aca="false">$D1730*(swm_28/swm_26)^el_o*um28_A*1*F1720*F1721</f>
        <v>1.87583060833026</v>
      </c>
      <c r="G1730" s="21" t="n">
        <f aca="false">$D1730*(swm_29/swm_26)^el_o*um29_A*1*G1720*G1721</f>
        <v>1.89582733342525</v>
      </c>
      <c r="K1730" s="7" t="s">
        <v>719</v>
      </c>
    </row>
    <row r="1731" customFormat="false" ht="17.15" hidden="false" customHeight="false" outlineLevel="0" collapsed="false">
      <c r="A1731" s="3" t="s">
        <v>720</v>
      </c>
      <c r="B1731" s="0" t="s">
        <v>379</v>
      </c>
      <c r="D1731" s="21" t="n">
        <f aca="false">a26_abf-D1729</f>
        <v>17.144127</v>
      </c>
      <c r="E1731" s="21" t="n">
        <f aca="false">$D1731*(1+g_nai)^1*E1721</f>
        <v>20.898690813</v>
      </c>
      <c r="F1731" s="21" t="n">
        <f aca="false">$D1731*(1+g_nai)^2*F1721</f>
        <v>22.15261226178</v>
      </c>
      <c r="G1731" s="21" t="n">
        <f aca="false">$D1731*(1+g_nai)^3*G1721</f>
        <v>23.4817689974868</v>
      </c>
      <c r="K1731" s="3" t="s">
        <v>721</v>
      </c>
    </row>
    <row r="1732" customFormat="false" ht="17.15" hidden="false" customHeight="false" outlineLevel="0" collapsed="false">
      <c r="A1732" s="0" t="s">
        <v>722</v>
      </c>
      <c r="B1732" s="0" t="s">
        <v>379</v>
      </c>
      <c r="D1732" s="21" t="n">
        <f aca="false">D1727+D1730+D1731</f>
        <v>22.858836</v>
      </c>
      <c r="E1732" s="21" t="n">
        <f aca="false">E1727+E1730+E1731</f>
        <v>38.552060307501</v>
      </c>
      <c r="F1732" s="21" t="n">
        <f aca="false">F1727+F1730+F1731</f>
        <v>46.8717988602402</v>
      </c>
      <c r="G1732" s="21" t="n">
        <f aca="false">G1727+G1730+G1731</f>
        <v>54.7076452262029</v>
      </c>
    </row>
    <row r="1733" customFormat="false" ht="17.15" hidden="false" customHeight="false" outlineLevel="0" collapsed="false">
      <c r="A1733" s="0" t="s">
        <v>723</v>
      </c>
      <c r="B1733" s="0" t="s">
        <v>379</v>
      </c>
      <c r="D1733" s="21" t="n">
        <f aca="false">a26_abf</f>
        <v>22.858836</v>
      </c>
      <c r="E1733" s="21" t="n">
        <f aca="false">$D1732*cap_27*(1+g_mix)^1*E1720*E1721</f>
        <v>33.122453364</v>
      </c>
      <c r="F1733" s="21" t="n">
        <f aca="false">$D1732*cap_28*(1+g_mix)^2*F1720*F1721</f>
        <v>41.2995590382375</v>
      </c>
      <c r="G1733" s="21" t="n">
        <f aca="false">$D1732*cap_29*(1+g_mix)^3*G1720*G1721</f>
        <v>50.6680379569114</v>
      </c>
      <c r="K1733" s="7" t="s">
        <v>724</v>
      </c>
    </row>
    <row r="1734" customFormat="false" ht="17.15" hidden="false" customHeight="false" outlineLevel="0" collapsed="false">
      <c r="A1734" s="0" t="s">
        <v>725</v>
      </c>
      <c r="B1734" s="0" t="s">
        <v>379</v>
      </c>
      <c r="D1734" s="21" t="n">
        <f aca="false">a26_abf</f>
        <v>22.858836</v>
      </c>
      <c r="E1734" s="21" t="n">
        <f aca="false">MIN(E1732,E1733)</f>
        <v>33.122453364</v>
      </c>
      <c r="F1734" s="21" t="n">
        <f aca="false">MIN(F1732,F1733)</f>
        <v>41.2995590382375</v>
      </c>
      <c r="G1734" s="21" t="n">
        <f aca="false">MIN(G1732,G1733)</f>
        <v>50.6680379569114</v>
      </c>
    </row>
    <row r="1735" customFormat="false" ht="17.15" hidden="false" customHeight="false" outlineLevel="0" collapsed="false">
      <c r="A1735" s="3" t="s">
        <v>726</v>
      </c>
      <c r="B1735" s="0" t="s">
        <v>43</v>
      </c>
      <c r="D1735" s="20" t="n">
        <f aca="false">D1734/D1732</f>
        <v>1</v>
      </c>
      <c r="E1735" s="20" t="n">
        <f aca="false">E1734/E1732</f>
        <v>0.85916169200315</v>
      </c>
      <c r="F1735" s="20" t="n">
        <f aca="false">F1734/F1732</f>
        <v>0.881117431856676</v>
      </c>
      <c r="G1735" s="20" t="n">
        <f aca="false">G1734/G1732</f>
        <v>0.926160096041627</v>
      </c>
    </row>
    <row r="1736" customFormat="false" ht="17.15" hidden="false" customHeight="false" outlineLevel="0" collapsed="false">
      <c r="A1736" s="0" t="s">
        <v>727</v>
      </c>
      <c r="B1736" s="0" t="s">
        <v>379</v>
      </c>
      <c r="D1736" s="21" t="n">
        <f aca="false">(D1727+D1730)*D1735</f>
        <v>5.714709</v>
      </c>
      <c r="E1736" s="21" t="n">
        <f aca="false">(E1727+E1730)*E1735</f>
        <v>15.1670988044522</v>
      </c>
      <c r="F1736" s="21" t="n">
        <f aca="false">(F1727+F1730)*F1735</f>
        <v>21.7805062132212</v>
      </c>
      <c r="G1736" s="21" t="n">
        <f aca="false">(G1727+G1730)*G1735</f>
        <v>28.9201605269717</v>
      </c>
    </row>
    <row r="1737" customFormat="false" ht="17.15" hidden="false" customHeight="false" outlineLevel="0" collapsed="false">
      <c r="A1737" s="3" t="s">
        <v>728</v>
      </c>
      <c r="B1737" s="0" t="s">
        <v>43</v>
      </c>
      <c r="D1737" s="20" t="n">
        <f aca="false">D1727/(D1727+D1730)</f>
        <v>0.800318125775433</v>
      </c>
      <c r="E1737" s="20" t="n">
        <f aca="false">E1727/(E1727+E1730)</f>
        <v>0.896024374782173</v>
      </c>
      <c r="F1737" s="20" t="n">
        <f aca="false">F1727/(F1727+F1730)</f>
        <v>0.924114387791097</v>
      </c>
      <c r="G1737" s="20" t="n">
        <f aca="false">G1727/(G1727+G1730)</f>
        <v>0.939286657016792</v>
      </c>
    </row>
    <row r="1738" customFormat="false" ht="17.15" hidden="false" customHeight="false" outlineLevel="0" collapsed="false">
      <c r="A1738" s="5" t="s">
        <v>729</v>
      </c>
    </row>
    <row r="1739" customFormat="false" ht="17.15" hidden="false" customHeight="false" outlineLevel="0" collapsed="false">
      <c r="A1739" s="0" t="s">
        <v>730</v>
      </c>
      <c r="B1739" s="0" t="s">
        <v>379</v>
      </c>
      <c r="D1739" s="21" t="n">
        <f aca="false">a26_bt</f>
        <v>23.265964</v>
      </c>
      <c r="E1739" s="21" t="n">
        <f aca="false">D1739*(1+g_bt27_A)</f>
        <v>29.78043392</v>
      </c>
      <c r="F1739" s="21" t="n">
        <f aca="false">E1739*(1+g_bt28_A)</f>
        <v>32.758477312</v>
      </c>
      <c r="G1739" s="21" t="n">
        <f aca="false">F1739*(1+g_bt29_A)</f>
        <v>34.3964011776</v>
      </c>
      <c r="K1739" s="7" t="s">
        <v>731</v>
      </c>
    </row>
    <row r="1740" customFormat="false" ht="17.15" hidden="false" customHeight="false" outlineLevel="0" collapsed="false">
      <c r="A1740" s="3" t="s">
        <v>616</v>
      </c>
      <c r="B1740" s="0" t="s">
        <v>379</v>
      </c>
      <c r="C1740" s="21" t="n">
        <f aca="false">a25_lens</f>
        <v>7.039</v>
      </c>
      <c r="D1740" s="21" t="n">
        <f aca="false">a26_lens</f>
        <v>8.301</v>
      </c>
      <c r="E1740" s="21" t="n">
        <f aca="false">D1740*(1+g_lens)</f>
        <v>9.1311</v>
      </c>
      <c r="F1740" s="21" t="n">
        <f aca="false">E1740*(1+g_lens)</f>
        <v>10.04421</v>
      </c>
      <c r="G1740" s="21" t="n">
        <f aca="false">F1740*(1+g_lens)</f>
        <v>11.048631</v>
      </c>
      <c r="K1740" s="3" t="s">
        <v>732</v>
      </c>
    </row>
    <row r="1741" customFormat="false" ht="17.15" hidden="false" customHeight="false" outlineLevel="0" collapsed="false">
      <c r="A1741" s="3" t="s">
        <v>573</v>
      </c>
      <c r="B1741" s="0" t="s">
        <v>379</v>
      </c>
      <c r="C1741" s="23" t="n">
        <f aca="false">a25_rev</f>
        <v>39.351</v>
      </c>
      <c r="D1741" s="23" t="n">
        <f aca="false">D1734+D1739+D1740</f>
        <v>54.4258</v>
      </c>
      <c r="E1741" s="23" t="n">
        <f aca="false">E1734+E1739+E1740</f>
        <v>72.033987284</v>
      </c>
      <c r="F1741" s="23" t="n">
        <f aca="false">F1734+F1739+F1740</f>
        <v>84.1022463502375</v>
      </c>
      <c r="G1741" s="23" t="n">
        <f aca="false">G1734+G1739+G1740</f>
        <v>96.1130701345114</v>
      </c>
      <c r="H1741" s="25" t="n">
        <f aca="false">G1741*(1+H1742)</f>
        <v>107.186075216063</v>
      </c>
      <c r="I1741" s="25" t="n">
        <f aca="false">H1741*(1+I1742)</f>
        <v>116.576010002736</v>
      </c>
      <c r="J1741" s="25" t="n">
        <f aca="false">I1741*(1+J1742)</f>
        <v>123.5705706029</v>
      </c>
      <c r="K1741" s="7" t="s">
        <v>733</v>
      </c>
    </row>
    <row r="1742" customFormat="false" ht="15" hidden="false" customHeight="false" outlineLevel="0" collapsed="false">
      <c r="A1742" s="3" t="s">
        <v>734</v>
      </c>
      <c r="B1742" s="0" t="s">
        <v>43</v>
      </c>
      <c r="D1742" s="20" t="n">
        <f aca="false">D1741/C1741-1</f>
        <v>0.383085563263958</v>
      </c>
      <c r="E1742" s="20" t="n">
        <f aca="false">E1741/D1741-1</f>
        <v>0.323526476119781</v>
      </c>
      <c r="F1742" s="20" t="n">
        <f aca="false">F1741/E1741-1</f>
        <v>0.167535624796909</v>
      </c>
      <c r="G1742" s="20" t="n">
        <f aca="false">G1741/F1741-1</f>
        <v>0.142812163830389</v>
      </c>
      <c r="H1742" s="26" t="n">
        <f aca="false">$G1742+(fade_gA-$G1742)*1/3</f>
        <v>0.115208109220259</v>
      </c>
      <c r="I1742" s="26" t="n">
        <f aca="false">$G1742+(fade_gA-$G1742)*2/3</f>
        <v>0.0876040546101297</v>
      </c>
      <c r="J1742" s="26" t="n">
        <f aca="false">$G1742+(fade_gA-$G1742)*3/3</f>
        <v>0.06</v>
      </c>
    </row>
    <row r="1743" customFormat="false" ht="17.15" hidden="false" customHeight="false" outlineLevel="0" collapsed="false">
      <c r="A1743" s="0" t="s">
        <v>735</v>
      </c>
      <c r="B1743" s="0" t="s">
        <v>43</v>
      </c>
      <c r="D1743" s="20" t="n">
        <f aca="false">D1734/D1741</f>
        <v>0.42</v>
      </c>
      <c r="E1743" s="20" t="n">
        <f aca="false">E1734/E1741</f>
        <v>0.459817019893845</v>
      </c>
      <c r="F1743" s="20" t="n">
        <f aca="false">F1734/F1741</f>
        <v>0.491063685341395</v>
      </c>
      <c r="G1743" s="20" t="n">
        <f aca="false">G1734/G1741</f>
        <v>0.527171152539409</v>
      </c>
    </row>
    <row r="1744" customFormat="false" ht="17.15" hidden="false" customHeight="false" outlineLevel="0" collapsed="false">
      <c r="A1744" s="0" t="s">
        <v>736</v>
      </c>
      <c r="B1744" s="0" t="s">
        <v>43</v>
      </c>
      <c r="D1744" s="20" t="n">
        <f aca="false">D1736/D1741</f>
        <v>0.105</v>
      </c>
      <c r="E1744" s="20" t="n">
        <f aca="false">E1736/E1741</f>
        <v>0.210554758612135</v>
      </c>
      <c r="F1744" s="20" t="n">
        <f aca="false">F1736/F1741</f>
        <v>0.258976509646579</v>
      </c>
      <c r="G1744" s="20" t="n">
        <f aca="false">G1736/G1741</f>
        <v>0.300897271167153</v>
      </c>
      <c r="K1744" s="3" t="s">
        <v>737</v>
      </c>
    </row>
    <row r="1745" customFormat="false" ht="17.15" hidden="false" customHeight="false" outlineLevel="0" collapsed="false">
      <c r="A1745" s="5" t="s">
        <v>738</v>
      </c>
    </row>
    <row r="1746" customFormat="false" ht="15" hidden="false" customHeight="false" outlineLevel="0" collapsed="false">
      <c r="A1746" s="3" t="s">
        <v>739</v>
      </c>
      <c r="B1746" s="0" t="s">
        <v>379</v>
      </c>
      <c r="C1746" s="23" t="n">
        <f aca="false">a25_cx</f>
        <v>6.116</v>
      </c>
      <c r="D1746" s="23" t="n">
        <f aca="false">capex26</f>
        <v>11</v>
      </c>
      <c r="E1746" s="23" t="n">
        <f aca="false">cx27</f>
        <v>17</v>
      </c>
      <c r="F1746" s="23" t="n">
        <f aca="false">cx28</f>
        <v>16</v>
      </c>
      <c r="G1746" s="23" t="n">
        <f aca="false">cx29</f>
        <v>12</v>
      </c>
      <c r="H1746" s="25" t="n">
        <f aca="false">H1741*H1765</f>
        <v>13.4817405534162</v>
      </c>
      <c r="I1746" s="25" t="n">
        <f aca="false">I1741*I1765</f>
        <v>14.77073304233</v>
      </c>
      <c r="J1746" s="25" t="n">
        <f aca="false">J1741*J1765</f>
        <v>15.7713906192965</v>
      </c>
    </row>
    <row r="1747" customFormat="false" ht="17.15" hidden="false" customHeight="false" outlineLevel="0" collapsed="false">
      <c r="A1747" s="3" t="s">
        <v>740</v>
      </c>
      <c r="B1747" s="0" t="s">
        <v>379</v>
      </c>
      <c r="C1747" s="23" t="n">
        <f aca="false">a25_da</f>
        <v>7.158</v>
      </c>
      <c r="D1747" s="23" t="n">
        <f aca="false">da26</f>
        <v>8.32</v>
      </c>
      <c r="E1747" s="23" t="n">
        <f aca="false">D1747*(1-1/life)+D1746/life</f>
        <v>8.655</v>
      </c>
      <c r="F1747" s="23" t="n">
        <f aca="false">E1747*(1-1/life)+E1746/life</f>
        <v>9.698125</v>
      </c>
      <c r="G1747" s="23" t="n">
        <f aca="false">F1747*(1-1/life)+F1746/life</f>
        <v>10.485859375</v>
      </c>
      <c r="H1747" s="25" t="n">
        <f aca="false">H1741*H1748</f>
        <v>11.6939154071433</v>
      </c>
      <c r="I1747" s="25" t="n">
        <f aca="false">I1741*I1748</f>
        <v>12.7183498110769</v>
      </c>
      <c r="J1747" s="25" t="n">
        <f aca="false">J1741*J1748</f>
        <v>13.4814507997415</v>
      </c>
      <c r="K1747" s="3" t="s">
        <v>741</v>
      </c>
    </row>
    <row r="1748" customFormat="false" ht="17.15" hidden="false" customHeight="false" outlineLevel="0" collapsed="false">
      <c r="A1748" s="3" t="s">
        <v>742</v>
      </c>
      <c r="B1748" s="0" t="s">
        <v>43</v>
      </c>
      <c r="C1748" s="20" t="n">
        <f aca="false">C1747/C1741</f>
        <v>0.181901349393916</v>
      </c>
      <c r="D1748" s="20" t="n">
        <f aca="false">D1747/D1741</f>
        <v>0.152868676252807</v>
      </c>
      <c r="E1748" s="20" t="n">
        <f aca="false">E1747/E1741</f>
        <v>0.120151616290196</v>
      </c>
      <c r="F1748" s="20" t="n">
        <f aca="false">F1747/F1741</f>
        <v>0.115313507318376</v>
      </c>
      <c r="G1748" s="20" t="n">
        <f aca="false">G1747/G1741</f>
        <v>0.109099203264706</v>
      </c>
      <c r="H1748" s="26" t="n">
        <f aca="false">$G1748</f>
        <v>0.109099203264706</v>
      </c>
      <c r="I1748" s="26" t="n">
        <f aca="false">$G1748</f>
        <v>0.109099203264706</v>
      </c>
      <c r="J1748" s="26" t="n">
        <f aca="false">$G1748</f>
        <v>0.109099203264706</v>
      </c>
    </row>
    <row r="1749" customFormat="false" ht="17.15" hidden="false" customHeight="false" outlineLevel="0" collapsed="false">
      <c r="A1749" s="0" t="s">
        <v>743</v>
      </c>
      <c r="B1749" s="0" t="s">
        <v>379</v>
      </c>
      <c r="E1749" s="21" t="n">
        <f aca="false">E1735*((E1727+E1730)*(1-1/(E1720*E1721))+E1731*(1-1/E1721))</f>
        <v>4.320320004</v>
      </c>
      <c r="F1749" s="21" t="n">
        <f aca="false">F1735*((F1727+F1730)*(1-1/(F1720*F1721))+F1731*(1-1/F1721))</f>
        <v>4.39007949866158</v>
      </c>
      <c r="G1749" s="21" t="n">
        <f aca="false">G1735*((G1727+G1730)*(1-1/(G1720*G1721))+G1731*(1-1/G1721))</f>
        <v>3.81465610771581</v>
      </c>
      <c r="K1749" s="7" t="s">
        <v>744</v>
      </c>
    </row>
    <row r="1750" customFormat="false" ht="17.15" hidden="false" customHeight="false" outlineLevel="0" collapsed="false">
      <c r="A1750" s="3" t="s">
        <v>745</v>
      </c>
      <c r="B1750" s="0" t="s">
        <v>379</v>
      </c>
      <c r="C1750" s="21" t="n">
        <f aca="false">a25_gp</f>
        <v>8.314</v>
      </c>
      <c r="D1750" s="21" t="n">
        <f aca="false">a26_gp</f>
        <v>15.328536</v>
      </c>
      <c r="E1750" s="21" t="n">
        <f aca="false">$D1750+ft_abf*(E1734-E1749-$D1734)+ft_bt*(E1739-$D1739)+ft_lens*(E1740-$D1740)+E1749-(E1747-$D1747)</f>
        <v>25.590561148</v>
      </c>
      <c r="F1750" s="21" t="n">
        <f aca="false">$D1750+ft_abf*(F1734-F1749-$D1734)+ft_bt*(F1739-$D1739)+ft_lens*(F1740-$D1740)+F1749-(F1747-$D1747)</f>
        <v>30.4218877588495</v>
      </c>
      <c r="G1750" s="21" t="n">
        <f aca="false">$D1750+ft_abf*(G1734-G1749-$D1734)+ft_bt*(G1739-$D1739)+ft_lens*(G1740-$D1740)+G1749-(G1747-$D1747)</f>
        <v>35.2197363372336</v>
      </c>
      <c r="K1750" s="3" t="s">
        <v>746</v>
      </c>
    </row>
    <row r="1751" customFormat="false" ht="15" hidden="false" customHeight="false" outlineLevel="0" collapsed="false">
      <c r="A1751" s="3" t="s">
        <v>580</v>
      </c>
      <c r="B1751" s="0" t="s">
        <v>43</v>
      </c>
      <c r="C1751" s="16" t="n">
        <f aca="false">C1750/C1741</f>
        <v>0.211277985311682</v>
      </c>
      <c r="D1751" s="16" t="n">
        <f aca="false">D1750/D1741</f>
        <v>0.281640986443929</v>
      </c>
      <c r="E1751" s="16" t="n">
        <f aca="false">E1750/E1741</f>
        <v>0.3552567629931</v>
      </c>
      <c r="F1751" s="16" t="n">
        <f aca="false">F1750/F1741</f>
        <v>0.361725032077739</v>
      </c>
      <c r="G1751" s="16" t="n">
        <f aca="false">G1750/G1741</f>
        <v>0.366440654615893</v>
      </c>
    </row>
    <row r="1752" customFormat="false" ht="15" hidden="false" customHeight="false" outlineLevel="0" collapsed="false">
      <c r="A1752" s="3" t="s">
        <v>582</v>
      </c>
      <c r="B1752" s="0" t="s">
        <v>379</v>
      </c>
      <c r="C1752" s="21" t="n">
        <f aca="false">a25_opx</f>
        <v>5.644</v>
      </c>
      <c r="D1752" s="21" t="n">
        <f aca="false">a26_opx</f>
        <v>6.54036</v>
      </c>
      <c r="E1752" s="21" t="n">
        <f aca="false">D1752*(1+phi*E1742)</f>
        <v>7.80994777401287</v>
      </c>
      <c r="F1752" s="21" t="n">
        <f aca="false">E1752*(1+phi*F1742)</f>
        <v>8.59501446198315</v>
      </c>
      <c r="G1752" s="21" t="n">
        <f aca="false">F1752*(1+phi*G1742)</f>
        <v>9.33149803006473</v>
      </c>
    </row>
    <row r="1753" customFormat="false" ht="15" hidden="false" customHeight="false" outlineLevel="0" collapsed="false">
      <c r="A1753" s="3" t="s">
        <v>585</v>
      </c>
      <c r="B1753" s="0" t="s">
        <v>379</v>
      </c>
      <c r="C1753" s="21" t="n">
        <f aca="false">C1750-C1752</f>
        <v>2.67</v>
      </c>
      <c r="D1753" s="21" t="n">
        <f aca="false">D1750-D1752</f>
        <v>8.788176</v>
      </c>
      <c r="E1753" s="21" t="n">
        <f aca="false">E1750-E1752</f>
        <v>17.7806133739871</v>
      </c>
      <c r="F1753" s="21" t="n">
        <f aca="false">F1750-F1752</f>
        <v>21.8268732968664</v>
      </c>
      <c r="G1753" s="21" t="n">
        <f aca="false">G1750-G1752</f>
        <v>25.8882383071689</v>
      </c>
    </row>
    <row r="1754" customFormat="false" ht="15" hidden="false" customHeight="false" outlineLevel="0" collapsed="false">
      <c r="A1754" s="3" t="s">
        <v>683</v>
      </c>
      <c r="B1754" s="0" t="s">
        <v>43</v>
      </c>
      <c r="C1754" s="16" t="n">
        <f aca="false">C1753/C1741</f>
        <v>0.0678508805367081</v>
      </c>
      <c r="D1754" s="16" t="n">
        <f aca="false">D1753/D1741</f>
        <v>0.161470773052486</v>
      </c>
      <c r="E1754" s="16" t="n">
        <f aca="false">E1753/E1741</f>
        <v>0.246836445466854</v>
      </c>
      <c r="F1754" s="16" t="n">
        <f aca="false">F1753/F1741</f>
        <v>0.259527827663128</v>
      </c>
      <c r="G1754" s="16" t="n">
        <f aca="false">G1753/G1741</f>
        <v>0.269351902617802</v>
      </c>
    </row>
    <row r="1755" customFormat="false" ht="15" hidden="false" customHeight="false" outlineLevel="0" collapsed="false">
      <c r="A1755" s="3" t="s">
        <v>588</v>
      </c>
      <c r="B1755" s="0" t="s">
        <v>379</v>
      </c>
      <c r="C1755" s="21" t="n">
        <f aca="false">a25_nonop</f>
        <v>0.417</v>
      </c>
      <c r="D1755" s="21" t="n">
        <f aca="false">a26_nonop</f>
        <v>0.37882</v>
      </c>
      <c r="E1755" s="21" t="n">
        <f aca="false">nonop27_lo</f>
        <v>0</v>
      </c>
      <c r="F1755" s="21" t="n">
        <f aca="false">nonop28_lo</f>
        <v>0</v>
      </c>
      <c r="G1755" s="21" t="n">
        <f aca="false">nonop29_lo</f>
        <v>0</v>
      </c>
    </row>
    <row r="1756" customFormat="false" ht="15" hidden="false" customHeight="false" outlineLevel="0" collapsed="false">
      <c r="A1756" s="3" t="s">
        <v>590</v>
      </c>
      <c r="B1756" s="0" t="s">
        <v>379</v>
      </c>
      <c r="C1756" s="21" t="n">
        <f aca="false">C1753+C1755</f>
        <v>3.087</v>
      </c>
      <c r="D1756" s="21" t="n">
        <f aca="false">D1753+D1755</f>
        <v>9.166996</v>
      </c>
      <c r="E1756" s="21" t="n">
        <f aca="false">E1753+E1755</f>
        <v>17.7806133739871</v>
      </c>
      <c r="F1756" s="21" t="n">
        <f aca="false">F1753+F1755</f>
        <v>21.8268732968664</v>
      </c>
      <c r="G1756" s="21" t="n">
        <f aca="false">G1753+G1755</f>
        <v>25.8882383071689</v>
      </c>
    </row>
    <row r="1757" customFormat="false" ht="15" hidden="false" customHeight="false" outlineLevel="0" collapsed="false">
      <c r="A1757" s="3" t="s">
        <v>591</v>
      </c>
      <c r="B1757" s="0" t="s">
        <v>379</v>
      </c>
      <c r="E1757" s="21" t="n">
        <f aca="false">E1756*tax</f>
        <v>2.13367360487846</v>
      </c>
      <c r="F1757" s="21" t="n">
        <f aca="false">F1756*tax</f>
        <v>2.61922479562397</v>
      </c>
      <c r="G1757" s="21" t="n">
        <f aca="false">G1756*tax</f>
        <v>3.10658859686026</v>
      </c>
    </row>
    <row r="1758" customFormat="false" ht="15" hidden="false" customHeight="false" outlineLevel="0" collapsed="false">
      <c r="A1758" s="3" t="s">
        <v>592</v>
      </c>
      <c r="B1758" s="0" t="s">
        <v>379</v>
      </c>
      <c r="C1758" s="21" t="n">
        <f aca="false">a25_nic</f>
        <v>2.71712</v>
      </c>
      <c r="D1758" s="21" t="n">
        <f aca="false">a26_nic</f>
        <v>8.39979776</v>
      </c>
      <c r="E1758" s="21" t="n">
        <f aca="false">E1756-E1757</f>
        <v>15.6469397691087</v>
      </c>
      <c r="F1758" s="21" t="n">
        <f aca="false">F1756-F1757</f>
        <v>19.2076485012424</v>
      </c>
      <c r="G1758" s="21" t="n">
        <f aca="false">G1756-G1757</f>
        <v>22.7816497103086</v>
      </c>
    </row>
    <row r="1759" customFormat="false" ht="17.15" hidden="false" customHeight="false" outlineLevel="0" collapsed="false">
      <c r="A1759" s="3" t="s">
        <v>747</v>
      </c>
      <c r="B1759" s="0" t="s">
        <v>379</v>
      </c>
      <c r="C1759" s="21" t="n">
        <f aca="false">a25_nci</f>
        <v>1.12112</v>
      </c>
      <c r="D1759" s="21" t="n">
        <f aca="false">a26_nci</f>
        <v>1.43839238487797</v>
      </c>
      <c r="E1759" s="21" t="n">
        <f aca="false">E1740*nm_lens*nci_sh</f>
        <v>1.57074538036261</v>
      </c>
      <c r="F1759" s="21" t="n">
        <f aca="false">F1740*nm_lens*nci_sh</f>
        <v>1.72781991839887</v>
      </c>
      <c r="G1759" s="21" t="n">
        <f aca="false">G1740*nm_lens*nci_sh</f>
        <v>1.90060191023875</v>
      </c>
      <c r="K1759" s="3" t="s">
        <v>748</v>
      </c>
    </row>
    <row r="1760" customFormat="false" ht="15" hidden="false" customHeight="false" outlineLevel="0" collapsed="false">
      <c r="A1760" s="3" t="s">
        <v>598</v>
      </c>
      <c r="B1760" s="0" t="s">
        <v>379</v>
      </c>
      <c r="C1760" s="21" t="n">
        <f aca="false">a25_ni</f>
        <v>1.596</v>
      </c>
      <c r="D1760" s="21" t="n">
        <f aca="false">a26_ni</f>
        <v>6.96140537512203</v>
      </c>
      <c r="E1760" s="21" t="n">
        <f aca="false">E1758-E1759</f>
        <v>14.0761943887461</v>
      </c>
      <c r="F1760" s="21" t="n">
        <f aca="false">F1758-F1759</f>
        <v>17.4798285828436</v>
      </c>
      <c r="G1760" s="21" t="n">
        <f aca="false">G1758-G1759</f>
        <v>20.8810478000698</v>
      </c>
      <c r="H1760" s="30" t="n">
        <f aca="false">H1741*H1764</f>
        <v>23.4175649204689</v>
      </c>
      <c r="I1760" s="30" t="n">
        <f aca="false">I1741*I1764</f>
        <v>25.6113527269931</v>
      </c>
      <c r="J1760" s="30" t="n">
        <f aca="false">J1741*J1764</f>
        <v>27.2988869112315</v>
      </c>
    </row>
    <row r="1761" customFormat="false" ht="15" hidden="false" customHeight="false" outlineLevel="0" collapsed="false">
      <c r="A1761" s="3" t="s">
        <v>749</v>
      </c>
      <c r="B1761" s="3" t="s">
        <v>465</v>
      </c>
      <c r="C1761" s="29" t="n">
        <f aca="false">a25_sh</f>
        <v>0.454700854700855</v>
      </c>
      <c r="D1761" s="29" t="n">
        <f aca="false">a26_sh</f>
        <v>0.508341020486215</v>
      </c>
      <c r="E1761" s="29" t="n">
        <f aca="false">a26_shend*(1+sh_g)</f>
        <v>0.52691</v>
      </c>
      <c r="F1761" s="29" t="n">
        <f aca="false">E1761*(1+sh_g)</f>
        <v>0.52691</v>
      </c>
      <c r="G1761" s="29" t="n">
        <f aca="false">F1761*(1+sh_g)</f>
        <v>0.52691</v>
      </c>
      <c r="H1761" s="31" t="n">
        <f aca="false">G1761*(1+sh_g)</f>
        <v>0.52691</v>
      </c>
      <c r="I1761" s="31" t="n">
        <f aca="false">H1761*(1+sh_g)</f>
        <v>0.52691</v>
      </c>
      <c r="J1761" s="31" t="n">
        <f aca="false">I1761*(1+sh_g)</f>
        <v>0.52691</v>
      </c>
    </row>
    <row r="1762" customFormat="false" ht="17.15" hidden="false" customHeight="false" outlineLevel="0" collapsed="false">
      <c r="A1762" s="0" t="s">
        <v>603</v>
      </c>
      <c r="B1762" s="0" t="s">
        <v>471</v>
      </c>
      <c r="C1762" s="18" t="n">
        <f aca="false">C1760/C1761</f>
        <v>3.51</v>
      </c>
      <c r="D1762" s="18" t="n">
        <f aca="false">D1760/D1761</f>
        <v>13.6943608612652</v>
      </c>
      <c r="E1762" s="18" t="n">
        <f aca="false">E1760/E1761</f>
        <v>26.7146085455696</v>
      </c>
      <c r="F1762" s="18" t="n">
        <f aca="false">F1760/F1761</f>
        <v>33.1742206123314</v>
      </c>
      <c r="G1762" s="18" t="n">
        <f aca="false">G1760/G1761</f>
        <v>39.6292493975628</v>
      </c>
      <c r="H1762" s="28" t="n">
        <f aca="false">H1760/H1761</f>
        <v>44.4431969795011</v>
      </c>
      <c r="I1762" s="28" t="n">
        <f aca="false">I1760/I1761</f>
        <v>48.6066932246362</v>
      </c>
      <c r="J1762" s="28" t="n">
        <f aca="false">J1760/J1761</f>
        <v>51.8093923274022</v>
      </c>
    </row>
    <row r="1763" customFormat="false" ht="17.15" hidden="false" customHeight="false" outlineLevel="0" collapsed="false">
      <c r="A1763" s="0" t="s">
        <v>750</v>
      </c>
      <c r="B1763" s="0" t="s">
        <v>43</v>
      </c>
      <c r="D1763" s="20" t="n">
        <f aca="false">D1762/C1762-1</f>
        <v>2.90152731090177</v>
      </c>
      <c r="E1763" s="20" t="n">
        <f aca="false">E1762/D1762-1</f>
        <v>0.95077439657169</v>
      </c>
      <c r="F1763" s="20" t="n">
        <f aca="false">F1762/E1762-1</f>
        <v>0.241800738189485</v>
      </c>
      <c r="G1763" s="20" t="n">
        <f aca="false">G1762/F1762-1</f>
        <v>0.194579666562896</v>
      </c>
      <c r="H1763" s="26" t="n">
        <f aca="false">H1762/G1762-1</f>
        <v>0.121474609161643</v>
      </c>
      <c r="I1763" s="26" t="n">
        <f aca="false">I1762/H1762-1</f>
        <v>0.0936812949584942</v>
      </c>
      <c r="J1763" s="26" t="n">
        <f aca="false">J1762/I1762-1</f>
        <v>0.0658900840665022</v>
      </c>
    </row>
    <row r="1764" customFormat="false" ht="17.15" hidden="false" customHeight="false" outlineLevel="0" collapsed="false">
      <c r="A1764" s="3" t="s">
        <v>751</v>
      </c>
      <c r="B1764" s="0" t="s">
        <v>43</v>
      </c>
      <c r="C1764" s="16" t="n">
        <f aca="false">C1760/C1741</f>
        <v>0.0405580544331783</v>
      </c>
      <c r="D1764" s="16" t="n">
        <f aca="false">D1760/D1741</f>
        <v>0.127906349105057</v>
      </c>
      <c r="E1764" s="16" t="n">
        <f aca="false">E1760/E1741</f>
        <v>0.195410457195011</v>
      </c>
      <c r="F1764" s="16" t="n">
        <f aca="false">F1760/F1741</f>
        <v>0.20784021047488</v>
      </c>
      <c r="G1764" s="16" t="n">
        <f aca="false">G1760/G1741</f>
        <v>0.217255028591289</v>
      </c>
      <c r="H1764" s="27" t="n">
        <f aca="false">$G1764+(fade_mA-$G1764)*1/3</f>
        <v>0.218475812956715</v>
      </c>
      <c r="I1764" s="27" t="n">
        <f aca="false">$G1764+(fade_mA-$G1764)*2/3</f>
        <v>0.219696597322142</v>
      </c>
      <c r="J1764" s="27" t="n">
        <f aca="false">$G1764+(fade_mA-$G1764)*3/3</f>
        <v>0.220917381687568</v>
      </c>
    </row>
    <row r="1765" customFormat="false" ht="17.15" hidden="false" customHeight="false" outlineLevel="0" collapsed="false">
      <c r="A1765" s="3" t="s">
        <v>752</v>
      </c>
      <c r="B1765" s="0" t="s">
        <v>43</v>
      </c>
      <c r="C1765" s="20" t="n">
        <f aca="false">C1746/C1741</f>
        <v>0.155421717364235</v>
      </c>
      <c r="D1765" s="20" t="n">
        <f aca="false">D1746/D1741</f>
        <v>0.202110028699624</v>
      </c>
      <c r="E1765" s="20" t="n">
        <f aca="false">E1746/E1741</f>
        <v>0.235999708484498</v>
      </c>
      <c r="F1765" s="20" t="n">
        <f aca="false">F1746/F1741</f>
        <v>0.190244621212247</v>
      </c>
      <c r="G1765" s="20" t="n">
        <f aca="false">G1746/G1741</f>
        <v>0.124852946464054</v>
      </c>
      <c r="H1765" s="26" t="n">
        <f aca="false">$G1765+($G1748*(1+tp_g)^(life/2)-$G1765)*1/3</f>
        <v>0.125778843252168</v>
      </c>
      <c r="I1765" s="26" t="n">
        <f aca="false">$G1765+($G1748*(1+tp_g)^(life/2)-$G1765)*2/3</f>
        <v>0.126704740040282</v>
      </c>
      <c r="J1765" s="26" t="n">
        <f aca="false">$G1765+($G1748*(1+tp_g)^(life/2)-$G1765)*3/3</f>
        <v>0.127630636828396</v>
      </c>
      <c r="K1765" s="7" t="s">
        <v>753</v>
      </c>
    </row>
    <row r="1766" customFormat="false" ht="15" hidden="false" customHeight="false" outlineLevel="0" collapsed="false">
      <c r="A1766" s="3" t="s">
        <v>754</v>
      </c>
      <c r="B1766" s="0" t="s">
        <v>379</v>
      </c>
      <c r="D1766" s="21" t="n">
        <f aca="false">D1760+D1747-D1746</f>
        <v>4.28140537512203</v>
      </c>
      <c r="E1766" s="21" t="n">
        <f aca="false">E1760+E1747-E1746</f>
        <v>5.73119438874607</v>
      </c>
      <c r="F1766" s="21" t="n">
        <f aca="false">F1760+F1747-F1746</f>
        <v>11.1779535828436</v>
      </c>
      <c r="G1766" s="21" t="n">
        <f aca="false">G1760+G1747-G1746</f>
        <v>19.3669071750698</v>
      </c>
      <c r="H1766" s="30" t="n">
        <f aca="false">H1760+H1747-H1746</f>
        <v>21.629739774196</v>
      </c>
      <c r="I1766" s="30" t="n">
        <f aca="false">I1760+I1747-I1746</f>
        <v>23.55896949574</v>
      </c>
      <c r="J1766" s="30" t="n">
        <f aca="false">J1760+J1747-J1746</f>
        <v>25.0089470916765</v>
      </c>
      <c r="K1766" s="3" t="s">
        <v>755</v>
      </c>
    </row>
    <row r="1767" customFormat="false" ht="15" hidden="false" customHeight="false" outlineLevel="0" collapsed="false">
      <c r="A1767" s="3" t="s">
        <v>756</v>
      </c>
      <c r="B1767" s="0" t="s">
        <v>471</v>
      </c>
      <c r="D1767" s="18" t="n">
        <f aca="false">D1766/D1761</f>
        <v>8.42230943909854</v>
      </c>
      <c r="E1767" s="18" t="n">
        <f aca="false">E1766/E1761</f>
        <v>10.8769892177906</v>
      </c>
      <c r="F1767" s="18" t="n">
        <f aca="false">F1766/F1761</f>
        <v>21.2141610196116</v>
      </c>
      <c r="G1767" s="18" t="n">
        <f aca="false">G1766/G1761</f>
        <v>36.75562653028</v>
      </c>
      <c r="H1767" s="28" t="n">
        <f aca="false">H1766/H1761</f>
        <v>41.0501599403996</v>
      </c>
      <c r="I1767" s="28" t="n">
        <f aca="false">I1766/I1761</f>
        <v>44.7115626876316</v>
      </c>
      <c r="J1767" s="28" t="n">
        <f aca="false">J1766/J1761</f>
        <v>47.4634132805916</v>
      </c>
    </row>
    <row r="1770" customFormat="false" ht="17.15" hidden="false" customHeight="false" outlineLevel="0" collapsed="false">
      <c r="A1770" s="1" t="s">
        <v>1120</v>
      </c>
    </row>
    <row r="1771" customFormat="false" ht="17.15" hidden="false" customHeight="false" outlineLevel="0" collapsed="false">
      <c r="A1771" s="4" t="s">
        <v>20</v>
      </c>
      <c r="B1771" s="4" t="s">
        <v>21</v>
      </c>
      <c r="C1771" s="13" t="s">
        <v>566</v>
      </c>
      <c r="D1771" s="13" t="s">
        <v>670</v>
      </c>
      <c r="E1771" s="13" t="s">
        <v>671</v>
      </c>
      <c r="F1771" s="13" t="s">
        <v>672</v>
      </c>
      <c r="G1771" s="13" t="s">
        <v>673</v>
      </c>
      <c r="H1771" s="13" t="s">
        <v>674</v>
      </c>
      <c r="I1771" s="13" t="s">
        <v>675</v>
      </c>
      <c r="J1771" s="13" t="s">
        <v>676</v>
      </c>
      <c r="K1771" s="4" t="s">
        <v>630</v>
      </c>
    </row>
    <row r="1772" customFormat="false" ht="17.15" hidden="false" customHeight="false" outlineLevel="0" collapsed="false">
      <c r="A1772" s="5" t="s">
        <v>694</v>
      </c>
    </row>
    <row r="1773" customFormat="false" ht="17.15" hidden="false" customHeight="false" outlineLevel="0" collapsed="false">
      <c r="A1773" s="0" t="s">
        <v>695</v>
      </c>
      <c r="B1773" s="3" t="s">
        <v>31</v>
      </c>
      <c r="D1773" s="21" t="n">
        <f aca="false">(u_bw_26+u_rb_26+u_ru_26+u_hp_26)*1</f>
        <v>7.6</v>
      </c>
      <c r="E1773" s="21" t="n">
        <f aca="false">(u_bw_27+u_rb_27+u_ru_27+u_hp_27)*1*1</f>
        <v>9.7</v>
      </c>
      <c r="F1773" s="21" t="n">
        <f aca="false">(u_bw_28+u_rb_28+u_ru_28+u_hp_28)*um28_A*1</f>
        <v>9.5</v>
      </c>
      <c r="G1773" s="21" t="n">
        <f aca="false">(u_bw_28*(1+g29_bw)+u_rb_28*(1+g29_rb)+u_ru_28*(1+g29_ru)+u_hp_28*(1+g29_hp))*um29_A*1</f>
        <v>10.6</v>
      </c>
      <c r="K1773" s="7" t="s">
        <v>696</v>
      </c>
    </row>
    <row r="1774" customFormat="false" ht="17.15" hidden="false" customHeight="false" outlineLevel="0" collapsed="false">
      <c r="A1774" s="3" t="s">
        <v>697</v>
      </c>
      <c r="B1774" s="3" t="s">
        <v>31</v>
      </c>
      <c r="D1774" s="21" t="n">
        <f aca="false">(u_amd_26+u_tpu_26+u_trn_26+u_oth_26)*1</f>
        <v>7.6</v>
      </c>
      <c r="E1774" s="21" t="n">
        <f aca="false">(u_amd_27+u_tpu_27+u_trn_27+u_oth_27)*1*1</f>
        <v>14</v>
      </c>
      <c r="F1774" s="21" t="n">
        <f aca="false">(u_amd_28+u_tpu_28+u_trn_28+u_oth_28)*um28_A*1</f>
        <v>17</v>
      </c>
      <c r="G1774" s="21" t="n">
        <f aca="false">(u_amd_28*(1+g29_amd)+u_tpu_28*(1+g29_tpu)+u_trn_28*(1+g29_trn)+u_oth_28*(1+g29_oth))*um29_A*1</f>
        <v>19.55</v>
      </c>
      <c r="K1774" s="7" t="s">
        <v>698</v>
      </c>
    </row>
    <row r="1775" customFormat="false" ht="17.15" hidden="false" customHeight="false" outlineLevel="0" collapsed="false">
      <c r="A1775" s="0" t="s">
        <v>699</v>
      </c>
      <c r="B1775" s="3" t="s">
        <v>31</v>
      </c>
      <c r="D1775" s="21" t="n">
        <f aca="false">D1773*cpu_r</f>
        <v>3.04</v>
      </c>
      <c r="E1775" s="21" t="n">
        <f aca="false">E1773*cpu_r</f>
        <v>3.88</v>
      </c>
      <c r="F1775" s="21" t="n">
        <f aca="false">F1773*cpu_r</f>
        <v>3.8</v>
      </c>
      <c r="G1775" s="21" t="n">
        <f aca="false">G1773*cpu_r</f>
        <v>4.24</v>
      </c>
      <c r="K1775" s="7" t="s">
        <v>700</v>
      </c>
    </row>
    <row r="1776" customFormat="false" ht="17.15" hidden="false" customHeight="false" outlineLevel="0" collapsed="false">
      <c r="A1776" s="3" t="s">
        <v>701</v>
      </c>
      <c r="B1776" s="0" t="s">
        <v>153</v>
      </c>
      <c r="D1776" s="19" t="n">
        <f aca="false">1</f>
        <v>1</v>
      </c>
      <c r="E1776" s="19" t="n">
        <f aca="false">D1776*(1+g_asp)</f>
        <v>1.18</v>
      </c>
      <c r="F1776" s="19" t="n">
        <f aca="false">E1776*(1+g_asp)</f>
        <v>1.3924</v>
      </c>
      <c r="G1776" s="19" t="n">
        <f aca="false">F1776*(1+g_asp)</f>
        <v>1.643032</v>
      </c>
      <c r="K1776" s="7" t="s">
        <v>702</v>
      </c>
    </row>
    <row r="1777" customFormat="false" ht="17.15" hidden="false" customHeight="false" outlineLevel="0" collapsed="false">
      <c r="A1777" s="0" t="s">
        <v>703</v>
      </c>
      <c r="B1777" s="0" t="s">
        <v>153</v>
      </c>
      <c r="D1777" s="18" t="n">
        <f aca="false">1</f>
        <v>1</v>
      </c>
      <c r="E1777" s="18" t="n">
        <f aca="false">ibpp_27</f>
        <v>1</v>
      </c>
      <c r="F1777" s="18" t="n">
        <f aca="false">ibpp_28</f>
        <v>0.95</v>
      </c>
      <c r="G1777" s="18" t="n">
        <f aca="false">ibpp_29</f>
        <v>0.9</v>
      </c>
      <c r="K1777" s="7" t="s">
        <v>704</v>
      </c>
    </row>
    <row r="1778" customFormat="false" ht="17.15" hidden="false" customHeight="false" outlineLevel="0" collapsed="false">
      <c r="A1778" s="3" t="s">
        <v>705</v>
      </c>
      <c r="B1778" s="0" t="s">
        <v>153</v>
      </c>
      <c r="D1778" s="18" t="n">
        <f aca="false">1</f>
        <v>1</v>
      </c>
      <c r="E1778" s="18" t="n">
        <f aca="false">1+carry</f>
        <v>1.15</v>
      </c>
      <c r="F1778" s="18" t="n">
        <f aca="false">1+carry</f>
        <v>1.15</v>
      </c>
      <c r="G1778" s="18" t="n">
        <f aca="false">1+carry</f>
        <v>1.15</v>
      </c>
      <c r="K1778" s="7" t="s">
        <v>706</v>
      </c>
    </row>
    <row r="1779" customFormat="false" ht="17.15" hidden="false" customHeight="false" outlineLevel="0" collapsed="false">
      <c r="A1779" s="3" t="s">
        <v>707</v>
      </c>
      <c r="B1779" s="0" t="s">
        <v>708</v>
      </c>
      <c r="D1779" s="23" t="n">
        <f aca="false">v26*D1776*D1777</f>
        <v>215.308596</v>
      </c>
      <c r="E1779" s="23" t="n">
        <f aca="false">v26*E1776*E1777</f>
        <v>254.06414328</v>
      </c>
      <c r="F1779" s="23" t="n">
        <f aca="false">v26*F1776*F1777</f>
        <v>284.80590461688</v>
      </c>
      <c r="G1779" s="23" t="n">
        <f aca="false">v26*G1776*G1777</f>
        <v>318.383021792765</v>
      </c>
      <c r="K1779" s="7" t="s">
        <v>709</v>
      </c>
    </row>
    <row r="1780" customFormat="false" ht="17.15" hidden="false" customHeight="false" outlineLevel="0" collapsed="false">
      <c r="A1780" s="3" t="s">
        <v>710</v>
      </c>
      <c r="B1780" s="0" t="s">
        <v>43</v>
      </c>
      <c r="D1780" s="20" t="n">
        <f aca="false">sh_nv_26</f>
        <v>0.02</v>
      </c>
      <c r="E1780" s="20" t="n">
        <f aca="false">sh_nv_27</f>
        <v>0.03</v>
      </c>
      <c r="F1780" s="20" t="n">
        <f aca="false">sh_nv_28</f>
        <v>0.05</v>
      </c>
      <c r="G1780" s="20" t="n">
        <f aca="false">sh_nv_29</f>
        <v>0.06</v>
      </c>
    </row>
    <row r="1781" customFormat="false" ht="17.15" hidden="false" customHeight="false" outlineLevel="0" collapsed="false">
      <c r="A1781" s="3" t="s">
        <v>711</v>
      </c>
      <c r="B1781" s="0" t="s">
        <v>43</v>
      </c>
      <c r="D1781" s="20" t="n">
        <f aca="false">sh_ot_26</f>
        <v>0.03</v>
      </c>
      <c r="E1781" s="20" t="n">
        <f aca="false">sh_ot_27</f>
        <v>0.05</v>
      </c>
      <c r="F1781" s="20" t="n">
        <f aca="false">sh_ot_28</f>
        <v>0.06</v>
      </c>
      <c r="G1781" s="20" t="n">
        <f aca="false">sh_ot_29</f>
        <v>0.06</v>
      </c>
    </row>
    <row r="1782" customFormat="false" ht="17.15" hidden="false" customHeight="false" outlineLevel="0" collapsed="false">
      <c r="A1782" s="3" t="s">
        <v>712</v>
      </c>
      <c r="B1782" s="0" t="s">
        <v>43</v>
      </c>
      <c r="D1782" s="20" t="n">
        <f aca="false">sh_cpu_26</f>
        <v>0.35</v>
      </c>
      <c r="E1782" s="20" t="n">
        <f aca="false">sh_cpu_27</f>
        <v>0.7</v>
      </c>
      <c r="F1782" s="20" t="n">
        <f aca="false">sh_cpu_28</f>
        <v>0.75</v>
      </c>
      <c r="G1782" s="20" t="n">
        <f aca="false">sh_cpu_29</f>
        <v>0.7</v>
      </c>
    </row>
    <row r="1783" customFormat="false" ht="17.15" hidden="false" customHeight="false" outlineLevel="0" collapsed="false">
      <c r="A1783" s="3" t="s">
        <v>713</v>
      </c>
      <c r="B1783" s="0" t="s">
        <v>660</v>
      </c>
      <c r="D1783" s="22" t="n">
        <f aca="false">(D1773*D1779*D1780+D1774*D1779*v_ot*D1781+D1775*D1779*v_cpu*D1782)*D1778</f>
        <v>140.7256983456</v>
      </c>
      <c r="E1783" s="22" t="n">
        <f aca="false">(E1773*E1779*E1780+E1774*E1779*v_ot*E1781+E1775*E1779*v_cpu*E1782)*E1778</f>
        <v>486.703057357198</v>
      </c>
      <c r="F1783" s="22" t="n">
        <f aca="false">(F1773*F1779*F1780+F1774*F1779*v_ot*F1781+F1775*F1779*v_cpu*F1782)*F1778</f>
        <v>702.872492003998</v>
      </c>
      <c r="G1783" s="22" t="n">
        <f aca="false">(G1773*G1779*G1780+G1774*G1779*v_ot*G1781+G1775*G1779*v_cpu*G1782)*G1778</f>
        <v>902.463042932027</v>
      </c>
    </row>
    <row r="1784" customFormat="false" ht="17.15" hidden="false" customHeight="false" outlineLevel="0" collapsed="false">
      <c r="A1784" s="3" t="s">
        <v>714</v>
      </c>
      <c r="B1784" s="0" t="s">
        <v>379</v>
      </c>
      <c r="D1784" s="21" t="n">
        <f aca="false">D1783*fx/1000</f>
        <v>4.573585196232</v>
      </c>
      <c r="E1784" s="21" t="n">
        <f aca="false">E1783*fx/1000</f>
        <v>15.8178493641089</v>
      </c>
      <c r="F1784" s="21" t="n">
        <f aca="false">F1783*fx/1000</f>
        <v>22.8433559901299</v>
      </c>
      <c r="G1784" s="21" t="n">
        <f aca="false">G1783*fx/1000</f>
        <v>29.3300488952909</v>
      </c>
    </row>
    <row r="1785" customFormat="false" ht="17.15" hidden="false" customHeight="false" outlineLevel="0" collapsed="false">
      <c r="A1785" s="5" t="s">
        <v>715</v>
      </c>
    </row>
    <row r="1786" customFormat="false" ht="17.15" hidden="false" customHeight="false" outlineLevel="0" collapsed="false">
      <c r="A1786" s="0" t="s">
        <v>716</v>
      </c>
      <c r="B1786" s="0" t="s">
        <v>379</v>
      </c>
      <c r="D1786" s="21" t="n">
        <f aca="false">a26_abf*ai_abf</f>
        <v>5.714709</v>
      </c>
      <c r="K1786" s="3" t="s">
        <v>717</v>
      </c>
    </row>
    <row r="1787" customFormat="false" ht="17.15" hidden="false" customHeight="false" outlineLevel="0" collapsed="false">
      <c r="A1787" s="3" t="s">
        <v>718</v>
      </c>
      <c r="B1787" s="0" t="s">
        <v>379</v>
      </c>
      <c r="D1787" s="21" t="n">
        <f aca="false">D1786-D1784</f>
        <v>1.141123803768</v>
      </c>
      <c r="E1787" s="21" t="n">
        <f aca="false">$D1787*(swm_27/swm_26)^el_o*1*1*E1777*E1778</f>
        <v>1.83552013039205</v>
      </c>
      <c r="F1787" s="21" t="n">
        <f aca="false">$D1787*(swm_28/swm_26)^el_o*um28_A*1*F1777*F1778</f>
        <v>1.87583060833026</v>
      </c>
      <c r="G1787" s="21" t="n">
        <f aca="false">$D1787*(swm_29/swm_26)^el_o*um29_A*1*G1777*G1778</f>
        <v>1.89582733342525</v>
      </c>
      <c r="K1787" s="7" t="s">
        <v>719</v>
      </c>
    </row>
    <row r="1788" customFormat="false" ht="17.15" hidden="false" customHeight="false" outlineLevel="0" collapsed="false">
      <c r="A1788" s="3" t="s">
        <v>720</v>
      </c>
      <c r="B1788" s="0" t="s">
        <v>379</v>
      </c>
      <c r="D1788" s="21" t="n">
        <f aca="false">a26_abf-D1786</f>
        <v>17.144127</v>
      </c>
      <c r="E1788" s="21" t="n">
        <f aca="false">$D1788*(1+g_nai)^1*E1778</f>
        <v>20.898690813</v>
      </c>
      <c r="F1788" s="21" t="n">
        <f aca="false">$D1788*(1+g_nai)^2*F1778</f>
        <v>22.15261226178</v>
      </c>
      <c r="G1788" s="21" t="n">
        <f aca="false">$D1788*(1+g_nai)^3*G1778</f>
        <v>23.4817689974868</v>
      </c>
      <c r="K1788" s="3" t="s">
        <v>721</v>
      </c>
    </row>
    <row r="1789" customFormat="false" ht="17.15" hidden="false" customHeight="false" outlineLevel="0" collapsed="false">
      <c r="A1789" s="0" t="s">
        <v>722</v>
      </c>
      <c r="B1789" s="0" t="s">
        <v>379</v>
      </c>
      <c r="D1789" s="21" t="n">
        <f aca="false">D1784+D1787+D1788</f>
        <v>22.858836</v>
      </c>
      <c r="E1789" s="21" t="n">
        <f aca="false">E1784+E1787+E1788</f>
        <v>38.552060307501</v>
      </c>
      <c r="F1789" s="21" t="n">
        <f aca="false">F1784+F1787+F1788</f>
        <v>46.8717988602402</v>
      </c>
      <c r="G1789" s="21" t="n">
        <f aca="false">G1784+G1787+G1788</f>
        <v>54.7076452262029</v>
      </c>
    </row>
    <row r="1790" customFormat="false" ht="17.15" hidden="false" customHeight="false" outlineLevel="0" collapsed="false">
      <c r="A1790" s="0" t="s">
        <v>723</v>
      </c>
      <c r="B1790" s="0" t="s">
        <v>379</v>
      </c>
      <c r="D1790" s="21" t="n">
        <f aca="false">a26_abf</f>
        <v>22.858836</v>
      </c>
      <c r="E1790" s="21" t="n">
        <f aca="false">$D1789*cap_27*(1+g_mix)^1*E1777*E1778</f>
        <v>33.122453364</v>
      </c>
      <c r="F1790" s="21" t="n">
        <f aca="false">$D1789*cap_28*(1+g_mix)^2*F1777*F1778</f>
        <v>41.2995590382375</v>
      </c>
      <c r="G1790" s="21" t="n">
        <f aca="false">$D1789*cap_29*(1+g_mix)^3*G1777*G1778</f>
        <v>50.6680379569114</v>
      </c>
      <c r="K1790" s="7" t="s">
        <v>724</v>
      </c>
    </row>
    <row r="1791" customFormat="false" ht="17.15" hidden="false" customHeight="false" outlineLevel="0" collapsed="false">
      <c r="A1791" s="0" t="s">
        <v>725</v>
      </c>
      <c r="B1791" s="0" t="s">
        <v>379</v>
      </c>
      <c r="D1791" s="21" t="n">
        <f aca="false">a26_abf</f>
        <v>22.858836</v>
      </c>
      <c r="E1791" s="21" t="n">
        <f aca="false">MIN(E1789,E1790)</f>
        <v>33.122453364</v>
      </c>
      <c r="F1791" s="21" t="n">
        <f aca="false">MIN(F1789,F1790)</f>
        <v>41.2995590382375</v>
      </c>
      <c r="G1791" s="21" t="n">
        <f aca="false">MIN(G1789,G1790)</f>
        <v>50.6680379569114</v>
      </c>
    </row>
    <row r="1792" customFormat="false" ht="17.15" hidden="false" customHeight="false" outlineLevel="0" collapsed="false">
      <c r="A1792" s="3" t="s">
        <v>726</v>
      </c>
      <c r="B1792" s="0" t="s">
        <v>43</v>
      </c>
      <c r="D1792" s="20" t="n">
        <f aca="false">D1791/D1789</f>
        <v>1</v>
      </c>
      <c r="E1792" s="20" t="n">
        <f aca="false">E1791/E1789</f>
        <v>0.85916169200315</v>
      </c>
      <c r="F1792" s="20" t="n">
        <f aca="false">F1791/F1789</f>
        <v>0.881117431856676</v>
      </c>
      <c r="G1792" s="20" t="n">
        <f aca="false">G1791/G1789</f>
        <v>0.926160096041627</v>
      </c>
    </row>
    <row r="1793" customFormat="false" ht="17.15" hidden="false" customHeight="false" outlineLevel="0" collapsed="false">
      <c r="A1793" s="0" t="s">
        <v>727</v>
      </c>
      <c r="B1793" s="0" t="s">
        <v>379</v>
      </c>
      <c r="D1793" s="21" t="n">
        <f aca="false">(D1784+D1787)*D1792</f>
        <v>5.714709</v>
      </c>
      <c r="E1793" s="21" t="n">
        <f aca="false">(E1784+E1787)*E1792</f>
        <v>15.1670988044522</v>
      </c>
      <c r="F1793" s="21" t="n">
        <f aca="false">(F1784+F1787)*F1792</f>
        <v>21.7805062132212</v>
      </c>
      <c r="G1793" s="21" t="n">
        <f aca="false">(G1784+G1787)*G1792</f>
        <v>28.9201605269717</v>
      </c>
    </row>
    <row r="1794" customFormat="false" ht="17.15" hidden="false" customHeight="false" outlineLevel="0" collapsed="false">
      <c r="A1794" s="3" t="s">
        <v>728</v>
      </c>
      <c r="B1794" s="0" t="s">
        <v>43</v>
      </c>
      <c r="D1794" s="20" t="n">
        <f aca="false">D1784/(D1784+D1787)</f>
        <v>0.800318125775433</v>
      </c>
      <c r="E1794" s="20" t="n">
        <f aca="false">E1784/(E1784+E1787)</f>
        <v>0.896024374782173</v>
      </c>
      <c r="F1794" s="20" t="n">
        <f aca="false">F1784/(F1784+F1787)</f>
        <v>0.924114387791097</v>
      </c>
      <c r="G1794" s="20" t="n">
        <f aca="false">G1784/(G1784+G1787)</f>
        <v>0.939286657016792</v>
      </c>
    </row>
    <row r="1795" customFormat="false" ht="17.15" hidden="false" customHeight="false" outlineLevel="0" collapsed="false">
      <c r="A1795" s="5" t="s">
        <v>729</v>
      </c>
    </row>
    <row r="1796" customFormat="false" ht="17.15" hidden="false" customHeight="false" outlineLevel="0" collapsed="false">
      <c r="A1796" s="0" t="s">
        <v>730</v>
      </c>
      <c r="B1796" s="0" t="s">
        <v>379</v>
      </c>
      <c r="D1796" s="21" t="n">
        <f aca="false">a26_bt</f>
        <v>23.265964</v>
      </c>
      <c r="E1796" s="21" t="n">
        <f aca="false">D1796*(1+g_bt27_A)</f>
        <v>29.78043392</v>
      </c>
      <c r="F1796" s="21" t="n">
        <f aca="false">E1796*(1+g_bt28_A)</f>
        <v>32.758477312</v>
      </c>
      <c r="G1796" s="21" t="n">
        <f aca="false">F1796*(1+g_bt29_A)</f>
        <v>34.3964011776</v>
      </c>
      <c r="K1796" s="7" t="s">
        <v>731</v>
      </c>
    </row>
    <row r="1797" customFormat="false" ht="17.15" hidden="false" customHeight="false" outlineLevel="0" collapsed="false">
      <c r="A1797" s="3" t="s">
        <v>616</v>
      </c>
      <c r="B1797" s="0" t="s">
        <v>379</v>
      </c>
      <c r="C1797" s="21" t="n">
        <f aca="false">a25_lens</f>
        <v>7.039</v>
      </c>
      <c r="D1797" s="21" t="n">
        <f aca="false">a26_lens</f>
        <v>8.301</v>
      </c>
      <c r="E1797" s="21" t="n">
        <f aca="false">D1797*(1+g_lens_lo)</f>
        <v>8.55003</v>
      </c>
      <c r="F1797" s="21" t="n">
        <f aca="false">E1797*(1+g_lens_lo)</f>
        <v>8.8065309</v>
      </c>
      <c r="G1797" s="21" t="n">
        <f aca="false">F1797*(1+g_lens_lo)</f>
        <v>9.070726827</v>
      </c>
      <c r="K1797" s="3" t="s">
        <v>732</v>
      </c>
    </row>
    <row r="1798" customFormat="false" ht="17.15" hidden="false" customHeight="false" outlineLevel="0" collapsed="false">
      <c r="A1798" s="3" t="s">
        <v>573</v>
      </c>
      <c r="B1798" s="0" t="s">
        <v>379</v>
      </c>
      <c r="C1798" s="23" t="n">
        <f aca="false">a25_rev</f>
        <v>39.351</v>
      </c>
      <c r="D1798" s="23" t="n">
        <f aca="false">D1791+D1796+D1797</f>
        <v>54.4258</v>
      </c>
      <c r="E1798" s="23" t="n">
        <f aca="false">E1791+E1796+E1797</f>
        <v>71.452917284</v>
      </c>
      <c r="F1798" s="23" t="n">
        <f aca="false">F1791+F1796+F1797</f>
        <v>82.8645672502375</v>
      </c>
      <c r="G1798" s="23" t="n">
        <f aca="false">G1791+G1796+G1797</f>
        <v>94.1351659615114</v>
      </c>
      <c r="H1798" s="25" t="n">
        <f aca="false">G1798*(1+H1799)</f>
        <v>104.553561638992</v>
      </c>
      <c r="I1798" s="25" t="n">
        <f aca="false">H1798*(1+I1799)</f>
        <v>113.475893533201</v>
      </c>
      <c r="J1798" s="25" t="n">
        <f aca="false">I1798*(1+J1799)</f>
        <v>120.284447145193</v>
      </c>
      <c r="K1798" s="7" t="s">
        <v>733</v>
      </c>
    </row>
    <row r="1799" customFormat="false" ht="15" hidden="false" customHeight="false" outlineLevel="0" collapsed="false">
      <c r="A1799" s="3" t="s">
        <v>734</v>
      </c>
      <c r="B1799" s="0" t="s">
        <v>43</v>
      </c>
      <c r="D1799" s="20" t="n">
        <f aca="false">D1798/C1798-1</f>
        <v>0.383085563263958</v>
      </c>
      <c r="E1799" s="20" t="n">
        <f aca="false">E1798/D1798-1</f>
        <v>0.312850105721919</v>
      </c>
      <c r="F1799" s="20" t="n">
        <f aca="false">F1798/E1798-1</f>
        <v>0.159708664110665</v>
      </c>
      <c r="G1799" s="20" t="n">
        <f aca="false">G1798/F1798-1</f>
        <v>0.136012279859479</v>
      </c>
      <c r="H1799" s="26" t="n">
        <f aca="false">$G1799+(fade_gA-$G1799)*1/3</f>
        <v>0.110674853239652</v>
      </c>
      <c r="I1799" s="26" t="n">
        <f aca="false">$G1799+(fade_gA-$G1799)*2/3</f>
        <v>0.0853374266198262</v>
      </c>
      <c r="J1799" s="26" t="n">
        <f aca="false">$G1799+(fade_gA-$G1799)*3/3</f>
        <v>0.06</v>
      </c>
    </row>
    <row r="1800" customFormat="false" ht="17.15" hidden="false" customHeight="false" outlineLevel="0" collapsed="false">
      <c r="A1800" s="0" t="s">
        <v>735</v>
      </c>
      <c r="B1800" s="0" t="s">
        <v>43</v>
      </c>
      <c r="D1800" s="20" t="n">
        <f aca="false">D1791/D1798</f>
        <v>0.42</v>
      </c>
      <c r="E1800" s="20" t="n">
        <f aca="false">E1791/E1798</f>
        <v>0.463556347634485</v>
      </c>
      <c r="F1800" s="20" t="n">
        <f aca="false">F1791/F1798</f>
        <v>0.498398295058002</v>
      </c>
      <c r="G1800" s="20" t="n">
        <f aca="false">G1791/G1798</f>
        <v>0.53824771475548</v>
      </c>
    </row>
    <row r="1801" customFormat="false" ht="17.15" hidden="false" customHeight="false" outlineLevel="0" collapsed="false">
      <c r="A1801" s="0" t="s">
        <v>736</v>
      </c>
      <c r="B1801" s="0" t="s">
        <v>43</v>
      </c>
      <c r="D1801" s="20" t="n">
        <f aca="false">D1793/D1798</f>
        <v>0.105</v>
      </c>
      <c r="E1801" s="20" t="n">
        <f aca="false">E1793/E1798</f>
        <v>0.212267033747109</v>
      </c>
      <c r="F1801" s="20" t="n">
        <f aca="false">F1793/F1798</f>
        <v>0.262844626309912</v>
      </c>
      <c r="G1801" s="20" t="n">
        <f aca="false">G1793/G1798</f>
        <v>0.307219520267231</v>
      </c>
      <c r="K1801" s="3" t="s">
        <v>737</v>
      </c>
    </row>
    <row r="1802" customFormat="false" ht="17.15" hidden="false" customHeight="false" outlineLevel="0" collapsed="false">
      <c r="A1802" s="5" t="s">
        <v>738</v>
      </c>
    </row>
    <row r="1803" customFormat="false" ht="15" hidden="false" customHeight="false" outlineLevel="0" collapsed="false">
      <c r="A1803" s="3" t="s">
        <v>739</v>
      </c>
      <c r="B1803" s="0" t="s">
        <v>379</v>
      </c>
      <c r="C1803" s="23" t="n">
        <f aca="false">a25_cx</f>
        <v>6.116</v>
      </c>
      <c r="D1803" s="23" t="n">
        <f aca="false">capex26</f>
        <v>11</v>
      </c>
      <c r="E1803" s="23" t="n">
        <f aca="false">cx27</f>
        <v>17</v>
      </c>
      <c r="F1803" s="23" t="n">
        <f aca="false">cx28</f>
        <v>16</v>
      </c>
      <c r="G1803" s="23" t="n">
        <f aca="false">cx29</f>
        <v>12</v>
      </c>
      <c r="H1803" s="25" t="n">
        <f aca="false">H1798*H1822</f>
        <v>13.42693806365</v>
      </c>
      <c r="I1803" s="25" t="n">
        <f aca="false">I1798*I1822</f>
        <v>14.6800329664536</v>
      </c>
      <c r="J1803" s="25" t="n">
        <f aca="false">J1798*J1822</f>
        <v>15.6745459791729</v>
      </c>
    </row>
    <row r="1804" customFormat="false" ht="17.15" hidden="false" customHeight="false" outlineLevel="0" collapsed="false">
      <c r="A1804" s="3" t="s">
        <v>740</v>
      </c>
      <c r="B1804" s="0" t="s">
        <v>379</v>
      </c>
      <c r="C1804" s="23" t="n">
        <f aca="false">a25_da</f>
        <v>7.158</v>
      </c>
      <c r="D1804" s="23" t="n">
        <f aca="false">da26</f>
        <v>8.32</v>
      </c>
      <c r="E1804" s="23" t="n">
        <f aca="false">D1804*(1-1/life)+D1803/life</f>
        <v>8.655</v>
      </c>
      <c r="F1804" s="23" t="n">
        <f aca="false">E1804*(1-1/life)+E1803/life</f>
        <v>9.698125</v>
      </c>
      <c r="G1804" s="23" t="n">
        <f aca="false">F1804*(1-1/life)+F1803/life</f>
        <v>10.485859375</v>
      </c>
      <c r="H1804" s="25" t="n">
        <f aca="false">H1798*H1805</f>
        <v>11.6463803224198</v>
      </c>
      <c r="I1804" s="25" t="n">
        <f aca="false">I1798*I1805</f>
        <v>12.6402524485708</v>
      </c>
      <c r="J1804" s="25" t="n">
        <f aca="false">J1798*J1805</f>
        <v>13.3986675954851</v>
      </c>
      <c r="K1804" s="3" t="s">
        <v>741</v>
      </c>
    </row>
    <row r="1805" customFormat="false" ht="17.15" hidden="false" customHeight="false" outlineLevel="0" collapsed="false">
      <c r="A1805" s="3" t="s">
        <v>742</v>
      </c>
      <c r="B1805" s="0" t="s">
        <v>43</v>
      </c>
      <c r="C1805" s="20" t="n">
        <f aca="false">C1804/C1798</f>
        <v>0.181901349393916</v>
      </c>
      <c r="D1805" s="20" t="n">
        <f aca="false">D1804/D1798</f>
        <v>0.152868676252807</v>
      </c>
      <c r="E1805" s="20" t="n">
        <f aca="false">E1804/E1798</f>
        <v>0.121128714249685</v>
      </c>
      <c r="F1805" s="20" t="n">
        <f aca="false">F1804/F1798</f>
        <v>0.117035849239558</v>
      </c>
      <c r="G1805" s="20" t="n">
        <f aca="false">G1804/G1798</f>
        <v>0.111391521626332</v>
      </c>
      <c r="H1805" s="26" t="n">
        <f aca="false">$G1805</f>
        <v>0.111391521626332</v>
      </c>
      <c r="I1805" s="26" t="n">
        <f aca="false">$G1805</f>
        <v>0.111391521626332</v>
      </c>
      <c r="J1805" s="26" t="n">
        <f aca="false">$G1805</f>
        <v>0.111391521626332</v>
      </c>
    </row>
    <row r="1806" customFormat="false" ht="17.15" hidden="false" customHeight="false" outlineLevel="0" collapsed="false">
      <c r="A1806" s="0" t="s">
        <v>743</v>
      </c>
      <c r="B1806" s="0" t="s">
        <v>379</v>
      </c>
      <c r="E1806" s="21" t="n">
        <f aca="false">E1792*((E1784+E1787)*(1-1/(E1777*E1778))+E1788*(1-1/E1778))</f>
        <v>4.320320004</v>
      </c>
      <c r="F1806" s="21" t="n">
        <f aca="false">F1792*((F1784+F1787)*(1-1/(F1777*F1778))+F1788*(1-1/F1778))</f>
        <v>4.39007949866158</v>
      </c>
      <c r="G1806" s="21" t="n">
        <f aca="false">G1792*((G1784+G1787)*(1-1/(G1777*G1778))+G1788*(1-1/G1778))</f>
        <v>3.81465610771581</v>
      </c>
      <c r="K1806" s="7" t="s">
        <v>744</v>
      </c>
    </row>
    <row r="1807" customFormat="false" ht="17.15" hidden="false" customHeight="false" outlineLevel="0" collapsed="false">
      <c r="A1807" s="3" t="s">
        <v>745</v>
      </c>
      <c r="B1807" s="0" t="s">
        <v>379</v>
      </c>
      <c r="C1807" s="21" t="n">
        <f aca="false">a25_gp</f>
        <v>8.314</v>
      </c>
      <c r="D1807" s="21" t="n">
        <f aca="false">a26_gp</f>
        <v>15.328536</v>
      </c>
      <c r="E1807" s="21" t="n">
        <f aca="false">$D1807+ft_abf*(E1791-E1806-$D1791)+ft_bt*(E1796-$D1796)+ft_lens*(E1797-$D1797)+E1806-(E1804-$D1804)</f>
        <v>25.329079648</v>
      </c>
      <c r="F1807" s="21" t="n">
        <f aca="false">$D1807+ft_abf*(F1791-F1806-$D1791)+ft_bt*(F1796-$D1796)+ft_lens*(F1797-$D1797)+F1806-(F1804-$D1804)</f>
        <v>29.8649321638495</v>
      </c>
      <c r="G1807" s="21" t="n">
        <f aca="false">$D1807+ft_abf*(G1791-G1806-$D1791)+ft_bt*(G1796-$D1796)+ft_lens*(G1797-$D1797)+G1806-(G1804-$D1804)</f>
        <v>34.3296794593836</v>
      </c>
      <c r="K1807" s="3" t="s">
        <v>746</v>
      </c>
    </row>
    <row r="1808" customFormat="false" ht="15" hidden="false" customHeight="false" outlineLevel="0" collapsed="false">
      <c r="A1808" s="3" t="s">
        <v>580</v>
      </c>
      <c r="B1808" s="0" t="s">
        <v>43</v>
      </c>
      <c r="C1808" s="16" t="n">
        <f aca="false">C1807/C1798</f>
        <v>0.211277985311682</v>
      </c>
      <c r="D1808" s="16" t="n">
        <f aca="false">D1807/D1798</f>
        <v>0.281640986443929</v>
      </c>
      <c r="E1808" s="16" t="n">
        <f aca="false">E1807/E1798</f>
        <v>0.354486291264021</v>
      </c>
      <c r="F1808" s="16" t="n">
        <f aca="false">F1807/F1798</f>
        <v>0.360406542324204</v>
      </c>
      <c r="G1808" s="16" t="n">
        <f aca="false">G1807/G1798</f>
        <v>0.36468496240204</v>
      </c>
    </row>
    <row r="1809" customFormat="false" ht="15" hidden="false" customHeight="false" outlineLevel="0" collapsed="false">
      <c r="A1809" s="3" t="s">
        <v>582</v>
      </c>
      <c r="B1809" s="0" t="s">
        <v>379</v>
      </c>
      <c r="C1809" s="21" t="n">
        <f aca="false">a25_opx</f>
        <v>5.644</v>
      </c>
      <c r="D1809" s="21" t="n">
        <f aca="false">a26_opx</f>
        <v>6.54036</v>
      </c>
      <c r="E1809" s="21" t="n">
        <f aca="false">D1809*(1+phi*E1799)</f>
        <v>7.76805139047565</v>
      </c>
      <c r="F1809" s="21" t="n">
        <f aca="false">E1809*(1+phi*F1799)</f>
        <v>8.51242645666516</v>
      </c>
      <c r="G1809" s="21" t="n">
        <f aca="false">F1809*(1+phi*G1799)</f>
        <v>9.20710317436947</v>
      </c>
    </row>
    <row r="1810" customFormat="false" ht="15" hidden="false" customHeight="false" outlineLevel="0" collapsed="false">
      <c r="A1810" s="3" t="s">
        <v>585</v>
      </c>
      <c r="B1810" s="0" t="s">
        <v>379</v>
      </c>
      <c r="C1810" s="21" t="n">
        <f aca="false">C1807-C1809</f>
        <v>2.67</v>
      </c>
      <c r="D1810" s="21" t="n">
        <f aca="false">D1807-D1809</f>
        <v>8.788176</v>
      </c>
      <c r="E1810" s="21" t="n">
        <f aca="false">E1807-E1809</f>
        <v>17.5610282575244</v>
      </c>
      <c r="F1810" s="21" t="n">
        <f aca="false">F1807-F1809</f>
        <v>21.3525057071844</v>
      </c>
      <c r="G1810" s="21" t="n">
        <f aca="false">G1807-G1809</f>
        <v>25.1225762850141</v>
      </c>
    </row>
    <row r="1811" customFormat="false" ht="15" hidden="false" customHeight="false" outlineLevel="0" collapsed="false">
      <c r="A1811" s="3" t="s">
        <v>683</v>
      </c>
      <c r="B1811" s="0" t="s">
        <v>43</v>
      </c>
      <c r="C1811" s="16" t="n">
        <f aca="false">C1810/C1798</f>
        <v>0.0678508805367081</v>
      </c>
      <c r="D1811" s="16" t="n">
        <f aca="false">D1810/D1798</f>
        <v>0.161470773052486</v>
      </c>
      <c r="E1811" s="16" t="n">
        <f aca="false">E1810/E1798</f>
        <v>0.245770626659308</v>
      </c>
      <c r="F1811" s="16" t="n">
        <f aca="false">F1810/F1798</f>
        <v>0.257679565775119</v>
      </c>
      <c r="G1811" s="16" t="n">
        <f aca="false">G1810/G1798</f>
        <v>0.266877696856517</v>
      </c>
    </row>
    <row r="1812" customFormat="false" ht="15" hidden="false" customHeight="false" outlineLevel="0" collapsed="false">
      <c r="A1812" s="3" t="s">
        <v>588</v>
      </c>
      <c r="B1812" s="0" t="s">
        <v>379</v>
      </c>
      <c r="C1812" s="21" t="n">
        <f aca="false">a25_nonop</f>
        <v>0.417</v>
      </c>
      <c r="D1812" s="21" t="n">
        <f aca="false">a26_nonop</f>
        <v>0.37882</v>
      </c>
      <c r="E1812" s="21" t="n">
        <f aca="false">nonop27</f>
        <v>0.4</v>
      </c>
      <c r="F1812" s="21" t="n">
        <f aca="false">nonop28</f>
        <v>0.4</v>
      </c>
      <c r="G1812" s="21" t="n">
        <f aca="false">nonop29</f>
        <v>0.4</v>
      </c>
    </row>
    <row r="1813" customFormat="false" ht="15" hidden="false" customHeight="false" outlineLevel="0" collapsed="false">
      <c r="A1813" s="3" t="s">
        <v>590</v>
      </c>
      <c r="B1813" s="0" t="s">
        <v>379</v>
      </c>
      <c r="C1813" s="21" t="n">
        <f aca="false">C1810+C1812</f>
        <v>3.087</v>
      </c>
      <c r="D1813" s="21" t="n">
        <f aca="false">D1810+D1812</f>
        <v>9.166996</v>
      </c>
      <c r="E1813" s="21" t="n">
        <f aca="false">E1810+E1812</f>
        <v>17.9610282575244</v>
      </c>
      <c r="F1813" s="21" t="n">
        <f aca="false">F1810+F1812</f>
        <v>21.7525057071844</v>
      </c>
      <c r="G1813" s="21" t="n">
        <f aca="false">G1810+G1812</f>
        <v>25.5225762850141</v>
      </c>
    </row>
    <row r="1814" customFormat="false" ht="15" hidden="false" customHeight="false" outlineLevel="0" collapsed="false">
      <c r="A1814" s="3" t="s">
        <v>591</v>
      </c>
      <c r="B1814" s="0" t="s">
        <v>379</v>
      </c>
      <c r="E1814" s="21" t="n">
        <f aca="false">E1813*tax</f>
        <v>2.15532339090292</v>
      </c>
      <c r="F1814" s="21" t="n">
        <f aca="false">F1813*tax</f>
        <v>2.61030068486213</v>
      </c>
      <c r="G1814" s="21" t="n">
        <f aca="false">G1813*tax</f>
        <v>3.06270915420169</v>
      </c>
    </row>
    <row r="1815" customFormat="false" ht="15" hidden="false" customHeight="false" outlineLevel="0" collapsed="false">
      <c r="A1815" s="3" t="s">
        <v>592</v>
      </c>
      <c r="B1815" s="0" t="s">
        <v>379</v>
      </c>
      <c r="C1815" s="21" t="n">
        <f aca="false">a25_nic</f>
        <v>2.71712</v>
      </c>
      <c r="D1815" s="21" t="n">
        <f aca="false">a26_nic</f>
        <v>8.39979776</v>
      </c>
      <c r="E1815" s="21" t="n">
        <f aca="false">E1813-E1814</f>
        <v>15.8057048666214</v>
      </c>
      <c r="F1815" s="21" t="n">
        <f aca="false">F1813-F1814</f>
        <v>19.1422050223223</v>
      </c>
      <c r="G1815" s="21" t="n">
        <f aca="false">G1813-G1814</f>
        <v>22.4598671308124</v>
      </c>
    </row>
    <row r="1816" customFormat="false" ht="17.15" hidden="false" customHeight="false" outlineLevel="0" collapsed="false">
      <c r="A1816" s="3" t="s">
        <v>747</v>
      </c>
      <c r="B1816" s="0" t="s">
        <v>379</v>
      </c>
      <c r="C1816" s="21" t="n">
        <f aca="false">a25_nci</f>
        <v>1.12112</v>
      </c>
      <c r="D1816" s="21" t="n">
        <f aca="false">a26_nci</f>
        <v>1.43839238487797</v>
      </c>
      <c r="E1816" s="21" t="n">
        <f aca="false">E1797*nm_lens*nci_sh</f>
        <v>1.47078885615771</v>
      </c>
      <c r="F1816" s="21" t="n">
        <f aca="false">F1797*nm_lens*nci_sh</f>
        <v>1.51491252184244</v>
      </c>
      <c r="G1816" s="21" t="n">
        <f aca="false">G1797*nm_lens*nci_sh</f>
        <v>1.56035989749772</v>
      </c>
      <c r="K1816" s="3" t="s">
        <v>748</v>
      </c>
    </row>
    <row r="1817" customFormat="false" ht="15" hidden="false" customHeight="false" outlineLevel="0" collapsed="false">
      <c r="A1817" s="3" t="s">
        <v>598</v>
      </c>
      <c r="B1817" s="0" t="s">
        <v>379</v>
      </c>
      <c r="C1817" s="21" t="n">
        <f aca="false">a25_ni</f>
        <v>1.596</v>
      </c>
      <c r="D1817" s="21" t="n">
        <f aca="false">a26_ni</f>
        <v>6.96140537512203</v>
      </c>
      <c r="E1817" s="21" t="n">
        <f aca="false">E1815-E1816</f>
        <v>14.3349160104637</v>
      </c>
      <c r="F1817" s="21" t="n">
        <f aca="false">F1815-F1816</f>
        <v>17.6272925004798</v>
      </c>
      <c r="G1817" s="21" t="n">
        <f aca="false">G1815-G1816</f>
        <v>20.8995072333147</v>
      </c>
      <c r="H1817" s="30" t="n">
        <f aca="false">H1798*H1821</f>
        <v>23.1742711138939</v>
      </c>
      <c r="I1817" s="30" t="n">
        <f aca="false">I1798*I1821</f>
        <v>25.1103505292779</v>
      </c>
      <c r="J1817" s="30" t="n">
        <f aca="false">J1798*J1821</f>
        <v>26.5729251210527</v>
      </c>
    </row>
    <row r="1818" customFormat="false" ht="15" hidden="false" customHeight="false" outlineLevel="0" collapsed="false">
      <c r="A1818" s="3" t="s">
        <v>749</v>
      </c>
      <c r="B1818" s="3" t="s">
        <v>465</v>
      </c>
      <c r="C1818" s="29" t="n">
        <f aca="false">a25_sh</f>
        <v>0.454700854700855</v>
      </c>
      <c r="D1818" s="29" t="n">
        <f aca="false">a26_sh</f>
        <v>0.508341020486215</v>
      </c>
      <c r="E1818" s="29" t="n">
        <f aca="false">a26_shend*(1+sh_g)</f>
        <v>0.52691</v>
      </c>
      <c r="F1818" s="29" t="n">
        <f aca="false">E1818*(1+sh_g)</f>
        <v>0.52691</v>
      </c>
      <c r="G1818" s="29" t="n">
        <f aca="false">F1818*(1+sh_g)</f>
        <v>0.52691</v>
      </c>
      <c r="H1818" s="31" t="n">
        <f aca="false">G1818*(1+sh_g)</f>
        <v>0.52691</v>
      </c>
      <c r="I1818" s="31" t="n">
        <f aca="false">H1818*(1+sh_g)</f>
        <v>0.52691</v>
      </c>
      <c r="J1818" s="31" t="n">
        <f aca="false">I1818*(1+sh_g)</f>
        <v>0.52691</v>
      </c>
    </row>
    <row r="1819" customFormat="false" ht="17.15" hidden="false" customHeight="false" outlineLevel="0" collapsed="false">
      <c r="A1819" s="0" t="s">
        <v>603</v>
      </c>
      <c r="B1819" s="0" t="s">
        <v>471</v>
      </c>
      <c r="C1819" s="18" t="n">
        <f aca="false">C1817/C1818</f>
        <v>3.51</v>
      </c>
      <c r="D1819" s="18" t="n">
        <f aca="false">D1817/D1818</f>
        <v>13.6943608612652</v>
      </c>
      <c r="E1819" s="18" t="n">
        <f aca="false">E1817/E1818</f>
        <v>27.2056252689524</v>
      </c>
      <c r="F1819" s="18" t="n">
        <f aca="false">F1817/F1818</f>
        <v>33.4540860877186</v>
      </c>
      <c r="G1819" s="18" t="n">
        <f aca="false">G1817/G1818</f>
        <v>39.6642827680528</v>
      </c>
      <c r="H1819" s="28" t="n">
        <f aca="false">H1817/H1818</f>
        <v>43.9814600480041</v>
      </c>
      <c r="I1819" s="28" t="n">
        <f aca="false">I1817/I1818</f>
        <v>47.6558625368239</v>
      </c>
      <c r="J1819" s="28" t="n">
        <f aca="false">J1817/J1818</f>
        <v>50.431620430534</v>
      </c>
    </row>
    <row r="1820" customFormat="false" ht="17.15" hidden="false" customHeight="false" outlineLevel="0" collapsed="false">
      <c r="A1820" s="0" t="s">
        <v>750</v>
      </c>
      <c r="B1820" s="0" t="s">
        <v>43</v>
      </c>
      <c r="D1820" s="20" t="n">
        <f aca="false">D1819/C1819-1</f>
        <v>2.90152731090177</v>
      </c>
      <c r="E1820" s="20" t="n">
        <f aca="false">E1819/D1819-1</f>
        <v>0.986629791968177</v>
      </c>
      <c r="F1820" s="20" t="n">
        <f aca="false">F1819/E1819-1</f>
        <v>0.229675324753409</v>
      </c>
      <c r="G1820" s="20" t="n">
        <f aca="false">G1819/F1819-1</f>
        <v>0.185633427977997</v>
      </c>
      <c r="H1820" s="26" t="n">
        <f aca="false">H1819/G1819-1</f>
        <v>0.108842943289738</v>
      </c>
      <c r="I1820" s="26" t="n">
        <f aca="false">I1819/H1819-1</f>
        <v>0.0835443499331137</v>
      </c>
      <c r="J1820" s="26" t="n">
        <f aca="false">J1819/I1819-1</f>
        <v>0.0582458851010272</v>
      </c>
    </row>
    <row r="1821" customFormat="false" ht="17.15" hidden="false" customHeight="false" outlineLevel="0" collapsed="false">
      <c r="A1821" s="3" t="s">
        <v>751</v>
      </c>
      <c r="B1821" s="0" t="s">
        <v>43</v>
      </c>
      <c r="C1821" s="16" t="n">
        <f aca="false">C1817/C1798</f>
        <v>0.0405580544331783</v>
      </c>
      <c r="D1821" s="16" t="n">
        <f aca="false">D1817/D1798</f>
        <v>0.127906349105057</v>
      </c>
      <c r="E1821" s="16" t="n">
        <f aca="false">E1817/E1798</f>
        <v>0.200620444277838</v>
      </c>
      <c r="F1821" s="16" t="n">
        <f aca="false">F1817/F1798</f>
        <v>0.212724124259869</v>
      </c>
      <c r="G1821" s="16" t="n">
        <f aca="false">G1817/G1798</f>
        <v>0.222015938675455</v>
      </c>
      <c r="H1821" s="27" t="n">
        <f aca="false">$G1821+(fade_mA-$G1821)*1/3</f>
        <v>0.221649753012826</v>
      </c>
      <c r="I1821" s="27" t="n">
        <f aca="false">$G1821+(fade_mA-$G1821)*2/3</f>
        <v>0.221283567350197</v>
      </c>
      <c r="J1821" s="27" t="n">
        <f aca="false">$G1821+(fade_mA-$G1821)*3/3</f>
        <v>0.220917381687568</v>
      </c>
    </row>
    <row r="1822" customFormat="false" ht="17.15" hidden="false" customHeight="false" outlineLevel="0" collapsed="false">
      <c r="A1822" s="3" t="s">
        <v>752</v>
      </c>
      <c r="B1822" s="0" t="s">
        <v>43</v>
      </c>
      <c r="C1822" s="20" t="n">
        <f aca="false">C1803/C1798</f>
        <v>0.155421717364235</v>
      </c>
      <c r="D1822" s="20" t="n">
        <f aca="false">D1803/D1798</f>
        <v>0.202110028699624</v>
      </c>
      <c r="E1822" s="20" t="n">
        <f aca="false">E1803/E1798</f>
        <v>0.237918907249525</v>
      </c>
      <c r="F1822" s="20" t="n">
        <f aca="false">F1803/F1798</f>
        <v>0.193086146841057</v>
      </c>
      <c r="G1822" s="20" t="n">
        <f aca="false">G1803/G1798</f>
        <v>0.127476271778247</v>
      </c>
      <c r="H1822" s="26" t="n">
        <f aca="false">$G1822+($G1805*(1+tp_g)^(life/2)-$G1822)*1/3</f>
        <v>0.128421622880828</v>
      </c>
      <c r="I1822" s="26" t="n">
        <f aca="false">$G1822+($G1805*(1+tp_g)^(life/2)-$G1822)*2/3</f>
        <v>0.129366973983408</v>
      </c>
      <c r="J1822" s="26" t="n">
        <f aca="false">$G1822+($G1805*(1+tp_g)^(life/2)-$G1822)*3/3</f>
        <v>0.130312325085989</v>
      </c>
      <c r="K1822" s="7" t="s">
        <v>753</v>
      </c>
    </row>
    <row r="1823" customFormat="false" ht="15" hidden="false" customHeight="false" outlineLevel="0" collapsed="false">
      <c r="A1823" s="3" t="s">
        <v>754</v>
      </c>
      <c r="B1823" s="0" t="s">
        <v>379</v>
      </c>
      <c r="D1823" s="21" t="n">
        <f aca="false">D1817+D1804-D1803</f>
        <v>4.28140537512203</v>
      </c>
      <c r="E1823" s="21" t="n">
        <f aca="false">E1817+E1804-E1803</f>
        <v>5.98991601046372</v>
      </c>
      <c r="F1823" s="21" t="n">
        <f aca="false">F1817+F1804-F1803</f>
        <v>11.3254175004798</v>
      </c>
      <c r="G1823" s="21" t="n">
        <f aca="false">G1817+G1804-G1803</f>
        <v>19.3853666083147</v>
      </c>
      <c r="H1823" s="30" t="n">
        <f aca="false">H1817+H1804-H1803</f>
        <v>21.3937133726636</v>
      </c>
      <c r="I1823" s="30" t="n">
        <f aca="false">I1817+I1804-I1803</f>
        <v>23.0705700113951</v>
      </c>
      <c r="J1823" s="30" t="n">
        <f aca="false">J1817+J1804-J1803</f>
        <v>24.2970467373649</v>
      </c>
      <c r="K1823" s="3" t="s">
        <v>755</v>
      </c>
    </row>
    <row r="1824" customFormat="false" ht="15" hidden="false" customHeight="false" outlineLevel="0" collapsed="false">
      <c r="A1824" s="3" t="s">
        <v>756</v>
      </c>
      <c r="B1824" s="0" t="s">
        <v>471</v>
      </c>
      <c r="D1824" s="18" t="n">
        <f aca="false">D1823/D1818</f>
        <v>8.42230943909854</v>
      </c>
      <c r="E1824" s="18" t="n">
        <f aca="false">E1823/E1818</f>
        <v>11.3680059411735</v>
      </c>
      <c r="F1824" s="18" t="n">
        <f aca="false">F1823/F1818</f>
        <v>21.4940264949988</v>
      </c>
      <c r="G1824" s="18" t="n">
        <f aca="false">G1823/G1818</f>
        <v>36.79065990077</v>
      </c>
      <c r="H1824" s="28" t="n">
        <f aca="false">H1823/H1818</f>
        <v>40.6022155067538</v>
      </c>
      <c r="I1824" s="28" t="n">
        <f aca="false">I1823/I1818</f>
        <v>43.7846501516295</v>
      </c>
      <c r="J1824" s="28" t="n">
        <f aca="false">J1823/J1818</f>
        <v>46.1123279827009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1" t="s">
        <v>1121</v>
      </c>
    </row>
    <row r="2" customFormat="false" ht="17.15" hidden="false" customHeight="false" outlineLevel="0" collapsed="false">
      <c r="A2" s="3" t="s">
        <v>1122</v>
      </c>
      <c r="B2" s="0" t="s">
        <v>1123</v>
      </c>
    </row>
    <row r="3" customFormat="false" ht="17.15" hidden="false" customHeight="false" outlineLevel="0" collapsed="false">
      <c r="A3" s="3" t="s">
        <v>1124</v>
      </c>
      <c r="B3" s="0" t="s">
        <v>1125</v>
      </c>
    </row>
    <row r="4" customFormat="false" ht="17.15" hidden="false" customHeight="false" outlineLevel="0" collapsed="false">
      <c r="A4" s="3" t="s">
        <v>1126</v>
      </c>
      <c r="B4" s="0" t="s">
        <v>1127</v>
      </c>
    </row>
    <row r="5" customFormat="false" ht="17.15" hidden="false" customHeight="false" outlineLevel="0" collapsed="false">
      <c r="A5" s="3" t="s">
        <v>1128</v>
      </c>
      <c r="B5" s="0" t="s">
        <v>1129</v>
      </c>
    </row>
    <row r="6" customFormat="false" ht="17.15" hidden="false" customHeight="false" outlineLevel="0" collapsed="false">
      <c r="A6" s="3" t="s">
        <v>1130</v>
      </c>
      <c r="B6" s="0" t="s">
        <v>1131</v>
      </c>
    </row>
    <row r="7" customFormat="false" ht="17.15" hidden="false" customHeight="false" outlineLevel="0" collapsed="false">
      <c r="A7" s="3" t="s">
        <v>1132</v>
      </c>
      <c r="B7" s="0" t="s">
        <v>1133</v>
      </c>
    </row>
    <row r="8" customFormat="false" ht="17.15" hidden="false" customHeight="false" outlineLevel="0" collapsed="false">
      <c r="A8" s="3" t="s">
        <v>1134</v>
      </c>
      <c r="B8" s="0" t="s">
        <v>1135</v>
      </c>
    </row>
    <row r="9" customFormat="false" ht="17.15" hidden="false" customHeight="false" outlineLevel="0" collapsed="false">
      <c r="A9" s="3" t="s">
        <v>1136</v>
      </c>
      <c r="B9" s="0" t="s">
        <v>1137</v>
      </c>
    </row>
    <row r="10" customFormat="false" ht="17.15" hidden="false" customHeight="false" outlineLevel="0" collapsed="false">
      <c r="A10" s="3" t="s">
        <v>1138</v>
      </c>
      <c r="B10" s="0" t="s">
        <v>1139</v>
      </c>
    </row>
    <row r="11" customFormat="false" ht="17.15" hidden="false" customHeight="false" outlineLevel="0" collapsed="false">
      <c r="A11" s="3" t="s">
        <v>1140</v>
      </c>
      <c r="B11" s="0" t="s">
        <v>1141</v>
      </c>
    </row>
    <row r="12" customFormat="false" ht="17.15" hidden="false" customHeight="false" outlineLevel="0" collapsed="false">
      <c r="A12" s="3" t="s">
        <v>1142</v>
      </c>
      <c r="B12" s="0" t="s">
        <v>1143</v>
      </c>
    </row>
    <row r="13" customFormat="false" ht="17.15" hidden="false" customHeight="false" outlineLevel="0" collapsed="false">
      <c r="A13" s="3" t="s">
        <v>1144</v>
      </c>
      <c r="B13" s="0" t="s">
        <v>1145</v>
      </c>
    </row>
    <row r="14" customFormat="false" ht="17.15" hidden="false" customHeight="false" outlineLevel="0" collapsed="false">
      <c r="A14" s="3" t="s">
        <v>1146</v>
      </c>
      <c r="B14" s="0" t="s">
        <v>1147</v>
      </c>
    </row>
    <row r="15" customFormat="false" ht="17.15" hidden="false" customHeight="false" outlineLevel="0" collapsed="false">
      <c r="A15" s="3" t="s">
        <v>1148</v>
      </c>
      <c r="B15" s="0" t="s">
        <v>1149</v>
      </c>
    </row>
    <row r="16" customFormat="false" ht="17.15" hidden="false" customHeight="false" outlineLevel="0" collapsed="false">
      <c r="A16" s="3" t="s">
        <v>1150</v>
      </c>
      <c r="B16" s="0" t="s">
        <v>1151</v>
      </c>
    </row>
    <row r="17" customFormat="false" ht="17.15" hidden="false" customHeight="false" outlineLevel="0" collapsed="false">
      <c r="A17" s="3" t="s">
        <v>1152</v>
      </c>
      <c r="B17" s="0" t="s">
        <v>1153</v>
      </c>
    </row>
    <row r="18" customFormat="false" ht="17.15" hidden="false" customHeight="false" outlineLevel="0" collapsed="false">
      <c r="A18" s="3" t="s">
        <v>1154</v>
      </c>
      <c r="B18" s="0" t="s">
        <v>1155</v>
      </c>
    </row>
    <row r="19" customFormat="false" ht="17.15" hidden="false" customHeight="false" outlineLevel="0" collapsed="false">
      <c r="A19" s="3" t="s">
        <v>1156</v>
      </c>
      <c r="B19" s="0" t="s">
        <v>1157</v>
      </c>
    </row>
    <row r="20" customFormat="false" ht="17.15" hidden="false" customHeight="false" outlineLevel="0" collapsed="false">
      <c r="A20" s="3" t="s">
        <v>1158</v>
      </c>
      <c r="B20" s="0" t="s">
        <v>1159</v>
      </c>
    </row>
    <row r="21" customFormat="false" ht="17.15" hidden="false" customHeight="false" outlineLevel="0" collapsed="false">
      <c r="A21" s="3" t="s">
        <v>1160</v>
      </c>
      <c r="B21" s="0" t="s">
        <v>1161</v>
      </c>
    </row>
    <row r="22" customFormat="false" ht="17.15" hidden="false" customHeight="false" outlineLevel="0" collapsed="false">
      <c r="A22" s="3" t="s">
        <v>1162</v>
      </c>
      <c r="B22" s="0" t="s">
        <v>1163</v>
      </c>
    </row>
    <row r="23" customFormat="false" ht="17.15" hidden="false" customHeight="false" outlineLevel="0" collapsed="false">
      <c r="A23" s="3" t="s">
        <v>1164</v>
      </c>
      <c r="B23" s="0" t="s">
        <v>1165</v>
      </c>
    </row>
    <row r="24" customFormat="false" ht="17.15" hidden="false" customHeight="false" outlineLevel="0" collapsed="false">
      <c r="A24" s="3" t="s">
        <v>1166</v>
      </c>
      <c r="B24" s="0" t="s">
        <v>271</v>
      </c>
    </row>
    <row r="25" customFormat="false" ht="17.15" hidden="false" customHeight="false" outlineLevel="0" collapsed="false">
      <c r="A25" s="3" t="s">
        <v>1167</v>
      </c>
      <c r="B25" s="0" t="s">
        <v>1168</v>
      </c>
    </row>
    <row r="26" customFormat="false" ht="17.15" hidden="false" customHeight="false" outlineLevel="0" collapsed="false">
      <c r="A26" s="3" t="s">
        <v>1169</v>
      </c>
      <c r="B26" s="3" t="s">
        <v>1170</v>
      </c>
    </row>
    <row r="27" customFormat="false" ht="15" hidden="false" customHeight="false" outlineLevel="0" collapsed="false">
      <c r="A27" s="0" t="s">
        <v>1171</v>
      </c>
      <c r="B27" s="3" t="s">
        <v>1172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2026-10-28T00:05:59Z</dcterms:created>
  <dc:creator>openpyxl</dc:creator>
  <dc:description/>
  <dc:language>en-US</dc:language>
  <cp:lastModifiedBy/>
  <dcterms:modified xsi:type="dcterms:W3CDTF">2026-10-28T00:06:00Z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