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sh" vbProcedure="false">In!$E$22</definedName>
    <definedName function="false" hidden="false" name="ai_sh_hi" vbProcedure="false">In!$F$22</definedName>
    <definedName function="false" hidden="false" name="ai_sh_lo" vbProcedure="false">In!$D$22</definedName>
    <definedName function="false" hidden="false" name="a_bp" vbProcedure="false">In!$E$77</definedName>
    <definedName function="false" hidden="false" name="a_cc" vbProcedure="false">In!$E$82</definedName>
    <definedName function="false" hidden="false" name="a_cx" vbProcedure="false">In!$E$86</definedName>
    <definedName function="false" hidden="false" name="a_da" vbProcedure="false">In!$E$85</definedName>
    <definedName function="false" hidden="false" name="a_eps" vbProcedure="false">In!$E$89</definedName>
    <definedName function="false" hidden="false" name="a_ff" vbProcedure="false">In!$E$74</definedName>
    <definedName function="false" hidden="false" name="a_ffbp" vbProcedure="false">In!$E$79</definedName>
    <definedName function="false" hidden="false" name="a_fm" vbProcedure="false">In!$E$87</definedName>
    <definedName function="false" hidden="false" name="a_fmbp" vbProcedure="false">In!$E$88</definedName>
    <definedName function="false" hidden="false" name="a_fm_hi" vbProcedure="false">In!$F$87</definedName>
    <definedName function="false" hidden="false" name="a_fm_lo" vbProcedure="false">In!$D$87</definedName>
    <definedName function="false" hidden="false" name="a_ho" vbProcedure="false">In!$E$75</definedName>
    <definedName function="false" hidden="false" name="a_hobp" vbProcedure="false">In!$E$80</definedName>
    <definedName function="false" hidden="false" name="a_ni" vbProcedure="false">In!$E$84</definedName>
    <definedName function="false" hidden="false" name="a_oi" vbProcedure="false">In!$E$83</definedName>
    <definedName function="false" hidden="false" name="a_oth" vbProcedure="false">In!$E$76</definedName>
    <definedName function="false" hidden="false" name="a_othbp" vbProcedure="false">In!$E$81</definedName>
    <definedName function="false" hidden="false" name="a_rev" vbProcedure="false">In!$E$72</definedName>
    <definedName function="false" hidden="false" name="a_sf" vbProcedure="false">In!$E$73</definedName>
    <definedName function="false" hidden="false" name="a_sfbp" vbProcedure="false">In!$E$78</definedName>
    <definedName function="false" hidden="false" name="cap_27" vbProcedure="false">In!$E$27</definedName>
    <definedName function="false" hidden="false" name="cap_27_hi" vbProcedure="false">In!$F$27</definedName>
    <definedName function="false" hidden="false" name="cap_27_lo" vbProcedure="false">In!$D$27</definedName>
    <definedName function="false" hidden="false" name="cap_28" vbProcedure="false">In!$E$28</definedName>
    <definedName function="false" hidden="false" name="cap_28_hi" vbProcedure="false">In!$F$28</definedName>
    <definedName function="false" hidden="false" name="cap_28_lo" vbProcedure="false">In!$D$28</definedName>
    <definedName function="false" hidden="false" name="cap_29" vbProcedure="false">In!$E$29</definedName>
    <definedName function="false" hidden="false" name="cap_29_hi" vbProcedure="false">In!$F$29</definedName>
    <definedName function="false" hidden="false" name="cap_29_lo" vbProcedure="false">In!$D$29</definedName>
    <definedName function="false" hidden="false" name="cons_feps" vbProcedure="false">In!$E$101</definedName>
    <definedName function="false" hidden="false" name="cons_tp" vbProcedure="false">In!$E$102</definedName>
    <definedName function="false" hidden="false" name="cons_tp_hi" vbProcedure="false">In!$F$102</definedName>
    <definedName function="false" hidden="false" name="cons_tp_lo" vbProcedure="false">In!$D$102</definedName>
    <definedName function="false" hidden="false" name="cx_rev" vbProcedure="false">In!$E$121</definedName>
    <definedName function="false" hidden="false" name="c_eps26" vbProcedure="false">In!$E$92</definedName>
    <definedName function="false" hidden="false" name="c_eps27" vbProcedure="false">In!$E$95</definedName>
    <definedName function="false" hidden="false" name="c_g" vbProcedure="false">In!$E$36</definedName>
    <definedName function="false" hidden="false" name="c_g27" vbProcedure="false">In!$E$94</definedName>
    <definedName function="false" hidden="false" name="c_g_hi" vbProcedure="false">In!$F$36</definedName>
    <definedName function="false" hidden="false" name="c_g_lo" vbProcedure="false">In!$D$36</definedName>
    <definedName function="false" hidden="false" name="c_ni26" vbProcedure="false">In!$E$91</definedName>
    <definedName function="false" hidden="false" name="c_rev26" vbProcedure="false">In!$E$93</definedName>
    <definedName function="false" hidden="false" name="c_rev27" vbProcedure="false">In!$E$96</definedName>
    <definedName function="false" hidden="false" name="da_rev" vbProcedure="false">In!$E$120</definedName>
    <definedName function="false" hidden="false" name="fade_gA" vbProcedure="false">In!$E$113</definedName>
    <definedName function="false" hidden="false" name="fade_gB" vbProcedure="false">In!$E$114</definedName>
    <definedName function="false" hidden="false" name="fade_gC" vbProcedure="false">In!$E$115</definedName>
    <definedName function="false" hidden="false" name="fade_mA" vbProcedure="false">In!$E$116</definedName>
    <definedName function="false" hidden="false" name="fade_mB" vbProcedure="false">In!$E$117</definedName>
    <definedName function="false" hidden="false" name="fade_mC" vbProcedure="false">In!$E$118</definedName>
    <definedName function="false" hidden="false" name="fpe" vbProcedure="false">In!$E$100</definedName>
    <definedName function="false" hidden="false" name="f_bp" vbProcedure="false">In!$E$55</definedName>
    <definedName function="false" hidden="false" name="f_cc" vbProcedure="false">In!$E$60</definedName>
    <definedName function="false" hidden="false" name="f_eps" vbProcedure="false">In!$E$64</definedName>
    <definedName function="false" hidden="false" name="f_ff" vbProcedure="false">In!$E$51</definedName>
    <definedName function="false" hidden="false" name="f_ffbp" vbProcedure="false">In!$E$57</definedName>
    <definedName function="false" hidden="false" name="f_fm" vbProcedure="false">In!$E$54</definedName>
    <definedName function="false" hidden="false" name="f_fmbp" vbProcedure="false">In!$E$61</definedName>
    <definedName function="false" hidden="false" name="f_ho" vbProcedure="false">In!$E$52</definedName>
    <definedName function="false" hidden="false" name="f_hobp" vbProcedure="false">In!$E$58</definedName>
    <definedName function="false" hidden="false" name="f_ni" vbProcedure="false">In!$E$63</definedName>
    <definedName function="false" hidden="false" name="f_oi" vbProcedure="false">In!$E$62</definedName>
    <definedName function="false" hidden="false" name="f_oth" vbProcedure="false">In!$E$53</definedName>
    <definedName function="false" hidden="false" name="f_othbp" vbProcedure="false">In!$E$59</definedName>
    <definedName function="false" hidden="false" name="f_rev" vbProcedure="false">In!$E$49</definedName>
    <definedName function="false" hidden="false" name="f_sf" vbProcedure="false">In!$E$50</definedName>
    <definedName function="false" hidden="false" name="f_sfbp" vbProcedure="false">In!$E$56</definedName>
    <definedName function="false" hidden="false" name="g_asp" vbProcedure="false">In!$E$20</definedName>
    <definedName function="false" hidden="false" name="g_asp_hi" vbProcedure="false">In!$F$20</definedName>
    <definedName function="false" hidden="false" name="g_asp_lo" vbProcedure="false">In!$D$20</definedName>
    <definedName function="false" hidden="false" name="g_cc" vbProcedure="false">In!$E$44</definedName>
    <definedName function="false" hidden="false" name="g_cc_hi" vbProcedure="false">In!$F$44</definedName>
    <definedName function="false" hidden="false" name="g_cc_lo" vbProcedure="false">In!$D$44</definedName>
    <definedName function="false" hidden="false" name="g_ff" vbProcedure="false">In!$E$40</definedName>
    <definedName function="false" hidden="false" name="g_ff_hi" vbProcedure="false">In!$F$40</definedName>
    <definedName function="false" hidden="false" name="g_ff_lo" vbProcedure="false">In!$D$40</definedName>
    <definedName function="false" hidden="false" name="g_ho" vbProcedure="false">In!$E$42</definedName>
    <definedName function="false" hidden="false" name="g_ho_hi" vbProcedure="false">In!$F$42</definedName>
    <definedName function="false" hidden="false" name="g_ho_lo" vbProcedure="false">In!$D$42</definedName>
    <definedName function="false" hidden="false" name="g_nai" vbProcedure="false">In!$E$23</definedName>
    <definedName function="false" hidden="false" name="g_nai_hi" vbProcedure="false">In!$F$23</definedName>
    <definedName function="false" hidden="false" name="g_nai_lo" vbProcedure="false">In!$D$23</definedName>
    <definedName function="false" hidden="false" name="g_sf" vbProcedure="false">In!$E$38</definedName>
    <definedName function="false" hidden="false" name="g_sf_hi" vbProcedure="false">In!$F$38</definedName>
    <definedName function="false" hidden="false" name="g_sf_lo" vbProcedure="false">In!$D$38</definedName>
    <definedName function="false" hidden="false" name="m_ff" vbProcedure="false">In!$E$41</definedName>
    <definedName function="false" hidden="false" name="m_ff_hi" vbProcedure="false">In!$F$41</definedName>
    <definedName function="false" hidden="false" name="m_ff_lo" vbProcedure="false">In!$D$41</definedName>
    <definedName function="false" hidden="false" name="m_ho" vbProcedure="false">In!$E$43</definedName>
    <definedName function="false" hidden="false" name="m_ho_hi" vbProcedure="false">In!$F$43</definedName>
    <definedName function="false" hidden="false" name="m_ho_lo" vbProcedure="false">In!$D$43</definedName>
    <definedName function="false" hidden="false" name="m_sf" vbProcedure="false">In!$E$39</definedName>
    <definedName function="false" hidden="false" name="m_sf_hi" vbProcedure="false">In!$F$39</definedName>
    <definedName function="false" hidden="false" name="m_sf_lo" vbProcedure="false">In!$D$39</definedName>
    <definedName function="false" hidden="false" name="ni_bp" vbProcedure="false">In!$E$46</definedName>
    <definedName function="false" hidden="false" name="ni_bp_hi" vbProcedure="false">In!$F$46</definedName>
    <definedName function="false" hidden="false" name="ni_bp_lo" vbProcedure="false">In!$D$46</definedName>
    <definedName function="false" hidden="false" name="nm10_k" vbProcedure="false">In!$E$112</definedName>
    <definedName function="false" hidden="false" name="pe_cf" vbProcedure="false">In!$E$99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p_27" vbProcedure="false">In!$E$30</definedName>
    <definedName function="false" hidden="false" name="pp_27_hi" vbProcedure="false">In!$F$30</definedName>
    <definedName function="false" hidden="false" name="pp_27_lo" vbProcedure="false">In!$D$30</definedName>
    <definedName function="false" hidden="false" name="pp_28" vbProcedure="false">In!$E$31</definedName>
    <definedName function="false" hidden="false" name="pp_28_hi" vbProcedure="false">In!$F$31</definedName>
    <definedName function="false" hidden="false" name="pp_28_lo" vbProcedure="false">In!$D$31</definedName>
    <definedName function="false" hidden="false" name="pp_29" vbProcedure="false">In!$E$32</definedName>
    <definedName function="false" hidden="false" name="pp_29_hi" vbProcedure="false">In!$F$32</definedName>
    <definedName function="false" hidden="false" name="pp_29_lo" vbProcedure="false">In!$D$32</definedName>
    <definedName function="false" hidden="false" name="px" vbProcedure="false">In!$E$98</definedName>
    <definedName function="false" hidden="false" name="q1_bp" vbProcedure="false">In!$E$66</definedName>
    <definedName function="false" hidden="false" name="q1_eps" vbProcedure="false">In!$E$70</definedName>
    <definedName function="false" hidden="false" name="q1_fm" vbProcedure="false">In!$E$67</definedName>
    <definedName function="false" hidden="false" name="q1_fmbp" vbProcedure="false">In!$E$68</definedName>
    <definedName function="false" hidden="false" name="q1_ni" vbProcedure="false">In!$E$69</definedName>
    <definedName function="false" hidden="false" name="q1_rev" vbProcedure="false">In!$E$65</definedName>
    <definedName function="false" hidden="false" name="q25_bp" vbProcedure="false">Q!$B$11</definedName>
    <definedName function="false" hidden="false" name="q25_cc" vbProcedure="false">Q!$B$18</definedName>
    <definedName function="false" hidden="false" name="q25_eps" vbProcedure="false">Q!$B$21</definedName>
    <definedName function="false" hidden="false" name="q25_ff" vbProcedure="false">Q!$B$6</definedName>
    <definedName function="false" hidden="false" name="q25_ffbp" vbProcedure="false">Q!$B$13</definedName>
    <definedName function="false" hidden="false" name="q25_fm" vbProcedure="false">Q!$B$8</definedName>
    <definedName function="false" hidden="false" name="q25_fmbp" vbProcedure="false">Q!$B$15</definedName>
    <definedName function="false" hidden="false" name="q25_ho" vbProcedure="false">Q!$B$7</definedName>
    <definedName function="false" hidden="false" name="q25_hox" vbProcedure="false">Q!$B$9</definedName>
    <definedName function="false" hidden="false" name="q25_hoxbp" vbProcedure="false">Q!$B$16</definedName>
    <definedName function="false" hidden="false" name="q25_ni" vbProcedure="false">Q!$B$20</definedName>
    <definedName function="false" hidden="false" name="q25_oth" vbProcedure="false">Q!$B$10</definedName>
    <definedName function="false" hidden="false" name="q25_othbp" vbProcedure="false">Q!$B$17</definedName>
    <definedName function="false" hidden="false" name="q25_rev" vbProcedure="false">Q!$B$4</definedName>
    <definedName function="false" hidden="false" name="q25_sf" vbProcedure="false">Q!$B$5</definedName>
    <definedName function="false" hidden="false" name="q25_sfbp" vbProcedure="false">Q!$B$12</definedName>
    <definedName function="false" hidden="false" name="q25_sh" vbProcedure="false">Q!$B$29</definedName>
    <definedName function="false" hidden="false" name="q26_bp" vbProcedure="false">Q!$D$11</definedName>
    <definedName function="false" hidden="false" name="q26_cc" vbProcedure="false">Q!$D$18</definedName>
    <definedName function="false" hidden="false" name="q26_eps" vbProcedure="false">Q!$D$21</definedName>
    <definedName function="false" hidden="false" name="q26_ff" vbProcedure="false">Q!$D$6</definedName>
    <definedName function="false" hidden="false" name="q26_ffbp" vbProcedure="false">Q!$D$13</definedName>
    <definedName function="false" hidden="false" name="q26_fm" vbProcedure="false">Q!$D$8</definedName>
    <definedName function="false" hidden="false" name="q26_fmbp" vbProcedure="false">Q!$D$15</definedName>
    <definedName function="false" hidden="false" name="q26_ho" vbProcedure="false">Q!$D$7</definedName>
    <definedName function="false" hidden="false" name="q26_hox" vbProcedure="false">Q!$D$9</definedName>
    <definedName function="false" hidden="false" name="q26_hoxbp" vbProcedure="false">Q!$D$16</definedName>
    <definedName function="false" hidden="false" name="q26_ni" vbProcedure="false">Q!$D$20</definedName>
    <definedName function="false" hidden="false" name="q26_oth" vbProcedure="false">Q!$D$10</definedName>
    <definedName function="false" hidden="false" name="q26_othbp" vbProcedure="false">Q!$D$17</definedName>
    <definedName function="false" hidden="false" name="q26_rev" vbProcedure="false">Q!$D$4</definedName>
    <definedName function="false" hidden="false" name="q26_sf" vbProcedure="false">Q!$D$5</definedName>
    <definedName function="false" hidden="false" name="q26_sfbp" vbProcedure="false">Q!$D$12</definedName>
    <definedName function="false" hidden="false" name="q26_sh" vbProcedure="false">Q!$D$29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m_factor" vbProcedure="false">Val!$B$186</definedName>
    <definedName function="false" hidden="false" name="sh_g" vbProcedure="false">In!$E$47</definedName>
    <definedName function="false" hidden="false" name="sh_g_hi" vbProcedure="false">In!$F$47</definedName>
    <definedName function="false" hidden="false" name="sh_g_lo" vbProcedure="false">In!$D$47</definedName>
    <definedName function="false" hidden="false" name="so" vbProcedure="false">In!$E$103</definedName>
    <definedName function="false" hidden="false" name="sp_A" vbProcedure="false">In!$E$33</definedName>
    <definedName function="false" hidden="false" name="sp_B" vbProcedure="false">In!$E$34</definedName>
    <definedName function="false" hidden="false" name="sp_C" vbProcedure="false">In!$E$35</definedName>
    <definedName function="false" hidden="false" name="tp_comp_adj" vbProcedure="false">Val!$B$187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nv_26" vbProcedure="false">In!$E$5</definedName>
    <definedName function="false" hidden="false" name="unv_27" vbProcedure="false">In!$E$6</definedName>
    <definedName function="false" hidden="false" name="unv_28" vbProcedure="false">In!$E$7</definedName>
    <definedName function="false" hidden="false" name="unv_29" vbProcedure="false">In!$E$8</definedName>
    <definedName function="false" hidden="false" name="uot_26" vbProcedure="false">In!$E$9</definedName>
    <definedName function="false" hidden="false" name="uot_27" vbProcedure="false">In!$E$10</definedName>
    <definedName function="false" hidden="false" name="uot_28" vbProcedure="false">In!$E$11</definedName>
    <definedName function="false" hidden="false" name="uot_29" vbProcedure="false">In!$E$12</definedName>
    <definedName function="false" hidden="false" name="v_ot" vbProcedure="false">In!$E$19</definedName>
    <definedName function="false" hidden="false" name="v_ot_hi" vbProcedure="false">In!$F$19</definedName>
    <definedName function="false" hidden="false" name="v_ot_lo" vbProcedure="false">In!$D$19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<sst xmlns="http://schemas.openxmlformats.org/spreadsheetml/2006/main" count="4314" uniqueCount="1014">
  <si>
    <r>
      <rPr>
        <b val="true"/>
        <sz val="11"/>
        <rFont val="Noto Sans CJK SC"/>
        <family val="2"/>
      </rPr>
      <t xml:space="preserve">味之素（</t>
    </r>
    <r>
      <rPr>
        <b val="true"/>
        <sz val="11"/>
        <rFont val="Cambria"/>
        <family val="0"/>
        <charset val="1"/>
      </rPr>
      <t xml:space="preserve">Ajinomoto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2802.T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次產業——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增層膜材料；樣板＝</t>
    </r>
    <r>
      <rPr>
        <b val="true"/>
        <sz val="11"/>
        <rFont val="Cambria"/>
        <family val="0"/>
        <charset val="1"/>
      </rPr>
      <t xml:space="preserve">ibiden/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dell/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</si>
  <si>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（初版）。味之素以調味料、冷凍食品、胺基酸與生技醫藥為主；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曝險在ファンクショナルマテリアルズ（</t>
    </r>
    <r>
      <rPr>
        <sz val="11"/>
        <rFont val="Cambria"/>
        <family val="0"/>
        <charset val="1"/>
      </rPr>
      <t xml:space="preserve">FM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Ajinomoto Build-up Film</t>
    </r>
    <r>
      <rPr>
        <sz val="11"/>
        <rFont val="Noto Sans CJK SC"/>
        <family val="2"/>
      </rPr>
      <t xml:space="preserve">）——高階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載板的增層絕緣材料，市占逾九成（媒體與股東行動派說法，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</si>
  <si>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模型命題：味之素的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〔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加速器有效顆數（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成品，同字母情境係數）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每顆載板面積層數（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：成長率〕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需求滿足率（可出貨量上限）</t>
    </r>
    <r>
      <rPr>
        <sz val="11"/>
        <rFont val="Cambria"/>
        <family val="0"/>
        <charset val="1"/>
      </rPr>
      <t xml:space="preserve">× ABF </t>
    </r>
    <r>
      <rPr>
        <sz val="11"/>
        <rFont val="Noto Sans CJK SC"/>
        <family val="2"/>
      </rPr>
      <t xml:space="preserve">價格指數；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事業利益率隨價格與單位成本變動；其他事業以成長率與利益率推，不隨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</si>
  <si>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只占營收約 </t>
    </r>
    <r>
      <rPr>
        <sz val="11"/>
        <rFont val="Cambria"/>
        <family val="0"/>
        <charset val="1"/>
      </rPr>
      <t xml:space="preserve">7%</t>
    </r>
    <r>
      <rPr>
        <sz val="11"/>
        <rFont val="Noto Sans CJK SC"/>
        <family val="2"/>
      </rPr>
      <t xml:space="preserve">、卻占事業利益約三分之一；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載板需求能讓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成長多少、對集團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貢獻多少？現價約 </t>
    </r>
    <r>
      <rPr>
        <sz val="11"/>
        <rFont val="Cambria"/>
        <family val="0"/>
        <charset val="1"/>
      </rPr>
      <t xml:space="preserve">31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、遠高於食品同業約 </t>
    </r>
    <r>
      <rPr>
        <sz val="11"/>
        <rFont val="Cambria"/>
        <family val="0"/>
        <charset val="1"/>
      </rPr>
      <t xml:space="preserve">18 </t>
    </r>
    <r>
      <rPr>
        <sz val="11"/>
        <rFont val="Noto Sans CJK SC"/>
        <family val="2"/>
      </rPr>
      <t xml:space="preserve">倍，隱含多少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價值？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</si>
  <si>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：現價隱含的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以外的未來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 92.2 × </t>
    </r>
    <r>
      <rPr>
        <sz val="11"/>
        <rFont val="Noto Sans CJK SC"/>
        <family val="2"/>
      </rPr>
      <t xml:space="preserve">食品同業 </t>
    </r>
    <r>
      <rPr>
        <sz val="11"/>
        <rFont val="Cambria"/>
        <family val="0"/>
        <charset val="1"/>
      </rPr>
      <t xml:space="preserve">17.8 </t>
    </r>
    <r>
      <rPr>
        <sz val="11"/>
        <rFont val="Noto Sans CJK SC"/>
        <family val="2"/>
      </rPr>
      <t xml:space="preserve">倍＝</t>
    </r>
    <r>
      <rPr>
        <sz val="11"/>
        <rFont val="Cambria"/>
        <family val="0"/>
        <charset val="1"/>
      </rPr>
      <t xml:space="preserve">1,638</t>
    </r>
    <r>
      <rPr>
        <sz val="11"/>
        <rFont val="Noto Sans CJK SC"/>
        <family val="2"/>
      </rPr>
      <t xml:space="preserve">，現價其餘 </t>
    </r>
    <r>
      <rPr>
        <sz val="11"/>
        <rFont val="Cambria"/>
        <family val="0"/>
        <charset val="1"/>
      </rPr>
      <t xml:space="preserve">3,426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68%</t>
    </r>
    <r>
      <rPr>
        <sz val="11"/>
        <rFont val="Noto Sans CJK SC"/>
        <family val="2"/>
      </rPr>
      <t xml:space="preserve">）都是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FM</t>
    </r>
    <r>
      <rPr>
        <sz val="11"/>
        <rFont val="Noto Sans CJK SC"/>
        <family val="2"/>
      </rPr>
      <t xml:space="preserve">）的價值，等於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 56.8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60.3 </t>
    </r>
    <r>
      <rPr>
        <sz val="11"/>
        <rFont val="Noto Sans CJK SC"/>
        <family val="2"/>
      </rPr>
      <t xml:space="preserve">倍，高於電子材料同業中位數 </t>
    </r>
    <r>
      <rPr>
        <sz val="11"/>
        <rFont val="Cambria"/>
        <family val="0"/>
        <charset val="1"/>
      </rPr>
      <t xml:space="preserve">20.9 </t>
    </r>
    <r>
      <rPr>
        <sz val="11"/>
        <rFont val="Noto Sans CJK SC"/>
        <family val="2"/>
      </rPr>
      <t xml:space="preserve">倍與 </t>
    </r>
    <r>
      <rPr>
        <sz val="11"/>
        <rFont val="Cambria"/>
        <family val="0"/>
        <charset val="1"/>
      </rPr>
      <t xml:space="preserve">Ibiden 46.8 </t>
    </r>
    <r>
      <rPr>
        <sz val="11"/>
        <rFont val="Noto Sans CJK SC"/>
        <family val="2"/>
      </rPr>
      <t xml:space="preserve">倍；以電子材料同業倍數計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SOTP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3,176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37.3%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</si>
  <si>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成長：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公司預測 </t>
    </r>
    <r>
      <rPr>
        <sz val="11"/>
        <rFont val="Cambria"/>
        <family val="0"/>
        <charset val="1"/>
      </rPr>
      <t xml:space="preserve">120.6 </t>
    </r>
    <r>
      <rPr>
        <sz val="11"/>
        <rFont val="Noto Sans CJK SC"/>
        <family val="2"/>
      </rPr>
      <t xml:space="preserve">十億日圓升到 </t>
    </r>
    <r>
      <rPr>
        <sz val="11"/>
        <rFont val="Cambria"/>
        <family val="0"/>
        <charset val="1"/>
      </rPr>
      <t xml:space="preserve">FY2027 175.6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+46%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48.2 → 94.6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 </t>
    </r>
    <r>
      <rPr>
        <sz val="11"/>
        <rFont val="Cambria"/>
        <family val="0"/>
        <charset val="1"/>
      </rPr>
      <t xml:space="preserve">101.8 </t>
    </r>
    <r>
      <rPr>
        <sz val="11"/>
        <rFont val="Noto Sans CJK SC"/>
        <family val="2"/>
      </rPr>
      <t xml:space="preserve">占全公司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、每股貢獻 </t>
    </r>
    <r>
      <rPr>
        <sz val="11"/>
        <rFont val="Cambria"/>
        <family val="0"/>
        <charset val="1"/>
      </rPr>
      <t xml:space="preserve">67.4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162.8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）；前提是約 </t>
    </r>
    <r>
      <rPr>
        <sz val="11"/>
        <rFont val="Cambria"/>
        <family val="0"/>
        <charset val="1"/>
      </rPr>
      <t xml:space="preserve">30% </t>
    </r>
    <r>
      <rPr>
        <sz val="11"/>
        <rFont val="Noto Sans CJK SC"/>
        <family val="2"/>
      </rPr>
      <t xml:space="preserve">漲價年度化（價格指數 </t>
    </r>
    <r>
      <rPr>
        <sz val="11"/>
        <rFont val="Cambria"/>
        <family val="0"/>
        <charset val="1"/>
      </rPr>
      <t xml:space="preserve">1.12</t>
    </r>
    <r>
      <rPr>
        <sz val="11"/>
        <rFont val="Noto Sans CJK SC"/>
        <family val="2"/>
      </rPr>
      <t xml:space="preserve">）與可出貨量 </t>
    </r>
    <r>
      <rPr>
        <sz val="11"/>
        <rFont val="Cambria"/>
        <family val="0"/>
        <charset val="1"/>
      </rPr>
      <t xml:space="preserve">+30%</t>
    </r>
    <r>
      <rPr>
        <sz val="11"/>
        <rFont val="Noto Sans CJK SC"/>
        <family val="2"/>
      </rPr>
      <t xml:space="preserve">（需求 </t>
    </r>
    <r>
      <rPr>
        <sz val="11"/>
        <rFont val="Cambria"/>
        <family val="0"/>
        <charset val="1"/>
      </rPr>
      <t xml:space="preserve">1.34 </t>
    </r>
    <r>
      <rPr>
        <sz val="11"/>
        <rFont val="Noto Sans CJK SC"/>
        <family val="2"/>
      </rPr>
      <t xml:space="preserve">倍、滿足率 </t>
    </r>
    <r>
      <rPr>
        <sz val="11"/>
        <rFont val="Cambria"/>
        <family val="0"/>
        <charset val="1"/>
      </rPr>
      <t xml:space="preserve">97%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價格取低值時 </t>
    </r>
    <r>
      <rPr>
        <sz val="11"/>
        <rFont val="Cambria"/>
        <family val="0"/>
        <charset val="1"/>
      </rPr>
      <t xml:space="preserve">FY2028 EPS −13.6%</t>
    </r>
    <r>
      <rPr>
        <sz val="11"/>
        <rFont val="Noto Sans CJK SC"/>
        <family val="2"/>
      </rPr>
      <t xml:space="preserve">、產能取公司 </t>
    </r>
    <r>
      <rPr>
        <sz val="11"/>
        <rFont val="Cambria"/>
        <family val="0"/>
        <charset val="1"/>
      </rPr>
      <t xml:space="preserve">+50%</t>
    </r>
    <r>
      <rPr>
        <sz val="11"/>
        <rFont val="Noto Sans CJK SC"/>
        <family val="2"/>
      </rPr>
      <t xml:space="preserve">／五年的速度時 −</t>
    </r>
    <r>
      <rPr>
        <sz val="11"/>
        <rFont val="Cambria"/>
        <family val="0"/>
        <charset val="1"/>
      </rPr>
      <t xml:space="preserve">7.3%</t>
    </r>
    <r>
      <rPr>
        <sz val="11"/>
        <rFont val="Noto Sans CJK SC"/>
        <family val="2"/>
      </rPr>
      <t xml:space="preserve">；追蹤上半年決算（約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上旬）的 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營收與事業利益（</t>
    </r>
    <r>
      <rPr>
        <sz val="11"/>
        <rFont val="Cambria"/>
        <family val="0"/>
        <charset val="1"/>
      </rPr>
      <t xml:space="preserve">1Q 33.1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19.1 </t>
    </r>
    <r>
      <rPr>
        <sz val="11"/>
        <rFont val="Noto Sans CJK SC"/>
        <family val="2"/>
      </rPr>
      <t xml:space="preserve">已達全年預測的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29%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</si>
  <si>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月（公司稱「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月期」），對照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顆數（與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模型相同）。金額：十億日圓。口徑：</t>
    </r>
    <r>
      <rPr>
        <sz val="11"/>
        <rFont val="Cambria"/>
        <family val="0"/>
        <charset val="1"/>
      </rPr>
      <t xml:space="preserve">IFRS </t>
    </r>
    <r>
      <rPr>
        <sz val="11"/>
        <rFont val="Noto Sans CJK SC"/>
        <family val="2"/>
      </rPr>
      <t xml:space="preserve">事業利益（公司主要指標）；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＝歸屬母公司淨利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期中平均股數（</t>
    </r>
    <r>
      <rPr>
        <sz val="11"/>
        <rFont val="Cambria"/>
        <family val="0"/>
        <charset val="1"/>
      </rPr>
      <t xml:space="preserve">2025-04-01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</si>
  <si>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</si>
  <si>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加速器顆數（非 </t>
    </r>
    <r>
      <rPr>
        <sz val="11"/>
        <rFont val="Cambria"/>
        <family val="0"/>
        <charset val="1"/>
      </rPr>
      <t xml:space="preserve">NVIDIA × </t>
    </r>
    <r>
      <rPr>
        <sz val="11"/>
        <rFont val="Noto Sans CJK SC"/>
        <family val="2"/>
      </rPr>
      <t xml:space="preserve">欣興模型的面積係數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模型的每顆載板面積層數年增 </t>
    </r>
    <r>
      <rPr>
        <sz val="11"/>
        <rFont val="Cambria"/>
        <family val="0"/>
        <charset val="1"/>
      </rPr>
      <t xml:space="preserve">18% × </t>
    </r>
    <r>
      <rPr>
        <sz val="11"/>
        <rFont val="Noto Sans CJK SC"/>
        <family val="2"/>
      </rPr>
      <t xml:space="preserve">份額相對值 → 需求量；與非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需求（年增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）加權後，受可出貨量上限（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）限制。</t>
    </r>
  </si>
  <si>
    <r>
      <rPr>
        <sz val="11"/>
        <rFont val="Noto Sans CJK SC"/>
        <family val="2"/>
      </rPr>
      <t xml:space="preserve">價格：</t>
    </r>
    <r>
      <rPr>
        <sz val="11"/>
        <rFont val="Cambria"/>
        <family val="0"/>
        <charset val="1"/>
      </rPr>
      <t xml:space="preserve">2026-05 </t>
    </r>
    <r>
      <rPr>
        <sz val="11"/>
        <rFont val="Noto Sans CJK SC"/>
        <family val="2"/>
      </rPr>
      <t xml:space="preserve">宣布的約 </t>
    </r>
    <r>
      <rPr>
        <sz val="11"/>
        <rFont val="Cambria"/>
        <family val="0"/>
        <charset val="1"/>
      </rPr>
      <t xml:space="preserve">30% </t>
    </r>
    <r>
      <rPr>
        <sz val="11"/>
        <rFont val="Noto Sans CJK SC"/>
        <family val="2"/>
      </rPr>
      <t xml:space="preserve">漲價在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只反映部分，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價格指數 </t>
    </r>
    <r>
      <rPr>
        <sz val="11"/>
        <rFont val="Cambria"/>
        <family val="0"/>
        <charset val="1"/>
      </rPr>
      <t xml:space="preserve">1.12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1.15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1.12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起再乘情境乘數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0.88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事業利益率＝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單位成本指數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價格指數。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</si>
  <si>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2026-08-06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1,732</t>
    </r>
    <r>
      <rPr>
        <sz val="11"/>
        <rFont val="Noto Sans CJK SC"/>
        <family val="2"/>
      </rPr>
      <t xml:space="preserve">、事業利益 </t>
    </r>
    <r>
      <rPr>
        <sz val="11"/>
        <rFont val="Cambria"/>
        <family val="0"/>
        <charset val="1"/>
      </rPr>
      <t xml:space="preserve">202.0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123.5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129.84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FM 120.6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65.5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</si>
  <si>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近三年平均 </t>
    </r>
    <r>
      <rPr>
        <sz val="11"/>
        <rFont val="Cambria"/>
        <family val="0"/>
        <charset val="1"/>
      </rPr>
      <t xml:space="preserve">13.0%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目標價（食品同業：龜甲萬、日清食品、明治、</t>
    </r>
    <r>
      <rPr>
        <sz val="11"/>
        <rFont val="Cambria"/>
        <family val="0"/>
        <charset val="1"/>
      </rPr>
      <t xml:space="preserve">Kewpie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McCormick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Nestlé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單獨目標價、市場共識目標價、差距拆解與上檔空間級距。第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節 </t>
    </r>
    <r>
      <rPr>
        <sz val="11"/>
        <rFont val="Cambria"/>
        <family val="0"/>
        <charset val="1"/>
      </rPr>
      <t xml:space="preserve">SOTP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用電子材料同業倍數）與現價隱含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價值只作參考。本版未做先驗，無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</si>
  <si>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起為收斂法，非驅動因子推導（上游顆數到 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；營收年增由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</si>
  <si>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</si>
  <si>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公司不單獨揭露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占比，</t>
    </r>
    <r>
      <rPr>
        <sz val="11"/>
        <rFont val="Cambria"/>
        <family val="0"/>
        <charset val="1"/>
      </rPr>
      <t xml:space="preserve">FM </t>
    </r>
    <r>
      <rPr>
        <sz val="11"/>
        <rFont val="Noto Sans CJK SC"/>
        <family val="2"/>
      </rPr>
      <t xml:space="preserve">以子部門揭露值、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可出貨量上限與價格指數是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起產能受限，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對兩者最敏感；</t>
    </r>
    <r>
      <rPr>
        <sz val="11"/>
        <rFont val="Cambria"/>
        <family val="0"/>
        <charset val="1"/>
      </rPr>
      <t xml:space="preserve">(3) FY2026 </t>
    </r>
    <r>
      <rPr>
        <sz val="11"/>
        <rFont val="Noto Sans CJK SC"/>
        <family val="2"/>
      </rPr>
      <t xml:space="preserve">錨點用公司預測，</t>
    </r>
    <r>
      <rPr>
        <sz val="11"/>
        <rFont val="Cambria"/>
        <family val="0"/>
        <charset val="1"/>
      </rPr>
      <t xml:space="preserve">1Q FM </t>
    </r>
    <r>
      <rPr>
        <sz val="11"/>
        <rFont val="Noto Sans CJK SC"/>
        <family val="2"/>
      </rPr>
      <t xml:space="preserve">已達全年 </t>
    </r>
    <r>
      <rPr>
        <sz val="11"/>
        <rFont val="Cambria"/>
        <family val="0"/>
        <charset val="1"/>
      </rPr>
      <t xml:space="preserve">27–29%</t>
    </r>
    <r>
      <rPr>
        <sz val="11"/>
        <rFont val="Noto Sans CJK SC"/>
        <family val="2"/>
      </rPr>
      <t xml:space="preserve">，預測偏保守；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本業以成長率推，中東情勢（公司估最多 −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十億）未納入；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單一來源推導、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2020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年受減損影響；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上半年決算（約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上旬）後更新錨點。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</si>
  <si>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</si>
  <si>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</si>
  <si>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。口徑：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事業利益。每個輸入盡量附兩個來源（找不到者寫「未找到」）；公司原文算一個。【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</si>
  <si>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未使用。公司原文＝味之素決算短信、決算概要與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簡報；公司預測為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；股東行動派（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）、券商、媒體、資料商皆為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。加速器顆數讀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成品、載板面積與層數年增讀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成品、非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每顆載板面積讀 </t>
    </r>
    <r>
      <rPr>
        <sz val="11"/>
        <color theme="1"/>
        <rFont val="Calibri"/>
        <family val="2"/>
        <charset val="1"/>
      </rPr>
      <t xml:space="preserve">unimicron </t>
    </r>
    <r>
      <rPr>
        <sz val="11"/>
        <color theme="1"/>
        <rFont val="Noto Sans CJK SC"/>
        <family val="2"/>
      </rPr>
      <t xml:space="preserve">成品（唯讀）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</si>
  <si>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</si>
  <si>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</si>
  <si>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</si>
  <si>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</si>
  <si>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</si>
  <si>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</si>
  <si>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</si>
  <si>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</si>
  <si>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</si>
  <si>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＋各類成長）；情境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</si>
  <si>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unv_26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</si>
  <si>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</si>
  <si>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</si>
  <si>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</si>
  <si>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</si>
  <si>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唯讀上游；與台積電、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、欣興模型同一份顆數</t>
    </r>
  </si>
  <si>
    <t xml:space="preserve">unv_27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</si>
  <si>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</si>
  <si>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</si>
  <si>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unv_28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</si>
  <si>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</si>
  <si>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unv_29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</si>
  <si>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</si>
  <si>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uot_26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</si>
  <si>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</si>
  <si>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由全部載板廠採用（市占逾九成），所以非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加速器全數計入，不乘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份額權重</t>
    </r>
  </si>
  <si>
    <t xml:space="preserve">uot_27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</si>
  <si>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</si>
  <si>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uot_28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</si>
  <si>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</si>
  <si>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uot_29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</si>
  <si>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</si>
  <si>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</si>
  <si>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</si>
  <si>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</si>
  <si>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</si>
  <si>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</si>
  <si>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、欣興模型同字母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</si>
  <si>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</si>
  <si>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</si>
  <si>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</si>
  <si>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</si>
  <si>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</si>
  <si>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</si>
  <si>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</si>
  <si>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</si>
  <si>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</si>
  <si>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</si>
  <si>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</si>
  <si>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</si>
  <si>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</si>
  <si>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</si>
  <si>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</si>
  <si>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</si>
  <si>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加速器每顆載板面積（金額）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</si>
  <si>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</si>
  <si>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、層數不同；量化：未找到（欣興模型同值）</t>
    </r>
  </si>
  <si>
    <t xml:space="preserve">g_asp</t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</si>
  <si>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層數年增（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模型的每顆載板金額年增）</t>
    </r>
  </si>
  <si>
    <t xml:space="preserve">%</t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</si>
  <si>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</si>
  <si>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</si>
  <si>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用量與載板面積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增層數成正比：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Rubin Ultra 155×75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層，為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13.3 </t>
    </r>
    <r>
      <rPr>
        <sz val="11"/>
        <color theme="1"/>
        <rFont val="Noto Sans CJK SC"/>
        <family val="2"/>
      </rPr>
      <t xml:space="preserve">倍面積；</t>
    </r>
    <r>
      <rPr>
        <sz val="11"/>
        <color theme="1"/>
        <rFont val="Calibri"/>
        <family val="2"/>
        <charset val="1"/>
      </rPr>
      <t xml:space="preserve">EdgeX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8–16 </t>
    </r>
    <r>
      <rPr>
        <sz val="11"/>
        <color theme="1"/>
        <rFont val="Noto Sans CJK SC"/>
        <family val="2"/>
      </rPr>
      <t xml:space="preserve">層</t>
    </r>
  </si>
  <si>
    <r>
      <rPr>
        <b val="true"/>
        <sz val="11"/>
        <rFont val="Cambria"/>
        <family val="0"/>
        <charset val="1"/>
      </rPr>
      <t xml:space="preserve">B. ABF</t>
    </r>
    <r>
      <rPr>
        <b val="true"/>
        <sz val="11"/>
        <rFont val="Noto Sans CJK SC"/>
        <family val="2"/>
      </rPr>
      <t xml:space="preserve">（ファンクショナルマテリアルズ，</t>
    </r>
    <r>
      <rPr>
        <b val="true"/>
        <sz val="11"/>
        <rFont val="Cambria"/>
        <family val="0"/>
        <charset val="1"/>
      </rPr>
      <t xml:space="preserve">FM</t>
    </r>
    <r>
      <rPr>
        <b val="true"/>
        <sz val="11"/>
        <rFont val="Noto Sans CJK SC"/>
        <family val="2"/>
      </rPr>
      <t xml:space="preserve">）需求、產能與價格</t>
    </r>
  </si>
  <si>
    <t xml:space="preserve">ai_sh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</si>
  <si>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FM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</si>
  <si>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FY2027E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</si>
  <si>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占比：未找到；</t>
    </r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1Q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伺服器帶動）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</si>
  <si>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</si>
  <si>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用量年增（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、一般伺服器、網通）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</si>
  <si>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與一般伺服器緩步成長（與欣興模型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同值）</t>
    </r>
  </si>
  <si>
    <t xml:space="preserve">量化：未找到</t>
  </si>
  <si>
    <t xml:space="preserve">rel_27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</si>
  <si>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</si>
  <si>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：味之素逾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、積水化學約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（媒體，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</si>
  <si>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（股東行動派）：高階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用約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</si>
  <si>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</si>
  <si>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</si>
  <si>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（引日經、朝日電視）：市占逾 </t>
    </r>
    <r>
      <rPr>
        <sz val="11"/>
        <color theme="1"/>
        <rFont val="Calibri"/>
        <family val="2"/>
        <charset val="1"/>
      </rPr>
      <t xml:space="preserve">95%</t>
    </r>
  </si>
  <si>
    <t xml:space="preserve">中國廠與積水化學認證進度：未找到</t>
  </si>
  <si>
    <t xml:space="preserve">rel_29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</si>
  <si>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</si>
  <si>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</si>
  <si>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</si>
  <si>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</si>
  <si>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</si>
  <si>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</si>
  <si>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</si>
  <si>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</si>
  <si>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</si>
  <si>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</si>
  <si>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</si>
  <si>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</si>
  <si>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宣布約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漲價，逐客戶適用（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只反映部分）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</si>
  <si>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（股東行動派）：要求漲價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</si>
  <si>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</si>
  <si>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</si>
  <si>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引用的供應鏈分析）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</si>
  <si>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模型載板溢價指數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</si>
  <si>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</si>
  <si>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</si>
  <si>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新產能到位、競爭者認證後溢價回落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</si>
  <si>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模型載板溢價指數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  <r>
      <rPr>
        <sz val="11"/>
        <color theme="1"/>
        <rFont val="Noto Sans CJK SC"/>
        <family val="2"/>
      </rPr>
      <t xml:space="preserve">）</t>
    </r>
  </si>
  <si>
    <t xml:space="preserve">sp_A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</si>
  <si>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</si>
  <si>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r>
      <rPr>
        <sz val="11"/>
        <color theme="1"/>
        <rFont val="Noto Sans CJK SC"/>
        <family val="2"/>
      </rPr>
      <t xml:space="preserve">公司特有變數依情境調整，方向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最有利：需求放緩時漲價難以延續</t>
    </r>
  </si>
  <si>
    <t xml:space="preserve">sp_B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</si>
  <si>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</si>
  <si>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t xml:space="preserve">sp_C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</si>
  <si>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</si>
  <si>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t xml:space="preserve">c_g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</si>
  <si>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每單位成本年增（新產能折舊、原料）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</si>
  <si>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40 ÷ 77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FY2025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FY26 58%</t>
    </r>
  </si>
  <si>
    <r>
      <rPr>
        <sz val="11"/>
        <color theme="1"/>
        <rFont val="Noto Sans CJK SC"/>
        <family val="2"/>
      </rPr>
      <t xml:space="preserve">價格指數上升的部分全部落在利潤（同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模型寫法）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</si>
  <si>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其他事業（不隨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</si>
  <si>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g_sf</t>
  </si>
  <si>
    <t xml:space="preserve">調味料・食品營收年增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</si>
  <si>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+4.6%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+6.6%</t>
    </r>
    <r>
      <rPr>
        <sz val="11"/>
        <color theme="1"/>
        <rFont val="Noto Sans CJK SC"/>
        <family val="2"/>
      </rPr>
      <t xml:space="preserve">（含匯率）</t>
    </r>
  </si>
  <si>
    <t xml:space="preserve">m_sf</t>
  </si>
  <si>
    <r>
      <rPr>
        <sz val="11"/>
        <color theme="1"/>
        <rFont val="Noto Sans CJK SC"/>
        <family val="2"/>
      </rPr>
      <t xml:space="preserve">調味料・食品事業利益率（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</si>
  <si>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145.9 ÷ 998.6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</si>
  <si>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FY2025 15.3%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143.0 ÷ 936.9</t>
    </r>
    <r>
      <rPr>
        <sz val="11"/>
        <color theme="1"/>
        <rFont val="Noto Sans CJK SC"/>
        <family val="2"/>
      </rPr>
      <t xml:space="preserve">）</t>
    </r>
  </si>
  <si>
    <t xml:space="preserve">g_ff</t>
  </si>
  <si>
    <t xml:space="preserve">冷凍食品營收年增</t>
  </si>
  <si>
    <r>
      <rPr>
        <sz val="11"/>
        <color theme="1"/>
        <rFont val="Calibri"/>
        <family val="2"/>
        <charset val="1"/>
      </rPr>
      <t xml:space="preserve">FY2025 +0.3%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+7.0%</t>
    </r>
    <r>
      <rPr>
        <sz val="11"/>
        <color theme="1"/>
        <rFont val="Noto Sans CJK SC"/>
        <family val="2"/>
      </rPr>
      <t xml:space="preserve">（含匯率）</t>
    </r>
  </si>
  <si>
    <t xml:space="preserve">m_ff</t>
  </si>
  <si>
    <r>
      <rPr>
        <sz val="11"/>
        <color theme="1"/>
        <rFont val="Noto Sans CJK SC"/>
        <family val="2"/>
      </rPr>
      <t xml:space="preserve">冷凍食品事業利益率（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</si>
  <si>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</si>
  <si>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（股東行動派）：要求冷凍食品重整，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由約 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8%</t>
    </r>
  </si>
  <si>
    <t xml:space="preserve">g_ho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</si>
  <si>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）營收年增：生技醫藥 </t>
    </r>
    <r>
      <rPr>
        <sz val="11"/>
        <color theme="1"/>
        <rFont val="Calibri"/>
        <family val="2"/>
        <charset val="1"/>
      </rPr>
      <t xml:space="preserve">CDMO</t>
    </r>
    <r>
      <rPr>
        <sz val="11"/>
        <color theme="1"/>
        <rFont val="Noto Sans CJK SC"/>
        <family val="2"/>
      </rPr>
      <t xml:space="preserve">、胺基酸、其他</t>
    </r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</si>
  <si>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：生技醫藥＆原料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（胺基酸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CDMO +2%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+12%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</si>
  <si>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m_ho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</si>
  <si>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）事業利益率（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</si>
  <si>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(85.0 − 65.5) ÷ (406.8 − 120.6)</t>
    </r>
  </si>
  <si>
    <r>
      <rPr>
        <sz val="11"/>
        <color theme="1"/>
        <rFont val="Calibri"/>
        <family val="2"/>
        <charset val="1"/>
      </rPr>
      <t xml:space="preserve">FY2025 (66.2 − 54.6) ÷ (341.5 − 102.5)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4.9%</t>
    </r>
  </si>
  <si>
    <t xml:space="preserve">g_cc</t>
  </si>
  <si>
    <t xml:space="preserve">全社共通費年增（負值，費用）</t>
  </si>
  <si>
    <r>
      <rPr>
        <sz val="11"/>
        <color theme="1"/>
        <rFont val="Calibri"/>
        <family val="2"/>
        <charset val="1"/>
      </rPr>
      <t xml:space="preserve">FY2025 +6.9%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39.9 → 42.6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46.2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</si>
  <si>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淨利與股數（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</si>
  <si>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ni_bp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</si>
  <si>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</si>
  <si>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123.5 ÷ 202.0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0.611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</si>
  <si>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FY2025 0.743</t>
    </r>
    <r>
      <rPr>
        <sz val="11"/>
        <color theme="1"/>
        <rFont val="Noto Sans CJK SC"/>
        <family val="2"/>
      </rPr>
      <t xml:space="preserve">（含本社土地出售利益）、</t>
    </r>
    <r>
      <rPr>
        <sz val="11"/>
        <color theme="1"/>
        <rFont val="Calibri"/>
        <family val="2"/>
        <charset val="1"/>
      </rPr>
      <t xml:space="preserve">FY2024 0.441</t>
    </r>
    <r>
      <rPr>
        <sz val="11"/>
        <color theme="1"/>
        <rFont val="Noto Sans CJK SC"/>
        <family val="2"/>
      </rPr>
      <t xml:space="preserve">（減損）；</t>
    </r>
    <r>
      <rPr>
        <sz val="11"/>
        <color theme="1"/>
        <rFont val="Calibri"/>
        <family val="2"/>
        <charset val="1"/>
      </rPr>
      <t xml:space="preserve">2027-04 </t>
    </r>
    <r>
      <rPr>
        <sz val="11"/>
        <color theme="1"/>
        <rFont val="Noto Sans CJK SC"/>
        <family val="2"/>
      </rPr>
      <t xml:space="preserve">吸收合併味之素ファインテクノ可能有稅務正面影響（金額未定，公司：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</si>
  <si>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sh_g</t>
  </si>
  <si>
    <t xml:space="preserve">股數年變動（自社株買回）</t>
  </si>
  <si>
    <r>
      <rPr>
        <sz val="11"/>
        <color theme="1"/>
        <rFont val="Noto Sans CJK SC"/>
        <family val="2"/>
      </rPr>
      <t xml:space="preserve">期中平均股數 </t>
    </r>
    <r>
      <rPr>
        <sz val="11"/>
        <color theme="1"/>
        <rFont val="Calibri"/>
        <family val="2"/>
        <charset val="1"/>
      </rPr>
      <t xml:space="preserve">FY2024 10.07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FY2025 9.73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1Q FY26 9.56 </t>
    </r>
    <r>
      <rPr>
        <sz val="11"/>
        <color theme="1"/>
        <rFont val="Noto Sans CJK SC"/>
        <family val="2"/>
      </rPr>
      <t xml:space="preserve">億（公司：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</si>
  <si>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買回計畫金額：未找到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</si>
  <si>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2026-08-06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</si>
  <si>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</si>
  <si>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</si>
  <si>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</si>
  <si>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</si>
  <si>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</si>
  <si>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1,723.0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</si>
  <si>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t xml:space="preserve">f_sf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</si>
  <si>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調味料・食品營收預測</t>
    </r>
  </si>
  <si>
    <t xml:space="preserve">f_ff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</si>
  <si>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冷凍食品營收預測</t>
    </r>
  </si>
  <si>
    <t xml:space="preserve">f_ho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</si>
  <si>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ヘルスケア等營收預測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</si>
  <si>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</si>
  <si>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その他營收預測</t>
    </r>
  </si>
  <si>
    <t xml:space="preserve">f_fm</t>
  </si>
  <si>
    <r>
      <rPr>
        <sz val="11"/>
        <color theme="1"/>
        <rFont val="Calibri"/>
        <family val="2"/>
        <charset val="1"/>
      </rPr>
      <t xml:space="preserve">FY2026   </t>
    </r>
    <r>
      <rPr>
        <sz val="11"/>
        <color theme="1"/>
        <rFont val="Noto Sans CJK SC"/>
        <family val="2"/>
      </rPr>
      <t xml:space="preserve">其中 ファンクショナルマテリアルズ（電子材料等）營收預測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</si>
  <si>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111.6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9.0 </t>
    </r>
    <r>
      <rPr>
        <sz val="11"/>
        <color theme="1"/>
        <rFont val="Noto Sans CJK SC"/>
        <family val="2"/>
      </rPr>
      <t xml:space="preserve">全數來自電子材料，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）</t>
    </r>
  </si>
  <si>
    <t xml:space="preserve">f_bp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</si>
  <si>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事業利益預測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</si>
  <si>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197.0</t>
    </r>
    <r>
      <rPr>
        <sz val="11"/>
        <color theme="1"/>
        <rFont val="Noto Sans CJK SC"/>
        <family val="2"/>
      </rPr>
      <t xml:space="preserve">；中東情勢（原油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158 </t>
    </r>
    <r>
      <rPr>
        <sz val="11"/>
        <color theme="1"/>
        <rFont val="Noto Sans CJK SC"/>
        <family val="2"/>
      </rPr>
      <t xml:space="preserve">日圓）可能 −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十億（公司：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</si>
  <si>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f_sfbp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</si>
  <si>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調味料・食品事業利益預測</t>
    </r>
  </si>
  <si>
    <t xml:space="preserve">f_ffbp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</si>
  <si>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冷凍食品事業利益預測</t>
    </r>
  </si>
  <si>
    <t xml:space="preserve">f_hobp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</si>
  <si>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ヘルスケア等事業利益預測</t>
    </r>
  </si>
  <si>
    <t xml:space="preserve">f_othbp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</si>
  <si>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その他事業利益預測</t>
    </r>
  </si>
  <si>
    <t xml:space="preserve">f_cc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</si>
  <si>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全社共通費預測</t>
    </r>
  </si>
  <si>
    <t xml:space="preserve">f_fmbp</t>
  </si>
  <si>
    <r>
      <rPr>
        <sz val="11"/>
        <color theme="1"/>
        <rFont val="Calibri"/>
        <family val="2"/>
        <charset val="1"/>
      </rPr>
      <t xml:space="preserve">FY2026   </t>
    </r>
    <r>
      <rPr>
        <sz val="11"/>
        <color theme="1"/>
        <rFont val="Noto Sans CJK SC"/>
        <family val="2"/>
      </rPr>
      <t xml:space="preserve">其中 ファンクショナルマテリアルズ事業利益預測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</si>
  <si>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60.5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）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</si>
  <si>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</si>
  <si>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</si>
  <si>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</si>
  <si>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淨利（歸屬母公司）預測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</si>
  <si>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120.0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</si>
  <si>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</si>
  <si>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預測（基本）</t>
    </r>
  </si>
  <si>
    <t xml:space="preserve">¥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</si>
  <si>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</si>
  <si>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126.16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</si>
  <si>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</si>
  <si>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）營收實績</t>
    </r>
  </si>
  <si>
    <t xml:space="preserve">Verified</t>
  </si>
  <si>
    <r>
      <rPr>
        <sz val="11"/>
        <color theme="1"/>
        <rFont val="Noto Sans CJK SC"/>
        <family val="2"/>
      </rPr>
      <t xml:space="preserve">年增：營收 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、事業利益 </t>
    </r>
    <r>
      <rPr>
        <sz val="11"/>
        <color theme="1"/>
        <rFont val="Calibri"/>
        <family val="2"/>
        <charset val="1"/>
      </rPr>
      <t xml:space="preserve">+27%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+13%</t>
    </r>
  </si>
  <si>
    <t xml:space="preserve">q1_bp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</si>
  <si>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）事業利益實績</t>
    </r>
  </si>
  <si>
    <t xml:space="preserve">q1_fm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</si>
  <si>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營收實績</t>
    </r>
  </si>
  <si>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、事業利益 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</t>
    </r>
  </si>
  <si>
    <t xml:space="preserve">q1_fmbp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</si>
  <si>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事業利益實績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</si>
  <si>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</si>
  <si>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）淨利（歸屬母公司）實績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</si>
  <si>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</si>
  <si>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</si>
  <si>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</si>
  <si>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</si>
  <si>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</si>
  <si>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</si>
  <si>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同值</t>
    </r>
  </si>
  <si>
    <t xml:space="preserve">a_sf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</si>
  <si>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調味料・食品營收</t>
    </r>
  </si>
  <si>
    <t xml:space="preserve">a_ff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</si>
  <si>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冷凍食品營收</t>
    </r>
  </si>
  <si>
    <t xml:space="preserve">a_ho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</si>
  <si>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ヘルスケア等營收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</si>
  <si>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</si>
  <si>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その他營收</t>
    </r>
  </si>
  <si>
    <t xml:space="preserve">a_bp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</si>
  <si>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事業利益</t>
    </r>
  </si>
  <si>
    <t xml:space="preserve">a_sfbp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</si>
  <si>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調味料・食品事業利益</t>
    </r>
  </si>
  <si>
    <t xml:space="preserve">a_ffbp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</si>
  <si>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冷凍食品事業利益</t>
    </r>
  </si>
  <si>
    <t xml:space="preserve">a_hobp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</si>
  <si>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ヘルスケア等事業利益</t>
    </r>
  </si>
  <si>
    <t xml:space="preserve">a_othbp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</si>
  <si>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その他事業利益</t>
    </r>
  </si>
  <si>
    <t xml:space="preserve">a_cc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</si>
  <si>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全社共通費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</si>
  <si>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</si>
  <si>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</si>
  <si>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</si>
  <si>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</si>
  <si>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r>
      <rPr>
        <sz val="11"/>
        <color theme="1"/>
        <rFont val="Noto Sans CJK SC"/>
        <family val="2"/>
      </rPr>
      <t xml:space="preserve">淨利含本社大樓土地出售利益（日經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</si>
  <si>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a_da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</si>
  <si>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折舊攤銷</t>
    </r>
  </si>
  <si>
    <t xml:space="preserve">a_cx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</si>
  <si>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資本支出（有形＋無形）</t>
    </r>
  </si>
  <si>
    <r>
      <rPr>
        <sz val="11"/>
        <color theme="1"/>
        <rFont val="Noto Sans CJK SC"/>
        <family val="2"/>
      </rPr>
      <t xml:space="preserve">有形 </t>
    </r>
    <r>
      <rPr>
        <sz val="11"/>
        <color theme="1"/>
        <rFont val="Calibri"/>
        <family val="2"/>
        <charset val="1"/>
      </rPr>
      <t xml:space="preserve">96.446</t>
    </r>
    <r>
      <rPr>
        <sz val="11"/>
        <color theme="1"/>
        <rFont val="Noto Sans CJK SC"/>
        <family val="2"/>
      </rPr>
      <t xml:space="preserve">＋無形 </t>
    </r>
    <r>
      <rPr>
        <sz val="11"/>
        <color theme="1"/>
        <rFont val="Calibri"/>
        <family val="2"/>
        <charset val="1"/>
      </rPr>
      <t xml:space="preserve">8.104</t>
    </r>
  </si>
  <si>
    <t xml:space="preserve">a_fm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</si>
  <si>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ファンクショナルマテリアルズ營收（推估）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</si>
  <si>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分部門回顧：ヘルスケア等營收中 </t>
    </r>
    <r>
      <rPr>
        <sz val="11"/>
        <color theme="1"/>
        <rFont val="Calibri"/>
        <family val="2"/>
        <charset val="1"/>
      </rPr>
      <t xml:space="preserve">Functional Materials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</si>
  <si>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（引日經、朝日電視）：電子材料營收 </t>
    </r>
    <r>
      <rPr>
        <sz val="11"/>
        <color theme="1"/>
        <rFont val="Calibri"/>
        <family val="2"/>
        <charset val="1"/>
      </rPr>
      <t xml:space="preserve">100.7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FY25 21.5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決算概要（分部門、子部門；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））；子公司味之素ファインテクノ營收 </t>
    </r>
    <r>
      <rPr>
        <sz val="11"/>
        <color theme="1"/>
        <rFont val="Calibri"/>
        <family val="2"/>
        <charset val="1"/>
      </rPr>
      <t xml:space="preserve">98.383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</si>
  <si>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a_fmbp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</si>
  <si>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ファンクショナルマテリアルズ事業利益</t>
    </r>
  </si>
  <si>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（引日經、朝日電視）：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+35%</t>
    </r>
    <r>
      <rPr>
        <sz val="11"/>
        <color theme="1"/>
        <rFont val="Noto Sans CJK SC"/>
        <family val="2"/>
      </rPr>
      <t xml:space="preserve">），約占全公司三成</t>
    </r>
  </si>
  <si>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；味之素ファインテクノ營業利益 </t>
    </r>
    <r>
      <rPr>
        <sz val="11"/>
        <color theme="1"/>
        <rFont val="Calibri"/>
        <family val="2"/>
        <charset val="1"/>
      </rPr>
      <t xml:space="preserve">53.012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簡報（業績預想、</t>
    </r>
    <r>
      <rPr>
        <sz val="11"/>
        <color theme="1"/>
        <rFont val="Calibri"/>
        <family val="2"/>
        <charset val="1"/>
      </rPr>
      <t xml:space="preserve">AFT </t>
    </r>
    <r>
      <rPr>
        <sz val="11"/>
        <color theme="1"/>
        <rFont val="Noto Sans CJK SC"/>
        <family val="2"/>
      </rPr>
      <t xml:space="preserve">實績、中東影響））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</si>
  <si>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</si>
  <si>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</si>
  <si>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2025-04-01 </t>
    </r>
    <r>
      <rPr>
        <sz val="11"/>
        <color theme="1"/>
        <rFont val="Noto Sans CJK SC"/>
        <family val="2"/>
      </rPr>
      <t xml:space="preserve">一拆二；期中平均股數 </t>
    </r>
    <r>
      <rPr>
        <sz val="11"/>
        <color theme="1"/>
        <rFont val="Calibri"/>
        <family val="2"/>
        <charset val="1"/>
      </rPr>
      <t xml:space="preserve">9.734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</si>
  <si>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對帳與差距拆解，不作校準）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</si>
  <si>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</si>
  <si>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</si>
  <si>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彙整；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</si>
  <si>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株予報：共識經常利益 </t>
    </r>
    <r>
      <rPr>
        <sz val="11"/>
        <color theme="1"/>
        <rFont val="Calibri"/>
        <family val="2"/>
        <charset val="1"/>
      </rPr>
      <t xml:space="preserve">196.8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</si>
  <si>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</si>
  <si>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（＝共識淨利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錨點股數）</t>
    </r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</si>
  <si>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公司預測隱含股數 </t>
    </r>
    <r>
      <rPr>
        <sz val="11"/>
        <color theme="1"/>
        <rFont val="Calibri"/>
        <family val="2"/>
        <charset val="1"/>
      </rPr>
      <t xml:space="preserve">9.512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</si>
  <si>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</si>
  <si>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</si>
  <si>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</si>
  <si>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1.73 </t>
    </r>
    <r>
      <rPr>
        <sz val="11"/>
        <color theme="1"/>
        <rFont val="Noto Sans CJK SC"/>
        <family val="2"/>
      </rPr>
      <t xml:space="preserve">兆）</t>
    </r>
  </si>
  <si>
    <t xml:space="preserve">c_g27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</si>
  <si>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</si>
  <si>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FY2027E +24.37%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FY2028E +23.63%</t>
    </r>
    <r>
      <rPr>
        <sz val="11"/>
        <color theme="1"/>
        <rFont val="Noto Sans CJK SC"/>
        <family val="2"/>
      </rPr>
      <t xml:space="preserve">，以公司年度計）</t>
    </r>
  </si>
  <si>
    <t xml:space="preserve">單一來源；基期口徑未明示</t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</si>
  <si>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</si>
  <si>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（＝共識 </t>
    </r>
    <r>
      <rPr>
        <sz val="11"/>
        <color theme="1"/>
        <rFont val="Calibri"/>
        <family val="2"/>
        <charset val="1"/>
      </rPr>
      <t xml:space="preserve">FY2026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＋年增））</t>
    </r>
  </si>
  <si>
    <t xml:space="preserve">上兩列推導</t>
  </si>
  <si>
    <t xml:space="preserve">直接數字：未找到</t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</si>
  <si>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</si>
  <si>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</si>
  <si>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Revenue Next Year 1.84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+6.41%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</si>
  <si>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</si>
  <si>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</si>
  <si>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</si>
  <si>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松井證券：</t>
    </r>
    <r>
      <rPr>
        <sz val="11"/>
        <color theme="1"/>
        <rFont val="Calibri"/>
        <family val="2"/>
        <charset val="1"/>
      </rPr>
      <t xml:space="preserve">2026-10-23 15:30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、前日 </t>
    </r>
    <r>
      <rPr>
        <sz val="11"/>
        <color theme="1"/>
        <rFont val="Calibri"/>
        <family val="2"/>
        <charset val="1"/>
      </rPr>
      <t xml:space="preserve">5,046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</si>
  <si>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5,046</t>
    </r>
    <r>
      <rPr>
        <sz val="11"/>
        <color theme="1"/>
        <rFont val="Noto Sans CJK SC"/>
        <family val="2"/>
      </rPr>
      <t xml:space="preserve">（與松井前日相同）；</t>
    </r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：前收 </t>
    </r>
    <r>
      <rPr>
        <sz val="11"/>
        <color theme="1"/>
        <rFont val="Calibri"/>
        <family val="2"/>
        <charset val="1"/>
      </rPr>
      <t xml:space="preserve">5,064</t>
    </r>
  </si>
  <si>
    <t xml:space="preserve">pe_cf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</si>
  <si>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（公司預測，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</si>
  <si>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</t>
    </r>
    <r>
      <rPr>
        <sz val="11"/>
        <color theme="1"/>
        <rFont val="Calibri"/>
        <family val="2"/>
        <charset val="1"/>
      </rPr>
      <t xml:space="preserve">PER</t>
    </r>
    <r>
      <rPr>
        <sz val="11"/>
        <color theme="1"/>
        <rFont val="Noto Sans CJK SC"/>
        <family val="2"/>
      </rPr>
      <t xml:space="preserve">（會社予想）</t>
    </r>
    <r>
      <rPr>
        <sz val="11"/>
        <color theme="1"/>
        <rFont val="Calibri"/>
        <family val="2"/>
        <charset val="1"/>
      </rPr>
      <t xml:space="preserve">39.08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EPS 129.12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</si>
  <si>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</si>
  <si>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</si>
  <si>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（統計）：價格 </t>
    </r>
    <r>
      <rPr>
        <sz val="11"/>
        <color theme="1"/>
        <rFont val="Calibri"/>
        <family val="2"/>
        <charset val="1"/>
      </rPr>
      <t xml:space="preserve">5,051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 32.76</t>
    </r>
  </si>
  <si>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月滾動預估 </t>
    </r>
    <r>
      <rPr>
        <sz val="11"/>
        <color theme="1"/>
        <rFont val="Calibri"/>
        <family val="2"/>
        <charset val="1"/>
      </rPr>
      <t xml:space="preserve">P/E 30.66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</si>
  <si>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</si>
  <si>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（＝取得時價格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</si>
  <si>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2026-09-25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5,051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32.76</t>
    </r>
  </si>
  <si>
    <r>
      <rPr>
        <sz val="11"/>
        <color theme="1"/>
        <rFont val="Calibri"/>
        <family val="2"/>
        <charset val="1"/>
      </rPr>
      <t xml:space="preserve">DBS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FY26F </t>
    </r>
    <r>
      <rPr>
        <sz val="11"/>
        <color theme="1"/>
        <rFont val="Noto Sans CJK SC"/>
        <family val="2"/>
      </rPr>
      <t xml:space="preserve">正常化 </t>
    </r>
    <r>
      <rPr>
        <sz val="11"/>
        <color theme="1"/>
        <rFont val="Calibri"/>
        <family val="2"/>
        <charset val="1"/>
      </rPr>
      <t xml:space="preserve">EPS 155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</si>
  <si>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</si>
  <si>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</si>
  <si>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</si>
  <si>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）；株予報：</t>
    </r>
    <r>
      <rPr>
        <sz val="11"/>
        <color theme="1"/>
        <rFont val="Calibri"/>
        <family val="2"/>
        <charset val="1"/>
      </rPr>
      <t xml:space="preserve">5,906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2026-06-23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MoneyDJ</t>
    </r>
    <r>
      <rPr>
        <sz val="11"/>
        <color theme="1"/>
        <rFont val="Noto Sans CJK SC"/>
        <family val="2"/>
      </rPr>
      <t xml:space="preserve">／日經））、</t>
    </r>
    <r>
      <rPr>
        <sz val="11"/>
        <color theme="1"/>
        <rFont val="Calibri"/>
        <family val="2"/>
        <charset val="1"/>
      </rPr>
      <t xml:space="preserve">DBS 6,200</t>
    </r>
  </si>
  <si>
    <t xml:space="preserve">so</t>
  </si>
  <si>
    <t xml:space="preserve">期末發行股數（含庫藏）</t>
  </si>
  <si>
    <t xml:space="preserve">十億股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</si>
  <si>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977,735,616 </t>
    </r>
    <r>
      <rPr>
        <sz val="11"/>
        <color theme="1"/>
        <rFont val="Noto Sans CJK SC"/>
        <family val="2"/>
      </rPr>
      <t xml:space="preserve">股；庫藏 </t>
    </r>
    <r>
      <rPr>
        <sz val="11"/>
        <color theme="1"/>
        <rFont val="Calibri"/>
        <family val="2"/>
        <charset val="1"/>
      </rPr>
      <t xml:space="preserve">23,173,875 </t>
    </r>
    <r>
      <rPr>
        <sz val="11"/>
        <color theme="1"/>
        <rFont val="Noto Sans CJK SC"/>
        <family val="2"/>
      </rPr>
      <t xml:space="preserve">股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</si>
  <si>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</si>
  <si>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</si>
  <si>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</si>
  <si>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</si>
  <si>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</si>
  <si>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</si>
  <si>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</si>
  <si>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</si>
  <si>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</si>
  <si>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</si>
  <si>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</si>
  <si>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</si>
  <si>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食品本業風險低於設備股，但未改折現率，只在方法欄說明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</si>
  <si>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</si>
  <si>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</si>
  <si>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</si>
  <si>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</si>
  <si>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</si>
  <si>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</si>
  <si>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（比率）：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9.52%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11.95%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</si>
  <si>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17.7%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9.0%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））；公司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引用）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</si>
  <si>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</si>
  <si>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</si>
  <si>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定各半）</t>
    </r>
  </si>
  <si>
    <t xml:space="preserve">nm10_k</t>
  </si>
  <si>
    <r>
      <rPr>
        <sz val="11"/>
        <color theme="1"/>
        <rFont val="Noto Sans CJK SC"/>
        <family val="2"/>
      </rPr>
      <t xml:space="preserve">十年平均淨利率替代：最後一年（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</si>
  <si>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）淨利率：未找到（免費資料商只到近五年：</t>
    </r>
    <r>
      <rPr>
        <sz val="11"/>
        <color theme="1"/>
        <rFont val="Calibri"/>
        <family val="2"/>
        <charset val="1"/>
      </rPr>
      <t xml:space="preserve">5.6–8.5%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（損益））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</si>
  <si>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</si>
  <si>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</si>
  <si>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</si>
  <si>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</si>
  <si>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</si>
  <si>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</si>
  <si>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</si>
  <si>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</si>
  <si>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</si>
  <si>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</si>
  <si>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</si>
  <si>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</si>
  <si>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</si>
  <si>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</si>
  <si>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nm10_k) ÷ 2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</si>
  <si>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</si>
  <si>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</si>
  <si>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 × nm10_k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</si>
  <si>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自由現金流列用（算力收支地圖讀取；不進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</si>
  <si>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</si>
  <si>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</si>
  <si>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實績：折舊攤銷 </t>
    </r>
    <r>
      <rPr>
        <sz val="11"/>
        <color theme="1"/>
        <rFont val="Calibri"/>
        <family val="2"/>
        <charset val="1"/>
      </rPr>
      <t xml:space="preserve">88.914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1,583.719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</si>
  <si>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FY26 23.4 ÷ 412.1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5.7%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</si>
  <si>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</si>
  <si>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</si>
  <si>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104.550 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</si>
  <si>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FY26 33.4 ÷ 412.1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8.1%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</si>
  <si>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</si>
  <si>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</si>
  <si>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</si>
  <si>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</si>
  <si>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</si>
  <si>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</si>
  <si>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</si>
  <si>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</si>
  <si>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</si>
  <si>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</si>
  <si>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</si>
  <si>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scn_sp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</si>
  <si>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</si>
  <si>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sp_A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</si>
  <si>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</si>
  <si>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</si>
  <si>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</si>
  <si>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</si>
  <si>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</si>
  <si>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</si>
  <si>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</si>
  <si>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</si>
  <si>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</si>
  <si>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 FY26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公布時）；上半年決算（約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上旬）後更新</t>
    </r>
  </si>
  <si>
    <r>
      <rPr>
        <sz val="11"/>
        <color theme="1"/>
        <rFont val="Noto Sans CJK SC"/>
        <family val="2"/>
      </rPr>
      <t xml:space="preserve">公司不單獨揭露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營收；ファンクショナルマテリアルズ（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，電子材料等）為ヘルスケア等的子部門，季度決算概要揭露其營收與事業利益。</t>
    </r>
    <r>
      <rPr>
        <sz val="11"/>
        <color theme="1"/>
        <rFont val="Calibri"/>
        <family val="2"/>
        <charset val="1"/>
      </rPr>
      <t xml:space="preserve">FY2025 FM </t>
    </r>
    <r>
      <rPr>
        <sz val="11"/>
        <color theme="1"/>
        <rFont val="Noto Sans CJK SC"/>
        <family val="2"/>
      </rPr>
      <t xml:space="preserve">營收以 </t>
    </r>
    <r>
      <rPr>
        <sz val="11"/>
        <color theme="1"/>
        <rFont val="Calibri"/>
        <family val="2"/>
        <charset val="1"/>
      </rPr>
      <t xml:space="preserve">ASV Report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占比推估（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），電子材料營收 </t>
    </r>
    <r>
      <rPr>
        <sz val="11"/>
        <color theme="1"/>
        <rFont val="Calibri"/>
        <family val="2"/>
        <charset val="1"/>
      </rPr>
      <t xml:space="preserve">100.7</t>
    </r>
    <r>
      <rPr>
        <sz val="11"/>
        <color theme="1"/>
        <rFont val="Noto Sans CJK SC"/>
        <family val="2"/>
      </rPr>
      <t xml:space="preserve">（媒體引公司）與子公司味之素ファインテクノ營收 </t>
    </r>
    <r>
      <rPr>
        <sz val="11"/>
        <color theme="1"/>
        <rFont val="Calibri"/>
        <family val="2"/>
        <charset val="1"/>
      </rPr>
      <t xml:space="preserve">98.4 </t>
    </r>
    <r>
      <rPr>
        <sz val="11"/>
        <color theme="1"/>
        <rFont val="Noto Sans CJK SC"/>
        <family val="2"/>
      </rPr>
      <t xml:space="preserve">為對照。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用比例公司未揭露，以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</si>
  <si>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</si>
  <si>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 FY26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</si>
  <si>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</si>
  <si>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年增（錨點 </t>
    </r>
    <r>
      <rPr>
        <b val="true"/>
        <sz val="11"/>
        <rFont val="Cambria"/>
        <family val="0"/>
        <charset val="1"/>
      </rPr>
      <t xml:space="preserve">÷ FY2025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</si>
  <si>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1Q ÷ </t>
    </r>
    <r>
      <rPr>
        <b val="true"/>
        <sz val="11"/>
        <rFont val="Noto Sans CJK SC"/>
        <family val="2"/>
      </rPr>
      <t xml:space="preserve">錨點（進度）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</si>
  <si>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</si>
  <si>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</si>
  <si>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調味料・食品</t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</si>
  <si>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子部門值取自決算概要（億日圓 </t>
    </r>
    <r>
      <rPr>
        <sz val="11"/>
        <color theme="1"/>
        <rFont val="Calibri"/>
        <family val="2"/>
        <charset val="1"/>
      </rPr>
      <t xml:space="preserve">÷ 100</t>
    </r>
    <r>
      <rPr>
        <sz val="11"/>
        <color theme="1"/>
        <rFont val="Noto Sans CJK SC"/>
        <family val="2"/>
      </rPr>
      <t xml:space="preserve">）</t>
    </r>
  </si>
  <si>
    <t xml:space="preserve">  冷凍食品</t>
  </si>
  <si>
    <t xml:space="preserve">  ヘルスケア等</t>
  </si>
  <si>
    <t xml:space="preserve">    其中 ファンクショナルマテリアルズ（電子材料等）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</si>
  <si>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0.30 × </t>
    </r>
    <r>
      <rPr>
        <sz val="11"/>
        <color theme="1"/>
        <rFont val="Noto Sans CJK SC"/>
        <family val="2"/>
      </rPr>
      <t xml:space="preserve">ヘルスケア等（</t>
    </r>
    <r>
      <rPr>
        <sz val="11"/>
        <color theme="1"/>
        <rFont val="Calibri"/>
        <family val="2"/>
        <charset val="1"/>
      </rPr>
      <t xml:space="preserve">ASV Report </t>
    </r>
    <r>
      <rPr>
        <sz val="11"/>
        <color theme="1"/>
        <rFont val="Noto Sans CJK SC"/>
        <family val="2"/>
      </rPr>
      <t xml:space="preserve">占比）；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與錨點為公司決算概要揭露值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</si>
  <si>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以外（生技醫藥＆原料、其他）</t>
    </r>
  </si>
  <si>
    <t xml:space="preserve">  その他</t>
  </si>
  <si>
    <t xml:space="preserve">事業利益</t>
  </si>
  <si>
    <t xml:space="preserve">    其中 ファンクショナルマテリアルズ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</si>
  <si>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</si>
  <si>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</t>
    </r>
  </si>
  <si>
    <t xml:space="preserve">  全社共通費</t>
  </si>
  <si>
    <t xml:space="preserve">費用（負值）</t>
  </si>
  <si>
    <t xml:space="preserve">營業利益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</si>
  <si>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</si>
  <si>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含本社大樓土地出售利益（營業利益 </t>
    </r>
    <r>
      <rPr>
        <sz val="11"/>
        <color theme="1"/>
        <rFont val="Calibri"/>
        <family val="2"/>
        <charset val="1"/>
      </rPr>
      <t xml:space="preserve">199.4 &gt;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181.2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預測淨利因此年減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</si>
  <si>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</si>
  <si>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t xml:space="preserve">比率</t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</si>
  <si>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</si>
  <si>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；公司全年預測隱含下半年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（保守）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</si>
  <si>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全公司營收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</si>
  <si>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全公司事業利益</t>
    </r>
  </si>
  <si>
    <r>
      <rPr>
        <sz val="11"/>
        <color theme="1"/>
        <rFont val="Calibri"/>
        <family val="2"/>
        <charset val="1"/>
      </rPr>
      <t xml:space="preserve">DBS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修正預測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</si>
  <si>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事業利益率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</si>
  <si>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</si>
  <si>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</si>
  <si>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FM </t>
    </r>
    <r>
      <rPr>
        <b val="true"/>
        <sz val="11"/>
        <rFont val="Noto Sans CJK SC"/>
        <family val="2"/>
      </rPr>
      <t xml:space="preserve">只占營收約 </t>
    </r>
    <r>
      <rPr>
        <b val="true"/>
        <sz val="11"/>
        <rFont val="Cambria"/>
        <family val="0"/>
        <charset val="1"/>
      </rPr>
      <t xml:space="preserve">7%</t>
    </r>
    <r>
      <rPr>
        <b val="true"/>
        <sz val="11"/>
        <rFont val="Noto Sans CJK SC"/>
        <family val="2"/>
      </rPr>
      <t xml:space="preserve">，卻占事業利益約三分之一；</t>
    </r>
    <r>
      <rPr>
        <b val="true"/>
        <sz val="11"/>
        <rFont val="Cambria"/>
        <family val="0"/>
        <charset val="1"/>
      </rPr>
      <t xml:space="preserve">1Q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FM </t>
    </r>
    <r>
      <rPr>
        <b val="true"/>
        <sz val="11"/>
        <rFont val="Noto Sans CJK SC"/>
        <family val="2"/>
      </rPr>
      <t xml:space="preserve">營收、事業利益分別達全年預測的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29%</t>
    </r>
    <r>
      <rPr>
        <b val="true"/>
        <sz val="11"/>
        <rFont val="Noto Sans CJK SC"/>
        <family val="2"/>
      </rPr>
      <t xml:space="preserve">，公司全年預測隱含下半年放緩，屬保守。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</si>
  <si>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 →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 → 出貨（產能上限）→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）；每顆加速器的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載板金額對照。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CY(t)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</si>
  <si>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</si>
  <si>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</si>
  <si>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</si>
  <si>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</si>
  <si>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</si>
  <si>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</si>
  <si>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</si>
  <si>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有效顆數（非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</si>
  <si>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讀欣興模型</t>
    </r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</si>
  <si>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層數指數</t>
    </r>
  </si>
  <si>
    <r>
      <rPr>
        <sz val="11"/>
        <color theme="1"/>
        <rFont val="Calibri"/>
        <family val="2"/>
        <charset val="1"/>
      </rPr>
      <t xml:space="preserve">g_asp </t>
    </r>
    <r>
      <rPr>
        <sz val="11"/>
        <color theme="1"/>
        <rFont val="Noto Sans CJK SC"/>
        <family val="2"/>
      </rPr>
      <t xml:space="preserve">讀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</si>
  <si>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</si>
  <si>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</si>
  <si>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</si>
  <si>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可出貨量上限</t>
  </si>
  <si>
    <t xml:space="preserve">需求滿足率</t>
  </si>
  <si>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</si>
  <si>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</si>
  <si>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</si>
  <si>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</si>
  <si>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每顆有效加速器的味之素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</t>
    </r>
  </si>
  <si>
    <t xml:space="preserve">US$</t>
  </si>
  <si>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</si>
  <si>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對照：每顆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</si>
  <si>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</si>
  <si>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載板金額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</si>
  <si>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約占載板物料成本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</si>
  <si>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伺服器載板營收（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</si>
  <si>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</si>
  <si>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營收年增 − 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載板營收年增</t>
    </r>
  </si>
  <si>
    <t xml:space="preserve">pt</t>
  </si>
  <si>
    <r>
      <rPr>
        <sz val="11"/>
        <color theme="1"/>
        <rFont val="Noto Sans CJK SC"/>
        <family val="2"/>
      </rPr>
      <t xml:space="preserve">正值＝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成長快於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載板（漲價、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全數計入）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</si>
  <si>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加速器只用到約二、三十美元的 </t>
    </r>
    <r>
      <rPr>
        <b val="true"/>
        <sz val="11"/>
        <rFont val="Cambria"/>
        <family val="0"/>
        <charset val="1"/>
      </rPr>
      <t xml:space="preserve">ABF</t>
    </r>
    <r>
      <rPr>
        <b val="true"/>
        <sz val="11"/>
        <rFont val="Noto Sans CJK SC"/>
        <family val="2"/>
      </rPr>
      <t xml:space="preserve">（約為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載板金額的一成），所以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不是成本瓶頸、而是產能與認證瓶頸：需求量（顆數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面積層數）每年成長三到八成，味之素的可出貨量（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）跟不上時，出貨受限、成長改由價格貢獻。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</si>
  <si>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味之素損益（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日圓；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事業利益口徑）。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三情境相同（顆數係數與情境價格乘數從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</si>
  <si>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</si>
  <si>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</si>
  <si>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</si>
  <si>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</si>
  <si>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</si>
  <si>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</si>
  <si>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</si>
  <si>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</si>
  <si>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ファンクショナルマテリアルズ（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</si>
  <si>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</si>
  <si>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</t>
    </r>
  </si>
  <si>
    <t xml:space="preserve">  事業利益率</t>
  </si>
  <si>
    <r>
      <rPr>
        <sz val="11"/>
        <color theme="1"/>
        <rFont val="Calibri"/>
        <family val="2"/>
        <charset val="1"/>
      </rPr>
      <t xml:space="preserve">  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</si>
  <si>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t xml:space="preserve">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</si>
  <si>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</si>
  <si>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</si>
  <si>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</si>
  <si>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  FM </t>
    </r>
    <r>
      <rPr>
        <sz val="11"/>
        <color theme="1"/>
        <rFont val="Noto Sans CJK SC"/>
        <family val="2"/>
      </rPr>
      <t xml:space="preserve">每股貢獻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</si>
  <si>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</si>
  <si>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</si>
  <si>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</si>
  <si>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</si>
  <si>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三情境：事業利益差（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</si>
  <si>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</si>
  <si>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</si>
  <si>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ABF </t>
    </r>
    <r>
      <rPr>
        <b val="true"/>
        <sz val="11"/>
        <rFont val="Noto Sans CJK SC"/>
        <family val="2"/>
      </rPr>
      <t xml:space="preserve">需求（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</si>
  <si>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</si>
  <si>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</si>
  <si>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</si>
  <si>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</si>
  <si>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面積係數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</si>
  <si>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Noto Sans CJK SC"/>
        <family val="2"/>
      </rPr>
      <t xml:space="preserve">每顆載板面積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</si>
  <si>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</si>
  <si>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</si>
  <si>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有效顆數成長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</si>
  <si>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需求量指數（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</si>
  <si>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需求量指數（以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營收組合加權）</t>
    </r>
  </si>
  <si>
    <r>
      <rPr>
        <sz val="11"/>
        <color theme="1"/>
        <rFont val="Noto Sans CJK SC"/>
        <family val="2"/>
      </rPr>
      <t xml:space="preserve">可出貨量上限（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</si>
  <si>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）；需求高於上限時出貨＝上限</t>
    </r>
  </si>
  <si>
    <r>
      <rPr>
        <sz val="11"/>
        <color theme="1"/>
        <rFont val="Noto Sans CJK SC"/>
        <family val="2"/>
      </rPr>
      <t xml:space="preserve">出貨量指數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上限）</t>
    </r>
  </si>
  <si>
    <r>
      <rPr>
        <sz val="11"/>
        <color theme="1"/>
        <rFont val="Noto Sans CJK SC"/>
        <family val="2"/>
      </rPr>
      <t xml:space="preserve">需求滿足率（出貨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需求）</t>
    </r>
  </si>
  <si>
    <r>
      <rPr>
        <sz val="11"/>
        <color theme="1"/>
        <rFont val="Noto Sans CJK SC"/>
        <family val="2"/>
      </rPr>
      <t xml:space="preserve">小於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＝產能受限，缺口由價格與競爭者填補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</si>
  <si>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</si>
  <si>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起乘情境價格乘數 </t>
    </r>
    <r>
      <rPr>
        <sz val="11"/>
        <color theme="1"/>
        <rFont val="Calibri"/>
        <family val="2"/>
        <charset val="1"/>
      </rPr>
      <t xml:space="preserve">sp_A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</si>
  <si>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滿足率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</si>
  <si>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營收：非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、一般伺服器等）</t>
    </r>
  </si>
  <si>
    <r>
      <rPr>
        <sz val="11"/>
        <color theme="1"/>
        <rFont val="Noto Sans CJK SC"/>
        <family val="2"/>
      </rPr>
      <t xml:space="preserve">ファンクショナルマテリアルズ（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</si>
  <si>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年數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</si>
  <si>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：每單位成本按 </t>
    </r>
    <r>
      <rPr>
        <sz val="11"/>
        <color theme="1"/>
        <rFont val="Calibri"/>
        <family val="2"/>
        <charset val="1"/>
      </rPr>
      <t xml:space="preserve">c_g </t>
    </r>
    <r>
      <rPr>
        <sz val="11"/>
        <color theme="1"/>
        <rFont val="Noto Sans CJK SC"/>
        <family val="2"/>
      </rPr>
      <t xml:space="preserve">上升，漲價差額全部落在利潤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</si>
  <si>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其他事業（不隨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</si>
  <si>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調味料・食品營收</t>
  </si>
  <si>
    <t xml:space="preserve">調味料・食品事業利益</t>
  </si>
  <si>
    <t xml:space="preserve">冷凍食品營收</t>
  </si>
  <si>
    <t xml:space="preserve">冷凍食品事業利益</t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</si>
  <si>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</si>
  <si>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Noto Sans CJK SC"/>
        <family val="2"/>
      </rPr>
      <t xml:space="preserve">ヘルスケア等（扣除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）事業利益</t>
    </r>
  </si>
  <si>
    <t xml:space="preserve">その他營收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</si>
  <si>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起持平（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</si>
  <si>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その他事業利益</t>
  </si>
  <si>
    <t xml:space="preserve">全社共通費</t>
  </si>
  <si>
    <t xml:space="preserve">營收調整（公司合計 − 各事業加總；四捨五入）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</si>
  <si>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值</t>
    </r>
  </si>
  <si>
    <t xml:space="preserve">事業利益調整（公司合計 − 各事業加總；四捨五入）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</si>
  <si>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全公司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</si>
  <si>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</si>
  <si>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ヘルスケア等營收（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＋其他ヘルスケア等）</t>
    </r>
  </si>
  <si>
    <r>
      <rPr>
        <sz val="11"/>
        <color theme="1"/>
        <rFont val="Noto Sans CJK SC"/>
        <family val="2"/>
      </rPr>
      <t xml:space="preserve">官方報告分部：ヘルスケア等（含 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</si>
  <si>
    <t xml:space="preserve">その他營收（含公司合計與各事業加總的四捨五入差）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</si>
  <si>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公司計畫以十億日圓為單位，各事業加總與合計差 </t>
    </r>
    <r>
      <rPr>
        <sz val="11"/>
        <color theme="1"/>
        <rFont val="Calibri"/>
        <family val="2"/>
        <charset val="1"/>
      </rPr>
      <t xml:space="preserve">0.2</t>
    </r>
  </si>
  <si>
    <t xml:space="preserve">檢查：分部合計 − 合併營收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</si>
  <si>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</si>
  <si>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FM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</si>
  <si>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</t>
    </r>
  </si>
  <si>
    <t xml:space="preserve">股數（期中平均）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</si>
  <si>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</si>
  <si>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</si>
  <si>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</si>
  <si>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每股貢獻 ＝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</si>
  <si>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對集團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的貢獻（共通費按事業利益比例不分攤）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</si>
  <si>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以外每股 ＝ </t>
    </r>
    <r>
      <rPr>
        <sz val="11"/>
        <color theme="1"/>
        <rFont val="Calibri"/>
        <family val="2"/>
        <charset val="1"/>
      </rPr>
      <t xml:space="preserve">EPS − FM </t>
    </r>
    <r>
      <rPr>
        <sz val="11"/>
        <color theme="1"/>
        <rFont val="Noto Sans CJK SC"/>
        <family val="2"/>
      </rPr>
      <t xml:space="preserve">每股貢獻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</si>
  <si>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有效顆數（美元／顆；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</si>
  <si>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匯率前提 </t>
    </r>
    <r>
      <rPr>
        <sz val="11"/>
        <color theme="1"/>
        <rFont val="Calibri"/>
        <family val="2"/>
        <charset val="1"/>
      </rPr>
      <t xml:space="preserve">¥150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</si>
  <si>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0.95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</si>
  <si>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價格乘數 </t>
    </r>
    <r>
      <rPr>
        <b val="true"/>
        <sz val="11"/>
        <rFont val="Cambria"/>
        <family val="0"/>
        <charset val="1"/>
      </rPr>
      <t xml:space="preserve">0.88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</si>
  <si>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</si>
  <si>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</si>
  <si>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</si>
  <si>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</si>
  <si>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</si>
  <si>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</si>
  <si>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</si>
  <si>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</si>
  <si>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</si>
  <si>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</si>
  <si>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</si>
  <si>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</si>
  <si>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</si>
  <si>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</si>
  <si>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</si>
  <si>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</si>
  <si>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</si>
  <si>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</si>
  <si>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</si>
  <si>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</si>
  <si>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</si>
  <si>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</si>
  <si>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營收），淨利與營收取本頁各情境推導區塊（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</si>
  <si>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）只作參考；第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節為分部加總（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）與現價隱含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價值（參考）</t>
    </r>
  </si>
  <si>
    <r>
      <rPr>
        <sz val="11"/>
        <color theme="1"/>
        <rFont val="Noto Sans CJK SC"/>
        <family val="2"/>
      </rPr>
      <t xml:space="preserve">循環位置：味之素不是設備股，不套設備市場見頂年；以本模型營收最高的會計年度為見頂年（比照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</si>
  <si>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</si>
  <si>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</si>
  <si>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</si>
  <si>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</si>
  <si>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</si>
  <si>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</si>
  <si>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</si>
  <si>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欄＝折現年數（基準日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結束，未做季度調整）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</si>
  <si>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</si>
  <si>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</si>
  <si>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</si>
  <si>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</si>
  <si>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</si>
  <si>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</si>
  <si>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</si>
  <si>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味之素資本支出約為折舊的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104.6 vs 88.9</t>
    </r>
    <r>
      <rPr>
        <sz val="11"/>
        <color theme="1"/>
        <rFont val="Noto Sans CJK SC"/>
        <family val="2"/>
      </rPr>
      <t xml:space="preserve">），非資本密集，用工作單通式；下列六列＝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</si>
  <si>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</si>
  <si>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</si>
  <si>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</si>
  <si>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</si>
  <si>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</si>
  <si>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</si>
  <si>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</si>
  <si>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：食品同業）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</si>
  <si>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</si>
  <si>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</si>
  <si>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</si>
  <si>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</si>
  <si>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</si>
  <si>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龜甲萬（</t>
    </r>
    <r>
      <rPr>
        <sz val="11"/>
        <color theme="1"/>
        <rFont val="Calibri"/>
        <family val="2"/>
        <charset val="1"/>
      </rPr>
      <t xml:space="preserve">Kikkoman</t>
    </r>
    <r>
      <rPr>
        <sz val="11"/>
        <color theme="1"/>
        <rFont val="Noto Sans CJK SC"/>
        <family val="2"/>
      </rPr>
      <t xml:space="preserve">）</t>
    </r>
  </si>
  <si>
    <t xml:space="preserve">2801.T</t>
  </si>
  <si>
    <t xml:space="preserve">2026-09-25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</si>
  <si>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</si>
  <si>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日清食品 </t>
    </r>
    <r>
      <rPr>
        <sz val="11"/>
        <color theme="1"/>
        <rFont val="Calibri"/>
        <family val="2"/>
        <charset val="1"/>
      </rPr>
      <t xml:space="preserve">HD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Nissin Foods</t>
    </r>
    <r>
      <rPr>
        <sz val="11"/>
        <color theme="1"/>
        <rFont val="Noto Sans CJK SC"/>
        <family val="2"/>
      </rPr>
      <t xml:space="preserve">）</t>
    </r>
  </si>
  <si>
    <t xml:space="preserve">2897.T</t>
  </si>
  <si>
    <t xml:space="preserve">2026-08-07</t>
  </si>
  <si>
    <r>
      <rPr>
        <sz val="11"/>
        <color theme="1"/>
        <rFont val="Noto Sans CJK SC"/>
        <family val="2"/>
      </rPr>
      <t xml:space="preserve">明治 </t>
    </r>
    <r>
      <rPr>
        <sz val="11"/>
        <color theme="1"/>
        <rFont val="Calibri"/>
        <family val="2"/>
        <charset val="1"/>
      </rPr>
      <t xml:space="preserve">HD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Meiji</t>
    </r>
    <r>
      <rPr>
        <sz val="11"/>
        <color theme="1"/>
        <rFont val="Noto Sans CJK SC"/>
        <family val="2"/>
      </rPr>
      <t xml:space="preserve">）</t>
    </r>
  </si>
  <si>
    <t xml:space="preserve">2269.T</t>
  </si>
  <si>
    <t xml:space="preserve">2026-09-18</t>
  </si>
  <si>
    <r>
      <rPr>
        <sz val="11"/>
        <color theme="1"/>
        <rFont val="Calibri"/>
        <family val="2"/>
        <charset val="1"/>
      </rPr>
      <t xml:space="preserve">Kewpie</t>
    </r>
    <r>
      <rPr>
        <sz val="11"/>
        <color theme="1"/>
        <rFont val="Noto Sans CJK SC"/>
        <family val="2"/>
      </rPr>
      <t xml:space="preserve">（丘比）</t>
    </r>
  </si>
  <si>
    <t xml:space="preserve">2809.T</t>
  </si>
  <si>
    <t xml:space="preserve">2026-08-14</t>
  </si>
  <si>
    <r>
      <rPr>
        <sz val="11"/>
        <color theme="1"/>
        <rFont val="Calibri"/>
        <family val="2"/>
        <charset val="1"/>
      </rPr>
      <t xml:space="preserve">McCormick</t>
    </r>
    <r>
      <rPr>
        <sz val="11"/>
        <color theme="1"/>
        <rFont val="Noto Sans CJK SC"/>
        <family val="2"/>
      </rPr>
      <t xml:space="preserve">（味好美）</t>
    </r>
  </si>
  <si>
    <t xml:space="preserve">MKC</t>
  </si>
  <si>
    <t xml:space="preserve">2026-10-23</t>
  </si>
  <si>
    <r>
      <rPr>
        <sz val="11"/>
        <color theme="1"/>
        <rFont val="Calibri"/>
        <family val="2"/>
        <charset val="1"/>
      </rPr>
      <t xml:space="preserve">Nestlé</t>
    </r>
    <r>
      <rPr>
        <sz val="11"/>
        <color theme="1"/>
        <rFont val="Noto Sans CJK SC"/>
        <family val="2"/>
      </rPr>
      <t xml:space="preserve">（雀巢）</t>
    </r>
  </si>
  <si>
    <t xml:space="preserve">NESN.SW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</si>
  <si>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</si>
  <si>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食品與調味料同業：日本四家（東證食料品）＋全球調味料兩家（不含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股）。理由：東證與 </t>
    </r>
    <r>
      <rPr>
        <sz val="11"/>
        <color theme="1"/>
        <rFont val="Calibri"/>
        <family val="2"/>
        <charset val="1"/>
      </rPr>
      <t xml:space="preserve">GICS </t>
    </r>
    <r>
      <rPr>
        <sz val="11"/>
        <color theme="1"/>
        <rFont val="Noto Sans CJK SC"/>
        <family val="2"/>
      </rPr>
      <t xml:space="preserve">皆歸食品，賣方由食品分析師覆蓋，事業利益約三分之二來自食品本業；電子材料同業與 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見第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節（參考，不進目標價）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</si>
  <si>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</si>
  <si>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EPS ≈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月底結束，依月份調整）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</si>
  <si>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</si>
  <si>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</si>
  <si>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</si>
  <si>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</si>
  <si>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</si>
  <si>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</si>
  <si>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</si>
  <si>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</si>
  <si>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</si>
  <si>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</si>
  <si>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</si>
  <si>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</si>
  <si>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</si>
  <si>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</si>
  <si>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5,051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32.76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</si>
  <si>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</si>
  <si>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</si>
  <si>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</si>
  <si>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</si>
  <si>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</si>
  <si>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）的分位；低於最小記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</si>
  <si>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</si>
  <si>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</si>
  <si>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</si>
  <si>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</si>
  <si>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</si>
  <si>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：龜甲萬、日清食品、明治、</t>
    </r>
    <r>
      <rPr>
        <sz val="11"/>
        <color theme="1"/>
        <rFont val="Calibri"/>
        <family val="2"/>
        <charset val="1"/>
      </rPr>
      <t xml:space="preserve">Kewpie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McCormick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Nestlé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中位數（食品同業，不含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  <r>
      <rPr>
        <sz val="11"/>
        <color theme="1"/>
        <rFont val="Calibri"/>
        <family val="2"/>
        <charset val="1"/>
      </rPr>
      <t xml:space="preserve">× 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FY2028</t>
    </r>
    <r>
      <rPr>
        <sz val="11"/>
        <color theme="1"/>
        <rFont val="Noto Sans CJK SC"/>
        <family val="2"/>
      </rPr>
      <t xml:space="preserve">）。偏誤：食品同業倍數未反映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的獨占與成長（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偏低）；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低於折現率加上收斂法使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只支撐約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倍（偏低）；本業與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風險不同，未分開折現。情境對應：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價格乘數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</si>
  <si>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</si>
  <si>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</si>
  <si>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</si>
  <si>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</si>
  <si>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</si>
  <si>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</si>
  <si>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</si>
  <si>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含土地出售利益；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</si>
  <si>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</si>
  <si>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</si>
  <si>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</si>
  <si>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</si>
  <si>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</si>
  <si>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</si>
  <si>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</si>
  <si>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</si>
  <si>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</si>
  <si>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</si>
  <si>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</si>
  <si>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</si>
  <si>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</si>
  <si>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</si>
  <si>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規則值隱含股價（日圓；約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2028-03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</si>
  <si>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</si>
  <si>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</si>
  <si>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</si>
  <si>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</si>
  <si>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</si>
  <si>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</si>
  <si>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2028-03</t>
    </r>
    <r>
      <rPr>
        <b val="true"/>
        <sz val="11"/>
        <rFont val="Noto Sans CJK SC"/>
        <family val="2"/>
      </rPr>
      <t xml:space="preserve">）價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</si>
  <si>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</si>
  <si>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</si>
  <si>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</si>
  <si>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</si>
  <si>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</si>
  <si>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。所需倍數高於歷史中位數時，現價依賴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成長延續到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以後。歷史倍數為 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淨利口徑（含一次性損益）。本版未做先驗，無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</si>
  <si>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年底；分位排名用 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日曆年底；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會計年度年底〔次年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月底〕只作核對）</t>
    </r>
  </si>
  <si>
    <t xml:space="preserve">年底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</si>
  <si>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）</t>
    </r>
  </si>
  <si>
    <t xml:space="preserve">companiesmarketcap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</si>
  <si>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（次年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月底）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</si>
  <si>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</si>
  <si>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</si>
  <si>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</si>
  <si>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</si>
  <si>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</si>
  <si>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</si>
  <si>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</si>
  <si>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</si>
  <si>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</si>
  <si>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</si>
  <si>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</si>
  <si>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</si>
  <si>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年齊全）；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只有會計年度年底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，只列統計作核對，不採用。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54.9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 </t>
    </r>
    <r>
      <rPr>
        <sz val="11"/>
        <color theme="1"/>
        <rFont val="Noto Sans CJK SC"/>
        <family val="2"/>
      </rPr>
      <t xml:space="preserve">倍來自減損使淨利偏低（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年度冷凍食品等減損），分位統計受影響。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</si>
  <si>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</si>
  <si>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</si>
  <si>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</si>
  <si>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</si>
  <si>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IFRS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</si>
  <si>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</si>
  <si>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</si>
  <si>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</si>
  <si>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</si>
  <si>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</si>
  <si>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</si>
  <si>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</si>
  <si>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</si>
  <si>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</si>
  <si>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</si>
  <si>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</si>
  <si>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</si>
  <si>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</si>
  <si>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</si>
  <si>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</si>
  <si>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</si>
  <si>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</si>
  <si>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</si>
  <si>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</si>
  <si>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</si>
  <si>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</si>
  <si>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</si>
  <si>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</si>
  <si>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</si>
  <si>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參考：分部加總（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）與現價隱含的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價值（不進目標價；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目標價仍為第 </t>
    </r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節食品同業法）</t>
    </r>
  </si>
  <si>
    <r>
      <rPr>
        <b val="true"/>
        <sz val="11"/>
        <rFont val="Noto Sans CJK SC"/>
        <family val="2"/>
      </rPr>
      <t xml:space="preserve">電子材料同業與前瞻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</si>
  <si>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Resonac</t>
    </r>
    <r>
      <rPr>
        <sz val="11"/>
        <color theme="1"/>
        <rFont val="Noto Sans CJK SC"/>
        <family val="2"/>
      </rPr>
      <t xml:space="preserve">（力森諾科）</t>
    </r>
  </si>
  <si>
    <t xml:space="preserve">4004.T</t>
  </si>
  <si>
    <r>
      <rPr>
        <sz val="11"/>
        <color theme="1"/>
        <rFont val="Noto Sans CJK SC"/>
        <family val="2"/>
      </rPr>
      <t xml:space="preserve">東京應化（</t>
    </r>
    <r>
      <rPr>
        <sz val="11"/>
        <color theme="1"/>
        <rFont val="Calibri"/>
        <family val="2"/>
        <charset val="1"/>
      </rPr>
      <t xml:space="preserve">Tokyo Ohka Kogyo</t>
    </r>
    <r>
      <rPr>
        <sz val="11"/>
        <color theme="1"/>
        <rFont val="Noto Sans CJK SC"/>
        <family val="2"/>
      </rPr>
      <t xml:space="preserve">）</t>
    </r>
  </si>
  <si>
    <t xml:space="preserve">4186.T</t>
  </si>
  <si>
    <t xml:space="preserve">2026-10-19</t>
  </si>
  <si>
    <r>
      <rPr>
        <sz val="11"/>
        <color theme="1"/>
        <rFont val="Noto Sans CJK SC"/>
        <family val="2"/>
      </rPr>
      <t xml:space="preserve">日東紡（</t>
    </r>
    <r>
      <rPr>
        <sz val="11"/>
        <color theme="1"/>
        <rFont val="Calibri"/>
        <family val="2"/>
        <charset val="1"/>
      </rPr>
      <t xml:space="preserve">Nitto Boseki</t>
    </r>
    <r>
      <rPr>
        <sz val="11"/>
        <color theme="1"/>
        <rFont val="Noto Sans CJK SC"/>
        <family val="2"/>
      </rPr>
      <t xml:space="preserve">）</t>
    </r>
  </si>
  <si>
    <t xml:space="preserve">3110.T</t>
  </si>
  <si>
    <r>
      <rPr>
        <sz val="11"/>
        <color theme="1"/>
        <rFont val="Noto Sans CJK SC"/>
        <family val="2"/>
      </rPr>
      <t xml:space="preserve">信越化學（</t>
    </r>
    <r>
      <rPr>
        <sz val="11"/>
        <color theme="1"/>
        <rFont val="Calibri"/>
        <family val="2"/>
        <charset val="1"/>
      </rPr>
      <t xml:space="preserve">Shin-Etsu</t>
    </r>
    <r>
      <rPr>
        <sz val="11"/>
        <color theme="1"/>
        <rFont val="Noto Sans CJK SC"/>
        <family val="2"/>
      </rPr>
      <t xml:space="preserve">）</t>
    </r>
  </si>
  <si>
    <t xml:space="preserve">4063.T</t>
  </si>
  <si>
    <t xml:space="preserve">2026-10-21</t>
  </si>
  <si>
    <t xml:space="preserve">Ibiden</t>
  </si>
  <si>
    <t xml:space="preserve">4062.T</t>
  </si>
  <si>
    <r>
      <rPr>
        <sz val="11"/>
        <color theme="1"/>
        <rFont val="Noto Sans CJK SC"/>
        <family val="2"/>
      </rPr>
      <t xml:space="preserve">電子材料同業前瞻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</si>
  <si>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半導體材料與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載板：</t>
    </r>
    <r>
      <rPr>
        <sz val="11"/>
        <color theme="1"/>
        <rFont val="Calibri"/>
        <family val="2"/>
        <charset val="1"/>
      </rPr>
      <t xml:space="preserve">Resonac</t>
    </r>
    <r>
      <rPr>
        <sz val="11"/>
        <color theme="1"/>
        <rFont val="Noto Sans CJK SC"/>
        <family val="2"/>
      </rPr>
      <t xml:space="preserve">、東京應化、日東紡（</t>
    </r>
    <r>
      <rPr>
        <sz val="11"/>
        <color theme="1"/>
        <rFont val="Calibri"/>
        <family val="2"/>
        <charset val="1"/>
      </rPr>
      <t xml:space="preserve">T-glass</t>
    </r>
    <r>
      <rPr>
        <sz val="11"/>
        <color theme="1"/>
        <rFont val="Noto Sans CJK SC"/>
        <family val="2"/>
      </rPr>
      <t xml:space="preserve">）、信越化學、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的比較組另含欣興、南電，屬台股載板）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</si>
  <si>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等）部分（情境加權）</t>
    </r>
  </si>
  <si>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每股貢獻（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FY2028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</si>
  <si>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以外（食品等）部分（情境加權）</t>
    </r>
  </si>
  <si>
    <r>
      <rPr>
        <sz val="11"/>
        <color theme="1"/>
        <rFont val="Calibri"/>
        <family val="2"/>
        <charset val="1"/>
      </rPr>
      <t xml:space="preserve">EPS − FM </t>
    </r>
    <r>
      <rPr>
        <sz val="11"/>
        <color theme="1"/>
        <rFont val="Noto Sans CJK SC"/>
        <family val="2"/>
      </rPr>
      <t xml:space="preserve">每股貢獻；全社共通費全部歸本業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</si>
  <si>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價值 ＝ 本業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食品同業中位數 ＋ </t>
    </r>
    <r>
      <rPr>
        <sz val="11"/>
        <color theme="1"/>
        <rFont val="Calibri"/>
        <family val="2"/>
        <charset val="1"/>
      </rPr>
      <t xml:space="preserve">FM × </t>
    </r>
    <r>
      <rPr>
        <sz val="11"/>
        <color theme="1"/>
        <rFont val="Noto Sans CJK SC"/>
        <family val="2"/>
      </rPr>
      <t xml:space="preserve">電子材料同業中位數</t>
    </r>
  </si>
  <si>
    <t xml:space="preserve">參考，不進目標價</t>
  </si>
  <si>
    <r>
      <rPr>
        <sz val="11"/>
        <color theme="1"/>
        <rFont val="Calibri"/>
        <family val="2"/>
        <charset val="1"/>
      </rPr>
      <t xml:space="preserve">  SOTP </t>
    </r>
    <r>
      <rPr>
        <sz val="11"/>
        <color theme="1"/>
        <rFont val="Noto Sans CJK SC"/>
        <family val="2"/>
      </rPr>
      <t xml:space="preserve">相對現價</t>
    </r>
  </si>
  <si>
    <r>
      <rPr>
        <sz val="11"/>
        <color theme="1"/>
        <rFont val="Noto Sans CJK SC"/>
        <family val="2"/>
      </rPr>
      <t xml:space="preserve">現在的未來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以外（模型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</si>
  <si>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現在的未來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</si>
  <si>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本業價值（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食品同業中位數）</t>
    </r>
  </si>
  <si>
    <r>
      <rPr>
        <sz val="11"/>
        <color theme="1"/>
        <rFont val="Noto Sans CJK SC"/>
        <family val="2"/>
      </rPr>
      <t xml:space="preserve">現價隱含的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）每股價值 ＝ 現價 − 本業價值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</si>
  <si>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占現價比例</t>
    </r>
  </si>
  <si>
    <r>
      <rPr>
        <sz val="11"/>
        <color theme="1"/>
        <rFont val="Noto Sans CJK SC"/>
        <family val="2"/>
      </rPr>
      <t xml:space="preserve">  現價隱含的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FM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</si>
  <si>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對照：電子材料同業中位數（上方）、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</si>
  <si>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</si>
  <si>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</si>
  <si>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</si>
  <si>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</si>
  <si>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</si>
  <si>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</si>
  <si>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</si>
  <si>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</si>
  <si>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</si>
  <si>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</si>
  <si>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</si>
  <si>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</si>
  <si>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</si>
  <si>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</si>
  <si>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</si>
  <si>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</si>
  <si>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</si>
  <si>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味之素</t>
  </si>
  <si>
    <t xml:space="preserve">2802.T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</si>
  <si>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</si>
  <si>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2802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</si>
  <si>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</si>
  <si>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2801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</si>
  <si>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2897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</si>
  <si>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2269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</si>
  <si>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2809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</si>
  <si>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MKC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</si>
  <si>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NESN SW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</si>
  <si>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4004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</si>
  <si>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4186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</si>
  <si>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3110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</si>
  <si>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4063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</si>
  <si>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</si>
  <si>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</si>
  <si>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</si>
  <si>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</si>
  <si>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</si>
  <si>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</si>
  <si>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</si>
  <si>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</si>
  <si>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</si>
  <si>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</si>
  <si>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</si>
  <si>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</si>
  <si>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</si>
  <si>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</si>
  <si>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</si>
  <si>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公司預測、共識與上游載板模型。只作事後對照，不為對上數字而調參數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</si>
  <si>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</si>
  <si>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</si>
  <si>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</si>
  <si>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</si>
  <si>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</si>
  <si>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</si>
  <si>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</si>
  <si>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</si>
  <si>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</si>
  <si>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</si>
  <si>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</si>
  <si>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錨點＝公司預測 </t>
    </r>
    <r>
      <rPr>
        <sz val="11"/>
        <color theme="1"/>
        <rFont val="Calibri"/>
        <family val="2"/>
        <charset val="1"/>
      </rPr>
      <t xml:space="preserve">1,732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</si>
  <si>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</si>
  <si>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</si>
  <si>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錨點＝公司預測 </t>
    </r>
    <r>
      <rPr>
        <sz val="11"/>
        <color theme="1"/>
        <rFont val="Calibri"/>
        <family val="2"/>
        <charset val="1"/>
      </rPr>
      <t xml:space="preserve">129.84</t>
    </r>
    <r>
      <rPr>
        <sz val="11"/>
        <color theme="1"/>
        <rFont val="Noto Sans CJK SC"/>
        <family val="2"/>
      </rPr>
      <t xml:space="preserve">；共識高於公司預測（公司 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預測保守）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</si>
  <si>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</si>
  <si>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</si>
  <si>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</si>
  <si>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Stockopedia </t>
    </r>
    <r>
      <rPr>
        <sz val="11"/>
        <color theme="1"/>
        <rFont val="Noto Sans CJK SC"/>
        <family val="2"/>
      </rPr>
      <t xml:space="preserve">年增率推導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</si>
  <si>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</si>
  <si>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</si>
  <si>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</si>
  <si>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公司預測與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說法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</si>
  <si>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1Q </t>
    </r>
    <r>
      <rPr>
        <sz val="11"/>
        <color theme="1"/>
        <rFont val="Noto Sans CJK SC"/>
        <family val="2"/>
      </rPr>
      <t xml:space="preserve">年化（</t>
    </r>
    <r>
      <rPr>
        <sz val="11"/>
        <color theme="1"/>
        <rFont val="Calibri"/>
        <family val="2"/>
        <charset val="1"/>
      </rPr>
      <t xml:space="preserve">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</si>
  <si>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決算概要</t>
    </r>
  </si>
  <si>
    <r>
      <rPr>
        <sz val="11"/>
        <color theme="1"/>
        <rFont val="Noto Sans CJK SC"/>
        <family val="2"/>
      </rPr>
      <t xml:space="preserve">公司全年預測低於 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年化：下半年放緩或保守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</si>
  <si>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vs 1Q </t>
    </r>
    <r>
      <rPr>
        <sz val="11"/>
        <color theme="1"/>
        <rFont val="Noto Sans CJK SC"/>
        <family val="2"/>
      </rPr>
      <t xml:space="preserve">年化</t>
    </r>
  </si>
  <si>
    <r>
      <rPr>
        <sz val="11"/>
        <color theme="1"/>
        <rFont val="Calibri"/>
        <family val="2"/>
        <charset val="1"/>
      </rPr>
      <t xml:space="preserve">FY2027 FM </t>
    </r>
    <r>
      <rPr>
        <sz val="11"/>
        <color theme="1"/>
        <rFont val="Noto Sans CJK SC"/>
        <family val="2"/>
      </rPr>
      <t xml:space="preserve">事業利益率 </t>
    </r>
    <r>
      <rPr>
        <sz val="11"/>
        <color theme="1"/>
        <rFont val="Calibri"/>
        <family val="2"/>
        <charset val="1"/>
      </rPr>
      <t xml:space="preserve">vs Palliser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</si>
  <si>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Palliser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</si>
  <si>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FY2025E 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FY2027E 66%</t>
    </r>
    <r>
      <rPr>
        <sz val="11"/>
        <color theme="1"/>
        <rFont val="Noto Sans CJK SC"/>
        <family val="2"/>
      </rPr>
      <t xml:space="preserve">；共識（</t>
    </r>
    <r>
      <rPr>
        <sz val="11"/>
        <color theme="1"/>
        <rFont val="Calibri"/>
        <family val="2"/>
        <charset val="1"/>
      </rPr>
      <t xml:space="preserve">Palliser </t>
    </r>
    <r>
      <rPr>
        <sz val="11"/>
        <color theme="1"/>
        <rFont val="Noto Sans CJK SC"/>
        <family val="2"/>
      </rPr>
      <t xml:space="preserve">引用）</t>
    </r>
    <r>
      <rPr>
        <sz val="11"/>
        <color theme="1"/>
        <rFont val="Calibri"/>
        <family val="2"/>
        <charset val="1"/>
      </rPr>
      <t xml:space="preserve">62%</t>
    </r>
  </si>
  <si>
    <r>
      <rPr>
        <sz val="11"/>
        <color theme="1"/>
        <rFont val="Calibri"/>
        <family val="2"/>
        <charset val="1"/>
      </rPr>
      <t xml:space="preserve">FY2027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（兩年成長）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</si>
  <si>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：未來兩年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以上（約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</si>
  <si>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FY2024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</si>
  <si>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Palliser FY2024 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</si>
  <si>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Noto Sans CJK SC"/>
        <family val="2"/>
      </rPr>
      <t xml:space="preserve">公司說法：年增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× 5 </t>
    </r>
    <r>
      <rPr>
        <sz val="11"/>
        <color theme="1"/>
        <rFont val="Noto Sans CJK SC"/>
        <family val="2"/>
      </rPr>
      <t xml:space="preserve">年 ≈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</si>
  <si>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上游載板模型（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；唯讀）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</si>
  <si>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載板金額</t>
    </r>
  </si>
  <si>
    <r>
      <rPr>
        <sz val="11"/>
        <color theme="1"/>
        <rFont val="Calibri"/>
        <family val="2"/>
        <charset val="1"/>
      </rPr>
      <t xml:space="preserve">Palliser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約占載板物料成本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</si>
  <si>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</si>
  <si>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營收年增 − 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載板營收年增</t>
    </r>
  </si>
  <si>
    <t xml:space="preserve">ibiden/dist Units</t>
  </si>
  <si>
    <t xml:space="preserve">負值＝味之素出貨受產能上限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</si>
  <si>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</si>
  <si>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事業利益率（錨點）</t>
    </r>
  </si>
  <si>
    <r>
      <rPr>
        <sz val="11"/>
        <color theme="1"/>
        <rFont val="Noto Sans CJK SC"/>
        <family val="2"/>
      </rPr>
      <t xml:space="preserve">公司預測 </t>
    </r>
    <r>
      <rPr>
        <sz val="11"/>
        <color theme="1"/>
        <rFont val="Calibri"/>
        <family val="2"/>
        <charset val="1"/>
      </rPr>
      <t xml:space="preserve">65.5 ÷ 120.6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</si>
  <si>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切分）</t>
    </r>
  </si>
  <si>
    <t xml:space="preserve">ai_sh 40%</t>
  </si>
  <si>
    <t xml:space="preserve">公司未揭露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</si>
  <si>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每顆有效加速器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</si>
  <si>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營收、事業利益率與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</si>
  <si>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</si>
  <si>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</si>
  <si>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</si>
  <si>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事業利益率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</si>
  <si>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</si>
  <si>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</si>
  <si>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事業利益率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</si>
  <si>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</si>
  <si>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</si>
  <si>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</si>
  <si>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</si>
  <si>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</si>
  <si>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FY2026 FM </t>
    </r>
    <r>
      <rPr>
        <sz val="11"/>
        <color theme="1"/>
        <rFont val="Noto Sans CJK SC"/>
        <family val="2"/>
      </rPr>
      <t xml:space="preserve">營收中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</si>
  <si>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</si>
  <si>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</si>
  <si>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</si>
  <si>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模型低值</t>
    </r>
  </si>
  <si>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</si>
  <si>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</si>
  <si>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0.6</t>
    </r>
  </si>
  <si>
    <t xml:space="preserve">欣興模型低值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</si>
  <si>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面積係數 </t>
    </r>
    <r>
      <rPr>
        <sz val="11"/>
        <color theme="1"/>
        <rFont val="Calibri"/>
        <family val="2"/>
        <charset val="1"/>
      </rPr>
      <t xml:space="preserve">1.0</t>
    </r>
  </si>
  <si>
    <t xml:space="preserve">欣興模型高值</t>
  </si>
  <si>
    <t xml:space="preserve">產能上限 低</t>
  </si>
  <si>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／五年的速度）</t>
    </r>
  </si>
  <si>
    <t xml:space="preserve">產能上限 高</t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</si>
  <si>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2.25</t>
    </r>
    <r>
      <rPr>
        <sz val="11"/>
        <color theme="1"/>
        <rFont val="Noto Sans CJK SC"/>
        <family val="2"/>
      </rPr>
      <t xml:space="preserve">（不設限）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</si>
  <si>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低</t>
    </r>
  </si>
  <si>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</si>
  <si>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高</t>
    </r>
  </si>
  <si>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</si>
  <si>
    <t xml:space="preserve">份額流失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</si>
  <si>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</si>
  <si>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單位成本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</si>
  <si>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c_g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</si>
  <si>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−2%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</si>
  <si>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</si>
  <si>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調味料・食品利益率 </t>
    </r>
    <r>
      <rPr>
        <sz val="11"/>
        <color theme="1"/>
        <rFont val="Calibri"/>
        <family val="2"/>
        <charset val="1"/>
      </rPr>
      <t xml:space="preserve">13.5%</t>
    </r>
  </si>
  <si>
    <r>
      <rPr>
        <sz val="11"/>
        <color theme="1"/>
        <rFont val="Calibri"/>
        <family val="2"/>
        <charset val="1"/>
      </rPr>
      <t xml:space="preserve">m_sf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</si>
  <si>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調味料・食品利益率 </t>
    </r>
    <r>
      <rPr>
        <sz val="11"/>
        <color theme="1"/>
        <rFont val="Calibri"/>
        <family val="2"/>
        <charset val="1"/>
      </rPr>
      <t xml:space="preserve">15.5%</t>
    </r>
  </si>
  <si>
    <r>
      <rPr>
        <sz val="11"/>
        <color theme="1"/>
        <rFont val="Calibri"/>
        <family val="2"/>
        <charset val="1"/>
      </rPr>
      <t xml:space="preserve">m_sf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</si>
  <si>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Noto Sans CJK SC"/>
        <family val="2"/>
      </rPr>
      <t xml:space="preserve">調味料・食品成長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</si>
  <si>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g_sf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</si>
  <si>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冷凍食品利益率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</si>
  <si>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m_ff </t>
    </r>
    <r>
      <rPr>
        <sz val="11"/>
        <color theme="1"/>
        <rFont val="Noto Sans CJK SC"/>
        <family val="2"/>
      </rPr>
      <t xml:space="preserve">高值（重整成功）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</si>
  <si>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0.58</t>
    </r>
  </si>
  <si>
    <r>
      <rPr>
        <sz val="11"/>
        <color theme="1"/>
        <rFont val="Calibri"/>
        <family val="2"/>
        <charset val="1"/>
      </rPr>
      <t xml:space="preserve">ni_bp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</si>
  <si>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</si>
  <si>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ni_bp </t>
    </r>
    <r>
      <rPr>
        <sz val="11"/>
        <color theme="1"/>
        <rFont val="Noto Sans CJK SC"/>
        <family val="2"/>
      </rPr>
      <t xml:space="preserve">高值（合併稅務利益）</t>
    </r>
  </si>
  <si>
    <r>
      <rPr>
        <sz val="11"/>
        <color theme="1"/>
        <rFont val="Noto Sans CJK SC"/>
        <family val="2"/>
      </rPr>
      <t xml:space="preserve">買回 多（−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</si>
  <si>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股數年變動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</si>
  <si>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</si>
  <si>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×0.95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</si>
  <si>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</si>
  <si>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×0.88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</si>
  <si>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起需求量高於可出貨量上限，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占比、面積層數與顆數假設的變動大多被產能上限吸收；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價格與產能上限最敏感，其次是調味料・食品利益率（本業事業利益約三分之二）。情境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</si>
  <si>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</si>
  <si>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</si>
  <si>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</si>
  <si>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</si>
  <si>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</si>
  <si>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</si>
  <si>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</si>
  <si>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</si>
  <si>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</si>
  <si>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</si>
  <si>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</si>
  <si>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</si>
  <si>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</si>
  <si>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</si>
  <si>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</si>
  <si>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</si>
  <si>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</si>
  <si>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案例區塊：面積層數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</si>
  <si>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案例區塊：面積層數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</si>
  <si>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面積係數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</si>
  <si>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面積係數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</si>
  <si>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案例區塊：產能上限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</si>
  <si>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案例區塊：產能上限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</si>
  <si>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</si>
  <si>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價格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</si>
  <si>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</si>
  <si>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案例區塊：單位成本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</si>
  <si>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−2%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</si>
  <si>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案例區塊：調味料・食品利益率 </t>
    </r>
    <r>
      <rPr>
        <b val="true"/>
        <sz val="11"/>
        <rFont val="Cambria"/>
        <family val="0"/>
        <charset val="1"/>
      </rPr>
      <t xml:space="preserve">13.5%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</si>
  <si>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案例區塊：調味料・食品利益率 </t>
    </r>
    <r>
      <rPr>
        <b val="true"/>
        <sz val="11"/>
        <rFont val="Cambria"/>
        <family val="0"/>
        <charset val="1"/>
      </rPr>
      <t xml:space="preserve">15.5%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</si>
  <si>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案例區塊：調味料・食品成長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</si>
  <si>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案例區塊：冷凍食品利益率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</si>
  <si>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事業利益 </t>
    </r>
    <r>
      <rPr>
        <b val="true"/>
        <sz val="11"/>
        <rFont val="Cambria"/>
        <family val="0"/>
        <charset val="1"/>
      </rPr>
      <t xml:space="preserve">0.58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</si>
  <si>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事業利益 </t>
    </r>
    <r>
      <rPr>
        <b val="true"/>
        <sz val="11"/>
        <rFont val="Cambria"/>
        <family val="0"/>
        <charset val="1"/>
      </rPr>
      <t xml:space="preserve">0.66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</si>
  <si>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多（−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</si>
  <si>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來源（公司原文為決算短信、決算概要、</t>
    </r>
    <r>
      <rPr>
        <b val="true"/>
        <sz val="11"/>
        <rFont val="Cambria"/>
        <family val="0"/>
        <charset val="1"/>
      </rPr>
      <t xml:space="preserve">IR </t>
    </r>
    <r>
      <rPr>
        <b val="true"/>
        <sz val="11"/>
        <rFont val="Noto Sans CJK SC"/>
        <family val="2"/>
      </rPr>
      <t xml:space="preserve">簡報；公司預測為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；股東行動派、券商、媒體與資料商皆為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</si>
  <si>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期初預測、折舊、資本支出、股數；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）</t>
    </r>
  </si>
  <si>
    <t xml:space="preserve">https://www.ajinomoto.com/cms_wp_ajnmt_global/wp-content/uploads/pdf/2026_05_07_03E.pdf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</si>
  <si>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實績、上修後全年預測、</t>
    </r>
    <r>
      <rPr>
        <sz val="11"/>
        <color theme="1"/>
        <rFont val="Calibri"/>
        <family val="2"/>
        <charset val="1"/>
      </rPr>
      <t xml:space="preserve">EPS 129.84</t>
    </r>
    <r>
      <rPr>
        <sz val="11"/>
        <color theme="1"/>
        <rFont val="Noto Sans CJK SC"/>
        <family val="2"/>
      </rPr>
      <t xml:space="preserve">、股數；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</si>
  <si>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https://news.ajinomoto.co.jp/2026/08/2026_08_06_03.pdf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</si>
  <si>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決算概要（分部門與子部門：ファンクショナルマテリアルズ </t>
    </r>
    <r>
      <rPr>
        <sz val="11"/>
        <color theme="1"/>
        <rFont val="Calibri"/>
        <family val="2"/>
        <charset val="1"/>
      </rPr>
      <t xml:space="preserve">1Q 33.1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19.1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65.5</t>
    </r>
    <r>
      <rPr>
        <sz val="11"/>
        <color theme="1"/>
        <rFont val="Noto Sans CJK SC"/>
        <family val="2"/>
      </rPr>
      <t xml:space="preserve">；匯率前提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）</t>
    </r>
  </si>
  <si>
    <t xml:space="preserve">https://www.ajinomoto.co.jp/company/jp/ir/event/presentation/main/011111114/teaserItems1/00/linkList/01/link/FY25Q4_Results_J.pdf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</si>
  <si>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2026-08-06 IR </t>
    </r>
    <r>
      <rPr>
        <sz val="11"/>
        <color theme="1"/>
        <rFont val="Noto Sans CJK SC"/>
        <family val="2"/>
      </rPr>
      <t xml:space="preserve">簡報（味之素ファインテクノ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98.383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53.012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2027-04 </t>
    </r>
    <r>
      <rPr>
        <sz val="11"/>
        <color theme="1"/>
        <rFont val="Noto Sans CJK SC"/>
        <family val="2"/>
      </rPr>
      <t xml:space="preserve">吸收合併；中東影響 −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十億）</t>
    </r>
  </si>
  <si>
    <t xml:space="preserve">https://www.ajinomoto.co.jp/company/jp/ir/event/presentation/main/011111114/teaserItems1/00/linkList/03/link/FY25Q3_Presentation_J.pdf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</si>
  <si>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ASV Report 2026 </t>
    </r>
    <r>
      <rPr>
        <sz val="11"/>
        <color theme="1"/>
        <rFont val="Noto Sans CJK SC"/>
        <family val="2"/>
      </rPr>
      <t xml:space="preserve">分部門回顧（</t>
    </r>
    <r>
      <rPr>
        <sz val="11"/>
        <color theme="1"/>
        <rFont val="Calibri"/>
        <family val="2"/>
        <charset val="1"/>
      </rPr>
      <t xml:space="preserve">Functional Materials </t>
    </r>
    <r>
      <rPr>
        <sz val="11"/>
        <color theme="1"/>
        <rFont val="Noto Sans CJK SC"/>
        <family val="2"/>
      </rPr>
      <t xml:space="preserve">占ヘルスケア等營收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</si>
  <si>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https://www.ajinomoto.com/sustainability/pdf/2026/ASV_Report_2026_A4_en_014-015.pdf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</si>
  <si>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Noto Sans CJK SC"/>
        <family val="2"/>
      </rPr>
      <t xml:space="preserve">億、電子材料營收 </t>
    </r>
    <r>
      <rPr>
        <sz val="11"/>
        <color theme="1"/>
        <rFont val="Calibri"/>
        <family val="2"/>
        <charset val="1"/>
      </rPr>
      <t xml:space="preserve">1,007 </t>
    </r>
    <r>
      <rPr>
        <sz val="11"/>
        <color theme="1"/>
        <rFont val="Noto Sans CJK SC"/>
        <family val="2"/>
      </rPr>
      <t xml:space="preserve">億、市占逾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、岐阜新廠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</si>
  <si>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https://www.trendforce.com/news/2026/05/08/news-ajinomoto-ramps-chip-packaging-push-with-%C2%A51-2b-land-buy-for-new-plant-in-2032-abf-margins-top-50-on-ai-boom/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</si>
  <si>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FM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以上）</t>
    </r>
  </si>
  <si>
    <t xml:space="preserve">https://www.trendforce.com/news/2025/04/01/news-japanese-firm-ajinomoto-to-invest-jpy-25-billion-by-2030-to-expand-abf-production/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</si>
  <si>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EdgeX 2026-08-08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、積水化學約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、供需缺口、股價 </t>
    </r>
    <r>
      <rPr>
        <sz val="11"/>
        <color theme="1"/>
        <rFont val="Calibri"/>
        <family val="2"/>
        <charset val="1"/>
      </rPr>
      <t xml:space="preserve">5,196</t>
    </r>
    <r>
      <rPr>
        <sz val="11"/>
        <color theme="1"/>
        <rFont val="Noto Sans CJK SC"/>
        <family val="2"/>
      </rPr>
      <t xml:space="preserve">）</t>
    </r>
  </si>
  <si>
    <t xml:space="preserve">https://pro.edgex.exchange/en-US/news/article/ajinomoto-ai-chip-film-price-hike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</si>
  <si>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BigGo Finance 2026-02-06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預測上修，電子材料帶動）</t>
    </r>
  </si>
  <si>
    <t xml:space="preserve">https://finance.biggo.com/news/rYUmMZwBy4YEFZDUYyRK</t>
  </si>
  <si>
    <r>
      <rPr>
        <sz val="11"/>
        <color theme="1"/>
        <rFont val="Noto Sans CJK SC"/>
        <family val="2"/>
      </rPr>
      <t xml:space="preserve">股東行動派：</t>
    </r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歷年營收與利益、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占比、漲價建議、同業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</si>
  <si>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https://mms.businesswire.com/media/20260331071448/ja/2761329/1/JPN_Palliser_-_Ajinomoto_Value_Enhancement_Plan_March_2026_-_vSent.pdf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</si>
  <si>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DBS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BUY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× FY26F </t>
    </r>
    <r>
      <rPr>
        <sz val="11"/>
        <color theme="1"/>
        <rFont val="Noto Sans CJK SC"/>
        <family val="2"/>
      </rPr>
      <t xml:space="preserve">正常化 </t>
    </r>
    <r>
      <rPr>
        <sz val="11"/>
        <color theme="1"/>
        <rFont val="Calibri"/>
        <family val="2"/>
        <charset val="1"/>
      </rPr>
      <t xml:space="preserve">EPS 155</t>
    </r>
    <r>
      <rPr>
        <sz val="11"/>
        <color theme="1"/>
        <rFont val="Noto Sans CJK SC"/>
        <family val="2"/>
      </rPr>
      <t xml:space="preserve">）</t>
    </r>
  </si>
  <si>
    <t xml:space="preserve">https://www.dbs.com.sg/treasures/aics/templatedata/article/generic/data/en/GR/Japan/2802_JP.xml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</si>
  <si>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2026-06-23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）</t>
    </r>
  </si>
  <si>
    <t xml:space="preserve">https://cdnfinance.technews.tw/2026/06/23/abf-drives-strong-performance-brokers-raise-target-prices-ajinomoto-consecutive-record-highs/</t>
  </si>
  <si>
    <r>
      <rPr>
        <sz val="11"/>
        <color theme="1"/>
        <rFont val="Noto Sans CJK SC"/>
        <family val="2"/>
      </rPr>
      <t xml:space="preserve">股價：松井證券（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5,064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</si>
  <si>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https://finance.matsui.co.jp/stock/2802/index</t>
  </si>
  <si>
    <r>
      <rPr>
        <sz val="11"/>
        <color theme="1"/>
        <rFont val="Noto Sans CJK SC"/>
        <family val="2"/>
      </rPr>
      <t xml:space="preserve">股價：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PER </t>
    </r>
    <r>
      <rPr>
        <sz val="11"/>
        <color theme="1"/>
        <rFont val="Noto Sans CJK SC"/>
        <family val="2"/>
      </rPr>
      <t xml:space="preserve">會社予想 </t>
    </r>
    <r>
      <rPr>
        <sz val="11"/>
        <color theme="1"/>
        <rFont val="Calibri"/>
        <family val="2"/>
        <charset val="1"/>
      </rPr>
      <t xml:space="preserve">39.08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</si>
  <si>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https://finance.yahoo.co.jp/quote/2802.T</t>
  </si>
  <si>
    <r>
      <rPr>
        <sz val="11"/>
        <color theme="1"/>
        <rFont val="Noto Sans CJK SC"/>
        <family val="2"/>
      </rPr>
      <t xml:space="preserve">股價：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</si>
  <si>
    <t xml:space="preserve">https://stockanalysis.com/quote/tyo/2802/history/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</si>
  <si>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統計（前瞻 </t>
    </r>
    <r>
      <rPr>
        <sz val="11"/>
        <color theme="1"/>
        <rFont val="Calibri"/>
        <family val="2"/>
        <charset val="1"/>
      </rPr>
      <t xml:space="preserve">P/E 32.76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</si>
  <si>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https://stockanalysis.com/quote/tyo/2802/statistics/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</si>
  <si>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預估（目標價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6,104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共識營收、淨利）</t>
    </r>
  </si>
  <si>
    <t xml:space="preserve">https://stockanalysis.com/quote/tyo/2802/forecast/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</si>
  <si>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</si>
  <si>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https://stockanalysis.com/quote/tyo/2802/financials/ratios/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</si>
  <si>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損益（五年淨利率）</t>
    </r>
  </si>
  <si>
    <t xml:space="preserve">https://stockanalysis.com/quote/tyo/2802/financials/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</si>
  <si>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6,321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</si>
  <si>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https://www.simplywall.st/stocks/jp/food-beverage-tobacco/tse-2802/ajinomoto-shares/valuation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</si>
  <si>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Stockopedia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年增率、滾動預估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</si>
  <si>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https://www.stockopedia.com/share-prices/ajinomoto-co-TYO:2802/</t>
  </si>
  <si>
    <r>
      <rPr>
        <sz val="11"/>
        <color theme="1"/>
        <rFont val="Noto Sans CJK SC"/>
        <family val="2"/>
      </rPr>
      <t xml:space="preserve">資料商：株予報（目標價 </t>
    </r>
    <r>
      <rPr>
        <sz val="11"/>
        <color theme="1"/>
        <rFont val="Calibri"/>
        <family val="2"/>
        <charset val="1"/>
      </rPr>
      <t xml:space="preserve">5,906</t>
    </r>
    <r>
      <rPr>
        <sz val="11"/>
        <color theme="1"/>
        <rFont val="Noto Sans CJK SC"/>
        <family val="2"/>
      </rPr>
      <t xml:space="preserve">、共識經常利益）</t>
    </r>
  </si>
  <si>
    <t xml:space="preserve">https://kabuyoho.jp/report?bcode=2802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</si>
  <si>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</si>
  <si>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https://companiesmarketcap.com/ajinomoto/pe-ratio/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</si>
  <si>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（食品：</t>
    </r>
    <r>
      <rPr>
        <sz val="11"/>
        <color theme="1"/>
        <rFont val="Calibri"/>
        <family val="2"/>
        <charset val="1"/>
      </rPr>
      <t xml:space="preserve">2801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NESN</t>
    </r>
    <r>
      <rPr>
        <sz val="11"/>
        <color theme="1"/>
        <rFont val="Noto Sans CJK SC"/>
        <family val="2"/>
      </rPr>
      <t xml:space="preserve">；電子材料：</t>
    </r>
    <r>
      <rPr>
        <sz val="11"/>
        <color theme="1"/>
        <rFont val="Calibri"/>
        <family val="2"/>
        <charset val="1"/>
      </rPr>
      <t xml:space="preserve">4004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</si>
  <si>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https://stockanalysis.com/quote/tyo/2801/statistics/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https://stockanalysis.com/quote/tyo/2897/statistics/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https://stockanalysis.com/quote/tyo/2269/statistics/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https://stockanalysis.com/quote/tyo/2809/statistics/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https://stockanalysis.com/quote/stocks/mkc/statistics/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https://stockanalysis.com/quote/swx/NESN/statistics/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https://stockanalysis.com/quote/tyo/4004/statistics/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https://stockanalysis.com/quote/tyo/4186/statistics/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https://stockanalysis.com/quote/tyo/3110/statistics/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https://stockanalysis.com/quote/tyo/4063/statistics/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https://stockanalysis.com/quote/tyo/4062/statistics/</t>
    </r>
  </si>
  <si>
    <r>
      <rPr>
        <sz val="11"/>
        <color theme="1"/>
        <rFont val="Noto Sans CJK SC"/>
        <family val="2"/>
      </rPr>
      <t xml:space="preserve">市場層與公司模型：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</si>
  <si>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</si>
  <si>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88.914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104.550</t>
    </r>
    <r>
      <rPr>
        <sz val="11"/>
        <color theme="1"/>
        <rFont val="Noto Sans CJK SC"/>
        <family val="2"/>
      </rPr>
      <t xml:space="preserve">（有形 </t>
    </r>
    <r>
      <rPr>
        <sz val="11"/>
        <color theme="1"/>
        <rFont val="Calibri"/>
        <family val="2"/>
        <charset val="1"/>
      </rPr>
      <t xml:space="preserve">96.446</t>
    </r>
    <r>
      <rPr>
        <sz val="11"/>
        <color theme="1"/>
        <rFont val="Noto Sans CJK SC"/>
        <family val="2"/>
      </rPr>
      <t xml:space="preserve">＋無形 </t>
    </r>
    <r>
      <rPr>
        <sz val="11"/>
        <color theme="1"/>
        <rFont val="Calibri"/>
        <family val="2"/>
        <charset val="1"/>
      </rPr>
      <t xml:space="preserve">8.104</t>
    </r>
    <r>
      <rPr>
        <sz val="11"/>
        <color theme="1"/>
        <rFont val="Noto Sans CJK SC"/>
        <family val="2"/>
      </rPr>
      <t xml:space="preserve">）、營收 </t>
    </r>
    <r>
      <rPr>
        <sz val="11"/>
        <color theme="1"/>
        <rFont val="Calibri"/>
        <family val="2"/>
        <charset val="1"/>
      </rPr>
      <t xml:space="preserve">1,583.719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；決算短信）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</si>
  <si>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</si>
  <si>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</si>
  <si>
    <r>
      <rPr>
        <sz val="11"/>
        <color theme="1"/>
        <rFont val="Noto Sans CJK SC"/>
        <family val="2"/>
      </rPr>
      <t xml:space="preserve">待補（人工）：上半年決算（約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上旬，日期未找到）；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占比（公司未揭露）；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產能數字；共識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；十年淨利率；積水化學與中國廠認證進度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</si>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</sst>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"/>
    <numFmt numFmtId="168" formatCode="0.0%"/>
    <numFmt numFmtId="169" formatCode="0.00"/>
    <numFmt numFmtId="170" formatCode="0.0000"/>
    <numFmt numFmtId="171" formatCode="#,##0.00"/>
    <numFmt numFmtId="172" formatCode="0.000"/>
    <numFmt numFmtId="173" formatCode="#,##0"/>
    <numFmt numFmtId="174" formatCode="#,##0.000"/>
    <numFmt numFmtId="175" formatCode="0"/>
    <numFmt numFmtId="176" formatCode="0.0"/>
    <numFmt numFmtId="177" formatCode="0%"/>
    <numFmt numFmtId="178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tr">
        <f aca="false">"重點觀察 1：目標價 ¥"&amp;TEXT(Val!$B$40,"#,##0")&amp;"（DCF "&amp;TEXT(Val!$B$24,"#,##0")&amp;"、Comparable（相對倍數調整後）"&amp;TEXT(tp_comp_adj,"#,##0")&amp;"；DCF 權重 "&amp;TEXT(tp_w_dcf,"0%")&amp;"），比現價 "&amp;TEXT(px,"#,##0")&amp;"（2026-10-23）"&amp;IF(Val!$B$43&gt;=0,"高 "&amp;TEXT(Val!$B$43,"0.0%"),"低 "&amp;TEXT(-Val!$B$43,"0.0%"))&amp;"，級距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相對倍數調整前撰寫的說明，其中數字為調整前：主因是倍數不是 EPS：本模型 12 個月後前瞻 EPS 166.9 反而比共識前瞻 EPS 154.2 高 8.2%，但食品同業前瞻 P/E 中位數 17.8 倍、共識目標價 6,321 隱含 41.0 倍（倍數因素 +131%）；DCF 也只支撐約 12 倍 FY2028 EPS，因 ROE 近三年平均 13.0% 只略"&amp;"高於折現率 10%。"</f>
        <v>重點觀察 1：目標價 ¥2,805（DCF 2,110、Comparable（相對倍數調整後）3,500；DCF 權重 50%），比現價 5,064（2026-10-23）低 44.6%，級距 −25%～−50%、投資建議 放空。相對倍數調整係數 1.18（本公司 10 年前瞻倍數中位數 ÷ 同業的中位數，夾在 0.5–2.0；Val 第 0.5 節），調整前加權上檔空間 −49.9%；Comparable 單獨（市場主流同業法、未調整）為 −41.5%。以下為 2026-10-29 相對倍數調整前撰寫的說明，其中數字為調整前：主因是倍數不是 EPS：本模型 12 個月後前瞻 EPS 166.9 反而比共識前瞻 EPS 154.2 高 8.2%，但食品同業前瞻 P/E 中位數 17.8 倍、共識目標價 6,321 隱含 41.0 倍（倍數因素 +131%）；DCF 也只支撐約 12 倍 FY2028 EPS，因 ROE 近三年平均 13.0% 只略高於折現率 10%。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20" customFormat="false" ht="17.15" hidden="false" customHeight="false" outlineLevel="0" collapsed="false">
      <c r="A20" s="0" t="s">
        <v>15</v>
      </c>
    </row>
    <row r="22" customFormat="false" ht="17.15" hidden="false" customHeight="false" outlineLevel="0" collapsed="false">
      <c r="A22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4" t="s">
        <v>31</v>
      </c>
      <c r="E5" s="7" t="n">
        <v>7.6</v>
      </c>
      <c r="G5" s="8" t="s">
        <v>32</v>
      </c>
      <c r="H5" s="8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4" t="s">
        <v>31</v>
      </c>
      <c r="E6" s="7" t="n">
        <v>9.7</v>
      </c>
      <c r="G6" s="8" t="s">
        <v>32</v>
      </c>
      <c r="H6" s="4" t="s">
        <v>37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4" t="s">
        <v>31</v>
      </c>
      <c r="E7" s="7" t="n">
        <v>9.5</v>
      </c>
      <c r="G7" s="8" t="s">
        <v>32</v>
      </c>
      <c r="H7" s="4" t="s">
        <v>37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4" t="s">
        <v>31</v>
      </c>
      <c r="E8" s="7" t="n">
        <v>10.6</v>
      </c>
      <c r="G8" s="8" t="s">
        <v>32</v>
      </c>
      <c r="H8" s="4" t="s">
        <v>37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4" t="s">
        <v>43</v>
      </c>
      <c r="C9" s="4" t="s">
        <v>31</v>
      </c>
      <c r="E9" s="7" t="n">
        <v>7.6</v>
      </c>
      <c r="G9" s="8" t="s">
        <v>32</v>
      </c>
      <c r="H9" s="8" t="s">
        <v>33</v>
      </c>
      <c r="I9" s="8" t="s">
        <v>44</v>
      </c>
    </row>
    <row r="10" customFormat="false" ht="17.15" hidden="false" customHeight="false" outlineLevel="0" collapsed="false">
      <c r="A10" s="0" t="s">
        <v>45</v>
      </c>
      <c r="B10" s="4" t="s">
        <v>46</v>
      </c>
      <c r="C10" s="4" t="s">
        <v>31</v>
      </c>
      <c r="E10" s="7" t="n">
        <v>14</v>
      </c>
      <c r="G10" s="8" t="s">
        <v>32</v>
      </c>
      <c r="H10" s="4" t="s">
        <v>37</v>
      </c>
      <c r="I10" s="4" t="s">
        <v>37</v>
      </c>
    </row>
    <row r="11" customFormat="false" ht="17.15" hidden="false" customHeight="false" outlineLevel="0" collapsed="false">
      <c r="A11" s="0" t="s">
        <v>47</v>
      </c>
      <c r="B11" s="4" t="s">
        <v>48</v>
      </c>
      <c r="C11" s="4" t="s">
        <v>31</v>
      </c>
      <c r="E11" s="7" t="n">
        <v>17</v>
      </c>
      <c r="G11" s="8" t="s">
        <v>32</v>
      </c>
      <c r="H11" s="4" t="s">
        <v>37</v>
      </c>
      <c r="I11" s="4" t="s">
        <v>37</v>
      </c>
    </row>
    <row r="12" customFormat="false" ht="17.15" hidden="false" customHeight="false" outlineLevel="0" collapsed="false">
      <c r="A12" s="0" t="s">
        <v>49</v>
      </c>
      <c r="B12" s="4" t="s">
        <v>50</v>
      </c>
      <c r="C12" s="4" t="s">
        <v>31</v>
      </c>
      <c r="E12" s="7" t="n">
        <v>19.55</v>
      </c>
      <c r="G12" s="8" t="s">
        <v>32</v>
      </c>
      <c r="H12" s="4" t="s">
        <v>37</v>
      </c>
      <c r="I12" s="4" t="s">
        <v>37</v>
      </c>
    </row>
    <row r="13" customFormat="false" ht="17.15" hidden="false" customHeight="false" outlineLevel="0" collapsed="false">
      <c r="A13" s="0" t="s">
        <v>51</v>
      </c>
      <c r="B13" s="4" t="s">
        <v>52</v>
      </c>
      <c r="C13" s="0" t="s">
        <v>53</v>
      </c>
      <c r="E13" s="7" t="n">
        <v>1</v>
      </c>
      <c r="G13" s="8" t="s">
        <v>54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4" t="s">
        <v>58</v>
      </c>
      <c r="C14" s="0" t="s">
        <v>53</v>
      </c>
      <c r="E14" s="7" t="n">
        <v>1</v>
      </c>
      <c r="G14" s="8" t="s">
        <v>54</v>
      </c>
      <c r="H14" s="8" t="s">
        <v>59</v>
      </c>
      <c r="I14" s="4" t="s">
        <v>37</v>
      </c>
    </row>
    <row r="15" customFormat="false" ht="17.15" hidden="false" customHeight="false" outlineLevel="0" collapsed="false">
      <c r="A15" s="0" t="s">
        <v>60</v>
      </c>
      <c r="B15" s="4" t="s">
        <v>61</v>
      </c>
      <c r="C15" s="0" t="s">
        <v>53</v>
      </c>
      <c r="E15" s="7" t="n">
        <v>0.8</v>
      </c>
      <c r="G15" s="8" t="s">
        <v>54</v>
      </c>
      <c r="H15" s="8" t="s">
        <v>62</v>
      </c>
      <c r="I15" s="8" t="s">
        <v>56</v>
      </c>
    </row>
    <row r="16" customFormat="false" ht="17.15" hidden="false" customHeight="false" outlineLevel="0" collapsed="false">
      <c r="A16" s="0" t="s">
        <v>63</v>
      </c>
      <c r="B16" s="4" t="s">
        <v>64</v>
      </c>
      <c r="C16" s="0" t="s">
        <v>53</v>
      </c>
      <c r="E16" s="7" t="n">
        <v>0.85</v>
      </c>
      <c r="G16" s="8" t="s">
        <v>54</v>
      </c>
      <c r="H16" s="8" t="s">
        <v>65</v>
      </c>
      <c r="I16" s="4" t="s">
        <v>37</v>
      </c>
    </row>
    <row r="17" customFormat="false" ht="17.15" hidden="false" customHeight="false" outlineLevel="0" collapsed="false">
      <c r="A17" s="0" t="s">
        <v>66</v>
      </c>
      <c r="B17" s="4" t="s">
        <v>67</v>
      </c>
      <c r="C17" s="0" t="s">
        <v>53</v>
      </c>
      <c r="E17" s="7" t="n">
        <v>0.6</v>
      </c>
      <c r="G17" s="8" t="s">
        <v>54</v>
      </c>
      <c r="H17" s="8" t="s">
        <v>68</v>
      </c>
      <c r="I17" s="8" t="s">
        <v>56</v>
      </c>
    </row>
    <row r="18" customFormat="false" ht="17.15" hidden="false" customHeight="false" outlineLevel="0" collapsed="false">
      <c r="A18" s="0" t="s">
        <v>69</v>
      </c>
      <c r="B18" s="4" t="s">
        <v>70</v>
      </c>
      <c r="C18" s="0" t="s">
        <v>53</v>
      </c>
      <c r="E18" s="7" t="n">
        <v>0.6</v>
      </c>
      <c r="G18" s="8" t="s">
        <v>54</v>
      </c>
      <c r="H18" s="8" t="s">
        <v>71</v>
      </c>
      <c r="I18" s="4" t="s">
        <v>37</v>
      </c>
    </row>
    <row r="19" customFormat="false" ht="17.15" hidden="false" customHeight="false" outlineLevel="0" collapsed="false">
      <c r="A19" s="0" t="s">
        <v>72</v>
      </c>
      <c r="B19" s="4" t="s">
        <v>73</v>
      </c>
      <c r="C19" s="0" t="s">
        <v>53</v>
      </c>
      <c r="D19" s="7" t="n">
        <v>0.6</v>
      </c>
      <c r="E19" s="7" t="n">
        <v>0.8</v>
      </c>
      <c r="F19" s="7" t="n">
        <v>1</v>
      </c>
      <c r="G19" s="8" t="s">
        <v>54</v>
      </c>
      <c r="H19" s="8" t="s">
        <v>74</v>
      </c>
      <c r="I19" s="8" t="s">
        <v>75</v>
      </c>
    </row>
    <row r="20" customFormat="false" ht="17.15" hidden="false" customHeight="false" outlineLevel="0" collapsed="false">
      <c r="A20" s="0" t="s">
        <v>76</v>
      </c>
      <c r="B20" s="4" t="s">
        <v>77</v>
      </c>
      <c r="C20" s="0" t="s">
        <v>78</v>
      </c>
      <c r="D20" s="7" t="n">
        <v>0.1</v>
      </c>
      <c r="E20" s="7" t="n">
        <v>0.18</v>
      </c>
      <c r="F20" s="7" t="n">
        <v>0.22</v>
      </c>
      <c r="G20" s="8" t="s">
        <v>79</v>
      </c>
      <c r="H20" s="8" t="s">
        <v>80</v>
      </c>
      <c r="I20" s="8" t="s">
        <v>81</v>
      </c>
    </row>
    <row r="21" customFormat="false" ht="17.15" hidden="false" customHeight="false" outlineLevel="0" collapsed="false">
      <c r="A21" s="6" t="s">
        <v>82</v>
      </c>
    </row>
    <row r="22" customFormat="false" ht="17.15" hidden="false" customHeight="false" outlineLevel="0" collapsed="false">
      <c r="A22" s="0" t="s">
        <v>83</v>
      </c>
      <c r="B22" s="0" t="s">
        <v>84</v>
      </c>
      <c r="C22" s="0" t="s">
        <v>78</v>
      </c>
      <c r="D22" s="7" t="n">
        <v>0.3</v>
      </c>
      <c r="E22" s="7" t="n">
        <v>0.4</v>
      </c>
      <c r="F22" s="7" t="n">
        <v>0.5</v>
      </c>
      <c r="G22" s="8" t="s">
        <v>54</v>
      </c>
      <c r="H22" s="8" t="s">
        <v>85</v>
      </c>
      <c r="I22" s="4" t="s">
        <v>86</v>
      </c>
    </row>
    <row r="23" customFormat="false" ht="17.15" hidden="false" customHeight="false" outlineLevel="0" collapsed="false">
      <c r="A23" s="0" t="s">
        <v>87</v>
      </c>
      <c r="B23" s="4" t="s">
        <v>88</v>
      </c>
      <c r="C23" s="0" t="s">
        <v>78</v>
      </c>
      <c r="D23" s="7" t="n">
        <v>-0.02</v>
      </c>
      <c r="E23" s="7" t="n">
        <v>0.03</v>
      </c>
      <c r="F23" s="7" t="n">
        <v>0.06</v>
      </c>
      <c r="G23" s="8" t="s">
        <v>54</v>
      </c>
      <c r="H23" s="8" t="s">
        <v>89</v>
      </c>
      <c r="I23" s="4" t="s">
        <v>90</v>
      </c>
    </row>
    <row r="24" customFormat="false" ht="17.15" hidden="false" customHeight="false" outlineLevel="0" collapsed="false">
      <c r="A24" s="0" t="s">
        <v>91</v>
      </c>
      <c r="B24" s="4" t="s">
        <v>92</v>
      </c>
      <c r="C24" s="0" t="s">
        <v>53</v>
      </c>
      <c r="D24" s="7" t="n">
        <v>0.95</v>
      </c>
      <c r="E24" s="7" t="n">
        <v>1</v>
      </c>
      <c r="F24" s="7" t="n">
        <v>1</v>
      </c>
      <c r="G24" s="8" t="s">
        <v>54</v>
      </c>
      <c r="H24" s="8" t="s">
        <v>93</v>
      </c>
      <c r="I24" s="8" t="s">
        <v>94</v>
      </c>
    </row>
    <row r="25" customFormat="false" ht="17.15" hidden="false" customHeight="false" outlineLevel="0" collapsed="false">
      <c r="A25" s="0" t="s">
        <v>95</v>
      </c>
      <c r="B25" s="4" t="s">
        <v>96</v>
      </c>
      <c r="C25" s="0" t="s">
        <v>53</v>
      </c>
      <c r="D25" s="7" t="n">
        <v>0.88</v>
      </c>
      <c r="E25" s="7" t="n">
        <v>0.97</v>
      </c>
      <c r="F25" s="7" t="n">
        <v>1</v>
      </c>
      <c r="G25" s="8" t="s">
        <v>54</v>
      </c>
      <c r="H25" s="4" t="s">
        <v>97</v>
      </c>
      <c r="I25" s="4" t="s">
        <v>98</v>
      </c>
    </row>
    <row r="26" customFormat="false" ht="17.15" hidden="false" customHeight="false" outlineLevel="0" collapsed="false">
      <c r="A26" s="0" t="s">
        <v>99</v>
      </c>
      <c r="B26" s="4" t="s">
        <v>100</v>
      </c>
      <c r="C26" s="0" t="s">
        <v>53</v>
      </c>
      <c r="D26" s="7" t="n">
        <v>0.8</v>
      </c>
      <c r="E26" s="7" t="n">
        <v>0.95</v>
      </c>
      <c r="F26" s="7" t="n">
        <v>1</v>
      </c>
      <c r="G26" s="8" t="s">
        <v>54</v>
      </c>
      <c r="H26" s="4" t="s">
        <v>97</v>
      </c>
      <c r="I26" s="4" t="s">
        <v>98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0" t="s">
        <v>53</v>
      </c>
      <c r="D27" s="7" t="n">
        <v>1.15</v>
      </c>
      <c r="E27" s="7" t="n">
        <v>1.3</v>
      </c>
      <c r="F27" s="7" t="n">
        <v>1.45</v>
      </c>
      <c r="G27" s="8" t="s">
        <v>54</v>
      </c>
      <c r="H27" s="8" t="s">
        <v>103</v>
      </c>
      <c r="I27" s="4" t="s">
        <v>104</v>
      </c>
    </row>
    <row r="28" customFormat="false" ht="17.15" hidden="false" customHeight="false" outlineLevel="0" collapsed="false">
      <c r="A28" s="0" t="s">
        <v>105</v>
      </c>
      <c r="B28" s="0" t="s">
        <v>106</v>
      </c>
      <c r="C28" s="0" t="s">
        <v>53</v>
      </c>
      <c r="D28" s="7" t="n">
        <v>1.3</v>
      </c>
      <c r="E28" s="7" t="n">
        <v>1.55</v>
      </c>
      <c r="F28" s="7" t="n">
        <v>1.85</v>
      </c>
      <c r="G28" s="8" t="s">
        <v>54</v>
      </c>
      <c r="H28" s="4" t="s">
        <v>37</v>
      </c>
      <c r="I28" s="8" t="s">
        <v>107</v>
      </c>
    </row>
    <row r="29" customFormat="false" ht="17.15" hidden="false" customHeight="false" outlineLevel="0" collapsed="false">
      <c r="A29" s="0" t="s">
        <v>108</v>
      </c>
      <c r="B29" s="0" t="s">
        <v>109</v>
      </c>
      <c r="C29" s="0" t="s">
        <v>53</v>
      </c>
      <c r="D29" s="7" t="n">
        <v>1.45</v>
      </c>
      <c r="E29" s="7" t="n">
        <v>1.8</v>
      </c>
      <c r="F29" s="7" t="n">
        <v>2.25</v>
      </c>
      <c r="G29" s="8" t="s">
        <v>54</v>
      </c>
      <c r="H29" s="4" t="s">
        <v>37</v>
      </c>
      <c r="I29" s="8" t="s">
        <v>107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0" t="s">
        <v>53</v>
      </c>
      <c r="D30" s="7" t="n">
        <v>1</v>
      </c>
      <c r="E30" s="7" t="n">
        <v>1.12</v>
      </c>
      <c r="F30" s="7" t="n">
        <v>1.2</v>
      </c>
      <c r="G30" s="8" t="s">
        <v>54</v>
      </c>
      <c r="H30" s="8" t="s">
        <v>112</v>
      </c>
      <c r="I30" s="8" t="s">
        <v>113</v>
      </c>
    </row>
    <row r="31" customFormat="false" ht="17.15" hidden="false" customHeight="false" outlineLevel="0" collapsed="false">
      <c r="A31" s="0" t="s">
        <v>114</v>
      </c>
      <c r="B31" s="0" t="s">
        <v>115</v>
      </c>
      <c r="C31" s="0" t="s">
        <v>53</v>
      </c>
      <c r="D31" s="7" t="n">
        <v>0.95</v>
      </c>
      <c r="E31" s="7" t="n">
        <v>1.15</v>
      </c>
      <c r="F31" s="7" t="n">
        <v>1.3</v>
      </c>
      <c r="G31" s="8" t="s">
        <v>54</v>
      </c>
      <c r="H31" s="4" t="s">
        <v>116</v>
      </c>
      <c r="I31" s="8" t="s">
        <v>117</v>
      </c>
    </row>
    <row r="32" customFormat="false" ht="17.15" hidden="false" customHeight="false" outlineLevel="0" collapsed="false">
      <c r="A32" s="0" t="s">
        <v>118</v>
      </c>
      <c r="B32" s="0" t="s">
        <v>119</v>
      </c>
      <c r="C32" s="0" t="s">
        <v>53</v>
      </c>
      <c r="D32" s="7" t="n">
        <v>0.9</v>
      </c>
      <c r="E32" s="7" t="n">
        <v>1.12</v>
      </c>
      <c r="F32" s="7" t="n">
        <v>1.3</v>
      </c>
      <c r="G32" s="8" t="s">
        <v>54</v>
      </c>
      <c r="H32" s="4" t="s">
        <v>120</v>
      </c>
      <c r="I32" s="8" t="s">
        <v>121</v>
      </c>
    </row>
    <row r="33" customFormat="false" ht="17.15" hidden="false" customHeight="false" outlineLevel="0" collapsed="false">
      <c r="A33" s="0" t="s">
        <v>122</v>
      </c>
      <c r="B33" s="4" t="s">
        <v>123</v>
      </c>
      <c r="C33" s="0" t="s">
        <v>53</v>
      </c>
      <c r="E33" s="7" t="n">
        <v>1</v>
      </c>
      <c r="G33" s="8" t="s">
        <v>54</v>
      </c>
      <c r="H33" s="4" t="s">
        <v>124</v>
      </c>
      <c r="I33" s="8" t="s">
        <v>107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0" t="s">
        <v>53</v>
      </c>
      <c r="E34" s="7" t="n">
        <v>0.95</v>
      </c>
      <c r="G34" s="8" t="s">
        <v>54</v>
      </c>
      <c r="H34" s="4" t="s">
        <v>124</v>
      </c>
      <c r="I34" s="8" t="s">
        <v>107</v>
      </c>
    </row>
    <row r="35" customFormat="false" ht="17.15" hidden="false" customHeight="false" outlineLevel="0" collapsed="false">
      <c r="A35" s="0" t="s">
        <v>127</v>
      </c>
      <c r="B35" s="4" t="s">
        <v>128</v>
      </c>
      <c r="C35" s="0" t="s">
        <v>53</v>
      </c>
      <c r="E35" s="7" t="n">
        <v>0.88</v>
      </c>
      <c r="G35" s="8" t="s">
        <v>54</v>
      </c>
      <c r="H35" s="4" t="s">
        <v>124</v>
      </c>
      <c r="I35" s="8" t="s">
        <v>107</v>
      </c>
    </row>
    <row r="36" customFormat="false" ht="17.15" hidden="false" customHeight="false" outlineLevel="0" collapsed="false">
      <c r="A36" s="0" t="s">
        <v>129</v>
      </c>
      <c r="B36" s="0" t="s">
        <v>130</v>
      </c>
      <c r="C36" s="0" t="s">
        <v>78</v>
      </c>
      <c r="D36" s="7" t="n">
        <v>0</v>
      </c>
      <c r="E36" s="7" t="n">
        <v>0.03</v>
      </c>
      <c r="F36" s="7" t="n">
        <v>0.06</v>
      </c>
      <c r="G36" s="8" t="s">
        <v>54</v>
      </c>
      <c r="H36" s="8" t="s">
        <v>131</v>
      </c>
      <c r="I36" s="4" t="s">
        <v>132</v>
      </c>
    </row>
    <row r="37" customFormat="false" ht="17.15" hidden="false" customHeight="false" outlineLevel="0" collapsed="false">
      <c r="A37" s="6" t="s">
        <v>133</v>
      </c>
    </row>
    <row r="38" customFormat="false" ht="17.15" hidden="false" customHeight="false" outlineLevel="0" collapsed="false">
      <c r="A38" s="0" t="s">
        <v>134</v>
      </c>
      <c r="B38" s="4" t="s">
        <v>135</v>
      </c>
      <c r="C38" s="0" t="s">
        <v>78</v>
      </c>
      <c r="D38" s="7" t="n">
        <v>0.02</v>
      </c>
      <c r="E38" s="7" t="n">
        <v>0.04</v>
      </c>
      <c r="F38" s="7" t="n">
        <v>0.06</v>
      </c>
      <c r="G38" s="8" t="s">
        <v>54</v>
      </c>
      <c r="H38" s="4" t="s">
        <v>136</v>
      </c>
      <c r="I38" s="8" t="s">
        <v>107</v>
      </c>
    </row>
    <row r="39" customFormat="false" ht="17.15" hidden="false" customHeight="false" outlineLevel="0" collapsed="false">
      <c r="A39" s="0" t="s">
        <v>137</v>
      </c>
      <c r="B39" s="4" t="s">
        <v>138</v>
      </c>
      <c r="C39" s="0" t="s">
        <v>78</v>
      </c>
      <c r="D39" s="7" t="n">
        <v>0.135</v>
      </c>
      <c r="E39" s="8" t="n">
        <f aca="false">f_sfbp/f_sf</f>
        <v>0.146104546364911</v>
      </c>
      <c r="F39" s="7" t="n">
        <v>0.155</v>
      </c>
      <c r="G39" s="8" t="s">
        <v>32</v>
      </c>
      <c r="H39" s="8" t="s">
        <v>139</v>
      </c>
      <c r="I39" s="8" t="s">
        <v>140</v>
      </c>
    </row>
    <row r="40" customFormat="false" ht="17.15" hidden="false" customHeight="false" outlineLevel="0" collapsed="false">
      <c r="A40" s="0" t="s">
        <v>141</v>
      </c>
      <c r="B40" s="4" t="s">
        <v>142</v>
      </c>
      <c r="C40" s="0" t="s">
        <v>78</v>
      </c>
      <c r="D40" s="7" t="n">
        <v>0</v>
      </c>
      <c r="E40" s="7" t="n">
        <v>0.03</v>
      </c>
      <c r="F40" s="7" t="n">
        <v>0.05</v>
      </c>
      <c r="G40" s="8" t="s">
        <v>54</v>
      </c>
      <c r="H40" s="8" t="s">
        <v>143</v>
      </c>
      <c r="I40" s="8" t="s">
        <v>107</v>
      </c>
    </row>
    <row r="41" customFormat="false" ht="17.15" hidden="false" customHeight="false" outlineLevel="0" collapsed="false">
      <c r="A41" s="0" t="s">
        <v>144</v>
      </c>
      <c r="B41" s="4" t="s">
        <v>145</v>
      </c>
      <c r="C41" s="0" t="s">
        <v>78</v>
      </c>
      <c r="D41" s="7" t="n">
        <v>0.03</v>
      </c>
      <c r="E41" s="7" t="n">
        <v>0.045</v>
      </c>
      <c r="F41" s="7" t="n">
        <v>0.06</v>
      </c>
      <c r="G41" s="8" t="s">
        <v>54</v>
      </c>
      <c r="H41" s="8" t="s">
        <v>146</v>
      </c>
      <c r="I41" s="8" t="s">
        <v>147</v>
      </c>
    </row>
    <row r="42" customFormat="false" ht="17.15" hidden="false" customHeight="false" outlineLevel="0" collapsed="false">
      <c r="A42" s="0" t="s">
        <v>148</v>
      </c>
      <c r="B42" s="4" t="s">
        <v>149</v>
      </c>
      <c r="C42" s="0" t="s">
        <v>78</v>
      </c>
      <c r="D42" s="7" t="n">
        <v>0.02</v>
      </c>
      <c r="E42" s="7" t="n">
        <v>0.05</v>
      </c>
      <c r="F42" s="7" t="n">
        <v>0.08</v>
      </c>
      <c r="G42" s="8" t="s">
        <v>54</v>
      </c>
      <c r="H42" s="8" t="s">
        <v>150</v>
      </c>
      <c r="I42" s="8" t="s">
        <v>107</v>
      </c>
    </row>
    <row r="43" customFormat="false" ht="17.15" hidden="false" customHeight="false" outlineLevel="0" collapsed="false">
      <c r="A43" s="0" t="s">
        <v>151</v>
      </c>
      <c r="B43" s="4" t="s">
        <v>152</v>
      </c>
      <c r="C43" s="0" t="s">
        <v>78</v>
      </c>
      <c r="D43" s="7" t="n">
        <v>0.05</v>
      </c>
      <c r="E43" s="8" t="n">
        <f aca="false">(f_hobp-f_fmbp)/(f_ho-f_fm)</f>
        <v>0.0681341719077568</v>
      </c>
      <c r="F43" s="7" t="n">
        <v>0.09</v>
      </c>
      <c r="G43" s="8" t="s">
        <v>32</v>
      </c>
      <c r="H43" s="8" t="s">
        <v>153</v>
      </c>
      <c r="I43" s="8" t="s">
        <v>154</v>
      </c>
    </row>
    <row r="44" customFormat="false" ht="17.15" hidden="false" customHeight="false" outlineLevel="0" collapsed="false">
      <c r="A44" s="0" t="s">
        <v>155</v>
      </c>
      <c r="B44" s="4" t="s">
        <v>156</v>
      </c>
      <c r="C44" s="0" t="s">
        <v>78</v>
      </c>
      <c r="D44" s="7" t="n">
        <v>0.02</v>
      </c>
      <c r="E44" s="7" t="n">
        <v>0.03</v>
      </c>
      <c r="F44" s="7" t="n">
        <v>0.05</v>
      </c>
      <c r="G44" s="8" t="s">
        <v>54</v>
      </c>
      <c r="H44" s="8" t="s">
        <v>157</v>
      </c>
      <c r="I44" s="8" t="s">
        <v>107</v>
      </c>
    </row>
    <row r="45" customFormat="false" ht="17.15" hidden="false" customHeight="false" outlineLevel="0" collapsed="false">
      <c r="A45" s="6" t="s">
        <v>158</v>
      </c>
    </row>
    <row r="46" customFormat="false" ht="17.15" hidden="false" customHeight="false" outlineLevel="0" collapsed="false">
      <c r="A46" s="0" t="s">
        <v>159</v>
      </c>
      <c r="B46" s="4" t="s">
        <v>160</v>
      </c>
      <c r="C46" s="0" t="s">
        <v>53</v>
      </c>
      <c r="D46" s="7" t="n">
        <v>0.58</v>
      </c>
      <c r="E46" s="7" t="n">
        <v>0.62</v>
      </c>
      <c r="F46" s="7" t="n">
        <v>0.66</v>
      </c>
      <c r="G46" s="8" t="s">
        <v>32</v>
      </c>
      <c r="H46" s="8" t="s">
        <v>161</v>
      </c>
      <c r="I46" s="8" t="s">
        <v>162</v>
      </c>
    </row>
    <row r="47" customFormat="false" ht="17.15" hidden="false" customHeight="false" outlineLevel="0" collapsed="false">
      <c r="A47" s="0" t="s">
        <v>163</v>
      </c>
      <c r="B47" s="4" t="s">
        <v>164</v>
      </c>
      <c r="C47" s="0" t="s">
        <v>78</v>
      </c>
      <c r="D47" s="7" t="n">
        <v>-0.03</v>
      </c>
      <c r="E47" s="7" t="n">
        <v>-0.015</v>
      </c>
      <c r="F47" s="7" t="n">
        <v>0</v>
      </c>
      <c r="G47" s="8" t="s">
        <v>54</v>
      </c>
      <c r="H47" s="4" t="s">
        <v>165</v>
      </c>
      <c r="I47" s="4" t="s">
        <v>166</v>
      </c>
    </row>
    <row r="48" customFormat="false" ht="17.15" hidden="false" customHeight="false" outlineLevel="0" collapsed="false">
      <c r="A48" s="6" t="s">
        <v>167</v>
      </c>
    </row>
    <row r="49" customFormat="false" ht="17.15" hidden="false" customHeight="false" outlineLevel="0" collapsed="false">
      <c r="A49" s="0" t="s">
        <v>168</v>
      </c>
      <c r="B49" s="0" t="s">
        <v>169</v>
      </c>
      <c r="C49" s="0" t="s">
        <v>170</v>
      </c>
      <c r="E49" s="7" t="n">
        <v>1732</v>
      </c>
      <c r="G49" s="8" t="s">
        <v>171</v>
      </c>
      <c r="H49" s="4" t="s">
        <v>172</v>
      </c>
      <c r="I49" s="4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0" t="s">
        <v>170</v>
      </c>
      <c r="E50" s="7" t="n">
        <v>998.6</v>
      </c>
      <c r="G50" s="8" t="s">
        <v>171</v>
      </c>
      <c r="H50" s="4" t="s">
        <v>172</v>
      </c>
      <c r="I50" s="8" t="s">
        <v>107</v>
      </c>
    </row>
    <row r="51" customFormat="false" ht="17.15" hidden="false" customHeight="false" outlineLevel="0" collapsed="false">
      <c r="A51" s="0" t="s">
        <v>176</v>
      </c>
      <c r="B51" s="0" t="s">
        <v>177</v>
      </c>
      <c r="C51" s="0" t="s">
        <v>170</v>
      </c>
      <c r="E51" s="7" t="n">
        <v>310.6</v>
      </c>
      <c r="G51" s="8" t="s">
        <v>171</v>
      </c>
      <c r="H51" s="4" t="s">
        <v>172</v>
      </c>
      <c r="I51" s="8" t="s">
        <v>107</v>
      </c>
    </row>
    <row r="52" customFormat="false" ht="17.15" hidden="false" customHeight="false" outlineLevel="0" collapsed="false">
      <c r="A52" s="0" t="s">
        <v>178</v>
      </c>
      <c r="B52" s="0" t="s">
        <v>179</v>
      </c>
      <c r="C52" s="0" t="s">
        <v>170</v>
      </c>
      <c r="E52" s="7" t="n">
        <v>406.8</v>
      </c>
      <c r="G52" s="8" t="s">
        <v>171</v>
      </c>
      <c r="H52" s="4" t="s">
        <v>172</v>
      </c>
      <c r="I52" s="8" t="s">
        <v>107</v>
      </c>
    </row>
    <row r="53" customFormat="false" ht="17.15" hidden="false" customHeight="false" outlineLevel="0" collapsed="false">
      <c r="A53" s="0" t="s">
        <v>180</v>
      </c>
      <c r="B53" s="0" t="s">
        <v>181</v>
      </c>
      <c r="C53" s="0" t="s">
        <v>170</v>
      </c>
      <c r="E53" s="7" t="n">
        <v>15.8</v>
      </c>
      <c r="G53" s="8" t="s">
        <v>171</v>
      </c>
      <c r="H53" s="4" t="s">
        <v>172</v>
      </c>
      <c r="I53" s="8" t="s">
        <v>107</v>
      </c>
    </row>
    <row r="54" customFormat="false" ht="17.15" hidden="false" customHeight="false" outlineLevel="0" collapsed="false">
      <c r="A54" s="0" t="s">
        <v>182</v>
      </c>
      <c r="B54" s="0" t="s">
        <v>183</v>
      </c>
      <c r="C54" s="0" t="s">
        <v>170</v>
      </c>
      <c r="E54" s="7" t="n">
        <v>120.6</v>
      </c>
      <c r="G54" s="8" t="s">
        <v>171</v>
      </c>
      <c r="H54" s="4" t="s">
        <v>172</v>
      </c>
      <c r="I54" s="4" t="s">
        <v>184</v>
      </c>
    </row>
    <row r="55" customFormat="false" ht="17.15" hidden="false" customHeight="false" outlineLevel="0" collapsed="false">
      <c r="A55" s="0" t="s">
        <v>185</v>
      </c>
      <c r="B55" s="0" t="s">
        <v>186</v>
      </c>
      <c r="C55" s="0" t="s">
        <v>170</v>
      </c>
      <c r="E55" s="7" t="n">
        <v>202</v>
      </c>
      <c r="G55" s="8" t="s">
        <v>171</v>
      </c>
      <c r="H55" s="4" t="s">
        <v>172</v>
      </c>
      <c r="I55" s="4" t="s">
        <v>187</v>
      </c>
    </row>
    <row r="56" customFormat="false" ht="17.15" hidden="false" customHeight="false" outlineLevel="0" collapsed="false">
      <c r="A56" s="0" t="s">
        <v>188</v>
      </c>
      <c r="B56" s="0" t="s">
        <v>189</v>
      </c>
      <c r="C56" s="0" t="s">
        <v>170</v>
      </c>
      <c r="E56" s="7" t="n">
        <v>145.9</v>
      </c>
      <c r="G56" s="8" t="s">
        <v>171</v>
      </c>
      <c r="H56" s="4" t="s">
        <v>172</v>
      </c>
      <c r="I56" s="8" t="s">
        <v>107</v>
      </c>
    </row>
    <row r="57" customFormat="false" ht="17.15" hidden="false" customHeight="false" outlineLevel="0" collapsed="false">
      <c r="A57" s="0" t="s">
        <v>190</v>
      </c>
      <c r="B57" s="0" t="s">
        <v>191</v>
      </c>
      <c r="C57" s="0" t="s">
        <v>170</v>
      </c>
      <c r="E57" s="7" t="n">
        <v>12.1</v>
      </c>
      <c r="G57" s="8" t="s">
        <v>171</v>
      </c>
      <c r="H57" s="4" t="s">
        <v>172</v>
      </c>
      <c r="I57" s="8" t="s">
        <v>107</v>
      </c>
    </row>
    <row r="58" customFormat="false" ht="17.15" hidden="false" customHeight="false" outlineLevel="0" collapsed="false">
      <c r="A58" s="0" t="s">
        <v>192</v>
      </c>
      <c r="B58" s="0" t="s">
        <v>193</v>
      </c>
      <c r="C58" s="0" t="s">
        <v>170</v>
      </c>
      <c r="E58" s="7" t="n">
        <v>85</v>
      </c>
      <c r="G58" s="8" t="s">
        <v>171</v>
      </c>
      <c r="H58" s="4" t="s">
        <v>172</v>
      </c>
      <c r="I58" s="8" t="s">
        <v>107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170</v>
      </c>
      <c r="E59" s="7" t="n">
        <v>5.1</v>
      </c>
      <c r="G59" s="8" t="s">
        <v>171</v>
      </c>
      <c r="H59" s="4" t="s">
        <v>172</v>
      </c>
      <c r="I59" s="8" t="s">
        <v>107</v>
      </c>
    </row>
    <row r="60" customFormat="false" ht="17.15" hidden="false" customHeight="false" outlineLevel="0" collapsed="false">
      <c r="A60" s="0" t="s">
        <v>196</v>
      </c>
      <c r="B60" s="0" t="s">
        <v>197</v>
      </c>
      <c r="C60" s="0" t="s">
        <v>170</v>
      </c>
      <c r="E60" s="7" t="n">
        <v>-46.2</v>
      </c>
      <c r="G60" s="8" t="s">
        <v>171</v>
      </c>
      <c r="H60" s="4" t="s">
        <v>172</v>
      </c>
      <c r="I60" s="8" t="s">
        <v>107</v>
      </c>
    </row>
    <row r="61" customFormat="false" ht="17.15" hidden="false" customHeight="false" outlineLevel="0" collapsed="false">
      <c r="A61" s="0" t="s">
        <v>198</v>
      </c>
      <c r="B61" s="0" t="s">
        <v>199</v>
      </c>
      <c r="C61" s="0" t="s">
        <v>170</v>
      </c>
      <c r="E61" s="7" t="n">
        <v>65.5</v>
      </c>
      <c r="G61" s="8" t="s">
        <v>171</v>
      </c>
      <c r="H61" s="4" t="s">
        <v>172</v>
      </c>
      <c r="I61" s="4" t="s">
        <v>200</v>
      </c>
    </row>
    <row r="62" customFormat="false" ht="17.15" hidden="false" customHeight="false" outlineLevel="0" collapsed="false">
      <c r="A62" s="0" t="s">
        <v>201</v>
      </c>
      <c r="B62" s="0" t="s">
        <v>202</v>
      </c>
      <c r="C62" s="0" t="s">
        <v>170</v>
      </c>
      <c r="E62" s="7" t="n">
        <v>184.2</v>
      </c>
      <c r="G62" s="8" t="s">
        <v>171</v>
      </c>
      <c r="H62" s="4" t="s">
        <v>172</v>
      </c>
      <c r="I62" s="8" t="s">
        <v>107</v>
      </c>
    </row>
    <row r="63" customFormat="false" ht="17.15" hidden="false" customHeight="false" outlineLevel="0" collapsed="false">
      <c r="A63" s="0" t="s">
        <v>203</v>
      </c>
      <c r="B63" s="0" t="s">
        <v>204</v>
      </c>
      <c r="C63" s="0" t="s">
        <v>170</v>
      </c>
      <c r="E63" s="7" t="n">
        <v>123.5</v>
      </c>
      <c r="G63" s="8" t="s">
        <v>171</v>
      </c>
      <c r="H63" s="4" t="s">
        <v>172</v>
      </c>
      <c r="I63" s="4" t="s">
        <v>205</v>
      </c>
    </row>
    <row r="64" customFormat="false" ht="17.15" hidden="false" customHeight="false" outlineLevel="0" collapsed="false">
      <c r="A64" s="0" t="s">
        <v>206</v>
      </c>
      <c r="B64" s="0" t="s">
        <v>207</v>
      </c>
      <c r="C64" s="0" t="s">
        <v>208</v>
      </c>
      <c r="E64" s="7" t="n">
        <v>129.84</v>
      </c>
      <c r="G64" s="8" t="s">
        <v>171</v>
      </c>
      <c r="H64" s="4" t="s">
        <v>209</v>
      </c>
      <c r="I64" s="4" t="s">
        <v>210</v>
      </c>
    </row>
    <row r="65" customFormat="false" ht="17.15" hidden="false" customHeight="false" outlineLevel="0" collapsed="false">
      <c r="A65" s="0" t="s">
        <v>211</v>
      </c>
      <c r="B65" s="0" t="s">
        <v>212</v>
      </c>
      <c r="C65" s="0" t="s">
        <v>170</v>
      </c>
      <c r="E65" s="7" t="n">
        <v>412.105</v>
      </c>
      <c r="G65" s="8" t="s">
        <v>213</v>
      </c>
      <c r="H65" s="4" t="s">
        <v>209</v>
      </c>
      <c r="I65" s="4" t="s">
        <v>214</v>
      </c>
    </row>
    <row r="66" customFormat="false" ht="17.15" hidden="false" customHeight="false" outlineLevel="0" collapsed="false">
      <c r="A66" s="0" t="s">
        <v>215</v>
      </c>
      <c r="B66" s="0" t="s">
        <v>216</v>
      </c>
      <c r="C66" s="0" t="s">
        <v>170</v>
      </c>
      <c r="E66" s="7" t="n">
        <v>60.116</v>
      </c>
      <c r="G66" s="8" t="s">
        <v>213</v>
      </c>
      <c r="H66" s="4" t="s">
        <v>209</v>
      </c>
      <c r="I66" s="8" t="s">
        <v>107</v>
      </c>
    </row>
    <row r="67" customFormat="false" ht="17.15" hidden="false" customHeight="false" outlineLevel="0" collapsed="false">
      <c r="A67" s="0" t="s">
        <v>217</v>
      </c>
      <c r="B67" s="0" t="s">
        <v>218</v>
      </c>
      <c r="C67" s="0" t="s">
        <v>170</v>
      </c>
      <c r="E67" s="7" t="n">
        <v>33.1</v>
      </c>
      <c r="G67" s="8" t="s">
        <v>213</v>
      </c>
      <c r="H67" s="4" t="s">
        <v>172</v>
      </c>
      <c r="I67" s="4" t="s">
        <v>219</v>
      </c>
    </row>
    <row r="68" customFormat="false" ht="17.15" hidden="false" customHeight="false" outlineLevel="0" collapsed="false">
      <c r="A68" s="0" t="s">
        <v>220</v>
      </c>
      <c r="B68" s="0" t="s">
        <v>221</v>
      </c>
      <c r="C68" s="0" t="s">
        <v>170</v>
      </c>
      <c r="E68" s="7" t="n">
        <v>19.1</v>
      </c>
      <c r="G68" s="8" t="s">
        <v>213</v>
      </c>
      <c r="H68" s="4" t="s">
        <v>172</v>
      </c>
      <c r="I68" s="8" t="s">
        <v>107</v>
      </c>
    </row>
    <row r="69" customFormat="false" ht="17.15" hidden="false" customHeight="false" outlineLevel="0" collapsed="false">
      <c r="A69" s="0" t="s">
        <v>222</v>
      </c>
      <c r="B69" s="0" t="s">
        <v>223</v>
      </c>
      <c r="C69" s="0" t="s">
        <v>170</v>
      </c>
      <c r="E69" s="7" t="n">
        <v>36.452</v>
      </c>
      <c r="G69" s="8" t="s">
        <v>213</v>
      </c>
      <c r="H69" s="4" t="s">
        <v>209</v>
      </c>
      <c r="I69" s="8" t="s">
        <v>107</v>
      </c>
    </row>
    <row r="70" customFormat="false" ht="17.15" hidden="false" customHeight="false" outlineLevel="0" collapsed="false">
      <c r="A70" s="0" t="s">
        <v>224</v>
      </c>
      <c r="B70" s="0" t="s">
        <v>225</v>
      </c>
      <c r="C70" s="0" t="s">
        <v>208</v>
      </c>
      <c r="E70" s="7" t="n">
        <v>38.11</v>
      </c>
      <c r="G70" s="8" t="s">
        <v>213</v>
      </c>
      <c r="H70" s="4" t="s">
        <v>209</v>
      </c>
      <c r="I70" s="8" t="s">
        <v>107</v>
      </c>
    </row>
    <row r="71" customFormat="false" ht="17.15" hidden="false" customHeight="false" outlineLevel="0" collapsed="false">
      <c r="A71" s="6" t="s">
        <v>226</v>
      </c>
    </row>
    <row r="72" customFormat="false" ht="17.15" hidden="false" customHeight="false" outlineLevel="0" collapsed="false">
      <c r="A72" s="0" t="s">
        <v>227</v>
      </c>
      <c r="B72" s="0" t="s">
        <v>228</v>
      </c>
      <c r="C72" s="0" t="s">
        <v>170</v>
      </c>
      <c r="E72" s="7" t="n">
        <v>1583.719</v>
      </c>
      <c r="G72" s="8" t="s">
        <v>213</v>
      </c>
      <c r="H72" s="4" t="s">
        <v>229</v>
      </c>
      <c r="I72" s="8" t="s">
        <v>230</v>
      </c>
    </row>
    <row r="73" customFormat="false" ht="17.15" hidden="false" customHeight="false" outlineLevel="0" collapsed="false">
      <c r="A73" s="0" t="s">
        <v>231</v>
      </c>
      <c r="B73" s="0" t="s">
        <v>232</v>
      </c>
      <c r="C73" s="0" t="s">
        <v>170</v>
      </c>
      <c r="E73" s="7" t="n">
        <v>936.926</v>
      </c>
      <c r="G73" s="8" t="s">
        <v>213</v>
      </c>
      <c r="H73" s="4" t="s">
        <v>229</v>
      </c>
      <c r="I73" s="8" t="s">
        <v>107</v>
      </c>
    </row>
    <row r="74" customFormat="false" ht="17.15" hidden="false" customHeight="false" outlineLevel="0" collapsed="false">
      <c r="A74" s="0" t="s">
        <v>233</v>
      </c>
      <c r="B74" s="0" t="s">
        <v>234</v>
      </c>
      <c r="C74" s="0" t="s">
        <v>170</v>
      </c>
      <c r="E74" s="7" t="n">
        <v>290.308</v>
      </c>
      <c r="G74" s="8" t="s">
        <v>213</v>
      </c>
      <c r="H74" s="4" t="s">
        <v>229</v>
      </c>
      <c r="I74" s="8" t="s">
        <v>107</v>
      </c>
    </row>
    <row r="75" customFormat="false" ht="17.15" hidden="false" customHeight="false" outlineLevel="0" collapsed="false">
      <c r="A75" s="0" t="s">
        <v>235</v>
      </c>
      <c r="B75" s="0" t="s">
        <v>236</v>
      </c>
      <c r="C75" s="0" t="s">
        <v>170</v>
      </c>
      <c r="E75" s="7" t="n">
        <v>341.504</v>
      </c>
      <c r="G75" s="8" t="s">
        <v>213</v>
      </c>
      <c r="H75" s="4" t="s">
        <v>229</v>
      </c>
      <c r="I75" s="8" t="s">
        <v>107</v>
      </c>
    </row>
    <row r="76" customFormat="false" ht="17.15" hidden="false" customHeight="false" outlineLevel="0" collapsed="false">
      <c r="A76" s="0" t="s">
        <v>237</v>
      </c>
      <c r="B76" s="0" t="s">
        <v>238</v>
      </c>
      <c r="C76" s="0" t="s">
        <v>170</v>
      </c>
      <c r="E76" s="7" t="n">
        <v>14.979</v>
      </c>
      <c r="G76" s="8" t="s">
        <v>213</v>
      </c>
      <c r="H76" s="4" t="s">
        <v>229</v>
      </c>
      <c r="I76" s="8" t="s">
        <v>107</v>
      </c>
    </row>
    <row r="77" customFormat="false" ht="17.15" hidden="false" customHeight="false" outlineLevel="0" collapsed="false">
      <c r="A77" s="0" t="s">
        <v>239</v>
      </c>
      <c r="B77" s="0" t="s">
        <v>240</v>
      </c>
      <c r="C77" s="0" t="s">
        <v>170</v>
      </c>
      <c r="E77" s="7" t="n">
        <v>181.163</v>
      </c>
      <c r="G77" s="8" t="s">
        <v>213</v>
      </c>
      <c r="H77" s="4" t="s">
        <v>229</v>
      </c>
      <c r="I77" s="8" t="s">
        <v>230</v>
      </c>
    </row>
    <row r="78" customFormat="false" ht="17.15" hidden="false" customHeight="false" outlineLevel="0" collapsed="false">
      <c r="A78" s="0" t="s">
        <v>241</v>
      </c>
      <c r="B78" s="0" t="s">
        <v>242</v>
      </c>
      <c r="C78" s="0" t="s">
        <v>170</v>
      </c>
      <c r="E78" s="7" t="n">
        <v>143.036</v>
      </c>
      <c r="G78" s="8" t="s">
        <v>213</v>
      </c>
      <c r="H78" s="4" t="s">
        <v>229</v>
      </c>
      <c r="I78" s="8" t="s">
        <v>107</v>
      </c>
    </row>
    <row r="79" customFormat="false" ht="17.15" hidden="false" customHeight="false" outlineLevel="0" collapsed="false">
      <c r="A79" s="0" t="s">
        <v>243</v>
      </c>
      <c r="B79" s="0" t="s">
        <v>244</v>
      </c>
      <c r="C79" s="0" t="s">
        <v>170</v>
      </c>
      <c r="E79" s="7" t="n">
        <v>8.457</v>
      </c>
      <c r="G79" s="8" t="s">
        <v>213</v>
      </c>
      <c r="H79" s="4" t="s">
        <v>229</v>
      </c>
      <c r="I79" s="8" t="s">
        <v>107</v>
      </c>
    </row>
    <row r="80" customFormat="false" ht="17.15" hidden="false" customHeight="false" outlineLevel="0" collapsed="false">
      <c r="A80" s="0" t="s">
        <v>245</v>
      </c>
      <c r="B80" s="0" t="s">
        <v>246</v>
      </c>
      <c r="C80" s="0" t="s">
        <v>170</v>
      </c>
      <c r="E80" s="7" t="n">
        <v>66.202</v>
      </c>
      <c r="G80" s="8" t="s">
        <v>213</v>
      </c>
      <c r="H80" s="4" t="s">
        <v>229</v>
      </c>
      <c r="I80" s="8" t="s">
        <v>107</v>
      </c>
    </row>
    <row r="81" customFormat="false" ht="17.15" hidden="false" customHeight="false" outlineLevel="0" collapsed="false">
      <c r="A81" s="0" t="s">
        <v>247</v>
      </c>
      <c r="B81" s="0" t="s">
        <v>248</v>
      </c>
      <c r="C81" s="0" t="s">
        <v>170</v>
      </c>
      <c r="E81" s="7" t="n">
        <v>6.064</v>
      </c>
      <c r="G81" s="8" t="s">
        <v>213</v>
      </c>
      <c r="H81" s="4" t="s">
        <v>229</v>
      </c>
      <c r="I81" s="8" t="s">
        <v>107</v>
      </c>
    </row>
    <row r="82" customFormat="false" ht="17.15" hidden="false" customHeight="false" outlineLevel="0" collapsed="false">
      <c r="A82" s="0" t="s">
        <v>249</v>
      </c>
      <c r="B82" s="0" t="s">
        <v>250</v>
      </c>
      <c r="C82" s="0" t="s">
        <v>170</v>
      </c>
      <c r="E82" s="7" t="n">
        <v>-42.597</v>
      </c>
      <c r="G82" s="8" t="s">
        <v>213</v>
      </c>
      <c r="H82" s="4" t="s">
        <v>229</v>
      </c>
      <c r="I82" s="8" t="s">
        <v>107</v>
      </c>
    </row>
    <row r="83" customFormat="false" ht="17.15" hidden="false" customHeight="false" outlineLevel="0" collapsed="false">
      <c r="A83" s="0" t="s">
        <v>251</v>
      </c>
      <c r="B83" s="0" t="s">
        <v>252</v>
      </c>
      <c r="C83" s="0" t="s">
        <v>170</v>
      </c>
      <c r="E83" s="7" t="n">
        <v>199.412</v>
      </c>
      <c r="G83" s="8" t="s">
        <v>213</v>
      </c>
      <c r="H83" s="4" t="s">
        <v>229</v>
      </c>
      <c r="I83" s="8" t="s">
        <v>107</v>
      </c>
    </row>
    <row r="84" customFormat="false" ht="17.15" hidden="false" customHeight="false" outlineLevel="0" collapsed="false">
      <c r="A84" s="0" t="s">
        <v>253</v>
      </c>
      <c r="B84" s="0" t="s">
        <v>254</v>
      </c>
      <c r="C84" s="0" t="s">
        <v>170</v>
      </c>
      <c r="E84" s="7" t="n">
        <v>134.675</v>
      </c>
      <c r="G84" s="8" t="s">
        <v>213</v>
      </c>
      <c r="H84" s="4" t="s">
        <v>229</v>
      </c>
      <c r="I84" s="4" t="s">
        <v>255</v>
      </c>
    </row>
    <row r="85" customFormat="false" ht="17.15" hidden="false" customHeight="false" outlineLevel="0" collapsed="false">
      <c r="A85" s="0" t="s">
        <v>256</v>
      </c>
      <c r="B85" s="0" t="s">
        <v>257</v>
      </c>
      <c r="C85" s="0" t="s">
        <v>170</v>
      </c>
      <c r="E85" s="7" t="n">
        <v>88.914</v>
      </c>
      <c r="G85" s="8" t="s">
        <v>213</v>
      </c>
      <c r="H85" s="4" t="s">
        <v>229</v>
      </c>
      <c r="I85" s="8" t="s">
        <v>107</v>
      </c>
    </row>
    <row r="86" customFormat="false" ht="17.15" hidden="false" customHeight="false" outlineLevel="0" collapsed="false">
      <c r="A86" s="0" t="s">
        <v>258</v>
      </c>
      <c r="B86" s="0" t="s">
        <v>259</v>
      </c>
      <c r="C86" s="0" t="s">
        <v>170</v>
      </c>
      <c r="E86" s="7" t="n">
        <v>104.55</v>
      </c>
      <c r="G86" s="8" t="s">
        <v>213</v>
      </c>
      <c r="H86" s="4" t="s">
        <v>229</v>
      </c>
      <c r="I86" s="4" t="s">
        <v>260</v>
      </c>
    </row>
    <row r="87" customFormat="false" ht="17.15" hidden="false" customHeight="false" outlineLevel="0" collapsed="false">
      <c r="A87" s="0" t="s">
        <v>261</v>
      </c>
      <c r="B87" s="0" t="s">
        <v>262</v>
      </c>
      <c r="C87" s="0" t="s">
        <v>170</v>
      </c>
      <c r="D87" s="7" t="n">
        <v>100.7</v>
      </c>
      <c r="E87" s="8" t="n">
        <f aca="false">0.3*a_ho</f>
        <v>102.4512</v>
      </c>
      <c r="F87" s="7" t="n">
        <v>104</v>
      </c>
      <c r="G87" s="8" t="s">
        <v>32</v>
      </c>
      <c r="H87" s="4" t="s">
        <v>263</v>
      </c>
      <c r="I87" s="8" t="s">
        <v>264</v>
      </c>
    </row>
    <row r="88" customFormat="false" ht="17.15" hidden="false" customHeight="false" outlineLevel="0" collapsed="false">
      <c r="A88" s="0" t="s">
        <v>265</v>
      </c>
      <c r="B88" s="0" t="s">
        <v>266</v>
      </c>
      <c r="C88" s="0" t="s">
        <v>170</v>
      </c>
      <c r="E88" s="7" t="n">
        <v>54.6</v>
      </c>
      <c r="G88" s="8" t="s">
        <v>171</v>
      </c>
      <c r="H88" s="8" t="s">
        <v>267</v>
      </c>
      <c r="I88" s="8" t="s">
        <v>268</v>
      </c>
    </row>
    <row r="89" customFormat="false" ht="17.15" hidden="false" customHeight="false" outlineLevel="0" collapsed="false">
      <c r="A89" s="0" t="s">
        <v>269</v>
      </c>
      <c r="B89" s="0" t="s">
        <v>270</v>
      </c>
      <c r="C89" s="0" t="s">
        <v>208</v>
      </c>
      <c r="E89" s="7" t="n">
        <v>138.36</v>
      </c>
      <c r="G89" s="8" t="s">
        <v>213</v>
      </c>
      <c r="H89" s="4" t="s">
        <v>229</v>
      </c>
      <c r="I89" s="8" t="s">
        <v>271</v>
      </c>
    </row>
    <row r="90" customFormat="false" ht="17.15" hidden="false" customHeight="false" outlineLevel="0" collapsed="false">
      <c r="A90" s="6" t="s">
        <v>272</v>
      </c>
    </row>
    <row r="91" customFormat="false" ht="17.15" hidden="false" customHeight="false" outlineLevel="0" collapsed="false">
      <c r="A91" s="0" t="s">
        <v>273</v>
      </c>
      <c r="B91" s="4" t="s">
        <v>274</v>
      </c>
      <c r="C91" s="0" t="s">
        <v>170</v>
      </c>
      <c r="E91" s="7" t="n">
        <v>138.34</v>
      </c>
      <c r="G91" s="8" t="s">
        <v>171</v>
      </c>
      <c r="H91" s="8" t="s">
        <v>275</v>
      </c>
      <c r="I91" s="4" t="s">
        <v>276</v>
      </c>
    </row>
    <row r="92" customFormat="false" ht="17.15" hidden="false" customHeight="false" outlineLevel="0" collapsed="false">
      <c r="A92" s="0" t="s">
        <v>277</v>
      </c>
      <c r="B92" s="4" t="s">
        <v>278</v>
      </c>
      <c r="C92" s="0" t="s">
        <v>208</v>
      </c>
      <c r="E92" s="0" t="n">
        <f aca="false">c_ni26/(f_ni/f_eps)</f>
        <v>145.441826720648</v>
      </c>
      <c r="G92" s="0" t="s">
        <v>32</v>
      </c>
      <c r="H92" s="4" t="s">
        <v>279</v>
      </c>
      <c r="I92" s="4" t="s">
        <v>280</v>
      </c>
    </row>
    <row r="93" customFormat="false" ht="17.15" hidden="false" customHeight="false" outlineLevel="0" collapsed="false">
      <c r="A93" s="0" t="s">
        <v>281</v>
      </c>
      <c r="B93" s="4" t="s">
        <v>282</v>
      </c>
      <c r="C93" s="0" t="s">
        <v>170</v>
      </c>
      <c r="E93" s="7" t="n">
        <v>1730</v>
      </c>
      <c r="G93" s="8" t="s">
        <v>171</v>
      </c>
      <c r="H93" s="8" t="s">
        <v>283</v>
      </c>
      <c r="I93" s="8" t="s">
        <v>107</v>
      </c>
    </row>
    <row r="94" customFormat="false" ht="17.15" hidden="false" customHeight="false" outlineLevel="0" collapsed="false">
      <c r="A94" s="0" t="s">
        <v>284</v>
      </c>
      <c r="B94" s="4" t="s">
        <v>285</v>
      </c>
      <c r="C94" s="0" t="s">
        <v>78</v>
      </c>
      <c r="E94" s="7" t="n">
        <v>0.2363</v>
      </c>
      <c r="G94" s="8" t="s">
        <v>171</v>
      </c>
      <c r="H94" s="8" t="s">
        <v>286</v>
      </c>
      <c r="I94" s="4" t="s">
        <v>287</v>
      </c>
    </row>
    <row r="95" customFormat="false" ht="17.15" hidden="false" customHeight="false" outlineLevel="0" collapsed="false">
      <c r="A95" s="0" t="s">
        <v>288</v>
      </c>
      <c r="B95" s="4" t="s">
        <v>289</v>
      </c>
      <c r="C95" s="0" t="s">
        <v>208</v>
      </c>
      <c r="E95" s="0" t="n">
        <f aca="false">c_eps26*(1+c_g27)</f>
        <v>179.809730374737</v>
      </c>
      <c r="G95" s="0" t="s">
        <v>32</v>
      </c>
      <c r="H95" s="4" t="s">
        <v>290</v>
      </c>
      <c r="I95" s="4" t="s">
        <v>291</v>
      </c>
    </row>
    <row r="96" customFormat="false" ht="17.15" hidden="false" customHeight="false" outlineLevel="0" collapsed="false">
      <c r="A96" s="0" t="s">
        <v>292</v>
      </c>
      <c r="B96" s="4" t="s">
        <v>293</v>
      </c>
      <c r="C96" s="0" t="s">
        <v>170</v>
      </c>
      <c r="E96" s="7" t="n">
        <v>1840</v>
      </c>
      <c r="G96" s="8" t="s">
        <v>171</v>
      </c>
      <c r="H96" s="8" t="s">
        <v>294</v>
      </c>
      <c r="I96" s="8" t="s">
        <v>107</v>
      </c>
    </row>
    <row r="97" customFormat="false" ht="17.15" hidden="false" customHeight="false" outlineLevel="0" collapsed="false">
      <c r="A97" s="6" t="s">
        <v>295</v>
      </c>
    </row>
    <row r="98" customFormat="false" ht="17.15" hidden="false" customHeight="false" outlineLevel="0" collapsed="false">
      <c r="A98" s="0" t="s">
        <v>296</v>
      </c>
      <c r="B98" s="4" t="s">
        <v>297</v>
      </c>
      <c r="C98" s="0" t="s">
        <v>208</v>
      </c>
      <c r="E98" s="7" t="n">
        <v>5064</v>
      </c>
      <c r="G98" s="8" t="s">
        <v>171</v>
      </c>
      <c r="H98" s="4" t="s">
        <v>298</v>
      </c>
      <c r="I98" s="8" t="s">
        <v>299</v>
      </c>
    </row>
    <row r="99" customFormat="false" ht="17.15" hidden="false" customHeight="false" outlineLevel="0" collapsed="false">
      <c r="A99" s="0" t="s">
        <v>300</v>
      </c>
      <c r="B99" s="0" t="s">
        <v>301</v>
      </c>
      <c r="C99" s="0" t="s">
        <v>53</v>
      </c>
      <c r="E99" s="7" t="n">
        <v>39.08</v>
      </c>
      <c r="G99" s="8" t="s">
        <v>171</v>
      </c>
      <c r="H99" s="8" t="s">
        <v>302</v>
      </c>
      <c r="I99" s="8" t="s">
        <v>107</v>
      </c>
    </row>
    <row r="100" customFormat="false" ht="17.15" hidden="false" customHeight="false" outlineLevel="0" collapsed="false">
      <c r="A100" s="0" t="s">
        <v>303</v>
      </c>
      <c r="B100" s="4" t="s">
        <v>304</v>
      </c>
      <c r="C100" s="0" t="s">
        <v>53</v>
      </c>
      <c r="E100" s="7" t="n">
        <v>32.76</v>
      </c>
      <c r="G100" s="8" t="s">
        <v>171</v>
      </c>
      <c r="H100" s="8" t="s">
        <v>305</v>
      </c>
      <c r="I100" s="8" t="s">
        <v>306</v>
      </c>
    </row>
    <row r="101" customFormat="false" ht="17.15" hidden="false" customHeight="false" outlineLevel="0" collapsed="false">
      <c r="A101" s="0" t="s">
        <v>307</v>
      </c>
      <c r="B101" s="4" t="s">
        <v>308</v>
      </c>
      <c r="C101" s="0" t="s">
        <v>208</v>
      </c>
      <c r="E101" s="0" t="n">
        <f aca="false">5051/fpe</f>
        <v>154.181929181929</v>
      </c>
      <c r="G101" s="0" t="s">
        <v>32</v>
      </c>
      <c r="H101" s="0" t="s">
        <v>309</v>
      </c>
      <c r="I101" s="0" t="s">
        <v>310</v>
      </c>
    </row>
    <row r="102" customFormat="false" ht="17.15" hidden="false" customHeight="false" outlineLevel="0" collapsed="false">
      <c r="A102" s="0" t="s">
        <v>311</v>
      </c>
      <c r="B102" s="4" t="s">
        <v>312</v>
      </c>
      <c r="C102" s="0" t="s">
        <v>208</v>
      </c>
      <c r="D102" s="7" t="n">
        <v>5800</v>
      </c>
      <c r="E102" s="7" t="n">
        <v>6321.43</v>
      </c>
      <c r="F102" s="7" t="n">
        <v>7300</v>
      </c>
      <c r="G102" s="8" t="s">
        <v>171</v>
      </c>
      <c r="H102" s="8" t="s">
        <v>313</v>
      </c>
      <c r="I102" s="8" t="s">
        <v>314</v>
      </c>
    </row>
    <row r="103" customFormat="false" ht="17.15" hidden="false" customHeight="false" outlineLevel="0" collapsed="false">
      <c r="A103" s="0" t="s">
        <v>315</v>
      </c>
      <c r="B103" s="4" t="s">
        <v>316</v>
      </c>
      <c r="C103" s="4" t="s">
        <v>317</v>
      </c>
      <c r="E103" s="7" t="n">
        <v>0.977736</v>
      </c>
      <c r="G103" s="8" t="s">
        <v>213</v>
      </c>
      <c r="H103" s="4" t="s">
        <v>318</v>
      </c>
      <c r="I103" s="8" t="s">
        <v>107</v>
      </c>
    </row>
    <row r="104" customFormat="false" ht="17.15" hidden="false" customHeight="false" outlineLevel="0" collapsed="false">
      <c r="A104" s="6" t="s">
        <v>319</v>
      </c>
    </row>
    <row r="105" customFormat="false" ht="17.15" hidden="false" customHeight="false" outlineLevel="0" collapsed="false">
      <c r="A105" s="9" t="s">
        <v>320</v>
      </c>
      <c r="B105" s="10" t="s">
        <v>321</v>
      </c>
      <c r="C105" s="9" t="s">
        <v>78</v>
      </c>
      <c r="D105" s="9"/>
      <c r="E105" s="11" t="n">
        <v>0.3</v>
      </c>
      <c r="F105" s="9"/>
      <c r="G105" s="9" t="s">
        <v>54</v>
      </c>
      <c r="H105" s="9" t="s">
        <v>322</v>
      </c>
      <c r="I105" s="10" t="s">
        <v>323</v>
      </c>
    </row>
    <row r="106" customFormat="false" ht="17.15" hidden="false" customHeight="false" outlineLevel="0" collapsed="false">
      <c r="A106" s="9" t="s">
        <v>324</v>
      </c>
      <c r="B106" s="10" t="s">
        <v>325</v>
      </c>
      <c r="C106" s="9" t="s">
        <v>78</v>
      </c>
      <c r="D106" s="9"/>
      <c r="E106" s="11" t="n">
        <v>0.5</v>
      </c>
      <c r="F106" s="9"/>
      <c r="G106" s="9" t="s">
        <v>54</v>
      </c>
      <c r="H106" s="9" t="s">
        <v>322</v>
      </c>
      <c r="I106" s="10" t="s">
        <v>323</v>
      </c>
    </row>
    <row r="107" customFormat="false" ht="17.15" hidden="false" customHeight="false" outlineLevel="0" collapsed="false">
      <c r="A107" s="9" t="s">
        <v>326</v>
      </c>
      <c r="B107" s="10" t="s">
        <v>327</v>
      </c>
      <c r="C107" s="9" t="s">
        <v>78</v>
      </c>
      <c r="D107" s="9"/>
      <c r="E107" s="11" t="n">
        <v>0.2</v>
      </c>
      <c r="F107" s="9"/>
      <c r="G107" s="9" t="s">
        <v>54</v>
      </c>
      <c r="H107" s="9" t="s">
        <v>322</v>
      </c>
      <c r="I107" s="10" t="s">
        <v>323</v>
      </c>
    </row>
    <row r="108" customFormat="false" ht="17.15" hidden="false" customHeight="false" outlineLevel="0" collapsed="false">
      <c r="A108" s="9" t="s">
        <v>328</v>
      </c>
      <c r="B108" s="10" t="s">
        <v>329</v>
      </c>
      <c r="C108" s="9" t="s">
        <v>78</v>
      </c>
      <c r="D108" s="9"/>
      <c r="E108" s="11" t="n">
        <v>0.1</v>
      </c>
      <c r="F108" s="9"/>
      <c r="G108" s="9" t="s">
        <v>54</v>
      </c>
      <c r="H108" s="9" t="s">
        <v>330</v>
      </c>
      <c r="I108" s="10" t="s">
        <v>331</v>
      </c>
    </row>
    <row r="109" customFormat="false" ht="17.15" hidden="false" customHeight="false" outlineLevel="0" collapsed="false">
      <c r="A109" s="9" t="s">
        <v>332</v>
      </c>
      <c r="B109" s="10" t="s">
        <v>333</v>
      </c>
      <c r="C109" s="9" t="s">
        <v>78</v>
      </c>
      <c r="D109" s="9"/>
      <c r="E109" s="11" t="n">
        <v>0.04</v>
      </c>
      <c r="F109" s="9"/>
      <c r="G109" s="9" t="s">
        <v>54</v>
      </c>
      <c r="H109" s="9" t="s">
        <v>334</v>
      </c>
      <c r="I109" s="9" t="s">
        <v>335</v>
      </c>
    </row>
    <row r="110" customFormat="false" ht="17.15" hidden="false" customHeight="false" outlineLevel="0" collapsed="false">
      <c r="A110" s="9" t="s">
        <v>336</v>
      </c>
      <c r="B110" s="9" t="s">
        <v>337</v>
      </c>
      <c r="C110" s="9" t="s">
        <v>78</v>
      </c>
      <c r="D110" s="9"/>
      <c r="E110" s="9" t="n">
        <f aca="false">AVERAGE(0.175,0.0952,0.1195)</f>
        <v>0.1299</v>
      </c>
      <c r="F110" s="9"/>
      <c r="G110" s="9" t="s">
        <v>32</v>
      </c>
      <c r="H110" s="9" t="s">
        <v>338</v>
      </c>
      <c r="I110" s="10" t="s">
        <v>339</v>
      </c>
    </row>
    <row r="111" customFormat="false" ht="17.15" hidden="false" customHeight="false" outlineLevel="0" collapsed="false">
      <c r="A111" s="9" t="s">
        <v>340</v>
      </c>
      <c r="B111" s="10" t="s">
        <v>341</v>
      </c>
      <c r="C111" s="9" t="s">
        <v>78</v>
      </c>
      <c r="D111" s="9"/>
      <c r="E111" s="11" t="n">
        <v>0.5</v>
      </c>
      <c r="F111" s="9"/>
      <c r="G111" s="9" t="s">
        <v>54</v>
      </c>
      <c r="H111" s="9" t="s">
        <v>342</v>
      </c>
      <c r="I111" s="9" t="s">
        <v>107</v>
      </c>
    </row>
    <row r="112" customFormat="false" ht="17.15" hidden="false" customHeight="false" outlineLevel="0" collapsed="false">
      <c r="A112" s="9" t="s">
        <v>343</v>
      </c>
      <c r="B112" s="10" t="s">
        <v>344</v>
      </c>
      <c r="C112" s="9" t="s">
        <v>53</v>
      </c>
      <c r="D112" s="9"/>
      <c r="E112" s="11" t="n">
        <v>0.8</v>
      </c>
      <c r="F112" s="9"/>
      <c r="G112" s="9" t="s">
        <v>54</v>
      </c>
      <c r="H112" s="10" t="s">
        <v>345</v>
      </c>
      <c r="I112" s="10" t="s">
        <v>346</v>
      </c>
    </row>
    <row r="113" customFormat="false" ht="17.15" hidden="false" customHeight="false" outlineLevel="0" collapsed="false">
      <c r="A113" s="9" t="s">
        <v>347</v>
      </c>
      <c r="B113" s="10" t="s">
        <v>348</v>
      </c>
      <c r="C113" s="9" t="s">
        <v>78</v>
      </c>
      <c r="D113" s="9"/>
      <c r="E113" s="9" t="n">
        <f aca="false">tp_g+0.02</f>
        <v>0.06</v>
      </c>
      <c r="F113" s="9"/>
      <c r="G113" s="9" t="s">
        <v>54</v>
      </c>
      <c r="H113" s="10" t="s">
        <v>349</v>
      </c>
      <c r="I113" s="9" t="s">
        <v>350</v>
      </c>
    </row>
    <row r="114" customFormat="false" ht="17.15" hidden="false" customHeight="false" outlineLevel="0" collapsed="false">
      <c r="A114" s="9" t="s">
        <v>351</v>
      </c>
      <c r="B114" s="10" t="s">
        <v>352</v>
      </c>
      <c r="C114" s="9" t="s">
        <v>78</v>
      </c>
      <c r="D114" s="9"/>
      <c r="E114" s="9" t="n">
        <f aca="false">tp_g</f>
        <v>0.04</v>
      </c>
      <c r="F114" s="9"/>
      <c r="G114" s="9" t="s">
        <v>54</v>
      </c>
      <c r="H114" s="10" t="s">
        <v>37</v>
      </c>
      <c r="I114" s="9" t="s">
        <v>107</v>
      </c>
    </row>
    <row r="115" customFormat="false" ht="17.15" hidden="false" customHeight="false" outlineLevel="0" collapsed="false">
      <c r="A115" s="9" t="s">
        <v>353</v>
      </c>
      <c r="B115" s="10" t="s">
        <v>354</v>
      </c>
      <c r="C115" s="9" t="s">
        <v>78</v>
      </c>
      <c r="D115" s="9"/>
      <c r="E115" s="9" t="n">
        <f aca="false">tp_g-0.02</f>
        <v>0.02</v>
      </c>
      <c r="F115" s="9"/>
      <c r="G115" s="9" t="s">
        <v>54</v>
      </c>
      <c r="H115" s="10" t="s">
        <v>37</v>
      </c>
      <c r="I115" s="9" t="s">
        <v>107</v>
      </c>
    </row>
    <row r="116" customFormat="false" ht="17.15" hidden="false" customHeight="false" outlineLevel="0" collapsed="false">
      <c r="A116" s="9" t="s">
        <v>355</v>
      </c>
      <c r="B116" s="10" t="s">
        <v>356</v>
      </c>
      <c r="C116" s="9" t="s">
        <v>78</v>
      </c>
      <c r="D116" s="9"/>
      <c r="E116" s="12" t="n">
        <f aca="false">PL!G15</f>
        <v>0.088006355145468</v>
      </c>
      <c r="F116" s="9"/>
      <c r="G116" s="9" t="s">
        <v>32</v>
      </c>
      <c r="H116" s="9" t="s">
        <v>357</v>
      </c>
      <c r="I116" s="9" t="s">
        <v>107</v>
      </c>
    </row>
    <row r="117" customFormat="false" ht="17.15" hidden="false" customHeight="false" outlineLevel="0" collapsed="false">
      <c r="A117" s="9" t="s">
        <v>358</v>
      </c>
      <c r="B117" s="10" t="s">
        <v>359</v>
      </c>
      <c r="C117" s="9" t="s">
        <v>78</v>
      </c>
      <c r="D117" s="9"/>
      <c r="E117" s="13" t="n">
        <f aca="false">PL!G31*(1+nm10_k)/2</f>
        <v>0.0745928167744908</v>
      </c>
      <c r="F117" s="9"/>
      <c r="G117" s="9" t="s">
        <v>32</v>
      </c>
      <c r="H117" s="9" t="s">
        <v>360</v>
      </c>
      <c r="I117" s="9" t="s">
        <v>107</v>
      </c>
    </row>
    <row r="118" customFormat="false" ht="17.15" hidden="false" customHeight="false" outlineLevel="0" collapsed="false">
      <c r="A118" s="9" t="s">
        <v>361</v>
      </c>
      <c r="B118" s="10" t="s">
        <v>362</v>
      </c>
      <c r="C118" s="9" t="s">
        <v>78</v>
      </c>
      <c r="D118" s="9"/>
      <c r="E118" s="13" t="n">
        <f aca="false">PL!G47*nm10_k</f>
        <v>0.0596409083950606</v>
      </c>
      <c r="F118" s="9"/>
      <c r="G118" s="9" t="s">
        <v>54</v>
      </c>
      <c r="H118" s="9" t="s">
        <v>363</v>
      </c>
      <c r="I118" s="9" t="s">
        <v>107</v>
      </c>
    </row>
    <row r="119" customFormat="false" ht="17.15" hidden="false" customHeight="false" outlineLevel="0" collapsed="false">
      <c r="A119" s="6" t="s">
        <v>364</v>
      </c>
    </row>
    <row r="120" customFormat="false" ht="17.15" hidden="false" customHeight="false" outlineLevel="0" collapsed="false">
      <c r="A120" s="0" t="s">
        <v>365</v>
      </c>
      <c r="B120" s="4" t="s">
        <v>366</v>
      </c>
      <c r="C120" s="0" t="s">
        <v>78</v>
      </c>
      <c r="E120" s="0" t="n">
        <f aca="false">a_da/a_rev</f>
        <v>0.0561425353866437</v>
      </c>
      <c r="G120" s="0" t="s">
        <v>32</v>
      </c>
      <c r="H120" s="0" t="s">
        <v>367</v>
      </c>
      <c r="I120" s="0" t="s">
        <v>368</v>
      </c>
    </row>
    <row r="121" customFormat="false" ht="17.15" hidden="false" customHeight="false" outlineLevel="0" collapsed="false">
      <c r="A121" s="0" t="s">
        <v>369</v>
      </c>
      <c r="B121" s="4" t="s">
        <v>370</v>
      </c>
      <c r="C121" s="0" t="s">
        <v>78</v>
      </c>
      <c r="E121" s="0" t="n">
        <f aca="false">a_cx/a_rev</f>
        <v>0.0660154989616213</v>
      </c>
      <c r="G121" s="0" t="s">
        <v>32</v>
      </c>
      <c r="H121" s="0" t="s">
        <v>371</v>
      </c>
      <c r="I121" s="0" t="s">
        <v>372</v>
      </c>
    </row>
    <row r="123" customFormat="false" ht="17.15" hidden="false" customHeight="false" outlineLevel="0" collapsed="false">
      <c r="A123" s="1" t="s">
        <v>373</v>
      </c>
    </row>
    <row r="124" customFormat="false" ht="17.15" hidden="false" customHeight="false" outlineLevel="0" collapsed="false">
      <c r="A124" s="1" t="s">
        <v>19</v>
      </c>
      <c r="B124" s="1" t="s">
        <v>20</v>
      </c>
      <c r="C124" s="1" t="s">
        <v>21</v>
      </c>
      <c r="D124" s="1" t="s">
        <v>374</v>
      </c>
      <c r="E124" s="1" t="s">
        <v>375</v>
      </c>
      <c r="F124" s="1" t="s">
        <v>376</v>
      </c>
      <c r="G124" s="1" t="s">
        <v>25</v>
      </c>
      <c r="H124" s="1" t="s">
        <v>377</v>
      </c>
    </row>
    <row r="125" customFormat="false" ht="17.15" hidden="false" customHeight="false" outlineLevel="0" collapsed="false">
      <c r="A125" s="0" t="s">
        <v>378</v>
      </c>
      <c r="B125" s="0" t="s">
        <v>379</v>
      </c>
      <c r="C125" s="0" t="s">
        <v>53</v>
      </c>
      <c r="D125" s="0" t="n">
        <f aca="false">E13</f>
        <v>1</v>
      </c>
      <c r="E125" s="0" t="n">
        <f aca="false">E15</f>
        <v>0.8</v>
      </c>
      <c r="F125" s="0" t="n">
        <f aca="false">E17</f>
        <v>0.6</v>
      </c>
      <c r="G125" s="0" t="s">
        <v>32</v>
      </c>
      <c r="H125" s="4" t="s">
        <v>380</v>
      </c>
    </row>
    <row r="126" customFormat="false" ht="17.15" hidden="false" customHeight="false" outlineLevel="0" collapsed="false">
      <c r="A126" s="0" t="s">
        <v>381</v>
      </c>
      <c r="B126" s="0" t="s">
        <v>382</v>
      </c>
      <c r="C126" s="0" t="s">
        <v>53</v>
      </c>
      <c r="D126" s="0" t="n">
        <f aca="false">E14</f>
        <v>1</v>
      </c>
      <c r="E126" s="0" t="n">
        <f aca="false">E16</f>
        <v>0.85</v>
      </c>
      <c r="F126" s="0" t="n">
        <f aca="false">E18</f>
        <v>0.6</v>
      </c>
      <c r="G126" s="0" t="s">
        <v>32</v>
      </c>
      <c r="H126" s="4" t="s">
        <v>383</v>
      </c>
    </row>
    <row r="127" customFormat="false" ht="17.15" hidden="false" customHeight="false" outlineLevel="0" collapsed="false">
      <c r="A127" s="0" t="s">
        <v>384</v>
      </c>
      <c r="B127" s="0" t="s">
        <v>385</v>
      </c>
      <c r="C127" s="0" t="s">
        <v>53</v>
      </c>
      <c r="D127" s="0" t="n">
        <f aca="false">E33</f>
        <v>1</v>
      </c>
      <c r="E127" s="0" t="n">
        <f aca="false">E34</f>
        <v>0.95</v>
      </c>
      <c r="F127" s="0" t="n">
        <f aca="false">E35</f>
        <v>0.88</v>
      </c>
      <c r="G127" s="0" t="s">
        <v>32</v>
      </c>
      <c r="H127" s="4" t="s">
        <v>386</v>
      </c>
    </row>
    <row r="128" customFormat="false" ht="17.15" hidden="false" customHeight="false" outlineLevel="0" collapsed="false">
      <c r="A128" s="0" t="s">
        <v>387</v>
      </c>
      <c r="B128" s="0" t="s">
        <v>388</v>
      </c>
      <c r="C128" s="0" t="s">
        <v>78</v>
      </c>
      <c r="D128" s="0" t="n">
        <f aca="false">E113</f>
        <v>0.06</v>
      </c>
      <c r="E128" s="0" t="n">
        <f aca="false">E114</f>
        <v>0.04</v>
      </c>
      <c r="F128" s="0" t="n">
        <f aca="false">E115</f>
        <v>0.02</v>
      </c>
      <c r="G128" s="0" t="s">
        <v>32</v>
      </c>
      <c r="H128" s="4" t="s">
        <v>389</v>
      </c>
    </row>
    <row r="129" customFormat="false" ht="17.15" hidden="false" customHeight="false" outlineLevel="0" collapsed="false">
      <c r="A129" s="0" t="s">
        <v>390</v>
      </c>
      <c r="B129" s="0" t="s">
        <v>391</v>
      </c>
      <c r="C129" s="0" t="s">
        <v>78</v>
      </c>
      <c r="D129" s="14" t="n">
        <f aca="false">E116</f>
        <v>0.088006355145468</v>
      </c>
      <c r="E129" s="8" t="n">
        <f aca="false">E117</f>
        <v>0.0745928167744908</v>
      </c>
      <c r="F129" s="8" t="n">
        <f aca="false">E118</f>
        <v>0.0596409083950606</v>
      </c>
      <c r="G129" s="8" t="s">
        <v>32</v>
      </c>
      <c r="H129" s="4" t="s">
        <v>392</v>
      </c>
    </row>
    <row r="130" customFormat="false" ht="17.15" hidden="false" customHeight="false" outlineLevel="0" collapsed="false">
      <c r="A130" s="0" t="s">
        <v>393</v>
      </c>
      <c r="B130" s="4" t="s">
        <v>394</v>
      </c>
      <c r="C130" s="0" t="s">
        <v>78</v>
      </c>
      <c r="D130" s="0" t="n">
        <f aca="false">E105</f>
        <v>0.3</v>
      </c>
      <c r="E130" s="0" t="n">
        <f aca="false">E106</f>
        <v>0.5</v>
      </c>
      <c r="F130" s="0" t="n">
        <f aca="false">E107</f>
        <v>0.2</v>
      </c>
      <c r="G130" s="0" t="s">
        <v>32</v>
      </c>
      <c r="H130" s="4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4"/>
    <col collapsed="false" customWidth="true" hidden="false" outlineLevel="0" max="7" min="7" style="0" width="24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396</v>
      </c>
    </row>
    <row r="2" customFormat="false" ht="17.15" hidden="false" customHeight="false" outlineLevel="0" collapsed="false">
      <c r="A2" s="4" t="s">
        <v>397</v>
      </c>
    </row>
    <row r="3" customFormat="false" ht="17.15" hidden="false" customHeight="false" outlineLevel="0" collapsed="false">
      <c r="A3" s="5" t="s">
        <v>20</v>
      </c>
      <c r="B3" s="15" t="s">
        <v>398</v>
      </c>
      <c r="C3" s="15" t="s">
        <v>399</v>
      </c>
      <c r="D3" s="15" t="s">
        <v>400</v>
      </c>
      <c r="E3" s="5" t="s">
        <v>401</v>
      </c>
      <c r="F3" s="15" t="s">
        <v>402</v>
      </c>
      <c r="G3" s="5" t="s">
        <v>25</v>
      </c>
      <c r="H3" s="5" t="s">
        <v>377</v>
      </c>
    </row>
    <row r="4" customFormat="false" ht="17.15" hidden="false" customHeight="false" outlineLevel="0" collapsed="false">
      <c r="A4" s="4" t="s">
        <v>403</v>
      </c>
      <c r="B4" s="16" t="n">
        <f aca="false">a_rev</f>
        <v>1583.719</v>
      </c>
      <c r="C4" s="16" t="n">
        <f aca="false">q1_rev</f>
        <v>412.105</v>
      </c>
      <c r="D4" s="16" t="n">
        <f aca="false">f_rev</f>
        <v>1732</v>
      </c>
      <c r="E4" s="17" t="n">
        <f aca="false">D4/B4-1</f>
        <v>0.0936283519993131</v>
      </c>
      <c r="F4" s="17" t="n">
        <f aca="false">C4/D4</f>
        <v>0.237935912240185</v>
      </c>
      <c r="G4" s="8" t="s">
        <v>404</v>
      </c>
    </row>
    <row r="5" customFormat="false" ht="17.15" hidden="false" customHeight="false" outlineLevel="0" collapsed="false">
      <c r="A5" s="4" t="s">
        <v>405</v>
      </c>
      <c r="B5" s="16" t="n">
        <f aca="false">a_sf</f>
        <v>936.926</v>
      </c>
      <c r="C5" s="18" t="n">
        <v>238.7</v>
      </c>
      <c r="D5" s="16" t="n">
        <f aca="false">f_sf</f>
        <v>998.6</v>
      </c>
      <c r="E5" s="17" t="n">
        <f aca="false">D5/B5-1</f>
        <v>0.0658259030062138</v>
      </c>
      <c r="F5" s="17" t="n">
        <f aca="false">C5/D5</f>
        <v>0.239034648507911</v>
      </c>
      <c r="G5" s="8" t="s">
        <v>404</v>
      </c>
      <c r="H5" s="8" t="s">
        <v>406</v>
      </c>
    </row>
    <row r="6" customFormat="false" ht="17.15" hidden="false" customHeight="false" outlineLevel="0" collapsed="false">
      <c r="A6" s="4" t="s">
        <v>407</v>
      </c>
      <c r="B6" s="16" t="n">
        <f aca="false">a_ff</f>
        <v>290.308</v>
      </c>
      <c r="C6" s="18" t="n">
        <v>72.5</v>
      </c>
      <c r="D6" s="16" t="n">
        <f aca="false">f_ff</f>
        <v>310.6</v>
      </c>
      <c r="E6" s="17" t="n">
        <f aca="false">D6/B6-1</f>
        <v>0.0698981771084504</v>
      </c>
      <c r="F6" s="17" t="n">
        <f aca="false">C6/D6</f>
        <v>0.233419188667096</v>
      </c>
      <c r="G6" s="8" t="s">
        <v>404</v>
      </c>
    </row>
    <row r="7" customFormat="false" ht="17.15" hidden="false" customHeight="false" outlineLevel="0" collapsed="false">
      <c r="A7" s="4" t="s">
        <v>408</v>
      </c>
      <c r="B7" s="16" t="n">
        <f aca="false">a_ho</f>
        <v>341.504</v>
      </c>
      <c r="C7" s="18" t="n">
        <v>97</v>
      </c>
      <c r="D7" s="16" t="n">
        <f aca="false">f_ho</f>
        <v>406.8</v>
      </c>
      <c r="E7" s="17" t="n">
        <f aca="false">D7/B7-1</f>
        <v>0.191201274362819</v>
      </c>
      <c r="F7" s="17" t="n">
        <f aca="false">C7/D7</f>
        <v>0.238446411012783</v>
      </c>
      <c r="G7" s="8" t="s">
        <v>404</v>
      </c>
    </row>
    <row r="8" customFormat="false" ht="17.15" hidden="false" customHeight="false" outlineLevel="0" collapsed="false">
      <c r="A8" s="4" t="s">
        <v>409</v>
      </c>
      <c r="B8" s="16" t="n">
        <f aca="false">a_fm</f>
        <v>102.4512</v>
      </c>
      <c r="C8" s="16" t="n">
        <f aca="false">q1_fm</f>
        <v>33.1</v>
      </c>
      <c r="D8" s="16" t="n">
        <f aca="false">f_fm</f>
        <v>120.6</v>
      </c>
      <c r="E8" s="17" t="n">
        <f aca="false">D8/B8-1</f>
        <v>0.17714580209895</v>
      </c>
      <c r="F8" s="17" t="n">
        <f aca="false">C8/D8</f>
        <v>0.274461028192372</v>
      </c>
      <c r="G8" s="8" t="s">
        <v>32</v>
      </c>
      <c r="H8" s="8" t="s">
        <v>410</v>
      </c>
    </row>
    <row r="9" customFormat="false" ht="17.15" hidden="false" customHeight="false" outlineLevel="0" collapsed="false">
      <c r="A9" s="4" t="s">
        <v>411</v>
      </c>
      <c r="B9" s="16" t="n">
        <f aca="false">a_ho-a_fm</f>
        <v>239.0528</v>
      </c>
      <c r="C9" s="18" t="n">
        <v>63.9</v>
      </c>
      <c r="D9" s="16" t="n">
        <f aca="false">f_ho-f_fm</f>
        <v>286.2</v>
      </c>
      <c r="E9" s="17" t="n">
        <f aca="false">D9/B9-1</f>
        <v>0.197225048190191</v>
      </c>
      <c r="F9" s="17" t="n">
        <f aca="false">C9/D9</f>
        <v>0.223270440251572</v>
      </c>
      <c r="G9" s="8" t="s">
        <v>32</v>
      </c>
    </row>
    <row r="10" customFormat="false" ht="17.15" hidden="false" customHeight="false" outlineLevel="0" collapsed="false">
      <c r="A10" s="4" t="s">
        <v>412</v>
      </c>
      <c r="B10" s="16" t="n">
        <f aca="false">a_oth</f>
        <v>14.979</v>
      </c>
      <c r="C10" s="18" t="n">
        <v>3.7</v>
      </c>
      <c r="D10" s="16" t="n">
        <f aca="false">f_oth</f>
        <v>15.8</v>
      </c>
      <c r="E10" s="17" t="n">
        <f aca="false">D10/B10-1</f>
        <v>0.0548100674277323</v>
      </c>
      <c r="F10" s="17" t="n">
        <f aca="false">C10/D10</f>
        <v>0.234177215189873</v>
      </c>
      <c r="G10" s="8" t="s">
        <v>404</v>
      </c>
    </row>
    <row r="11" customFormat="false" ht="17.15" hidden="false" customHeight="false" outlineLevel="0" collapsed="false">
      <c r="A11" s="4" t="s">
        <v>413</v>
      </c>
      <c r="B11" s="16" t="n">
        <f aca="false">a_bp</f>
        <v>181.163</v>
      </c>
      <c r="C11" s="16" t="n">
        <f aca="false">q1_bp</f>
        <v>60.116</v>
      </c>
      <c r="D11" s="16" t="n">
        <f aca="false">f_bp</f>
        <v>202</v>
      </c>
      <c r="E11" s="17" t="n">
        <f aca="false">D11/B11-1</f>
        <v>0.115017967244967</v>
      </c>
      <c r="F11" s="17" t="n">
        <f aca="false">C11/D11</f>
        <v>0.29760396039604</v>
      </c>
      <c r="G11" s="8" t="s">
        <v>404</v>
      </c>
    </row>
    <row r="12" customFormat="false" ht="17.15" hidden="false" customHeight="false" outlineLevel="0" collapsed="false">
      <c r="A12" s="4" t="s">
        <v>405</v>
      </c>
      <c r="B12" s="16" t="n">
        <f aca="false">a_sfbp</f>
        <v>143.036</v>
      </c>
      <c r="C12" s="18" t="n">
        <v>41</v>
      </c>
      <c r="D12" s="16" t="n">
        <f aca="false">f_sfbp</f>
        <v>145.9</v>
      </c>
      <c r="E12" s="17" t="n">
        <f aca="false">D12/B12-1</f>
        <v>0.0200229312900249</v>
      </c>
      <c r="F12" s="17" t="n">
        <f aca="false">C12/D12</f>
        <v>0.281014393420151</v>
      </c>
      <c r="G12" s="8" t="s">
        <v>404</v>
      </c>
    </row>
    <row r="13" customFormat="false" ht="17.15" hidden="false" customHeight="false" outlineLevel="0" collapsed="false">
      <c r="A13" s="4" t="s">
        <v>407</v>
      </c>
      <c r="B13" s="16" t="n">
        <f aca="false">a_ffbp</f>
        <v>8.457</v>
      </c>
      <c r="C13" s="18" t="n">
        <v>2.1</v>
      </c>
      <c r="D13" s="16" t="n">
        <f aca="false">f_ffbp</f>
        <v>12.1</v>
      </c>
      <c r="E13" s="17" t="n">
        <f aca="false">D13/B13-1</f>
        <v>0.430767411611682</v>
      </c>
      <c r="F13" s="17" t="n">
        <f aca="false">C13/D13</f>
        <v>0.173553719008264</v>
      </c>
      <c r="G13" s="8" t="s">
        <v>404</v>
      </c>
    </row>
    <row r="14" customFormat="false" ht="17.15" hidden="false" customHeight="false" outlineLevel="0" collapsed="false">
      <c r="A14" s="4" t="s">
        <v>408</v>
      </c>
      <c r="B14" s="16" t="n">
        <f aca="false">a_hobp</f>
        <v>66.202</v>
      </c>
      <c r="C14" s="18" t="n">
        <v>25.1</v>
      </c>
      <c r="D14" s="16" t="n">
        <f aca="false">f_hobp</f>
        <v>85</v>
      </c>
      <c r="E14" s="17" t="n">
        <f aca="false">D14/B14-1</f>
        <v>0.283949125404066</v>
      </c>
      <c r="F14" s="17" t="n">
        <f aca="false">C14/D14</f>
        <v>0.295294117647059</v>
      </c>
      <c r="G14" s="8" t="s">
        <v>404</v>
      </c>
    </row>
    <row r="15" customFormat="false" ht="17.15" hidden="false" customHeight="false" outlineLevel="0" collapsed="false">
      <c r="A15" s="4" t="s">
        <v>414</v>
      </c>
      <c r="B15" s="16" t="n">
        <f aca="false">a_fmbp</f>
        <v>54.6</v>
      </c>
      <c r="C15" s="16" t="n">
        <f aca="false">q1_fmbp</f>
        <v>19.1</v>
      </c>
      <c r="D15" s="16" t="n">
        <f aca="false">f_fmbp</f>
        <v>65.5</v>
      </c>
      <c r="E15" s="17" t="n">
        <f aca="false">D15/B15-1</f>
        <v>0.1996336996337</v>
      </c>
      <c r="F15" s="17" t="n">
        <f aca="false">C15/D15</f>
        <v>0.291603053435115</v>
      </c>
      <c r="G15" s="8" t="s">
        <v>415</v>
      </c>
    </row>
    <row r="16" customFormat="false" ht="17.15" hidden="false" customHeight="false" outlineLevel="0" collapsed="false">
      <c r="A16" s="4" t="s">
        <v>416</v>
      </c>
      <c r="B16" s="16" t="n">
        <f aca="false">a_hobp-a_fmbp</f>
        <v>11.602</v>
      </c>
      <c r="C16" s="18" t="n">
        <v>6</v>
      </c>
      <c r="D16" s="16" t="n">
        <f aca="false">f_hobp-f_fmbp</f>
        <v>19.5</v>
      </c>
      <c r="E16" s="17" t="n">
        <f aca="false">D16/B16-1</f>
        <v>0.680744699189795</v>
      </c>
      <c r="F16" s="17" t="n">
        <f aca="false">C16/D16</f>
        <v>0.307692307692308</v>
      </c>
      <c r="G16" s="8" t="s">
        <v>32</v>
      </c>
    </row>
    <row r="17" customFormat="false" ht="17.15" hidden="false" customHeight="false" outlineLevel="0" collapsed="false">
      <c r="A17" s="4" t="s">
        <v>412</v>
      </c>
      <c r="B17" s="16" t="n">
        <f aca="false">a_othbp</f>
        <v>6.064</v>
      </c>
      <c r="C17" s="18" t="n">
        <v>1.6</v>
      </c>
      <c r="D17" s="16" t="n">
        <f aca="false">f_othbp</f>
        <v>5.1</v>
      </c>
      <c r="E17" s="17" t="n">
        <f aca="false">D17/B17-1</f>
        <v>-0.158970976253298</v>
      </c>
      <c r="F17" s="17" t="n">
        <f aca="false">C17/D17</f>
        <v>0.313725490196079</v>
      </c>
      <c r="G17" s="8" t="s">
        <v>404</v>
      </c>
    </row>
    <row r="18" customFormat="false" ht="17.15" hidden="false" customHeight="false" outlineLevel="0" collapsed="false">
      <c r="A18" s="4" t="s">
        <v>417</v>
      </c>
      <c r="B18" s="16" t="n">
        <f aca="false">a_cc</f>
        <v>-42.597</v>
      </c>
      <c r="C18" s="18" t="n">
        <v>-9.9</v>
      </c>
      <c r="D18" s="16" t="n">
        <f aca="false">f_cc</f>
        <v>-46.2</v>
      </c>
      <c r="E18" s="17" t="n">
        <f aca="false">D18/B18-1</f>
        <v>0.0845834213677019</v>
      </c>
      <c r="F18" s="17" t="n">
        <f aca="false">C18/D18</f>
        <v>0.214285714285714</v>
      </c>
      <c r="G18" s="8" t="s">
        <v>404</v>
      </c>
      <c r="H18" s="4" t="s">
        <v>418</v>
      </c>
    </row>
    <row r="19" customFormat="false" ht="17.15" hidden="false" customHeight="false" outlineLevel="0" collapsed="false">
      <c r="A19" s="4" t="s">
        <v>419</v>
      </c>
      <c r="B19" s="16" t="n">
        <f aca="false">a_oi</f>
        <v>199.412</v>
      </c>
      <c r="C19" s="18" t="n">
        <v>55.895</v>
      </c>
      <c r="D19" s="16" t="n">
        <f aca="false">f_oi</f>
        <v>184.2</v>
      </c>
      <c r="E19" s="17" t="n">
        <f aca="false">D19/B19-1</f>
        <v>-0.0762842757707661</v>
      </c>
      <c r="F19" s="17" t="n">
        <f aca="false">C19/D19</f>
        <v>0.303447339847991</v>
      </c>
      <c r="G19" s="8" t="s">
        <v>404</v>
      </c>
    </row>
    <row r="20" customFormat="false" ht="17.15" hidden="false" customHeight="false" outlineLevel="0" collapsed="false">
      <c r="A20" s="4" t="s">
        <v>420</v>
      </c>
      <c r="B20" s="16" t="n">
        <f aca="false">a_ni</f>
        <v>134.675</v>
      </c>
      <c r="C20" s="16" t="n">
        <f aca="false">q1_ni</f>
        <v>36.452</v>
      </c>
      <c r="D20" s="16" t="n">
        <f aca="false">f_ni</f>
        <v>123.5</v>
      </c>
      <c r="E20" s="17" t="n">
        <f aca="false">D20/B20-1</f>
        <v>-0.0829775385186561</v>
      </c>
      <c r="F20" s="17" t="n">
        <f aca="false">C20/D20</f>
        <v>0.295157894736842</v>
      </c>
      <c r="G20" s="8" t="s">
        <v>404</v>
      </c>
      <c r="H20" s="8" t="s">
        <v>421</v>
      </c>
    </row>
    <row r="21" customFormat="false" ht="17.15" hidden="false" customHeight="false" outlineLevel="0" collapsed="false">
      <c r="A21" s="0" t="s">
        <v>422</v>
      </c>
      <c r="B21" s="19" t="n">
        <f aca="false">a_eps</f>
        <v>138.36</v>
      </c>
      <c r="C21" s="19" t="n">
        <f aca="false">q1_eps</f>
        <v>38.11</v>
      </c>
      <c r="D21" s="19" t="n">
        <f aca="false">f_eps</f>
        <v>129.84</v>
      </c>
      <c r="E21" s="17" t="n">
        <f aca="false">D21/B21-1</f>
        <v>-0.0615784908933218</v>
      </c>
      <c r="F21" s="17" t="n">
        <f aca="false">C21/D21</f>
        <v>0.293515095502157</v>
      </c>
      <c r="G21" s="8" t="s">
        <v>404</v>
      </c>
    </row>
    <row r="23" customFormat="false" ht="15" hidden="false" customHeight="false" outlineLevel="0" collapsed="false">
      <c r="A23" s="1" t="s">
        <v>423</v>
      </c>
    </row>
    <row r="24" customFormat="false" ht="17.15" hidden="false" customHeight="false" outlineLevel="0" collapsed="false">
      <c r="A24" s="0" t="s">
        <v>424</v>
      </c>
      <c r="B24" s="17" t="n">
        <f aca="false">B15/B8</f>
        <v>0.532936656671664</v>
      </c>
      <c r="C24" s="17" t="n">
        <f aca="false">C15/C8</f>
        <v>0.577039274924471</v>
      </c>
      <c r="D24" s="17" t="n">
        <f aca="false">D15/D8</f>
        <v>0.543117744610282</v>
      </c>
      <c r="G24" s="8" t="s">
        <v>32</v>
      </c>
      <c r="H24" s="8" t="s">
        <v>425</v>
      </c>
    </row>
    <row r="25" customFormat="false" ht="17.15" hidden="false" customHeight="false" outlineLevel="0" collapsed="false">
      <c r="A25" s="0" t="s">
        <v>426</v>
      </c>
      <c r="B25" s="17" t="n">
        <f aca="false">B8/B4</f>
        <v>0.0646902638662541</v>
      </c>
      <c r="C25" s="17" t="n">
        <f aca="false">C8/C4</f>
        <v>0.0803193360915301</v>
      </c>
      <c r="D25" s="17" t="n">
        <f aca="false">D8/D4</f>
        <v>0.0696304849884527</v>
      </c>
      <c r="G25" s="8" t="s">
        <v>32</v>
      </c>
    </row>
    <row r="26" customFormat="false" ht="17.15" hidden="false" customHeight="false" outlineLevel="0" collapsed="false">
      <c r="A26" s="0" t="s">
        <v>427</v>
      </c>
      <c r="B26" s="17" t="n">
        <f aca="false">B15/B11</f>
        <v>0.301386044611758</v>
      </c>
      <c r="C26" s="17" t="n">
        <f aca="false">C15/C11</f>
        <v>0.317719076452192</v>
      </c>
      <c r="D26" s="17" t="n">
        <f aca="false">D15/D11</f>
        <v>0.324257425742574</v>
      </c>
      <c r="G26" s="8" t="s">
        <v>32</v>
      </c>
      <c r="H26" s="8" t="s">
        <v>428</v>
      </c>
    </row>
    <row r="27" customFormat="false" ht="15" hidden="false" customHeight="false" outlineLevel="0" collapsed="false">
      <c r="A27" s="4" t="s">
        <v>429</v>
      </c>
      <c r="B27" s="17" t="n">
        <f aca="false">B11/B4</f>
        <v>0.114390873633517</v>
      </c>
      <c r="C27" s="17" t="n">
        <f aca="false">C11/C4</f>
        <v>0.145875444364907</v>
      </c>
      <c r="D27" s="17" t="n">
        <f aca="false">D11/D4</f>
        <v>0.11662817551963</v>
      </c>
      <c r="G27" s="8" t="s">
        <v>32</v>
      </c>
    </row>
    <row r="28" customFormat="false" ht="17.15" hidden="false" customHeight="false" outlineLevel="0" collapsed="false">
      <c r="A28" s="4" t="s">
        <v>430</v>
      </c>
      <c r="B28" s="17" t="n">
        <f aca="false">B20/B11</f>
        <v>0.743391310587703</v>
      </c>
      <c r="C28" s="17" t="n">
        <f aca="false">C20/C11</f>
        <v>0.606361035331692</v>
      </c>
      <c r="D28" s="17" t="n">
        <f aca="false">D20/D11</f>
        <v>0.611386138613861</v>
      </c>
      <c r="G28" s="8" t="s">
        <v>32</v>
      </c>
    </row>
    <row r="29" customFormat="false" ht="17.15" hidden="false" customHeight="false" outlineLevel="0" collapsed="false">
      <c r="A29" s="4" t="s">
        <v>431</v>
      </c>
      <c r="B29" s="20" t="n">
        <f aca="false">B20/B21</f>
        <v>0.973366579936398</v>
      </c>
      <c r="C29" s="20" t="n">
        <f aca="false">C20/C21</f>
        <v>0.956494358436106</v>
      </c>
      <c r="D29" s="20" t="n">
        <f aca="false">D20/D21</f>
        <v>0.95117067159581</v>
      </c>
      <c r="G29" s="8" t="s">
        <v>32</v>
      </c>
    </row>
    <row r="31" customFormat="false" ht="17.15" hidden="false" customHeight="false" outlineLevel="0" collapsed="false">
      <c r="A31" s="1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433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15" t="s">
        <v>434</v>
      </c>
      <c r="D3" s="15" t="s">
        <v>435</v>
      </c>
      <c r="E3" s="15" t="s">
        <v>436</v>
      </c>
      <c r="F3" s="15" t="s">
        <v>437</v>
      </c>
      <c r="G3" s="5" t="s">
        <v>377</v>
      </c>
    </row>
    <row r="4" customFormat="false" ht="17.15" hidden="false" customHeight="false" outlineLevel="0" collapsed="false">
      <c r="A4" s="0" t="s">
        <v>438</v>
      </c>
      <c r="B4" s="4" t="s">
        <v>31</v>
      </c>
      <c r="C4" s="21" t="n">
        <f aca="false">PL!D73</f>
        <v>7.6</v>
      </c>
      <c r="D4" s="21" t="n">
        <f aca="false">PL!E73</f>
        <v>9.7</v>
      </c>
      <c r="E4" s="21" t="n">
        <f aca="false">PL!F73</f>
        <v>9.5</v>
      </c>
      <c r="F4" s="21" t="n">
        <f aca="false">PL!G73</f>
        <v>10.6</v>
      </c>
      <c r="G4" s="8" t="s">
        <v>439</v>
      </c>
    </row>
    <row r="5" customFormat="false" ht="17.15" hidden="false" customHeight="false" outlineLevel="0" collapsed="false">
      <c r="A5" s="4" t="s">
        <v>440</v>
      </c>
      <c r="B5" s="4" t="s">
        <v>31</v>
      </c>
      <c r="C5" s="21" t="n">
        <f aca="false">PL!D74</f>
        <v>7.6</v>
      </c>
      <c r="D5" s="21" t="n">
        <f aca="false">PL!E74</f>
        <v>14</v>
      </c>
      <c r="E5" s="21" t="n">
        <f aca="false">PL!F74</f>
        <v>17</v>
      </c>
      <c r="F5" s="21" t="n">
        <f aca="false">PL!G74</f>
        <v>19.55</v>
      </c>
      <c r="G5" s="8" t="s">
        <v>439</v>
      </c>
    </row>
    <row r="6" customFormat="false" ht="17.15" hidden="false" customHeight="false" outlineLevel="0" collapsed="false">
      <c r="A6" s="4" t="s">
        <v>441</v>
      </c>
      <c r="B6" s="4" t="s">
        <v>31</v>
      </c>
      <c r="C6" s="21" t="n">
        <f aca="false">PL!D75</f>
        <v>13.68</v>
      </c>
      <c r="D6" s="21" t="n">
        <f aca="false">PL!E75</f>
        <v>20.9</v>
      </c>
      <c r="E6" s="21" t="n">
        <f aca="false">PL!F75</f>
        <v>23.1</v>
      </c>
      <c r="F6" s="21" t="n">
        <f aca="false">PL!G75</f>
        <v>26.24</v>
      </c>
      <c r="G6" s="8" t="s">
        <v>442</v>
      </c>
    </row>
    <row r="7" customFormat="false" ht="17.15" hidden="false" customHeight="false" outlineLevel="0" collapsed="false">
      <c r="A7" s="4" t="s">
        <v>443</v>
      </c>
      <c r="B7" s="0" t="s">
        <v>53</v>
      </c>
      <c r="C7" s="22" t="n">
        <f aca="false">PL!D76</f>
        <v>1</v>
      </c>
      <c r="D7" s="22" t="n">
        <f aca="false">PL!E76</f>
        <v>1.18</v>
      </c>
      <c r="E7" s="22" t="n">
        <f aca="false">PL!F76</f>
        <v>1.3924</v>
      </c>
      <c r="F7" s="22" t="n">
        <f aca="false">PL!G76</f>
        <v>1.643032</v>
      </c>
      <c r="G7" s="8" t="s">
        <v>444</v>
      </c>
    </row>
    <row r="8" customFormat="false" ht="17.15" hidden="false" customHeight="false" outlineLevel="0" collapsed="false">
      <c r="A8" s="0" t="s">
        <v>445</v>
      </c>
      <c r="B8" s="0" t="s">
        <v>53</v>
      </c>
      <c r="C8" s="22" t="n">
        <f aca="false">PL!D78</f>
        <v>1</v>
      </c>
      <c r="D8" s="22" t="n">
        <f aca="false">PL!E78</f>
        <v>1.80277777777778</v>
      </c>
      <c r="E8" s="22" t="n">
        <f aca="false">PL!F78</f>
        <v>2.28066570175439</v>
      </c>
      <c r="F8" s="22" t="n">
        <f aca="false">PL!G78</f>
        <v>2.99396942222222</v>
      </c>
      <c r="G8" s="8" t="s">
        <v>446</v>
      </c>
    </row>
    <row r="9" customFormat="false" ht="17.15" hidden="false" customHeight="false" outlineLevel="0" collapsed="false">
      <c r="A9" s="0" t="s">
        <v>447</v>
      </c>
      <c r="B9" s="0" t="s">
        <v>53</v>
      </c>
      <c r="C9" s="22" t="n">
        <f aca="false">PL!D80</f>
        <v>1</v>
      </c>
      <c r="D9" s="22" t="n">
        <f aca="false">PL!E80</f>
        <v>1.33911111111111</v>
      </c>
      <c r="E9" s="22" t="n">
        <f aca="false">PL!F80</f>
        <v>1.54880628070175</v>
      </c>
      <c r="F9" s="22" t="n">
        <f aca="false">PL!G80</f>
        <v>1.85322396888889</v>
      </c>
    </row>
    <row r="10" customFormat="false" ht="15" hidden="false" customHeight="false" outlineLevel="0" collapsed="false">
      <c r="A10" s="4" t="s">
        <v>448</v>
      </c>
      <c r="B10" s="0" t="s">
        <v>53</v>
      </c>
      <c r="C10" s="22" t="n">
        <f aca="false">PL!D81</f>
        <v>1</v>
      </c>
      <c r="D10" s="22" t="n">
        <f aca="false">PL!E81</f>
        <v>1.3</v>
      </c>
      <c r="E10" s="22" t="n">
        <f aca="false">PL!F81</f>
        <v>1.55</v>
      </c>
      <c r="F10" s="22" t="n">
        <f aca="false">PL!G81</f>
        <v>1.8</v>
      </c>
      <c r="G10" s="8" t="s">
        <v>54</v>
      </c>
    </row>
    <row r="11" customFormat="false" ht="17.15" hidden="false" customHeight="false" outlineLevel="0" collapsed="false">
      <c r="A11" s="4" t="s">
        <v>449</v>
      </c>
      <c r="B11" s="0" t="s">
        <v>78</v>
      </c>
      <c r="C11" s="17" t="n">
        <f aca="false">PL!D83</f>
        <v>1</v>
      </c>
      <c r="D11" s="17" t="n">
        <f aca="false">PL!E83</f>
        <v>0.970793229339529</v>
      </c>
      <c r="E11" s="17" t="n">
        <f aca="false">PL!F83</f>
        <v>1</v>
      </c>
      <c r="F11" s="17" t="n">
        <f aca="false">PL!G83</f>
        <v>0.971280336439422</v>
      </c>
      <c r="G11" s="4" t="s">
        <v>450</v>
      </c>
    </row>
    <row r="12" customFormat="false" ht="17.15" hidden="false" customHeight="false" outlineLevel="0" collapsed="false">
      <c r="A12" s="0" t="s">
        <v>451</v>
      </c>
      <c r="B12" s="0" t="s">
        <v>53</v>
      </c>
      <c r="C12" s="22" t="n">
        <f aca="false">PL!D84</f>
        <v>1</v>
      </c>
      <c r="D12" s="22" t="n">
        <f aca="false">PL!E84</f>
        <v>1.12</v>
      </c>
      <c r="E12" s="22" t="n">
        <f aca="false">PL!F84</f>
        <v>1.15</v>
      </c>
      <c r="F12" s="22" t="n">
        <f aca="false">PL!G84</f>
        <v>1.12</v>
      </c>
      <c r="G12" s="8" t="s">
        <v>54</v>
      </c>
    </row>
    <row r="13" customFormat="false" ht="17.15" hidden="false" customHeight="false" outlineLevel="0" collapsed="false">
      <c r="A13" s="0" t="s">
        <v>452</v>
      </c>
      <c r="B13" s="0" t="s">
        <v>170</v>
      </c>
      <c r="C13" s="16" t="n">
        <f aca="false">PL!D85</f>
        <v>48.24</v>
      </c>
      <c r="D13" s="16" t="n">
        <f aca="false">PL!E85</f>
        <v>94.5571244606705</v>
      </c>
      <c r="E13" s="16" t="n">
        <f aca="false">PL!F85</f>
        <v>126.522210470526</v>
      </c>
      <c r="F13" s="16" t="n">
        <f aca="false">PL!G85</f>
        <v>157.114865824566</v>
      </c>
    </row>
    <row r="14" customFormat="false" ht="17.15" hidden="false" customHeight="false" outlineLevel="0" collapsed="false">
      <c r="A14" s="0" t="s">
        <v>453</v>
      </c>
      <c r="B14" s="0" t="s">
        <v>170</v>
      </c>
      <c r="C14" s="16" t="n">
        <f aca="false">PL!D87</f>
        <v>120.6</v>
      </c>
      <c r="D14" s="16" t="n">
        <f aca="false">PL!E87</f>
        <v>175.5936</v>
      </c>
      <c r="E14" s="16" t="n">
        <f aca="false">PL!F87</f>
        <v>214.803943070526</v>
      </c>
      <c r="F14" s="16" t="n">
        <f aca="false">PL!G87</f>
        <v>243.1296</v>
      </c>
    </row>
    <row r="15" customFormat="false" ht="17.15" hidden="false" customHeight="false" outlineLevel="0" collapsed="false">
      <c r="A15" s="4" t="s">
        <v>454</v>
      </c>
      <c r="B15" s="0" t="s">
        <v>455</v>
      </c>
      <c r="C15" s="16" t="n">
        <f aca="false">PL!D120</f>
        <v>23.5087719298246</v>
      </c>
      <c r="D15" s="16" t="n">
        <f aca="false">PL!E120</f>
        <v>30.1617621884116</v>
      </c>
      <c r="E15" s="16" t="n">
        <f aca="false">PL!F120</f>
        <v>36.5143464561404</v>
      </c>
      <c r="F15" s="16" t="n">
        <f aca="false">PL!G120</f>
        <v>39.9173947725016</v>
      </c>
      <c r="G15" s="8" t="s">
        <v>456</v>
      </c>
    </row>
    <row r="16" customFormat="false" ht="17.15" hidden="false" customHeight="false" outlineLevel="0" collapsed="false">
      <c r="A16" s="4" t="s">
        <v>457</v>
      </c>
      <c r="B16" s="0" t="s">
        <v>455</v>
      </c>
      <c r="C16" s="23" t="n">
        <v>215.308595737464</v>
      </c>
      <c r="D16" s="23" t="n">
        <v>254.064142970207</v>
      </c>
      <c r="E16" s="23" t="n">
        <v>284.805904269603</v>
      </c>
      <c r="F16" s="23" t="n">
        <v>318.383021404545</v>
      </c>
      <c r="G16" s="8" t="s">
        <v>458</v>
      </c>
    </row>
    <row r="17" customFormat="false" ht="17.15" hidden="false" customHeight="false" outlineLevel="0" collapsed="false">
      <c r="A17" s="0" t="s">
        <v>459</v>
      </c>
      <c r="B17" s="0" t="s">
        <v>78</v>
      </c>
      <c r="C17" s="17" t="n">
        <f aca="false">C15/C16</f>
        <v>0.109186406837607</v>
      </c>
      <c r="D17" s="17" t="n">
        <f aca="false">D15/D16</f>
        <v>0.118717115433123</v>
      </c>
      <c r="E17" s="17" t="n">
        <f aca="false">E15/E16</f>
        <v>0.128207828239316</v>
      </c>
      <c r="F17" s="17" t="n">
        <f aca="false">F15/F16</f>
        <v>0.125375387784205</v>
      </c>
      <c r="G17" s="8" t="s">
        <v>460</v>
      </c>
    </row>
    <row r="18" customFormat="false" ht="17.15" hidden="false" customHeight="false" outlineLevel="0" collapsed="false">
      <c r="A18" s="4" t="s">
        <v>461</v>
      </c>
      <c r="B18" s="0" t="s">
        <v>170</v>
      </c>
      <c r="C18" s="18" t="n">
        <v>243.75</v>
      </c>
      <c r="D18" s="18" t="n">
        <v>392.916294642857</v>
      </c>
      <c r="E18" s="18" t="n">
        <v>434.671226785714</v>
      </c>
      <c r="F18" s="18" t="n">
        <v>530.395803596334</v>
      </c>
      <c r="G18" s="8" t="s">
        <v>462</v>
      </c>
    </row>
    <row r="19" customFormat="false" ht="17.15" hidden="false" customHeight="false" outlineLevel="0" collapsed="false">
      <c r="A19" s="4" t="s">
        <v>463</v>
      </c>
      <c r="B19" s="0" t="s">
        <v>464</v>
      </c>
      <c r="D19" s="17" t="n">
        <f aca="false">(D13/C13-1)-(D18/C18-1)</f>
        <v>0.348175110236595</v>
      </c>
      <c r="E19" s="17" t="n">
        <f aca="false">(E13/D13-1)-(E18/D18-1)</f>
        <v>0.231781248643857</v>
      </c>
      <c r="F19" s="17" t="n">
        <f aca="false">(F13/E13-1)-(F18/E18-1)</f>
        <v>0.021573775830841</v>
      </c>
      <c r="G19" s="4" t="s">
        <v>465</v>
      </c>
    </row>
    <row r="21" customFormat="false" ht="17.15" hidden="false" customHeight="false" outlineLevel="0" collapsed="false">
      <c r="A21" s="1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467</v>
      </c>
    </row>
    <row r="2" customFormat="false" ht="17.15" hidden="false" customHeight="false" outlineLevel="0" collapsed="false">
      <c r="A2" s="4" t="s">
        <v>468</v>
      </c>
    </row>
    <row r="3" customFormat="false" ht="17.15" hidden="false" customHeight="false" outlineLevel="0" collapsed="false">
      <c r="A3" s="5" t="s">
        <v>469</v>
      </c>
      <c r="B3" s="5" t="s">
        <v>21</v>
      </c>
      <c r="C3" s="15" t="s">
        <v>398</v>
      </c>
      <c r="D3" s="15" t="s">
        <v>470</v>
      </c>
      <c r="E3" s="15" t="s">
        <v>435</v>
      </c>
      <c r="F3" s="15" t="s">
        <v>436</v>
      </c>
      <c r="G3" s="15" t="s">
        <v>437</v>
      </c>
      <c r="H3" s="15" t="s">
        <v>471</v>
      </c>
      <c r="I3" s="15" t="s">
        <v>472</v>
      </c>
      <c r="J3" s="15" t="s">
        <v>473</v>
      </c>
      <c r="K3" s="5" t="s">
        <v>377</v>
      </c>
    </row>
    <row r="4" customFormat="false" ht="17.15" hidden="false" customHeight="false" outlineLevel="0" collapsed="false">
      <c r="A4" s="1" t="s">
        <v>474</v>
      </c>
    </row>
    <row r="5" customFormat="false" ht="15" hidden="false" customHeight="false" outlineLevel="0" collapsed="false">
      <c r="A5" s="4" t="s">
        <v>403</v>
      </c>
      <c r="B5" s="0" t="s">
        <v>170</v>
      </c>
      <c r="C5" s="16" t="n">
        <f aca="false">C103</f>
        <v>1583.719</v>
      </c>
      <c r="D5" s="16" t="n">
        <f aca="false">D103</f>
        <v>1732</v>
      </c>
      <c r="E5" s="16" t="n">
        <f aca="false">E103</f>
        <v>1850.5656</v>
      </c>
      <c r="F5" s="16" t="n">
        <f aca="false">F103</f>
        <v>1955.94074307053</v>
      </c>
      <c r="G5" s="16" t="n">
        <f aca="false">G103</f>
        <v>2053.1320716</v>
      </c>
      <c r="H5" s="24" t="n">
        <f aca="false">H103</f>
        <v>2162.20857776426</v>
      </c>
      <c r="I5" s="24" t="n">
        <f aca="false">I103</f>
        <v>2284.5105355383</v>
      </c>
      <c r="J5" s="24" t="n">
        <f aca="false">J103</f>
        <v>2421.5811676706</v>
      </c>
    </row>
    <row r="6" customFormat="false" ht="15" hidden="false" customHeight="false" outlineLevel="0" collapsed="false">
      <c r="A6" s="4" t="s">
        <v>475</v>
      </c>
      <c r="B6" s="0" t="s">
        <v>78</v>
      </c>
      <c r="D6" s="17" t="n">
        <f aca="false">D107</f>
        <v>0.0936283519993131</v>
      </c>
      <c r="E6" s="17" t="n">
        <f aca="false">E107</f>
        <v>0.0684558891454965</v>
      </c>
      <c r="F6" s="17" t="n">
        <f aca="false">F107</f>
        <v>0.0569421278935081</v>
      </c>
      <c r="G6" s="17" t="n">
        <f aca="false">G107</f>
        <v>0.0496903236326567</v>
      </c>
      <c r="H6" s="25" t="n">
        <f aca="false">H107</f>
        <v>0.0531268824217711</v>
      </c>
      <c r="I6" s="25" t="n">
        <f aca="false">I107</f>
        <v>0.0565634412108856</v>
      </c>
      <c r="J6" s="25" t="n">
        <f aca="false">J107</f>
        <v>0.06</v>
      </c>
    </row>
    <row r="7" customFormat="false" ht="17.15" hidden="false" customHeight="false" outlineLevel="0" collapsed="false">
      <c r="A7" s="4" t="s">
        <v>476</v>
      </c>
      <c r="B7" s="0" t="s">
        <v>170</v>
      </c>
      <c r="C7" s="16" t="n">
        <f aca="false">C87</f>
        <v>102.4512</v>
      </c>
      <c r="D7" s="16" t="n">
        <f aca="false">D87</f>
        <v>120.6</v>
      </c>
      <c r="E7" s="16" t="n">
        <f aca="false">E87</f>
        <v>175.5936</v>
      </c>
      <c r="F7" s="16" t="n">
        <f aca="false">F87</f>
        <v>214.803943070526</v>
      </c>
      <c r="G7" s="16" t="n">
        <f aca="false">G87</f>
        <v>243.1296</v>
      </c>
    </row>
    <row r="8" customFormat="false" ht="17.15" hidden="false" customHeight="false" outlineLevel="0" collapsed="false">
      <c r="A8" s="4" t="s">
        <v>477</v>
      </c>
      <c r="B8" s="0" t="s">
        <v>170</v>
      </c>
      <c r="D8" s="16" t="n">
        <f aca="false">D85</f>
        <v>48.24</v>
      </c>
      <c r="E8" s="16" t="n">
        <f aca="false">E85</f>
        <v>94.5571244606705</v>
      </c>
      <c r="F8" s="16" t="n">
        <f aca="false">F85</f>
        <v>126.522210470526</v>
      </c>
      <c r="G8" s="16" t="n">
        <f aca="false">G85</f>
        <v>157.114865824566</v>
      </c>
    </row>
    <row r="9" customFormat="false" ht="17.15" hidden="false" customHeight="false" outlineLevel="0" collapsed="false">
      <c r="A9" s="0" t="s">
        <v>424</v>
      </c>
      <c r="B9" s="0" t="s">
        <v>78</v>
      </c>
      <c r="C9" s="17" t="n">
        <f aca="false">C88</f>
        <v>0.532936656671664</v>
      </c>
      <c r="D9" s="17" t="n">
        <f aca="false">D88</f>
        <v>0.543117744610282</v>
      </c>
      <c r="E9" s="17" t="n">
        <f aca="false">E88</f>
        <v>0.579831497275527</v>
      </c>
      <c r="F9" s="17" t="n">
        <f aca="false">F88</f>
        <v>0.578516187180042</v>
      </c>
      <c r="G9" s="17" t="n">
        <f aca="false">G88</f>
        <v>0.554243235459607</v>
      </c>
    </row>
    <row r="10" customFormat="false" ht="17.15" hidden="false" customHeight="false" outlineLevel="0" collapsed="false">
      <c r="A10" s="0" t="s">
        <v>478</v>
      </c>
      <c r="B10" s="0" t="s">
        <v>170</v>
      </c>
      <c r="C10" s="16" t="n">
        <f aca="false">C89</f>
        <v>54.6</v>
      </c>
      <c r="D10" s="16" t="n">
        <f aca="false">D89</f>
        <v>65.5</v>
      </c>
      <c r="E10" s="16" t="n">
        <f aca="false">E89</f>
        <v>101.8147</v>
      </c>
      <c r="F10" s="16" t="n">
        <f aca="false">F89</f>
        <v>124.2675581364</v>
      </c>
      <c r="G10" s="16" t="n">
        <f aca="false">G89</f>
        <v>134.75293614</v>
      </c>
    </row>
    <row r="11" customFormat="false" ht="15" hidden="false" customHeight="false" outlineLevel="0" collapsed="false">
      <c r="A11" s="4" t="s">
        <v>413</v>
      </c>
      <c r="B11" s="0" t="s">
        <v>170</v>
      </c>
      <c r="C11" s="16" t="n">
        <f aca="false">C109</f>
        <v>181.163</v>
      </c>
      <c r="D11" s="16" t="n">
        <f aca="false">D109</f>
        <v>202</v>
      </c>
      <c r="E11" s="16" t="n">
        <f aca="false">E109</f>
        <v>246.03601</v>
      </c>
      <c r="F11" s="16" t="n">
        <f aca="false">F109</f>
        <v>274.5863674364</v>
      </c>
      <c r="G11" s="16" t="n">
        <f aca="false">G109</f>
        <v>291.433339119</v>
      </c>
    </row>
    <row r="12" customFormat="false" ht="15" hidden="false" customHeight="false" outlineLevel="0" collapsed="false">
      <c r="A12" s="4" t="s">
        <v>479</v>
      </c>
      <c r="B12" s="0" t="s">
        <v>78</v>
      </c>
      <c r="C12" s="17" t="n">
        <f aca="false">C110</f>
        <v>0.114390873633517</v>
      </c>
      <c r="D12" s="17" t="n">
        <f aca="false">D110</f>
        <v>0.11662817551963</v>
      </c>
      <c r="E12" s="17" t="n">
        <f aca="false">E110</f>
        <v>0.132951790522854</v>
      </c>
      <c r="F12" s="17" t="n">
        <f aca="false">F110</f>
        <v>0.140385831426233</v>
      </c>
      <c r="G12" s="17" t="n">
        <f aca="false">G110</f>
        <v>0.141945734105594</v>
      </c>
    </row>
    <row r="13" customFormat="false" ht="17.15" hidden="false" customHeight="false" outlineLevel="0" collapsed="false">
      <c r="A13" s="0" t="s">
        <v>480</v>
      </c>
      <c r="B13" s="0" t="s">
        <v>78</v>
      </c>
      <c r="C13" s="17" t="n">
        <f aca="false">C111</f>
        <v>0.301386044611758</v>
      </c>
      <c r="D13" s="17" t="n">
        <f aca="false">D111</f>
        <v>0.324257425742574</v>
      </c>
      <c r="E13" s="17" t="n">
        <f aca="false">E111</f>
        <v>0.413820318415991</v>
      </c>
      <c r="F13" s="17" t="n">
        <f aca="false">F111</f>
        <v>0.452562737533511</v>
      </c>
      <c r="G13" s="17" t="n">
        <f aca="false">G111</f>
        <v>0.462379961562931</v>
      </c>
    </row>
    <row r="14" customFormat="false" ht="15" hidden="false" customHeight="false" outlineLevel="0" collapsed="false">
      <c r="A14" s="4" t="s">
        <v>481</v>
      </c>
      <c r="B14" s="0" t="s">
        <v>170</v>
      </c>
      <c r="C14" s="16" t="n">
        <f aca="false">C113</f>
        <v>134.675</v>
      </c>
      <c r="D14" s="16" t="n">
        <f aca="false">D113</f>
        <v>123.5</v>
      </c>
      <c r="E14" s="16" t="n">
        <f aca="false">E113</f>
        <v>152.5423262</v>
      </c>
      <c r="F14" s="16" t="n">
        <f aca="false">F113</f>
        <v>170.243547810568</v>
      </c>
      <c r="G14" s="16" t="n">
        <f aca="false">G113</f>
        <v>180.68867025378</v>
      </c>
      <c r="H14" s="24" t="n">
        <f aca="false">H113</f>
        <v>190.288095993299</v>
      </c>
      <c r="I14" s="24" t="n">
        <f aca="false">I113</f>
        <v>201.051445524147</v>
      </c>
      <c r="J14" s="24" t="n">
        <f aca="false">J113</f>
        <v>213.114532255596</v>
      </c>
    </row>
    <row r="15" customFormat="false" ht="15" hidden="false" customHeight="false" outlineLevel="0" collapsed="false">
      <c r="A15" s="4" t="s">
        <v>482</v>
      </c>
      <c r="B15" s="0" t="s">
        <v>78</v>
      </c>
      <c r="C15" s="14" t="n">
        <f aca="false">C117</f>
        <v>0.0850371814696925</v>
      </c>
      <c r="D15" s="14" t="n">
        <f aca="false">D117</f>
        <v>0.0713048498845266</v>
      </c>
      <c r="E15" s="14" t="n">
        <f aca="false">E117</f>
        <v>0.0824301101241696</v>
      </c>
      <c r="F15" s="14" t="n">
        <f aca="false">F117</f>
        <v>0.0870392154842644</v>
      </c>
      <c r="G15" s="14" t="n">
        <f aca="false">G117</f>
        <v>0.088006355145468</v>
      </c>
      <c r="H15" s="26" t="n">
        <f aca="false">H117</f>
        <v>0.088006355145468</v>
      </c>
      <c r="I15" s="26" t="n">
        <f aca="false">I117</f>
        <v>0.088006355145468</v>
      </c>
      <c r="J15" s="26" t="n">
        <f aca="false">J117</f>
        <v>0.088006355145468</v>
      </c>
    </row>
    <row r="16" customFormat="false" ht="15" hidden="false" customHeight="false" outlineLevel="0" collapsed="false">
      <c r="A16" s="0" t="s">
        <v>483</v>
      </c>
      <c r="B16" s="0" t="s">
        <v>208</v>
      </c>
      <c r="C16" s="21" t="n">
        <f aca="false">C115</f>
        <v>138.36</v>
      </c>
      <c r="D16" s="21" t="n">
        <f aca="false">D115</f>
        <v>129.84</v>
      </c>
      <c r="E16" s="21" t="n">
        <f aca="false">E115</f>
        <v>162.815476140554</v>
      </c>
      <c r="F16" s="21" t="n">
        <f aca="false">F115</f>
        <v>184.47594742965</v>
      </c>
      <c r="G16" s="21" t="n">
        <f aca="false">G115</f>
        <v>198.775923353582</v>
      </c>
      <c r="H16" s="27" t="n">
        <f aca="false">H115</f>
        <v>212.524130418138</v>
      </c>
      <c r="I16" s="27" t="n">
        <f aca="false">I115</f>
        <v>227.964697030395</v>
      </c>
      <c r="J16" s="27" t="n">
        <f aca="false">J115</f>
        <v>245.322415078395</v>
      </c>
    </row>
    <row r="17" customFormat="false" ht="17.15" hidden="false" customHeight="false" outlineLevel="0" collapsed="false">
      <c r="A17" s="0" t="s">
        <v>484</v>
      </c>
      <c r="B17" s="0" t="s">
        <v>78</v>
      </c>
      <c r="D17" s="17" t="n">
        <f aca="false">D116</f>
        <v>-0.0615784908933218</v>
      </c>
      <c r="E17" s="17" t="n">
        <f aca="false">E116</f>
        <v>0.253970087342527</v>
      </c>
      <c r="F17" s="17" t="n">
        <f aca="false">F116</f>
        <v>0.133036931147734</v>
      </c>
      <c r="G17" s="17" t="n">
        <f aca="false">G116</f>
        <v>0.0775167501410168</v>
      </c>
      <c r="H17" s="25" t="n">
        <f aca="false">H116</f>
        <v>0.0691643476363157</v>
      </c>
      <c r="I17" s="25" t="n">
        <f aca="false">I116</f>
        <v>0.0726532398080058</v>
      </c>
      <c r="J17" s="25" t="n">
        <f aca="false">J116</f>
        <v>0.0761421319796956</v>
      </c>
    </row>
    <row r="18" customFormat="false" ht="17.15" hidden="false" customHeight="false" outlineLevel="0" collapsed="false">
      <c r="A18" s="0" t="s">
        <v>485</v>
      </c>
      <c r="B18" s="0" t="s">
        <v>208</v>
      </c>
      <c r="D18" s="21" t="n">
        <f aca="false">D118</f>
        <v>42.1015841584158</v>
      </c>
      <c r="E18" s="21" t="n">
        <f aca="false">E118</f>
        <v>67.3763521795352</v>
      </c>
      <c r="F18" s="21" t="n">
        <f aca="false">F118</f>
        <v>83.4869397778505</v>
      </c>
      <c r="G18" s="21" t="n">
        <f aca="false">G118</f>
        <v>91.9100037998652</v>
      </c>
    </row>
    <row r="20" customFormat="false" ht="17.15" hidden="false" customHeight="false" outlineLevel="0" collapsed="false">
      <c r="A20" s="1" t="s">
        <v>486</v>
      </c>
    </row>
    <row r="21" customFormat="false" ht="15" hidden="false" customHeight="false" outlineLevel="0" collapsed="false">
      <c r="A21" s="4" t="s">
        <v>403</v>
      </c>
      <c r="B21" s="0" t="s">
        <v>170</v>
      </c>
      <c r="C21" s="16" t="n">
        <f aca="false">C156</f>
        <v>1583.719</v>
      </c>
      <c r="D21" s="16" t="n">
        <f aca="false">D156</f>
        <v>1732</v>
      </c>
      <c r="E21" s="16" t="n">
        <f aca="false">E156</f>
        <v>1850.5656</v>
      </c>
      <c r="F21" s="16" t="n">
        <f aca="false">F156</f>
        <v>1921.1613259276</v>
      </c>
      <c r="G21" s="16" t="n">
        <f aca="false">G156</f>
        <v>2024.75432417496</v>
      </c>
      <c r="H21" s="24" t="n">
        <f aca="false">H156</f>
        <v>2124.53701336304</v>
      </c>
      <c r="I21" s="24" t="n">
        <f aca="false">I156</f>
        <v>2219.37781258359</v>
      </c>
      <c r="J21" s="24" t="n">
        <f aca="false">J156</f>
        <v>2308.15292508694</v>
      </c>
    </row>
    <row r="22" customFormat="false" ht="15" hidden="false" customHeight="false" outlineLevel="0" collapsed="false">
      <c r="A22" s="4" t="s">
        <v>475</v>
      </c>
      <c r="B22" s="0" t="s">
        <v>78</v>
      </c>
      <c r="D22" s="17" t="n">
        <f aca="false">D160</f>
        <v>0.0936283519993131</v>
      </c>
      <c r="E22" s="17" t="n">
        <f aca="false">E160</f>
        <v>0.0684558891454965</v>
      </c>
      <c r="F22" s="17" t="n">
        <f aca="false">F160</f>
        <v>0.0381481888173001</v>
      </c>
      <c r="G22" s="17" t="n">
        <f aca="false">G160</f>
        <v>0.0539220714311148</v>
      </c>
      <c r="H22" s="25" t="n">
        <f aca="false">H160</f>
        <v>0.0492813809540766</v>
      </c>
      <c r="I22" s="25" t="n">
        <f aca="false">I160</f>
        <v>0.0446406904770383</v>
      </c>
      <c r="J22" s="25" t="n">
        <f aca="false">J160</f>
        <v>0.04</v>
      </c>
    </row>
    <row r="23" customFormat="false" ht="17.15" hidden="false" customHeight="false" outlineLevel="0" collapsed="false">
      <c r="A23" s="4" t="s">
        <v>476</v>
      </c>
      <c r="B23" s="0" t="s">
        <v>170</v>
      </c>
      <c r="C23" s="16" t="n">
        <f aca="false">C140</f>
        <v>102.4512</v>
      </c>
      <c r="D23" s="16" t="n">
        <f aca="false">D140</f>
        <v>120.6</v>
      </c>
      <c r="E23" s="16" t="n">
        <f aca="false">E140</f>
        <v>175.5936</v>
      </c>
      <c r="F23" s="16" t="n">
        <f aca="false">F140</f>
        <v>180.0245259276</v>
      </c>
      <c r="G23" s="16" t="n">
        <f aca="false">G140</f>
        <v>214.751852574963</v>
      </c>
    </row>
    <row r="24" customFormat="false" ht="17.15" hidden="false" customHeight="false" outlineLevel="0" collapsed="false">
      <c r="A24" s="4" t="s">
        <v>477</v>
      </c>
      <c r="B24" s="0" t="s">
        <v>170</v>
      </c>
      <c r="D24" s="16" t="n">
        <f aca="false">D138</f>
        <v>48.24</v>
      </c>
      <c r="E24" s="16" t="n">
        <f aca="false">E138</f>
        <v>94.5571244606705</v>
      </c>
      <c r="F24" s="16" t="n">
        <f aca="false">F138</f>
        <v>96.1568799576</v>
      </c>
      <c r="G24" s="16" t="n">
        <f aca="false">G138</f>
        <v>130.621664408883</v>
      </c>
    </row>
    <row r="25" customFormat="false" ht="17.15" hidden="false" customHeight="false" outlineLevel="0" collapsed="false">
      <c r="A25" s="0" t="s">
        <v>424</v>
      </c>
      <c r="B25" s="0" t="s">
        <v>78</v>
      </c>
      <c r="C25" s="17" t="n">
        <f aca="false">C141</f>
        <v>0.532936656671664</v>
      </c>
      <c r="D25" s="17" t="n">
        <f aca="false">D141</f>
        <v>0.543117744610282</v>
      </c>
      <c r="E25" s="17" t="n">
        <f aca="false">E141</f>
        <v>0.579831497275527</v>
      </c>
      <c r="F25" s="17" t="n">
        <f aca="false">F141</f>
        <v>0.55633282861057</v>
      </c>
      <c r="G25" s="17" t="n">
        <f aca="false">G141</f>
        <v>0.530782353115376</v>
      </c>
    </row>
    <row r="26" customFormat="false" ht="17.15" hidden="false" customHeight="false" outlineLevel="0" collapsed="false">
      <c r="A26" s="0" t="s">
        <v>478</v>
      </c>
      <c r="B26" s="0" t="s">
        <v>170</v>
      </c>
      <c r="C26" s="16" t="n">
        <f aca="false">C142</f>
        <v>54.6</v>
      </c>
      <c r="D26" s="16" t="n">
        <f aca="false">D142</f>
        <v>65.5</v>
      </c>
      <c r="E26" s="16" t="n">
        <f aca="false">E142</f>
        <v>101.8147</v>
      </c>
      <c r="F26" s="16" t="n">
        <f aca="false">F142</f>
        <v>100.153553728579</v>
      </c>
      <c r="G26" s="16" t="n">
        <f aca="false">G142</f>
        <v>113.986493645625</v>
      </c>
    </row>
    <row r="27" customFormat="false" ht="15" hidden="false" customHeight="false" outlineLevel="0" collapsed="false">
      <c r="A27" s="4" t="s">
        <v>413</v>
      </c>
      <c r="B27" s="0" t="s">
        <v>170</v>
      </c>
      <c r="C27" s="16" t="n">
        <f aca="false">C162</f>
        <v>181.163</v>
      </c>
      <c r="D27" s="16" t="n">
        <f aca="false">D162</f>
        <v>202</v>
      </c>
      <c r="E27" s="16" t="n">
        <f aca="false">E162</f>
        <v>246.03601</v>
      </c>
      <c r="F27" s="16" t="n">
        <f aca="false">F162</f>
        <v>250.472363028579</v>
      </c>
      <c r="G27" s="16" t="n">
        <f aca="false">G162</f>
        <v>270.666896624625</v>
      </c>
    </row>
    <row r="28" customFormat="false" ht="15" hidden="false" customHeight="false" outlineLevel="0" collapsed="false">
      <c r="A28" s="4" t="s">
        <v>479</v>
      </c>
      <c r="B28" s="0" t="s">
        <v>78</v>
      </c>
      <c r="C28" s="17" t="n">
        <f aca="false">C163</f>
        <v>0.114390873633517</v>
      </c>
      <c r="D28" s="17" t="n">
        <f aca="false">D163</f>
        <v>0.11662817551963</v>
      </c>
      <c r="E28" s="17" t="n">
        <f aca="false">E163</f>
        <v>0.132951790522854</v>
      </c>
      <c r="F28" s="17" t="n">
        <f aca="false">F163</f>
        <v>0.130375497178844</v>
      </c>
      <c r="G28" s="17" t="n">
        <f aca="false">G163</f>
        <v>0.133678883108406</v>
      </c>
    </row>
    <row r="29" customFormat="false" ht="17.15" hidden="false" customHeight="false" outlineLevel="0" collapsed="false">
      <c r="A29" s="0" t="s">
        <v>480</v>
      </c>
      <c r="B29" s="0" t="s">
        <v>78</v>
      </c>
      <c r="C29" s="17" t="n">
        <f aca="false">C164</f>
        <v>0.301386044611758</v>
      </c>
      <c r="D29" s="17" t="n">
        <f aca="false">D164</f>
        <v>0.324257425742574</v>
      </c>
      <c r="E29" s="17" t="n">
        <f aca="false">E164</f>
        <v>0.413820318415991</v>
      </c>
      <c r="F29" s="17" t="n">
        <f aca="false">F164</f>
        <v>0.399858701046196</v>
      </c>
      <c r="G29" s="17" t="n">
        <f aca="false">G164</f>
        <v>0.42113200789274</v>
      </c>
    </row>
    <row r="30" customFormat="false" ht="15" hidden="false" customHeight="false" outlineLevel="0" collapsed="false">
      <c r="A30" s="4" t="s">
        <v>481</v>
      </c>
      <c r="B30" s="0" t="s">
        <v>170</v>
      </c>
      <c r="C30" s="16" t="n">
        <f aca="false">C166</f>
        <v>134.675</v>
      </c>
      <c r="D30" s="16" t="n">
        <f aca="false">D166</f>
        <v>123.5</v>
      </c>
      <c r="E30" s="16" t="n">
        <f aca="false">E166</f>
        <v>152.5423262</v>
      </c>
      <c r="F30" s="16" t="n">
        <f aca="false">F166</f>
        <v>155.292865077719</v>
      </c>
      <c r="G30" s="16" t="n">
        <f aca="false">G166</f>
        <v>167.813475907268</v>
      </c>
      <c r="H30" s="24" t="n">
        <f aca="false">H166</f>
        <v>170.214103884592</v>
      </c>
      <c r="I30" s="24" t="n">
        <f aca="false">I166</f>
        <v>171.681110769174</v>
      </c>
      <c r="J30" s="24" t="n">
        <f aca="false">J166</f>
        <v>172.171628228515</v>
      </c>
    </row>
    <row r="31" customFormat="false" ht="15" hidden="false" customHeight="false" outlineLevel="0" collapsed="false">
      <c r="A31" s="4" t="s">
        <v>482</v>
      </c>
      <c r="B31" s="0" t="s">
        <v>78</v>
      </c>
      <c r="C31" s="14" t="n">
        <f aca="false">C170</f>
        <v>0.0850371814696925</v>
      </c>
      <c r="D31" s="14" t="n">
        <f aca="false">D170</f>
        <v>0.0713048498845266</v>
      </c>
      <c r="E31" s="14" t="n">
        <f aca="false">E170</f>
        <v>0.0824301101241696</v>
      </c>
      <c r="F31" s="14" t="n">
        <f aca="false">F170</f>
        <v>0.0808328082508835</v>
      </c>
      <c r="G31" s="14" t="n">
        <f aca="false">G170</f>
        <v>0.082880907527212</v>
      </c>
      <c r="H31" s="26" t="n">
        <f aca="false">H170</f>
        <v>0.0801182106096382</v>
      </c>
      <c r="I31" s="26" t="n">
        <f aca="false">I170</f>
        <v>0.0773555136920645</v>
      </c>
      <c r="J31" s="26" t="n">
        <f aca="false">J170</f>
        <v>0.0745928167744908</v>
      </c>
    </row>
    <row r="32" customFormat="false" ht="15" hidden="false" customHeight="false" outlineLevel="0" collapsed="false">
      <c r="A32" s="0" t="s">
        <v>483</v>
      </c>
      <c r="B32" s="0" t="s">
        <v>208</v>
      </c>
      <c r="C32" s="21" t="n">
        <f aca="false">C168</f>
        <v>138.36</v>
      </c>
      <c r="D32" s="21" t="n">
        <f aca="false">D168</f>
        <v>129.84</v>
      </c>
      <c r="E32" s="21" t="n">
        <f aca="false">E168</f>
        <v>162.815476140554</v>
      </c>
      <c r="F32" s="21" t="n">
        <f aca="false">F168</f>
        <v>168.275384193437</v>
      </c>
      <c r="G32" s="21" t="n">
        <f aca="false">G168</f>
        <v>184.611899449978</v>
      </c>
      <c r="H32" s="27" t="n">
        <f aca="false">H168</f>
        <v>190.104400509896</v>
      </c>
      <c r="I32" s="27" t="n">
        <f aca="false">I168</f>
        <v>194.662775491639</v>
      </c>
      <c r="J32" s="27" t="n">
        <f aca="false">J168</f>
        <v>198.191832335215</v>
      </c>
    </row>
    <row r="33" customFormat="false" ht="17.15" hidden="false" customHeight="false" outlineLevel="0" collapsed="false">
      <c r="A33" s="0" t="s">
        <v>484</v>
      </c>
      <c r="B33" s="0" t="s">
        <v>78</v>
      </c>
      <c r="D33" s="17" t="n">
        <f aca="false">D169</f>
        <v>-0.0615784908933218</v>
      </c>
      <c r="E33" s="17" t="n">
        <f aca="false">E169</f>
        <v>0.253970087342527</v>
      </c>
      <c r="F33" s="17" t="n">
        <f aca="false">F169</f>
        <v>0.0335343309021159</v>
      </c>
      <c r="G33" s="17" t="n">
        <f aca="false">G169</f>
        <v>0.0970820261967882</v>
      </c>
      <c r="H33" s="25" t="n">
        <f aca="false">H169</f>
        <v>0.0297516090581462</v>
      </c>
      <c r="I33" s="25" t="n">
        <f aca="false">I169</f>
        <v>0.0239782717786479</v>
      </c>
      <c r="J33" s="25" t="n">
        <f aca="false">J169</f>
        <v>0.0181290790427846</v>
      </c>
    </row>
    <row r="34" customFormat="false" ht="17.15" hidden="false" customHeight="false" outlineLevel="0" collapsed="false">
      <c r="A34" s="0" t="s">
        <v>485</v>
      </c>
      <c r="B34" s="0" t="s">
        <v>208</v>
      </c>
      <c r="D34" s="21" t="n">
        <f aca="false">D171</f>
        <v>42.1015841584158</v>
      </c>
      <c r="E34" s="21" t="n">
        <f aca="false">E171</f>
        <v>67.3763521795352</v>
      </c>
      <c r="F34" s="21" t="n">
        <f aca="false">F171</f>
        <v>67.2863765416371</v>
      </c>
      <c r="G34" s="21" t="n">
        <f aca="false">G171</f>
        <v>77.7459798962621</v>
      </c>
    </row>
    <row r="36" customFormat="false" ht="17.15" hidden="false" customHeight="false" outlineLevel="0" collapsed="false">
      <c r="A36" s="1" t="s">
        <v>487</v>
      </c>
    </row>
    <row r="37" customFormat="false" ht="15" hidden="false" customHeight="false" outlineLevel="0" collapsed="false">
      <c r="A37" s="4" t="s">
        <v>403</v>
      </c>
      <c r="B37" s="0" t="s">
        <v>170</v>
      </c>
      <c r="C37" s="16" t="n">
        <f aca="false">C209</f>
        <v>1583.719</v>
      </c>
      <c r="D37" s="16" t="n">
        <f aca="false">D209</f>
        <v>1732</v>
      </c>
      <c r="E37" s="16" t="n">
        <f aca="false">E209</f>
        <v>1850.5656</v>
      </c>
      <c r="F37" s="16" t="n">
        <f aca="false">F209</f>
        <v>1885.62845181644</v>
      </c>
      <c r="G37" s="16" t="n">
        <f aca="false">G209</f>
        <v>1973.34317693265</v>
      </c>
      <c r="H37" s="24" t="n">
        <f aca="false">H209</f>
        <v>2047.695461452</v>
      </c>
      <c r="I37" s="24" t="n">
        <f aca="false">I209</f>
        <v>2106.74929345373</v>
      </c>
      <c r="J37" s="24" t="n">
        <f aca="false">J209</f>
        <v>2148.8842793228</v>
      </c>
    </row>
    <row r="38" customFormat="false" ht="15" hidden="false" customHeight="false" outlineLevel="0" collapsed="false">
      <c r="A38" s="4" t="s">
        <v>475</v>
      </c>
      <c r="B38" s="0" t="s">
        <v>78</v>
      </c>
      <c r="D38" s="17" t="n">
        <f aca="false">D213</f>
        <v>0.0936283519993131</v>
      </c>
      <c r="E38" s="17" t="n">
        <f aca="false">E213</f>
        <v>0.0684558891454965</v>
      </c>
      <c r="F38" s="17" t="n">
        <f aca="false">F213</f>
        <v>0.0189471001819326</v>
      </c>
      <c r="G38" s="17" t="n">
        <f aca="false">G213</f>
        <v>0.0465175019138686</v>
      </c>
      <c r="H38" s="25" t="n">
        <f aca="false">H213</f>
        <v>0.0376783346092457</v>
      </c>
      <c r="I38" s="25" t="n">
        <f aca="false">I213</f>
        <v>0.0288391673046229</v>
      </c>
      <c r="J38" s="25" t="n">
        <f aca="false">J213</f>
        <v>0.02</v>
      </c>
    </row>
    <row r="39" customFormat="false" ht="17.15" hidden="false" customHeight="false" outlineLevel="0" collapsed="false">
      <c r="A39" s="4" t="s">
        <v>476</v>
      </c>
      <c r="B39" s="0" t="s">
        <v>170</v>
      </c>
      <c r="C39" s="16" t="n">
        <f aca="false">C193</f>
        <v>102.4512</v>
      </c>
      <c r="D39" s="16" t="n">
        <f aca="false">D193</f>
        <v>120.6</v>
      </c>
      <c r="E39" s="16" t="n">
        <f aca="false">E193</f>
        <v>175.5936</v>
      </c>
      <c r="F39" s="16" t="n">
        <f aca="false">F193</f>
        <v>144.491651816438</v>
      </c>
      <c r="G39" s="16" t="n">
        <f aca="false">G193</f>
        <v>163.340705332654</v>
      </c>
    </row>
    <row r="40" customFormat="false" ht="17.15" hidden="false" customHeight="false" outlineLevel="0" collapsed="false">
      <c r="A40" s="4" t="s">
        <v>477</v>
      </c>
      <c r="B40" s="0" t="s">
        <v>170</v>
      </c>
      <c r="D40" s="16" t="n">
        <f aca="false">D191</f>
        <v>48.24</v>
      </c>
      <c r="E40" s="16" t="n">
        <f aca="false">E191</f>
        <v>94.5571244606705</v>
      </c>
      <c r="F40" s="16" t="n">
        <f aca="false">F191</f>
        <v>66.8037271284379</v>
      </c>
      <c r="G40" s="16" t="n">
        <f aca="false">G191</f>
        <v>85.4095836630221</v>
      </c>
    </row>
    <row r="41" customFormat="false" ht="17.15" hidden="false" customHeight="false" outlineLevel="0" collapsed="false">
      <c r="A41" s="0" t="s">
        <v>424</v>
      </c>
      <c r="B41" s="0" t="s">
        <v>78</v>
      </c>
      <c r="C41" s="17" t="n">
        <f aca="false">C194</f>
        <v>0.532936656671664</v>
      </c>
      <c r="D41" s="17" t="n">
        <f aca="false">D194</f>
        <v>0.543117744610282</v>
      </c>
      <c r="E41" s="17" t="n">
        <f aca="false">E194</f>
        <v>0.579831497275527</v>
      </c>
      <c r="F41" s="17" t="n">
        <f aca="false">F194</f>
        <v>0.521041121795502</v>
      </c>
      <c r="G41" s="17" t="n">
        <f aca="false">G194</f>
        <v>0.49345822211319</v>
      </c>
    </row>
    <row r="42" customFormat="false" ht="17.15" hidden="false" customHeight="false" outlineLevel="0" collapsed="false">
      <c r="A42" s="0" t="s">
        <v>478</v>
      </c>
      <c r="B42" s="0" t="s">
        <v>170</v>
      </c>
      <c r="C42" s="16" t="n">
        <f aca="false">C195</f>
        <v>54.6</v>
      </c>
      <c r="D42" s="16" t="n">
        <f aca="false">D195</f>
        <v>65.5</v>
      </c>
      <c r="E42" s="16" t="n">
        <f aca="false">E195</f>
        <v>101.8147</v>
      </c>
      <c r="F42" s="16" t="n">
        <f aca="false">F195</f>
        <v>75.2860923525219</v>
      </c>
      <c r="G42" s="16" t="n">
        <f aca="false">G195</f>
        <v>80.6018140521659</v>
      </c>
    </row>
    <row r="43" customFormat="false" ht="15" hidden="false" customHeight="false" outlineLevel="0" collapsed="false">
      <c r="A43" s="4" t="s">
        <v>413</v>
      </c>
      <c r="B43" s="0" t="s">
        <v>170</v>
      </c>
      <c r="C43" s="16" t="n">
        <f aca="false">C215</f>
        <v>181.163</v>
      </c>
      <c r="D43" s="16" t="n">
        <f aca="false">D215</f>
        <v>202</v>
      </c>
      <c r="E43" s="16" t="n">
        <f aca="false">E215</f>
        <v>246.03601</v>
      </c>
      <c r="F43" s="16" t="n">
        <f aca="false">F215</f>
        <v>225.604901652522</v>
      </c>
      <c r="G43" s="16" t="n">
        <f aca="false">G215</f>
        <v>237.282217031166</v>
      </c>
    </row>
    <row r="44" customFormat="false" ht="15" hidden="false" customHeight="false" outlineLevel="0" collapsed="false">
      <c r="A44" s="4" t="s">
        <v>479</v>
      </c>
      <c r="B44" s="0" t="s">
        <v>78</v>
      </c>
      <c r="C44" s="17" t="n">
        <f aca="false">C216</f>
        <v>0.114390873633517</v>
      </c>
      <c r="D44" s="17" t="n">
        <f aca="false">D216</f>
        <v>0.11662817551963</v>
      </c>
      <c r="E44" s="17" t="n">
        <f aca="false">E216</f>
        <v>0.132951790522854</v>
      </c>
      <c r="F44" s="17" t="n">
        <f aca="false">F216</f>
        <v>0.119644408968901</v>
      </c>
      <c r="G44" s="17" t="n">
        <f aca="false">G216</f>
        <v>0.120243766925525</v>
      </c>
    </row>
    <row r="45" customFormat="false" ht="17.15" hidden="false" customHeight="false" outlineLevel="0" collapsed="false">
      <c r="A45" s="0" t="s">
        <v>480</v>
      </c>
      <c r="B45" s="0" t="s">
        <v>78</v>
      </c>
      <c r="C45" s="17" t="n">
        <f aca="false">C217</f>
        <v>0.301386044611758</v>
      </c>
      <c r="D45" s="17" t="n">
        <f aca="false">D217</f>
        <v>0.324257425742574</v>
      </c>
      <c r="E45" s="17" t="n">
        <f aca="false">E217</f>
        <v>0.413820318415991</v>
      </c>
      <c r="F45" s="17" t="n">
        <f aca="false">F217</f>
        <v>0.333707697842833</v>
      </c>
      <c r="G45" s="17" t="n">
        <f aca="false">G217</f>
        <v>0.339687546166088</v>
      </c>
    </row>
    <row r="46" customFormat="false" ht="15" hidden="false" customHeight="false" outlineLevel="0" collapsed="false">
      <c r="A46" s="4" t="s">
        <v>481</v>
      </c>
      <c r="B46" s="0" t="s">
        <v>170</v>
      </c>
      <c r="C46" s="16" t="n">
        <f aca="false">C219</f>
        <v>134.675</v>
      </c>
      <c r="D46" s="16" t="n">
        <f aca="false">D219</f>
        <v>123.5</v>
      </c>
      <c r="E46" s="16" t="n">
        <f aca="false">E219</f>
        <v>152.5423262</v>
      </c>
      <c r="F46" s="16" t="n">
        <f aca="false">F219</f>
        <v>139.875039024564</v>
      </c>
      <c r="G46" s="16" t="n">
        <f aca="false">G219</f>
        <v>147.114974559323</v>
      </c>
      <c r="H46" s="24" t="n">
        <f aca="false">H219</f>
        <v>142.48082034368</v>
      </c>
      <c r="I46" s="24" t="n">
        <f aca="false">I219</f>
        <v>136.119145090752</v>
      </c>
      <c r="J46" s="24" t="n">
        <f aca="false">J219</f>
        <v>128.161410454677</v>
      </c>
    </row>
    <row r="47" customFormat="false" ht="15" hidden="false" customHeight="false" outlineLevel="0" collapsed="false">
      <c r="A47" s="4" t="s">
        <v>482</v>
      </c>
      <c r="B47" s="0" t="s">
        <v>78</v>
      </c>
      <c r="C47" s="14" t="n">
        <f aca="false">C223</f>
        <v>0.0850371814696925</v>
      </c>
      <c r="D47" s="14" t="n">
        <f aca="false">D223</f>
        <v>0.0713048498845266</v>
      </c>
      <c r="E47" s="14" t="n">
        <f aca="false">E223</f>
        <v>0.0824301101241696</v>
      </c>
      <c r="F47" s="14" t="n">
        <f aca="false">F223</f>
        <v>0.0741795335607188</v>
      </c>
      <c r="G47" s="14" t="n">
        <f aca="false">G223</f>
        <v>0.0745511354938258</v>
      </c>
      <c r="H47" s="26" t="n">
        <f aca="false">H223</f>
        <v>0.0695810597942374</v>
      </c>
      <c r="I47" s="26" t="n">
        <f aca="false">I223</f>
        <v>0.064610984094649</v>
      </c>
      <c r="J47" s="26" t="n">
        <f aca="false">J223</f>
        <v>0.0596409083950606</v>
      </c>
    </row>
    <row r="48" customFormat="false" ht="15" hidden="false" customHeight="false" outlineLevel="0" collapsed="false">
      <c r="A48" s="0" t="s">
        <v>483</v>
      </c>
      <c r="B48" s="0" t="s">
        <v>208</v>
      </c>
      <c r="C48" s="21" t="n">
        <f aca="false">C221</f>
        <v>138.36</v>
      </c>
      <c r="D48" s="21" t="n">
        <f aca="false">D221</f>
        <v>129.84</v>
      </c>
      <c r="E48" s="21" t="n">
        <f aca="false">E221</f>
        <v>162.815476140554</v>
      </c>
      <c r="F48" s="21" t="n">
        <f aca="false">F221</f>
        <v>151.568624348264</v>
      </c>
      <c r="G48" s="21" t="n">
        <f aca="false">G221</f>
        <v>161.841441779919</v>
      </c>
      <c r="H48" s="27" t="n">
        <f aca="false">H221</f>
        <v>159.130355930777</v>
      </c>
      <c r="I48" s="27" t="n">
        <f aca="false">I221</f>
        <v>154.340395761655</v>
      </c>
      <c r="J48" s="27" t="n">
        <f aca="false">J221</f>
        <v>147.530374394584</v>
      </c>
    </row>
    <row r="49" customFormat="false" ht="17.15" hidden="false" customHeight="false" outlineLevel="0" collapsed="false">
      <c r="A49" s="0" t="s">
        <v>484</v>
      </c>
      <c r="B49" s="0" t="s">
        <v>78</v>
      </c>
      <c r="D49" s="17" t="n">
        <f aca="false">D222</f>
        <v>-0.0615784908933218</v>
      </c>
      <c r="E49" s="17" t="n">
        <f aca="false">E222</f>
        <v>0.253970087342527</v>
      </c>
      <c r="F49" s="17" t="n">
        <f aca="false">F222</f>
        <v>-0.0690772895727728</v>
      </c>
      <c r="G49" s="17" t="n">
        <f aca="false">G222</f>
        <v>0.0677766752573459</v>
      </c>
      <c r="H49" s="25" t="n">
        <f aca="false">H222</f>
        <v>-0.0167514934328634</v>
      </c>
      <c r="I49" s="25" t="n">
        <f aca="false">I222</f>
        <v>-0.0301008575083326</v>
      </c>
      <c r="J49" s="25" t="n">
        <f aca="false">J222</f>
        <v>-0.0441233893010541</v>
      </c>
    </row>
    <row r="50" customFormat="false" ht="17.15" hidden="false" customHeight="false" outlineLevel="0" collapsed="false">
      <c r="A50" s="0" t="s">
        <v>485</v>
      </c>
      <c r="B50" s="0" t="s">
        <v>208</v>
      </c>
      <c r="D50" s="21" t="n">
        <f aca="false">D224</f>
        <v>42.1015841584158</v>
      </c>
      <c r="E50" s="21" t="n">
        <f aca="false">E224</f>
        <v>67.3763521795352</v>
      </c>
      <c r="F50" s="21" t="n">
        <f aca="false">F224</f>
        <v>50.5796166964643</v>
      </c>
      <c r="G50" s="21" t="n">
        <f aca="false">G224</f>
        <v>54.9755222262024</v>
      </c>
    </row>
    <row r="52" customFormat="false" ht="17.15" hidden="false" customHeight="false" outlineLevel="0" collapsed="false">
      <c r="A52" s="1" t="s">
        <v>488</v>
      </c>
    </row>
    <row r="53" customFormat="false" ht="17.15" hidden="false" customHeight="false" outlineLevel="0" collapsed="false">
      <c r="A53" s="4" t="s">
        <v>489</v>
      </c>
      <c r="D53" s="20" t="n">
        <f aca="false">ABS(D103-f_rev)+ABS(D156-f_rev)+ABS(D209-f_rev)</f>
        <v>0</v>
      </c>
    </row>
    <row r="54" customFormat="false" ht="17.15" hidden="false" customHeight="false" outlineLevel="0" collapsed="false">
      <c r="A54" s="4" t="s">
        <v>490</v>
      </c>
      <c r="D54" s="20" t="n">
        <f aca="false">ABS(D109-f_bp)+ABS(D162-f_bp)+ABS(D215-f_bp)</f>
        <v>0</v>
      </c>
    </row>
    <row r="55" customFormat="false" ht="17.15" hidden="false" customHeight="false" outlineLevel="0" collapsed="false">
      <c r="A55" s="4" t="s">
        <v>491</v>
      </c>
      <c r="D55" s="20" t="n">
        <f aca="false">ABS(D115-f_eps)+ABS(D168-f_eps)+ABS(D221-f_eps)</f>
        <v>0</v>
      </c>
    </row>
    <row r="70" customFormat="false" ht="17.15" hidden="false" customHeight="false" outlineLevel="0" collapsed="false">
      <c r="A70" s="1" t="s">
        <v>492</v>
      </c>
    </row>
    <row r="71" customFormat="false" ht="17.15" hidden="false" customHeight="false" outlineLevel="0" collapsed="false">
      <c r="A71" s="5" t="s">
        <v>20</v>
      </c>
      <c r="B71" s="5" t="s">
        <v>21</v>
      </c>
      <c r="C71" s="15" t="s">
        <v>398</v>
      </c>
      <c r="D71" s="15" t="s">
        <v>470</v>
      </c>
      <c r="E71" s="15" t="s">
        <v>435</v>
      </c>
      <c r="F71" s="15" t="s">
        <v>436</v>
      </c>
      <c r="G71" s="15" t="s">
        <v>437</v>
      </c>
      <c r="H71" s="15" t="s">
        <v>471</v>
      </c>
      <c r="I71" s="15" t="s">
        <v>472</v>
      </c>
      <c r="J71" s="15" t="s">
        <v>473</v>
      </c>
      <c r="K71" s="5" t="s">
        <v>377</v>
      </c>
    </row>
    <row r="72" customFormat="false" ht="17.15" hidden="false" customHeight="false" outlineLevel="0" collapsed="false">
      <c r="A72" s="6" t="s">
        <v>493</v>
      </c>
    </row>
    <row r="73" customFormat="false" ht="17.15" hidden="false" customHeight="false" outlineLevel="0" collapsed="false">
      <c r="A73" s="0" t="s">
        <v>494</v>
      </c>
      <c r="B73" s="4" t="s">
        <v>31</v>
      </c>
      <c r="D73" s="21" t="n">
        <f aca="false">unv_26</f>
        <v>7.6</v>
      </c>
      <c r="E73" s="21" t="n">
        <f aca="false">unv_27</f>
        <v>9.7</v>
      </c>
      <c r="F73" s="21" t="n">
        <f aca="false">unv_28*um28_A</f>
        <v>9.5</v>
      </c>
      <c r="G73" s="21" t="n">
        <f aca="false">unv_29*um29_A</f>
        <v>10.6</v>
      </c>
      <c r="K73" s="8" t="s">
        <v>495</v>
      </c>
    </row>
    <row r="74" customFormat="false" ht="17.15" hidden="false" customHeight="false" outlineLevel="0" collapsed="false">
      <c r="A74" s="4" t="s">
        <v>496</v>
      </c>
      <c r="B74" s="4" t="s">
        <v>31</v>
      </c>
      <c r="D74" s="21" t="n">
        <f aca="false">uot_26</f>
        <v>7.6</v>
      </c>
      <c r="E74" s="21" t="n">
        <f aca="false">uot_27</f>
        <v>14</v>
      </c>
      <c r="F74" s="21" t="n">
        <f aca="false">uot_28*um28_A</f>
        <v>17</v>
      </c>
      <c r="G74" s="21" t="n">
        <f aca="false">uot_29*um29_A</f>
        <v>19.55</v>
      </c>
      <c r="K74" s="8" t="s">
        <v>497</v>
      </c>
    </row>
    <row r="75" customFormat="false" ht="17.15" hidden="false" customHeight="false" outlineLevel="0" collapsed="false">
      <c r="A75" s="4" t="s">
        <v>498</v>
      </c>
      <c r="B75" s="4" t="s">
        <v>31</v>
      </c>
      <c r="D75" s="21" t="n">
        <f aca="false">D73+v_ot*D74</f>
        <v>13.68</v>
      </c>
      <c r="E75" s="21" t="n">
        <f aca="false">E73+v_ot*E74</f>
        <v>20.9</v>
      </c>
      <c r="F75" s="21" t="n">
        <f aca="false">F73+v_ot*F74</f>
        <v>23.1</v>
      </c>
      <c r="G75" s="21" t="n">
        <f aca="false">G73+v_ot*G74</f>
        <v>26.24</v>
      </c>
    </row>
    <row r="76" customFormat="false" ht="17.15" hidden="false" customHeight="false" outlineLevel="0" collapsed="false">
      <c r="A76" s="4" t="s">
        <v>499</v>
      </c>
      <c r="B76" s="0" t="s">
        <v>53</v>
      </c>
      <c r="D76" s="22" t="n">
        <f aca="false">1</f>
        <v>1</v>
      </c>
      <c r="E76" s="22" t="n">
        <f aca="false">D76*(1+g_asp)</f>
        <v>1.18</v>
      </c>
      <c r="F76" s="22" t="n">
        <f aca="false">E76*(1+g_asp)</f>
        <v>1.3924</v>
      </c>
      <c r="G76" s="22" t="n">
        <f aca="false">F76*(1+g_asp)</f>
        <v>1.643032</v>
      </c>
    </row>
    <row r="77" customFormat="false" ht="17.15" hidden="false" customHeight="false" outlineLevel="0" collapsed="false">
      <c r="A77" s="4" t="s">
        <v>500</v>
      </c>
      <c r="B77" s="0" t="s">
        <v>53</v>
      </c>
      <c r="D77" s="19" t="n">
        <f aca="false">1</f>
        <v>1</v>
      </c>
      <c r="E77" s="19" t="n">
        <f aca="false">rel_27</f>
        <v>1</v>
      </c>
      <c r="F77" s="19" t="n">
        <f aca="false">rel_28</f>
        <v>0.97</v>
      </c>
      <c r="G77" s="19" t="n">
        <f aca="false">rel_29</f>
        <v>0.95</v>
      </c>
    </row>
    <row r="78" customFormat="false" ht="17.15" hidden="false" customHeight="false" outlineLevel="0" collapsed="false">
      <c r="A78" s="0" t="s">
        <v>501</v>
      </c>
      <c r="B78" s="0" t="s">
        <v>53</v>
      </c>
      <c r="D78" s="22" t="n">
        <f aca="false">D75/$D75*D76*D77</f>
        <v>1</v>
      </c>
      <c r="E78" s="22" t="n">
        <f aca="false">E75/$D75*E76*E77</f>
        <v>1.80277777777778</v>
      </c>
      <c r="F78" s="22" t="n">
        <f aca="false">F75/$D75*F76*F77</f>
        <v>2.28066570175439</v>
      </c>
      <c r="G78" s="22" t="n">
        <f aca="false">G75/$D75*G76*G77</f>
        <v>2.99396942222222</v>
      </c>
      <c r="K78" s="4" t="s">
        <v>502</v>
      </c>
    </row>
    <row r="79" customFormat="false" ht="17.15" hidden="false" customHeight="false" outlineLevel="0" collapsed="false">
      <c r="A79" s="4" t="s">
        <v>503</v>
      </c>
      <c r="B79" s="0" t="s">
        <v>53</v>
      </c>
      <c r="D79" s="22" t="n">
        <f aca="false">1</f>
        <v>1</v>
      </c>
      <c r="E79" s="22" t="n">
        <f aca="false">D79*(1+g_nai)</f>
        <v>1.03</v>
      </c>
      <c r="F79" s="22" t="n">
        <f aca="false">E79*(1+g_nai)</f>
        <v>1.0609</v>
      </c>
      <c r="G79" s="22" t="n">
        <f aca="false">F79*(1+g_nai)</f>
        <v>1.092727</v>
      </c>
    </row>
    <row r="80" customFormat="false" ht="17.15" hidden="false" customHeight="false" outlineLevel="0" collapsed="false">
      <c r="A80" s="0" t="s">
        <v>504</v>
      </c>
      <c r="B80" s="0" t="s">
        <v>53</v>
      </c>
      <c r="D80" s="22" t="n">
        <f aca="false">ai_sh*D78+(1-ai_sh)*D79</f>
        <v>1</v>
      </c>
      <c r="E80" s="22" t="n">
        <f aca="false">ai_sh*E78+(1-ai_sh)*E79</f>
        <v>1.33911111111111</v>
      </c>
      <c r="F80" s="22" t="n">
        <f aca="false">ai_sh*F78+(1-ai_sh)*F79</f>
        <v>1.54880628070175</v>
      </c>
      <c r="G80" s="22" t="n">
        <f aca="false">ai_sh*G78+(1-ai_sh)*G79</f>
        <v>1.85322396888889</v>
      </c>
    </row>
    <row r="81" customFormat="false" ht="17.15" hidden="false" customHeight="false" outlineLevel="0" collapsed="false">
      <c r="A81" s="4" t="s">
        <v>505</v>
      </c>
      <c r="B81" s="0" t="s">
        <v>53</v>
      </c>
      <c r="D81" s="22" t="n">
        <f aca="false">1</f>
        <v>1</v>
      </c>
      <c r="E81" s="22" t="n">
        <f aca="false">cap_27</f>
        <v>1.3</v>
      </c>
      <c r="F81" s="22" t="n">
        <f aca="false">cap_28</f>
        <v>1.55</v>
      </c>
      <c r="G81" s="22" t="n">
        <f aca="false">cap_29</f>
        <v>1.8</v>
      </c>
      <c r="K81" s="4" t="s">
        <v>506</v>
      </c>
    </row>
    <row r="82" customFormat="false" ht="17.15" hidden="false" customHeight="false" outlineLevel="0" collapsed="false">
      <c r="A82" s="4" t="s">
        <v>507</v>
      </c>
      <c r="B82" s="0" t="s">
        <v>53</v>
      </c>
      <c r="D82" s="22" t="n">
        <f aca="false">MIN(D80,D81)</f>
        <v>1</v>
      </c>
      <c r="E82" s="22" t="n">
        <f aca="false">MIN(E80,E81)</f>
        <v>1.3</v>
      </c>
      <c r="F82" s="22" t="n">
        <f aca="false">MIN(F80,F81)</f>
        <v>1.54880628070175</v>
      </c>
      <c r="G82" s="22" t="n">
        <f aca="false">MIN(G80,G81)</f>
        <v>1.8</v>
      </c>
    </row>
    <row r="83" customFormat="false" ht="17.15" hidden="false" customHeight="false" outlineLevel="0" collapsed="false">
      <c r="A83" s="4" t="s">
        <v>508</v>
      </c>
      <c r="B83" s="0" t="s">
        <v>78</v>
      </c>
      <c r="D83" s="17" t="n">
        <f aca="false">D82/D80</f>
        <v>1</v>
      </c>
      <c r="E83" s="17" t="n">
        <f aca="false">E82/E80</f>
        <v>0.970793229339529</v>
      </c>
      <c r="F83" s="17" t="n">
        <f aca="false">F82/F80</f>
        <v>1</v>
      </c>
      <c r="G83" s="17" t="n">
        <f aca="false">G82/G80</f>
        <v>0.971280336439422</v>
      </c>
      <c r="K83" s="4" t="s">
        <v>509</v>
      </c>
    </row>
    <row r="84" customFormat="false" ht="17.15" hidden="false" customHeight="false" outlineLevel="0" collapsed="false">
      <c r="A84" s="0" t="s">
        <v>510</v>
      </c>
      <c r="B84" s="0" t="s">
        <v>53</v>
      </c>
      <c r="D84" s="22" t="n">
        <f aca="false">1</f>
        <v>1</v>
      </c>
      <c r="E84" s="22" t="n">
        <f aca="false">pp_27</f>
        <v>1.12</v>
      </c>
      <c r="F84" s="22" t="n">
        <f aca="false">pp_28*sp_A</f>
        <v>1.15</v>
      </c>
      <c r="G84" s="22" t="n">
        <f aca="false">pp_29*sp_A</f>
        <v>1.12</v>
      </c>
      <c r="K84" s="8" t="s">
        <v>511</v>
      </c>
    </row>
    <row r="85" customFormat="false" ht="17.15" hidden="false" customHeight="false" outlineLevel="0" collapsed="false">
      <c r="A85" s="0" t="s">
        <v>452</v>
      </c>
      <c r="B85" s="0" t="s">
        <v>170</v>
      </c>
      <c r="D85" s="16" t="n">
        <f aca="false">q26_fm*ai_sh</f>
        <v>48.24</v>
      </c>
      <c r="E85" s="16" t="n">
        <f aca="false">q26_fm*ai_sh*E78*E83*E84</f>
        <v>94.5571244606705</v>
      </c>
      <c r="F85" s="16" t="n">
        <f aca="false">q26_fm*ai_sh*F78*F83*F84</f>
        <v>126.522210470526</v>
      </c>
      <c r="G85" s="16" t="n">
        <f aca="false">q26_fm*ai_sh*G78*G83*G84</f>
        <v>157.114865824566</v>
      </c>
      <c r="K85" s="8" t="s">
        <v>512</v>
      </c>
    </row>
    <row r="86" customFormat="false" ht="17.15" hidden="false" customHeight="false" outlineLevel="0" collapsed="false">
      <c r="A86" s="0" t="s">
        <v>513</v>
      </c>
      <c r="B86" s="0" t="s">
        <v>170</v>
      </c>
      <c r="D86" s="16" t="n">
        <f aca="false">q26_fm*(1-ai_sh)</f>
        <v>72.36</v>
      </c>
      <c r="E86" s="16" t="n">
        <f aca="false">q26_fm*(1-ai_sh)*E79*E83*E84</f>
        <v>81.0364755393296</v>
      </c>
      <c r="F86" s="16" t="n">
        <f aca="false">q26_fm*(1-ai_sh)*F79*F83*F84</f>
        <v>88.2817326</v>
      </c>
      <c r="G86" s="16" t="n">
        <f aca="false">q26_fm*(1-ai_sh)*G79*G83*G84</f>
        <v>86.0147341754337</v>
      </c>
    </row>
    <row r="87" customFormat="false" ht="17.15" hidden="false" customHeight="false" outlineLevel="0" collapsed="false">
      <c r="A87" s="4" t="s">
        <v>514</v>
      </c>
      <c r="B87" s="0" t="s">
        <v>170</v>
      </c>
      <c r="C87" s="16" t="n">
        <f aca="false">q25_fm</f>
        <v>102.4512</v>
      </c>
      <c r="D87" s="16" t="n">
        <f aca="false">D85+D86</f>
        <v>120.6</v>
      </c>
      <c r="E87" s="16" t="n">
        <f aca="false">E85+E86</f>
        <v>175.5936</v>
      </c>
      <c r="F87" s="16" t="n">
        <f aca="false">F85+F86</f>
        <v>214.803943070526</v>
      </c>
      <c r="G87" s="16" t="n">
        <f aca="false">G85+G86</f>
        <v>243.1296</v>
      </c>
    </row>
    <row r="88" customFormat="false" ht="17.15" hidden="false" customHeight="false" outlineLevel="0" collapsed="false">
      <c r="A88" s="0" t="s">
        <v>515</v>
      </c>
      <c r="B88" s="0" t="s">
        <v>78</v>
      </c>
      <c r="C88" s="17" t="n">
        <f aca="false">q25_fmbp/q25_fm</f>
        <v>0.532936656671664</v>
      </c>
      <c r="D88" s="17" t="n">
        <f aca="false">q26_fmbp/q26_fm</f>
        <v>0.543117744610282</v>
      </c>
      <c r="E88" s="17" t="n">
        <f aca="false">1-(1-$D88)*(1+c_g)^1/E84</f>
        <v>0.579831497275527</v>
      </c>
      <c r="F88" s="17" t="n">
        <f aca="false">1-(1-$D88)*(1+c_g)^2/F84</f>
        <v>0.578516187180042</v>
      </c>
      <c r="G88" s="17" t="n">
        <f aca="false">1-(1-$D88)*(1+c_g)^3/G84</f>
        <v>0.554243235459607</v>
      </c>
      <c r="K88" s="8" t="s">
        <v>516</v>
      </c>
    </row>
    <row r="89" customFormat="false" ht="17.15" hidden="false" customHeight="false" outlineLevel="0" collapsed="false">
      <c r="A89" s="0" t="s">
        <v>478</v>
      </c>
      <c r="B89" s="0" t="s">
        <v>170</v>
      </c>
      <c r="C89" s="16" t="n">
        <f aca="false">q25_fmbp</f>
        <v>54.6</v>
      </c>
      <c r="D89" s="16" t="n">
        <f aca="false">D87*D88</f>
        <v>65.5</v>
      </c>
      <c r="E89" s="16" t="n">
        <f aca="false">E87*E88</f>
        <v>101.8147</v>
      </c>
      <c r="F89" s="16" t="n">
        <f aca="false">F87*F88</f>
        <v>124.2675581364</v>
      </c>
      <c r="G89" s="16" t="n">
        <f aca="false">G87*G88</f>
        <v>134.75293614</v>
      </c>
    </row>
    <row r="90" customFormat="false" ht="17.15" hidden="false" customHeight="false" outlineLevel="0" collapsed="false">
      <c r="A90" s="6" t="s">
        <v>517</v>
      </c>
    </row>
    <row r="91" customFormat="false" ht="15" hidden="false" customHeight="false" outlineLevel="0" collapsed="false">
      <c r="A91" s="4" t="s">
        <v>518</v>
      </c>
      <c r="B91" s="0" t="s">
        <v>170</v>
      </c>
      <c r="C91" s="16" t="n">
        <f aca="false">q25_sf</f>
        <v>936.926</v>
      </c>
      <c r="D91" s="16" t="n">
        <f aca="false">q26_sf</f>
        <v>998.6</v>
      </c>
      <c r="E91" s="16" t="n">
        <f aca="false">D91*(1+g_sf)</f>
        <v>1038.544</v>
      </c>
      <c r="F91" s="16" t="n">
        <f aca="false">E91*(1+g_sf)</f>
        <v>1080.08576</v>
      </c>
      <c r="G91" s="16" t="n">
        <f aca="false">F91*(1+g_sf)</f>
        <v>1123.2891904</v>
      </c>
    </row>
    <row r="92" customFormat="false" ht="15" hidden="false" customHeight="false" outlineLevel="0" collapsed="false">
      <c r="A92" s="4" t="s">
        <v>519</v>
      </c>
      <c r="B92" s="0" t="s">
        <v>170</v>
      </c>
      <c r="C92" s="16" t="n">
        <f aca="false">q25_sfbp</f>
        <v>143.036</v>
      </c>
      <c r="D92" s="16" t="n">
        <f aca="false">q26_sfbp</f>
        <v>145.9</v>
      </c>
      <c r="E92" s="16" t="n">
        <f aca="false">E91*m_sf</f>
        <v>151.736</v>
      </c>
      <c r="F92" s="16" t="n">
        <f aca="false">F91*m_sf</f>
        <v>157.80544</v>
      </c>
      <c r="G92" s="16" t="n">
        <f aca="false">G91*m_sf</f>
        <v>164.1176576</v>
      </c>
    </row>
    <row r="93" customFormat="false" ht="15" hidden="false" customHeight="false" outlineLevel="0" collapsed="false">
      <c r="A93" s="4" t="s">
        <v>520</v>
      </c>
      <c r="B93" s="0" t="s">
        <v>170</v>
      </c>
      <c r="C93" s="16" t="n">
        <f aca="false">q25_ff</f>
        <v>290.308</v>
      </c>
      <c r="D93" s="16" t="n">
        <f aca="false">q26_ff</f>
        <v>310.6</v>
      </c>
      <c r="E93" s="16" t="n">
        <f aca="false">D93*(1+g_ff)</f>
        <v>319.918</v>
      </c>
      <c r="F93" s="16" t="n">
        <f aca="false">E93*(1+g_ff)</f>
        <v>329.51554</v>
      </c>
      <c r="G93" s="16" t="n">
        <f aca="false">F93*(1+g_ff)</f>
        <v>339.4010062</v>
      </c>
    </row>
    <row r="94" customFormat="false" ht="15" hidden="false" customHeight="false" outlineLevel="0" collapsed="false">
      <c r="A94" s="4" t="s">
        <v>521</v>
      </c>
      <c r="B94" s="0" t="s">
        <v>170</v>
      </c>
      <c r="C94" s="16" t="n">
        <f aca="false">q25_ffbp</f>
        <v>8.457</v>
      </c>
      <c r="D94" s="16" t="n">
        <f aca="false">q26_ffbp</f>
        <v>12.1</v>
      </c>
      <c r="E94" s="16" t="n">
        <f aca="false">E93*m_ff</f>
        <v>14.39631</v>
      </c>
      <c r="F94" s="16" t="n">
        <f aca="false">F93*m_ff</f>
        <v>14.8281993</v>
      </c>
      <c r="G94" s="16" t="n">
        <f aca="false">G93*m_ff</f>
        <v>15.273045279</v>
      </c>
    </row>
    <row r="95" customFormat="false" ht="17.15" hidden="false" customHeight="false" outlineLevel="0" collapsed="false">
      <c r="A95" s="4" t="s">
        <v>522</v>
      </c>
      <c r="B95" s="0" t="s">
        <v>170</v>
      </c>
      <c r="C95" s="16" t="n">
        <f aca="false">q25_hox</f>
        <v>239.0528</v>
      </c>
      <c r="D95" s="16" t="n">
        <f aca="false">q26_hox</f>
        <v>286.2</v>
      </c>
      <c r="E95" s="16" t="n">
        <f aca="false">D95*(1+g_ho)</f>
        <v>300.51</v>
      </c>
      <c r="F95" s="16" t="n">
        <f aca="false">E95*(1+g_ho)</f>
        <v>315.5355</v>
      </c>
      <c r="G95" s="16" t="n">
        <f aca="false">F95*(1+g_ho)</f>
        <v>331.312275</v>
      </c>
    </row>
    <row r="96" customFormat="false" ht="17.15" hidden="false" customHeight="false" outlineLevel="0" collapsed="false">
      <c r="A96" s="4" t="s">
        <v>523</v>
      </c>
      <c r="B96" s="0" t="s">
        <v>170</v>
      </c>
      <c r="C96" s="16" t="n">
        <f aca="false">q25_hoxbp</f>
        <v>11.602</v>
      </c>
      <c r="D96" s="16" t="n">
        <f aca="false">q26_hoxbp</f>
        <v>19.5</v>
      </c>
      <c r="E96" s="16" t="n">
        <f aca="false">E95*m_ho</f>
        <v>20.475</v>
      </c>
      <c r="F96" s="16" t="n">
        <f aca="false">F95*m_ho</f>
        <v>21.49875</v>
      </c>
      <c r="G96" s="16" t="n">
        <f aca="false">G95*m_ho</f>
        <v>22.5736875</v>
      </c>
    </row>
    <row r="97" customFormat="false" ht="17.15" hidden="false" customHeight="false" outlineLevel="0" collapsed="false">
      <c r="A97" s="4" t="s">
        <v>524</v>
      </c>
      <c r="B97" s="0" t="s">
        <v>170</v>
      </c>
      <c r="C97" s="16" t="n">
        <f aca="false">q25_oth</f>
        <v>14.979</v>
      </c>
      <c r="D97" s="16" t="n">
        <f aca="false">q26_oth</f>
        <v>15.8</v>
      </c>
      <c r="E97" s="16" t="n">
        <f aca="false">D97</f>
        <v>15.8</v>
      </c>
      <c r="F97" s="16" t="n">
        <f aca="false">E97</f>
        <v>15.8</v>
      </c>
      <c r="G97" s="16" t="n">
        <f aca="false">F97</f>
        <v>15.8</v>
      </c>
      <c r="K97" s="8" t="s">
        <v>525</v>
      </c>
    </row>
    <row r="98" customFormat="false" ht="15" hidden="false" customHeight="false" outlineLevel="0" collapsed="false">
      <c r="A98" s="4" t="s">
        <v>526</v>
      </c>
      <c r="B98" s="0" t="s">
        <v>170</v>
      </c>
      <c r="C98" s="16" t="n">
        <f aca="false">q25_othbp</f>
        <v>6.064</v>
      </c>
      <c r="D98" s="16" t="n">
        <f aca="false">q26_othbp</f>
        <v>5.1</v>
      </c>
      <c r="E98" s="16" t="n">
        <f aca="false">q26_othbp</f>
        <v>5.1</v>
      </c>
      <c r="F98" s="16" t="n">
        <f aca="false">q26_othbp</f>
        <v>5.1</v>
      </c>
      <c r="G98" s="16" t="n">
        <f aca="false">q26_othbp</f>
        <v>5.1</v>
      </c>
    </row>
    <row r="99" customFormat="false" ht="15" hidden="false" customHeight="false" outlineLevel="0" collapsed="false">
      <c r="A99" s="4" t="s">
        <v>527</v>
      </c>
      <c r="B99" s="0" t="s">
        <v>170</v>
      </c>
      <c r="C99" s="16" t="n">
        <f aca="false">q25_cc</f>
        <v>-42.597</v>
      </c>
      <c r="D99" s="16" t="n">
        <f aca="false">q26_cc</f>
        <v>-46.2</v>
      </c>
      <c r="E99" s="16" t="n">
        <f aca="false">D99*(1+g_cc)</f>
        <v>-47.586</v>
      </c>
      <c r="F99" s="16" t="n">
        <f aca="false">E99*(1+g_cc)</f>
        <v>-49.01358</v>
      </c>
      <c r="G99" s="16" t="n">
        <f aca="false">F99*(1+g_cc)</f>
        <v>-50.4839874</v>
      </c>
    </row>
    <row r="100" customFormat="false" ht="17.15" hidden="false" customHeight="false" outlineLevel="0" collapsed="false">
      <c r="A100" s="4" t="s">
        <v>528</v>
      </c>
      <c r="B100" s="0" t="s">
        <v>170</v>
      </c>
      <c r="C100" s="28" t="n">
        <f aca="false">a_rev-(q25_sf+q25_ff+q25_hox+q25_fm+q25_oth)</f>
        <v>0.00200000000018008</v>
      </c>
      <c r="D100" s="28" t="n">
        <f aca="false">f_rev-(q26_sf+q26_ff+q26_hox+q26_fm+q26_oth)</f>
        <v>0.200000000000045</v>
      </c>
      <c r="E100" s="28" t="n">
        <f aca="false">$D100</f>
        <v>0.200000000000045</v>
      </c>
      <c r="F100" s="28" t="n">
        <f aca="false">$D100</f>
        <v>0.200000000000045</v>
      </c>
      <c r="G100" s="28" t="n">
        <f aca="false">$D100</f>
        <v>0.200000000000045</v>
      </c>
      <c r="K100" s="8" t="s">
        <v>529</v>
      </c>
    </row>
    <row r="101" customFormat="false" ht="15" hidden="false" customHeight="false" outlineLevel="0" collapsed="false">
      <c r="A101" s="4" t="s">
        <v>530</v>
      </c>
      <c r="B101" s="0" t="s">
        <v>170</v>
      </c>
      <c r="C101" s="28" t="n">
        <f aca="false">a_bp-(q25_sfbp+q25_ffbp+q25_hoxbp+q25_fmbp+q25_othbp+q25_cc)</f>
        <v>0.0010000000000332</v>
      </c>
      <c r="D101" s="28" t="n">
        <f aca="false">f_bp-(q26_sfbp+q26_ffbp+q26_hoxbp+q26_fmbp+q26_othbp+q26_cc)</f>
        <v>0.100000000000023</v>
      </c>
      <c r="E101" s="28" t="n">
        <f aca="false">$D101</f>
        <v>0.100000000000023</v>
      </c>
      <c r="F101" s="28" t="n">
        <f aca="false">$D101</f>
        <v>0.100000000000023</v>
      </c>
      <c r="G101" s="28" t="n">
        <f aca="false">$D101</f>
        <v>0.100000000000023</v>
      </c>
    </row>
    <row r="102" customFormat="false" ht="17.15" hidden="false" customHeight="false" outlineLevel="0" collapsed="false">
      <c r="A102" s="6" t="s">
        <v>531</v>
      </c>
    </row>
    <row r="103" customFormat="false" ht="17.15" hidden="false" customHeight="false" outlineLevel="0" collapsed="false">
      <c r="A103" s="4" t="s">
        <v>403</v>
      </c>
      <c r="B103" s="0" t="s">
        <v>170</v>
      </c>
      <c r="C103" s="16" t="n">
        <f aca="false">C91+C93+C95+C87+C97+C100</f>
        <v>1583.719</v>
      </c>
      <c r="D103" s="16" t="n">
        <f aca="false">D91+D93+D95+D87+D97+D100</f>
        <v>1732</v>
      </c>
      <c r="E103" s="16" t="n">
        <f aca="false">E91+E93+E95+E87+E97+E100</f>
        <v>1850.5656</v>
      </c>
      <c r="F103" s="16" t="n">
        <f aca="false">F91+F93+F95+F87+F97+F100</f>
        <v>1955.94074307053</v>
      </c>
      <c r="G103" s="16" t="n">
        <f aca="false">G91+G93+G95+G87+G97+G100</f>
        <v>2053.1320716</v>
      </c>
      <c r="H103" s="24" t="n">
        <f aca="false">G103*(1+H107)</f>
        <v>2162.20857776426</v>
      </c>
      <c r="I103" s="24" t="n">
        <f aca="false">H103*(1+I107)</f>
        <v>2284.5105355383</v>
      </c>
      <c r="J103" s="24" t="n">
        <f aca="false">I103*(1+J107)</f>
        <v>2421.5811676706</v>
      </c>
      <c r="K103" s="8" t="s">
        <v>532</v>
      </c>
    </row>
    <row r="104" customFormat="false" ht="17.15" hidden="false" customHeight="false" outlineLevel="0" collapsed="false">
      <c r="A104" s="4" t="s">
        <v>533</v>
      </c>
      <c r="B104" s="0" t="s">
        <v>170</v>
      </c>
      <c r="C104" s="16" t="n">
        <f aca="false">C87+C95</f>
        <v>341.504</v>
      </c>
      <c r="D104" s="16" t="n">
        <f aca="false">D87+D95</f>
        <v>406.8</v>
      </c>
      <c r="E104" s="16" t="n">
        <f aca="false">E87+E95</f>
        <v>476.1036</v>
      </c>
      <c r="F104" s="16" t="n">
        <f aca="false">F87+F95</f>
        <v>530.339443070526</v>
      </c>
      <c r="G104" s="16" t="n">
        <f aca="false">G87+G95</f>
        <v>574.441875</v>
      </c>
      <c r="K104" s="4" t="s">
        <v>534</v>
      </c>
    </row>
    <row r="105" customFormat="false" ht="17.15" hidden="false" customHeight="false" outlineLevel="0" collapsed="false">
      <c r="A105" s="4" t="s">
        <v>535</v>
      </c>
      <c r="B105" s="0" t="s">
        <v>170</v>
      </c>
      <c r="C105" s="16" t="n">
        <f aca="false">C97+C100</f>
        <v>14.9810000000002</v>
      </c>
      <c r="D105" s="16" t="n">
        <f aca="false">D97+D100</f>
        <v>16</v>
      </c>
      <c r="E105" s="16" t="n">
        <f aca="false">E97+E100</f>
        <v>16</v>
      </c>
      <c r="F105" s="16" t="n">
        <f aca="false">F97+F100</f>
        <v>16</v>
      </c>
      <c r="G105" s="16" t="n">
        <f aca="false">G97+G100</f>
        <v>16</v>
      </c>
      <c r="K105" s="8" t="s">
        <v>536</v>
      </c>
    </row>
    <row r="106" customFormat="false" ht="15" hidden="false" customHeight="false" outlineLevel="0" collapsed="false">
      <c r="A106" s="4" t="s">
        <v>537</v>
      </c>
      <c r="B106" s="0" t="s">
        <v>170</v>
      </c>
      <c r="C106" s="22" t="n">
        <f aca="false">C91+C93+C104+C105-C103</f>
        <v>0</v>
      </c>
      <c r="D106" s="22" t="n">
        <f aca="false">D91+D93+D104+D105-D103</f>
        <v>0</v>
      </c>
      <c r="E106" s="22" t="n">
        <f aca="false">E91+E93+E104+E105-E103</f>
        <v>0</v>
      </c>
      <c r="F106" s="22" t="n">
        <f aca="false">F91+F93+F104+F105-F103</f>
        <v>0</v>
      </c>
      <c r="G106" s="22" t="n">
        <f aca="false">G91+G93+G104+G105-G103</f>
        <v>0</v>
      </c>
    </row>
    <row r="107" customFormat="false" ht="15" hidden="false" customHeight="false" outlineLevel="0" collapsed="false">
      <c r="A107" s="4" t="s">
        <v>538</v>
      </c>
      <c r="B107" s="0" t="s">
        <v>78</v>
      </c>
      <c r="D107" s="17" t="n">
        <f aca="false">D103/C103-1</f>
        <v>0.0936283519993131</v>
      </c>
      <c r="E107" s="17" t="n">
        <f aca="false">E103/D103-1</f>
        <v>0.0684558891454965</v>
      </c>
      <c r="F107" s="17" t="n">
        <f aca="false">F103/E103-1</f>
        <v>0.0569421278935081</v>
      </c>
      <c r="G107" s="17" t="n">
        <f aca="false">G103/F103-1</f>
        <v>0.0496903236326567</v>
      </c>
      <c r="H107" s="25" t="n">
        <f aca="false">$G107+(fade_gA-$G107)*1/3</f>
        <v>0.0531268824217711</v>
      </c>
      <c r="I107" s="25" t="n">
        <f aca="false">$G107+(fade_gA-$G107)*2/3</f>
        <v>0.0565634412108856</v>
      </c>
      <c r="J107" s="25" t="n">
        <f aca="false">$G107+(fade_gA-$G107)*3/3</f>
        <v>0.06</v>
      </c>
    </row>
    <row r="108" customFormat="false" ht="17.15" hidden="false" customHeight="false" outlineLevel="0" collapsed="false">
      <c r="A108" s="0" t="s">
        <v>539</v>
      </c>
      <c r="B108" s="0" t="s">
        <v>78</v>
      </c>
      <c r="C108" s="17" t="n">
        <f aca="false">C87/C103</f>
        <v>0.0646902638662541</v>
      </c>
      <c r="D108" s="17" t="n">
        <f aca="false">D87/D103</f>
        <v>0.0696304849884527</v>
      </c>
      <c r="E108" s="17" t="n">
        <f aca="false">E87/E103</f>
        <v>0.0948864498507916</v>
      </c>
      <c r="F108" s="17" t="n">
        <f aca="false">F87/F103</f>
        <v>0.109821293835987</v>
      </c>
      <c r="G108" s="17" t="n">
        <f aca="false">G87/G103</f>
        <v>0.118418879799842</v>
      </c>
    </row>
    <row r="109" customFormat="false" ht="15" hidden="false" customHeight="false" outlineLevel="0" collapsed="false">
      <c r="A109" s="4" t="s">
        <v>413</v>
      </c>
      <c r="B109" s="0" t="s">
        <v>170</v>
      </c>
      <c r="C109" s="16" t="n">
        <f aca="false">C92+C94+C96+C89+C98+C99+C101</f>
        <v>181.163</v>
      </c>
      <c r="D109" s="16" t="n">
        <f aca="false">D92+D94+D96+D89+D98+D99+D101</f>
        <v>202</v>
      </c>
      <c r="E109" s="16" t="n">
        <f aca="false">E92+E94+E96+E89+E98+E99+E101</f>
        <v>246.03601</v>
      </c>
      <c r="F109" s="16" t="n">
        <f aca="false">F92+F94+F96+F89+F98+F99+F101</f>
        <v>274.5863674364</v>
      </c>
      <c r="G109" s="16" t="n">
        <f aca="false">G92+G94+G96+G89+G98+G99+G101</f>
        <v>291.433339119</v>
      </c>
    </row>
    <row r="110" customFormat="false" ht="15" hidden="false" customHeight="false" outlineLevel="0" collapsed="false">
      <c r="A110" s="4" t="s">
        <v>429</v>
      </c>
      <c r="B110" s="0" t="s">
        <v>78</v>
      </c>
      <c r="C110" s="17" t="n">
        <f aca="false">C109/C103</f>
        <v>0.114390873633517</v>
      </c>
      <c r="D110" s="17" t="n">
        <f aca="false">D109/D103</f>
        <v>0.11662817551963</v>
      </c>
      <c r="E110" s="17" t="n">
        <f aca="false">E109/E103</f>
        <v>0.132951790522854</v>
      </c>
      <c r="F110" s="17" t="n">
        <f aca="false">F109/F103</f>
        <v>0.140385831426233</v>
      </c>
      <c r="G110" s="17" t="n">
        <f aca="false">G109/G103</f>
        <v>0.141945734105594</v>
      </c>
    </row>
    <row r="111" customFormat="false" ht="17.15" hidden="false" customHeight="false" outlineLevel="0" collapsed="false">
      <c r="A111" s="0" t="s">
        <v>540</v>
      </c>
      <c r="B111" s="0" t="s">
        <v>78</v>
      </c>
      <c r="C111" s="17" t="n">
        <f aca="false">C89/C109</f>
        <v>0.301386044611758</v>
      </c>
      <c r="D111" s="17" t="n">
        <f aca="false">D89/D109</f>
        <v>0.324257425742574</v>
      </c>
      <c r="E111" s="17" t="n">
        <f aca="false">E89/E109</f>
        <v>0.413820318415991</v>
      </c>
      <c r="F111" s="17" t="n">
        <f aca="false">F89/F109</f>
        <v>0.452562737533511</v>
      </c>
      <c r="G111" s="17" t="n">
        <f aca="false">G89/G109</f>
        <v>0.462379961562931</v>
      </c>
    </row>
    <row r="112" customFormat="false" ht="17.15" hidden="false" customHeight="false" outlineLevel="0" collapsed="false">
      <c r="A112" s="4" t="s">
        <v>430</v>
      </c>
      <c r="B112" s="0" t="s">
        <v>53</v>
      </c>
      <c r="C112" s="22" t="n">
        <f aca="false">q25_ni/q25_bp</f>
        <v>0.743391310587703</v>
      </c>
      <c r="D112" s="22" t="n">
        <f aca="false">q26_ni/q26_bp</f>
        <v>0.611386138613861</v>
      </c>
      <c r="E112" s="22" t="n">
        <f aca="false">ni_bp</f>
        <v>0.62</v>
      </c>
      <c r="F112" s="22" t="n">
        <f aca="false">ni_bp</f>
        <v>0.62</v>
      </c>
      <c r="G112" s="22" t="n">
        <f aca="false">ni_bp</f>
        <v>0.62</v>
      </c>
    </row>
    <row r="113" customFormat="false" ht="15" hidden="false" customHeight="false" outlineLevel="0" collapsed="false">
      <c r="A113" s="4" t="s">
        <v>420</v>
      </c>
      <c r="B113" s="0" t="s">
        <v>170</v>
      </c>
      <c r="C113" s="16" t="n">
        <f aca="false">q25_ni</f>
        <v>134.675</v>
      </c>
      <c r="D113" s="16" t="n">
        <f aca="false">q26_ni</f>
        <v>123.5</v>
      </c>
      <c r="E113" s="16" t="n">
        <f aca="false">E109*E112</f>
        <v>152.5423262</v>
      </c>
      <c r="F113" s="16" t="n">
        <f aca="false">F109*F112</f>
        <v>170.243547810568</v>
      </c>
      <c r="G113" s="16" t="n">
        <f aca="false">G109*G112</f>
        <v>180.68867025378</v>
      </c>
      <c r="H113" s="24" t="n">
        <f aca="false">H103*H117</f>
        <v>190.288095993299</v>
      </c>
      <c r="I113" s="24" t="n">
        <f aca="false">I103*I117</f>
        <v>201.051445524147</v>
      </c>
      <c r="J113" s="24" t="n">
        <f aca="false">J103*J117</f>
        <v>213.114532255596</v>
      </c>
    </row>
    <row r="114" customFormat="false" ht="15" hidden="false" customHeight="false" outlineLevel="0" collapsed="false">
      <c r="A114" s="4" t="s">
        <v>541</v>
      </c>
      <c r="B114" s="4" t="s">
        <v>317</v>
      </c>
      <c r="C114" s="20" t="n">
        <f aca="false">q25_sh</f>
        <v>0.973366579936398</v>
      </c>
      <c r="D114" s="20" t="n">
        <f aca="false">q26_sh</f>
        <v>0.95117067159581</v>
      </c>
      <c r="E114" s="20" t="n">
        <f aca="false">D114*(1+sh_g)</f>
        <v>0.936903111521873</v>
      </c>
      <c r="F114" s="20" t="n">
        <f aca="false">E114*(1+sh_g)</f>
        <v>0.922849564849045</v>
      </c>
      <c r="G114" s="20" t="n">
        <f aca="false">F114*(1+sh_g)</f>
        <v>0.909006821376309</v>
      </c>
      <c r="H114" s="29" t="n">
        <f aca="false">G114*(1+sh_g)</f>
        <v>0.895371719055665</v>
      </c>
      <c r="I114" s="29" t="n">
        <f aca="false">H114*(1+sh_g)</f>
        <v>0.88194114326983</v>
      </c>
      <c r="J114" s="29" t="n">
        <f aca="false">I114*(1+sh_g)</f>
        <v>0.868712026120782</v>
      </c>
    </row>
    <row r="115" customFormat="false" ht="17.15" hidden="false" customHeight="false" outlineLevel="0" collapsed="false">
      <c r="A115" s="0" t="s">
        <v>542</v>
      </c>
      <c r="B115" s="0" t="s">
        <v>208</v>
      </c>
      <c r="C115" s="21" t="n">
        <f aca="false">C113/C114</f>
        <v>138.36</v>
      </c>
      <c r="D115" s="21" t="n">
        <f aca="false">D113/D114</f>
        <v>129.84</v>
      </c>
      <c r="E115" s="21" t="n">
        <f aca="false">E113/E114</f>
        <v>162.815476140554</v>
      </c>
      <c r="F115" s="21" t="n">
        <f aca="false">F113/F114</f>
        <v>184.47594742965</v>
      </c>
      <c r="G115" s="21" t="n">
        <f aca="false">G113/G114</f>
        <v>198.775923353582</v>
      </c>
      <c r="H115" s="27" t="n">
        <f aca="false">H113/H114</f>
        <v>212.524130418138</v>
      </c>
      <c r="I115" s="27" t="n">
        <f aca="false">I113/I114</f>
        <v>227.964697030395</v>
      </c>
      <c r="J115" s="27" t="n">
        <f aca="false">J113/J114</f>
        <v>245.322415078395</v>
      </c>
    </row>
    <row r="116" customFormat="false" ht="17.15" hidden="false" customHeight="false" outlineLevel="0" collapsed="false">
      <c r="A116" s="0" t="s">
        <v>543</v>
      </c>
      <c r="B116" s="0" t="s">
        <v>78</v>
      </c>
      <c r="D116" s="17" t="n">
        <f aca="false">D115/C115-1</f>
        <v>-0.0615784908933218</v>
      </c>
      <c r="E116" s="17" t="n">
        <f aca="false">E115/D115-1</f>
        <v>0.253970087342527</v>
      </c>
      <c r="F116" s="17" t="n">
        <f aca="false">F115/E115-1</f>
        <v>0.133036931147734</v>
      </c>
      <c r="G116" s="17" t="n">
        <f aca="false">G115/F115-1</f>
        <v>0.0775167501410168</v>
      </c>
      <c r="H116" s="25" t="n">
        <f aca="false">H115/G115-1</f>
        <v>0.0691643476363157</v>
      </c>
      <c r="I116" s="25" t="n">
        <f aca="false">I115/H115-1</f>
        <v>0.0726532398080058</v>
      </c>
      <c r="J116" s="25" t="n">
        <f aca="false">J115/I115-1</f>
        <v>0.0761421319796956</v>
      </c>
    </row>
    <row r="117" customFormat="false" ht="15" hidden="false" customHeight="false" outlineLevel="0" collapsed="false">
      <c r="A117" s="4" t="s">
        <v>544</v>
      </c>
      <c r="B117" s="0" t="s">
        <v>78</v>
      </c>
      <c r="C117" s="14" t="n">
        <f aca="false">C113/C103</f>
        <v>0.0850371814696925</v>
      </c>
      <c r="D117" s="14" t="n">
        <f aca="false">D113/D103</f>
        <v>0.0713048498845266</v>
      </c>
      <c r="E117" s="14" t="n">
        <f aca="false">E113/E103</f>
        <v>0.0824301101241696</v>
      </c>
      <c r="F117" s="14" t="n">
        <f aca="false">F113/F103</f>
        <v>0.0870392154842644</v>
      </c>
      <c r="G117" s="14" t="n">
        <f aca="false">G113/G103</f>
        <v>0.088006355145468</v>
      </c>
      <c r="H117" s="26" t="n">
        <f aca="false">$G117+(fade_mA-$G117)*1/3</f>
        <v>0.088006355145468</v>
      </c>
      <c r="I117" s="26" t="n">
        <f aca="false">$G117+(fade_mA-$G117)*2/3</f>
        <v>0.088006355145468</v>
      </c>
      <c r="J117" s="26" t="n">
        <f aca="false">$G117+(fade_mA-$G117)*3/3</f>
        <v>0.088006355145468</v>
      </c>
    </row>
    <row r="118" customFormat="false" ht="17.15" hidden="false" customHeight="false" outlineLevel="0" collapsed="false">
      <c r="A118" s="0" t="s">
        <v>545</v>
      </c>
      <c r="B118" s="0" t="s">
        <v>208</v>
      </c>
      <c r="D118" s="21" t="n">
        <f aca="false">D89*D112/D114</f>
        <v>42.1015841584158</v>
      </c>
      <c r="E118" s="21" t="n">
        <f aca="false">E89*E112/E114</f>
        <v>67.3763521795352</v>
      </c>
      <c r="F118" s="21" t="n">
        <f aca="false">F89*F112/F114</f>
        <v>83.4869397778505</v>
      </c>
      <c r="G118" s="21" t="n">
        <f aca="false">G89*G112/G114</f>
        <v>91.9100037998652</v>
      </c>
      <c r="K118" s="8" t="s">
        <v>546</v>
      </c>
    </row>
    <row r="119" customFormat="false" ht="17.15" hidden="false" customHeight="false" outlineLevel="0" collapsed="false">
      <c r="A119" s="0" t="s">
        <v>547</v>
      </c>
      <c r="B119" s="0" t="s">
        <v>208</v>
      </c>
      <c r="D119" s="21" t="n">
        <f aca="false">D115-D118</f>
        <v>87.7384158415842</v>
      </c>
      <c r="E119" s="21" t="n">
        <f aca="false">E115-E118</f>
        <v>95.4391239610186</v>
      </c>
      <c r="F119" s="21" t="n">
        <f aca="false">F115-F118</f>
        <v>100.9890076518</v>
      </c>
      <c r="G119" s="21" t="n">
        <f aca="false">G115-G118</f>
        <v>106.865919553716</v>
      </c>
    </row>
    <row r="120" customFormat="false" ht="17.15" hidden="false" customHeight="false" outlineLevel="0" collapsed="false">
      <c r="A120" s="0" t="s">
        <v>548</v>
      </c>
      <c r="B120" s="0" t="s">
        <v>455</v>
      </c>
      <c r="D120" s="16" t="n">
        <f aca="false">D85/D75*1000/150</f>
        <v>23.5087719298246</v>
      </c>
      <c r="E120" s="16" t="n">
        <f aca="false">E85/E75*1000/150</f>
        <v>30.1617621884116</v>
      </c>
      <c r="F120" s="16" t="n">
        <f aca="false">F85/F75*1000/150</f>
        <v>36.5143464561404</v>
      </c>
      <c r="G120" s="16" t="n">
        <f aca="false">G85/G75*1000/150</f>
        <v>39.9173947725016</v>
      </c>
      <c r="K120" s="8" t="s">
        <v>549</v>
      </c>
    </row>
    <row r="123" customFormat="false" ht="17.15" hidden="false" customHeight="false" outlineLevel="0" collapsed="false">
      <c r="A123" s="1" t="s">
        <v>550</v>
      </c>
    </row>
    <row r="124" customFormat="false" ht="17.15" hidden="false" customHeight="false" outlineLevel="0" collapsed="false">
      <c r="A124" s="5" t="s">
        <v>20</v>
      </c>
      <c r="B124" s="5" t="s">
        <v>21</v>
      </c>
      <c r="C124" s="15" t="s">
        <v>398</v>
      </c>
      <c r="D124" s="15" t="s">
        <v>470</v>
      </c>
      <c r="E124" s="15" t="s">
        <v>435</v>
      </c>
      <c r="F124" s="15" t="s">
        <v>436</v>
      </c>
      <c r="G124" s="15" t="s">
        <v>437</v>
      </c>
      <c r="H124" s="15" t="s">
        <v>471</v>
      </c>
      <c r="I124" s="15" t="s">
        <v>472</v>
      </c>
      <c r="J124" s="15" t="s">
        <v>473</v>
      </c>
      <c r="K124" s="5" t="s">
        <v>377</v>
      </c>
    </row>
    <row r="125" customFormat="false" ht="17.15" hidden="false" customHeight="false" outlineLevel="0" collapsed="false">
      <c r="A125" s="6" t="s">
        <v>493</v>
      </c>
    </row>
    <row r="126" customFormat="false" ht="17.15" hidden="false" customHeight="false" outlineLevel="0" collapsed="false">
      <c r="A126" s="0" t="s">
        <v>494</v>
      </c>
      <c r="B126" s="4" t="s">
        <v>31</v>
      </c>
      <c r="D126" s="21" t="n">
        <f aca="false">unv_26</f>
        <v>7.6</v>
      </c>
      <c r="E126" s="21" t="n">
        <f aca="false">unv_27</f>
        <v>9.7</v>
      </c>
      <c r="F126" s="21" t="n">
        <f aca="false">unv_28*um28_B</f>
        <v>7.6</v>
      </c>
      <c r="G126" s="21" t="n">
        <f aca="false">unv_29*um29_B</f>
        <v>9.01</v>
      </c>
      <c r="K126" s="8" t="s">
        <v>495</v>
      </c>
    </row>
    <row r="127" customFormat="false" ht="17.15" hidden="false" customHeight="false" outlineLevel="0" collapsed="false">
      <c r="A127" s="4" t="s">
        <v>496</v>
      </c>
      <c r="B127" s="4" t="s">
        <v>31</v>
      </c>
      <c r="D127" s="21" t="n">
        <f aca="false">uot_26</f>
        <v>7.6</v>
      </c>
      <c r="E127" s="21" t="n">
        <f aca="false">uot_27</f>
        <v>14</v>
      </c>
      <c r="F127" s="21" t="n">
        <f aca="false">uot_28*um28_B</f>
        <v>13.6</v>
      </c>
      <c r="G127" s="21" t="n">
        <f aca="false">uot_29*um29_B</f>
        <v>16.6175</v>
      </c>
      <c r="K127" s="8" t="s">
        <v>497</v>
      </c>
    </row>
    <row r="128" customFormat="false" ht="17.15" hidden="false" customHeight="false" outlineLevel="0" collapsed="false">
      <c r="A128" s="4" t="s">
        <v>498</v>
      </c>
      <c r="B128" s="4" t="s">
        <v>31</v>
      </c>
      <c r="D128" s="21" t="n">
        <f aca="false">D126+v_ot*D127</f>
        <v>13.68</v>
      </c>
      <c r="E128" s="21" t="n">
        <f aca="false">E126+v_ot*E127</f>
        <v>20.9</v>
      </c>
      <c r="F128" s="21" t="n">
        <f aca="false">F126+v_ot*F127</f>
        <v>18.48</v>
      </c>
      <c r="G128" s="21" t="n">
        <f aca="false">G126+v_ot*G127</f>
        <v>22.304</v>
      </c>
    </row>
    <row r="129" customFormat="false" ht="17.15" hidden="false" customHeight="false" outlineLevel="0" collapsed="false">
      <c r="A129" s="4" t="s">
        <v>499</v>
      </c>
      <c r="B129" s="0" t="s">
        <v>53</v>
      </c>
      <c r="D129" s="22" t="n">
        <f aca="false">1</f>
        <v>1</v>
      </c>
      <c r="E129" s="22" t="n">
        <f aca="false">D129*(1+g_asp)</f>
        <v>1.18</v>
      </c>
      <c r="F129" s="22" t="n">
        <f aca="false">E129*(1+g_asp)</f>
        <v>1.3924</v>
      </c>
      <c r="G129" s="22" t="n">
        <f aca="false">F129*(1+g_asp)</f>
        <v>1.643032</v>
      </c>
    </row>
    <row r="130" customFormat="false" ht="17.15" hidden="false" customHeight="false" outlineLevel="0" collapsed="false">
      <c r="A130" s="4" t="s">
        <v>500</v>
      </c>
      <c r="B130" s="0" t="s">
        <v>53</v>
      </c>
      <c r="D130" s="19" t="n">
        <f aca="false">1</f>
        <v>1</v>
      </c>
      <c r="E130" s="19" t="n">
        <f aca="false">rel_27</f>
        <v>1</v>
      </c>
      <c r="F130" s="19" t="n">
        <f aca="false">rel_28</f>
        <v>0.97</v>
      </c>
      <c r="G130" s="19" t="n">
        <f aca="false">rel_29</f>
        <v>0.95</v>
      </c>
    </row>
    <row r="131" customFormat="false" ht="17.15" hidden="false" customHeight="false" outlineLevel="0" collapsed="false">
      <c r="A131" s="0" t="s">
        <v>501</v>
      </c>
      <c r="B131" s="0" t="s">
        <v>53</v>
      </c>
      <c r="D131" s="22" t="n">
        <f aca="false">D128/$D128*D129*D130</f>
        <v>1</v>
      </c>
      <c r="E131" s="22" t="n">
        <f aca="false">E128/$D128*E129*E130</f>
        <v>1.80277777777778</v>
      </c>
      <c r="F131" s="22" t="n">
        <f aca="false">F128/$D128*F129*F130</f>
        <v>1.82453256140351</v>
      </c>
      <c r="G131" s="22" t="n">
        <f aca="false">G128/$D128*G129*G130</f>
        <v>2.54487400888889</v>
      </c>
      <c r="K131" s="4" t="s">
        <v>502</v>
      </c>
    </row>
    <row r="132" customFormat="false" ht="17.15" hidden="false" customHeight="false" outlineLevel="0" collapsed="false">
      <c r="A132" s="4" t="s">
        <v>503</v>
      </c>
      <c r="B132" s="0" t="s">
        <v>53</v>
      </c>
      <c r="D132" s="22" t="n">
        <f aca="false">1</f>
        <v>1</v>
      </c>
      <c r="E132" s="22" t="n">
        <f aca="false">D132*(1+g_nai)</f>
        <v>1.03</v>
      </c>
      <c r="F132" s="22" t="n">
        <f aca="false">E132*(1+g_nai)</f>
        <v>1.0609</v>
      </c>
      <c r="G132" s="22" t="n">
        <f aca="false">F132*(1+g_nai)</f>
        <v>1.092727</v>
      </c>
    </row>
    <row r="133" customFormat="false" ht="17.15" hidden="false" customHeight="false" outlineLevel="0" collapsed="false">
      <c r="A133" s="0" t="s">
        <v>504</v>
      </c>
      <c r="B133" s="0" t="s">
        <v>53</v>
      </c>
      <c r="D133" s="22" t="n">
        <f aca="false">ai_sh*D131+(1-ai_sh)*D132</f>
        <v>1</v>
      </c>
      <c r="E133" s="22" t="n">
        <f aca="false">ai_sh*E131+(1-ai_sh)*E132</f>
        <v>1.33911111111111</v>
      </c>
      <c r="F133" s="22" t="n">
        <f aca="false">ai_sh*F131+(1-ai_sh)*F132</f>
        <v>1.3663530245614</v>
      </c>
      <c r="G133" s="22" t="n">
        <f aca="false">ai_sh*G131+(1-ai_sh)*G132</f>
        <v>1.67358580355556</v>
      </c>
    </row>
    <row r="134" customFormat="false" ht="17.15" hidden="false" customHeight="false" outlineLevel="0" collapsed="false">
      <c r="A134" s="4" t="s">
        <v>505</v>
      </c>
      <c r="B134" s="0" t="s">
        <v>53</v>
      </c>
      <c r="D134" s="22" t="n">
        <f aca="false">1</f>
        <v>1</v>
      </c>
      <c r="E134" s="22" t="n">
        <f aca="false">cap_27</f>
        <v>1.3</v>
      </c>
      <c r="F134" s="22" t="n">
        <f aca="false">cap_28</f>
        <v>1.55</v>
      </c>
      <c r="G134" s="22" t="n">
        <f aca="false">cap_29</f>
        <v>1.8</v>
      </c>
      <c r="K134" s="4" t="s">
        <v>506</v>
      </c>
    </row>
    <row r="135" customFormat="false" ht="17.15" hidden="false" customHeight="false" outlineLevel="0" collapsed="false">
      <c r="A135" s="4" t="s">
        <v>507</v>
      </c>
      <c r="B135" s="0" t="s">
        <v>53</v>
      </c>
      <c r="D135" s="22" t="n">
        <f aca="false">MIN(D133,D134)</f>
        <v>1</v>
      </c>
      <c r="E135" s="22" t="n">
        <f aca="false">MIN(E133,E134)</f>
        <v>1.3</v>
      </c>
      <c r="F135" s="22" t="n">
        <f aca="false">MIN(F133,F134)</f>
        <v>1.3663530245614</v>
      </c>
      <c r="G135" s="22" t="n">
        <f aca="false">MIN(G133,G134)</f>
        <v>1.67358580355556</v>
      </c>
    </row>
    <row r="136" customFormat="false" ht="17.15" hidden="false" customHeight="false" outlineLevel="0" collapsed="false">
      <c r="A136" s="4" t="s">
        <v>508</v>
      </c>
      <c r="B136" s="0" t="s">
        <v>78</v>
      </c>
      <c r="D136" s="17" t="n">
        <f aca="false">D135/D133</f>
        <v>1</v>
      </c>
      <c r="E136" s="17" t="n">
        <f aca="false">E135/E133</f>
        <v>0.970793229339529</v>
      </c>
      <c r="F136" s="17" t="n">
        <f aca="false">F135/F133</f>
        <v>1</v>
      </c>
      <c r="G136" s="17" t="n">
        <f aca="false">G135/G133</f>
        <v>1</v>
      </c>
      <c r="K136" s="4" t="s">
        <v>509</v>
      </c>
    </row>
    <row r="137" customFormat="false" ht="17.15" hidden="false" customHeight="false" outlineLevel="0" collapsed="false">
      <c r="A137" s="0" t="s">
        <v>510</v>
      </c>
      <c r="B137" s="0" t="s">
        <v>53</v>
      </c>
      <c r="D137" s="22" t="n">
        <f aca="false">1</f>
        <v>1</v>
      </c>
      <c r="E137" s="22" t="n">
        <f aca="false">pp_27</f>
        <v>1.12</v>
      </c>
      <c r="F137" s="22" t="n">
        <f aca="false">pp_28*sp_B</f>
        <v>1.0925</v>
      </c>
      <c r="G137" s="22" t="n">
        <f aca="false">pp_29*sp_B</f>
        <v>1.064</v>
      </c>
      <c r="K137" s="8" t="s">
        <v>511</v>
      </c>
    </row>
    <row r="138" customFormat="false" ht="17.15" hidden="false" customHeight="false" outlineLevel="0" collapsed="false">
      <c r="A138" s="0" t="s">
        <v>452</v>
      </c>
      <c r="B138" s="0" t="s">
        <v>170</v>
      </c>
      <c r="D138" s="16" t="n">
        <f aca="false">q26_fm*ai_sh</f>
        <v>48.24</v>
      </c>
      <c r="E138" s="16" t="n">
        <f aca="false">q26_fm*ai_sh*E131*E136*E137</f>
        <v>94.5571244606705</v>
      </c>
      <c r="F138" s="16" t="n">
        <f aca="false">q26_fm*ai_sh*F131*F136*F137</f>
        <v>96.1568799576</v>
      </c>
      <c r="G138" s="16" t="n">
        <f aca="false">q26_fm*ai_sh*G131*G136*G137</f>
        <v>130.621664408883</v>
      </c>
      <c r="K138" s="8" t="s">
        <v>512</v>
      </c>
    </row>
    <row r="139" customFormat="false" ht="17.15" hidden="false" customHeight="false" outlineLevel="0" collapsed="false">
      <c r="A139" s="0" t="s">
        <v>513</v>
      </c>
      <c r="B139" s="0" t="s">
        <v>170</v>
      </c>
      <c r="D139" s="16" t="n">
        <f aca="false">q26_fm*(1-ai_sh)</f>
        <v>72.36</v>
      </c>
      <c r="E139" s="16" t="n">
        <f aca="false">q26_fm*(1-ai_sh)*E132*E136*E137</f>
        <v>81.0364755393296</v>
      </c>
      <c r="F139" s="16" t="n">
        <f aca="false">q26_fm*(1-ai_sh)*F132*F136*F137</f>
        <v>83.86764597</v>
      </c>
      <c r="G139" s="16" t="n">
        <f aca="false">q26_fm*(1-ai_sh)*G132*G136*G137</f>
        <v>84.13018816608</v>
      </c>
    </row>
    <row r="140" customFormat="false" ht="17.15" hidden="false" customHeight="false" outlineLevel="0" collapsed="false">
      <c r="A140" s="4" t="s">
        <v>514</v>
      </c>
      <c r="B140" s="0" t="s">
        <v>170</v>
      </c>
      <c r="C140" s="16" t="n">
        <f aca="false">q25_fm</f>
        <v>102.4512</v>
      </c>
      <c r="D140" s="16" t="n">
        <f aca="false">D138+D139</f>
        <v>120.6</v>
      </c>
      <c r="E140" s="16" t="n">
        <f aca="false">E138+E139</f>
        <v>175.5936</v>
      </c>
      <c r="F140" s="16" t="n">
        <f aca="false">F138+F139</f>
        <v>180.0245259276</v>
      </c>
      <c r="G140" s="16" t="n">
        <f aca="false">G138+G139</f>
        <v>214.751852574963</v>
      </c>
    </row>
    <row r="141" customFormat="false" ht="17.15" hidden="false" customHeight="false" outlineLevel="0" collapsed="false">
      <c r="A141" s="0" t="s">
        <v>515</v>
      </c>
      <c r="B141" s="0" t="s">
        <v>78</v>
      </c>
      <c r="C141" s="17" t="n">
        <f aca="false">q25_fmbp/q25_fm</f>
        <v>0.532936656671664</v>
      </c>
      <c r="D141" s="17" t="n">
        <f aca="false">q26_fmbp/q26_fm</f>
        <v>0.543117744610282</v>
      </c>
      <c r="E141" s="17" t="n">
        <f aca="false">1-(1-$D141)*(1+c_g)^1/E137</f>
        <v>0.579831497275527</v>
      </c>
      <c r="F141" s="17" t="n">
        <f aca="false">1-(1-$D141)*(1+c_g)^2/F137</f>
        <v>0.55633282861057</v>
      </c>
      <c r="G141" s="17" t="n">
        <f aca="false">1-(1-$D141)*(1+c_g)^3/G137</f>
        <v>0.530782353115376</v>
      </c>
      <c r="K141" s="8" t="s">
        <v>516</v>
      </c>
    </row>
    <row r="142" customFormat="false" ht="17.15" hidden="false" customHeight="false" outlineLevel="0" collapsed="false">
      <c r="A142" s="0" t="s">
        <v>478</v>
      </c>
      <c r="B142" s="0" t="s">
        <v>170</v>
      </c>
      <c r="C142" s="16" t="n">
        <f aca="false">q25_fmbp</f>
        <v>54.6</v>
      </c>
      <c r="D142" s="16" t="n">
        <f aca="false">D140*D141</f>
        <v>65.5</v>
      </c>
      <c r="E142" s="16" t="n">
        <f aca="false">E140*E141</f>
        <v>101.8147</v>
      </c>
      <c r="F142" s="16" t="n">
        <f aca="false">F140*F141</f>
        <v>100.153553728579</v>
      </c>
      <c r="G142" s="16" t="n">
        <f aca="false">G140*G141</f>
        <v>113.986493645625</v>
      </c>
    </row>
    <row r="143" customFormat="false" ht="17.15" hidden="false" customHeight="false" outlineLevel="0" collapsed="false">
      <c r="A143" s="6" t="s">
        <v>517</v>
      </c>
    </row>
    <row r="144" customFormat="false" ht="15" hidden="false" customHeight="false" outlineLevel="0" collapsed="false">
      <c r="A144" s="4" t="s">
        <v>518</v>
      </c>
      <c r="B144" s="0" t="s">
        <v>170</v>
      </c>
      <c r="C144" s="16" t="n">
        <f aca="false">q25_sf</f>
        <v>936.926</v>
      </c>
      <c r="D144" s="16" t="n">
        <f aca="false">q26_sf</f>
        <v>998.6</v>
      </c>
      <c r="E144" s="16" t="n">
        <f aca="false">D144*(1+g_sf)</f>
        <v>1038.544</v>
      </c>
      <c r="F144" s="16" t="n">
        <f aca="false">E144*(1+g_sf)</f>
        <v>1080.08576</v>
      </c>
      <c r="G144" s="16" t="n">
        <f aca="false">F144*(1+g_sf)</f>
        <v>1123.2891904</v>
      </c>
    </row>
    <row r="145" customFormat="false" ht="15" hidden="false" customHeight="false" outlineLevel="0" collapsed="false">
      <c r="A145" s="4" t="s">
        <v>519</v>
      </c>
      <c r="B145" s="0" t="s">
        <v>170</v>
      </c>
      <c r="C145" s="16" t="n">
        <f aca="false">q25_sfbp</f>
        <v>143.036</v>
      </c>
      <c r="D145" s="16" t="n">
        <f aca="false">q26_sfbp</f>
        <v>145.9</v>
      </c>
      <c r="E145" s="16" t="n">
        <f aca="false">E144*m_sf</f>
        <v>151.736</v>
      </c>
      <c r="F145" s="16" t="n">
        <f aca="false">F144*m_sf</f>
        <v>157.80544</v>
      </c>
      <c r="G145" s="16" t="n">
        <f aca="false">G144*m_sf</f>
        <v>164.1176576</v>
      </c>
    </row>
    <row r="146" customFormat="false" ht="15" hidden="false" customHeight="false" outlineLevel="0" collapsed="false">
      <c r="A146" s="4" t="s">
        <v>520</v>
      </c>
      <c r="B146" s="0" t="s">
        <v>170</v>
      </c>
      <c r="C146" s="16" t="n">
        <f aca="false">q25_ff</f>
        <v>290.308</v>
      </c>
      <c r="D146" s="16" t="n">
        <f aca="false">q26_ff</f>
        <v>310.6</v>
      </c>
      <c r="E146" s="16" t="n">
        <f aca="false">D146*(1+g_ff)</f>
        <v>319.918</v>
      </c>
      <c r="F146" s="16" t="n">
        <f aca="false">E146*(1+g_ff)</f>
        <v>329.51554</v>
      </c>
      <c r="G146" s="16" t="n">
        <f aca="false">F146*(1+g_ff)</f>
        <v>339.4010062</v>
      </c>
    </row>
    <row r="147" customFormat="false" ht="15" hidden="false" customHeight="false" outlineLevel="0" collapsed="false">
      <c r="A147" s="4" t="s">
        <v>521</v>
      </c>
      <c r="B147" s="0" t="s">
        <v>170</v>
      </c>
      <c r="C147" s="16" t="n">
        <f aca="false">q25_ffbp</f>
        <v>8.457</v>
      </c>
      <c r="D147" s="16" t="n">
        <f aca="false">q26_ffbp</f>
        <v>12.1</v>
      </c>
      <c r="E147" s="16" t="n">
        <f aca="false">E146*m_ff</f>
        <v>14.39631</v>
      </c>
      <c r="F147" s="16" t="n">
        <f aca="false">F146*m_ff</f>
        <v>14.8281993</v>
      </c>
      <c r="G147" s="16" t="n">
        <f aca="false">G146*m_ff</f>
        <v>15.273045279</v>
      </c>
    </row>
    <row r="148" customFormat="false" ht="17.15" hidden="false" customHeight="false" outlineLevel="0" collapsed="false">
      <c r="A148" s="4" t="s">
        <v>522</v>
      </c>
      <c r="B148" s="0" t="s">
        <v>170</v>
      </c>
      <c r="C148" s="16" t="n">
        <f aca="false">q25_hox</f>
        <v>239.0528</v>
      </c>
      <c r="D148" s="16" t="n">
        <f aca="false">q26_hox</f>
        <v>286.2</v>
      </c>
      <c r="E148" s="16" t="n">
        <f aca="false">D148*(1+g_ho)</f>
        <v>300.51</v>
      </c>
      <c r="F148" s="16" t="n">
        <f aca="false">E148*(1+g_ho)</f>
        <v>315.5355</v>
      </c>
      <c r="G148" s="16" t="n">
        <f aca="false">F148*(1+g_ho)</f>
        <v>331.312275</v>
      </c>
    </row>
    <row r="149" customFormat="false" ht="17.15" hidden="false" customHeight="false" outlineLevel="0" collapsed="false">
      <c r="A149" s="4" t="s">
        <v>523</v>
      </c>
      <c r="B149" s="0" t="s">
        <v>170</v>
      </c>
      <c r="C149" s="16" t="n">
        <f aca="false">q25_hoxbp</f>
        <v>11.602</v>
      </c>
      <c r="D149" s="16" t="n">
        <f aca="false">q26_hoxbp</f>
        <v>19.5</v>
      </c>
      <c r="E149" s="16" t="n">
        <f aca="false">E148*m_ho</f>
        <v>20.475</v>
      </c>
      <c r="F149" s="16" t="n">
        <f aca="false">F148*m_ho</f>
        <v>21.49875</v>
      </c>
      <c r="G149" s="16" t="n">
        <f aca="false">G148*m_ho</f>
        <v>22.5736875</v>
      </c>
    </row>
    <row r="150" customFormat="false" ht="17.15" hidden="false" customHeight="false" outlineLevel="0" collapsed="false">
      <c r="A150" s="4" t="s">
        <v>524</v>
      </c>
      <c r="B150" s="0" t="s">
        <v>170</v>
      </c>
      <c r="C150" s="16" t="n">
        <f aca="false">q25_oth</f>
        <v>14.979</v>
      </c>
      <c r="D150" s="16" t="n">
        <f aca="false">q26_oth</f>
        <v>15.8</v>
      </c>
      <c r="E150" s="16" t="n">
        <f aca="false">D150</f>
        <v>15.8</v>
      </c>
      <c r="F150" s="16" t="n">
        <f aca="false">E150</f>
        <v>15.8</v>
      </c>
      <c r="G150" s="16" t="n">
        <f aca="false">F150</f>
        <v>15.8</v>
      </c>
      <c r="K150" s="8" t="s">
        <v>525</v>
      </c>
    </row>
    <row r="151" customFormat="false" ht="15" hidden="false" customHeight="false" outlineLevel="0" collapsed="false">
      <c r="A151" s="4" t="s">
        <v>526</v>
      </c>
      <c r="B151" s="0" t="s">
        <v>170</v>
      </c>
      <c r="C151" s="16" t="n">
        <f aca="false">q25_othbp</f>
        <v>6.064</v>
      </c>
      <c r="D151" s="16" t="n">
        <f aca="false">q26_othbp</f>
        <v>5.1</v>
      </c>
      <c r="E151" s="16" t="n">
        <f aca="false">q26_othbp</f>
        <v>5.1</v>
      </c>
      <c r="F151" s="16" t="n">
        <f aca="false">q26_othbp</f>
        <v>5.1</v>
      </c>
      <c r="G151" s="16" t="n">
        <f aca="false">q26_othbp</f>
        <v>5.1</v>
      </c>
    </row>
    <row r="152" customFormat="false" ht="15" hidden="false" customHeight="false" outlineLevel="0" collapsed="false">
      <c r="A152" s="4" t="s">
        <v>527</v>
      </c>
      <c r="B152" s="0" t="s">
        <v>170</v>
      </c>
      <c r="C152" s="16" t="n">
        <f aca="false">q25_cc</f>
        <v>-42.597</v>
      </c>
      <c r="D152" s="16" t="n">
        <f aca="false">q26_cc</f>
        <v>-46.2</v>
      </c>
      <c r="E152" s="16" t="n">
        <f aca="false">D152*(1+g_cc)</f>
        <v>-47.586</v>
      </c>
      <c r="F152" s="16" t="n">
        <f aca="false">E152*(1+g_cc)</f>
        <v>-49.01358</v>
      </c>
      <c r="G152" s="16" t="n">
        <f aca="false">F152*(1+g_cc)</f>
        <v>-50.4839874</v>
      </c>
    </row>
    <row r="153" customFormat="false" ht="17.15" hidden="false" customHeight="false" outlineLevel="0" collapsed="false">
      <c r="A153" s="4" t="s">
        <v>528</v>
      </c>
      <c r="B153" s="0" t="s">
        <v>170</v>
      </c>
      <c r="C153" s="28" t="n">
        <f aca="false">a_rev-(q25_sf+q25_ff+q25_hox+q25_fm+q25_oth)</f>
        <v>0.00200000000018008</v>
      </c>
      <c r="D153" s="28" t="n">
        <f aca="false">f_rev-(q26_sf+q26_ff+q26_hox+q26_fm+q26_oth)</f>
        <v>0.200000000000045</v>
      </c>
      <c r="E153" s="28" t="n">
        <f aca="false">$D153</f>
        <v>0.200000000000045</v>
      </c>
      <c r="F153" s="28" t="n">
        <f aca="false">$D153</f>
        <v>0.200000000000045</v>
      </c>
      <c r="G153" s="28" t="n">
        <f aca="false">$D153</f>
        <v>0.200000000000045</v>
      </c>
      <c r="K153" s="8" t="s">
        <v>529</v>
      </c>
    </row>
    <row r="154" customFormat="false" ht="15" hidden="false" customHeight="false" outlineLevel="0" collapsed="false">
      <c r="A154" s="4" t="s">
        <v>530</v>
      </c>
      <c r="B154" s="0" t="s">
        <v>170</v>
      </c>
      <c r="C154" s="28" t="n">
        <f aca="false">a_bp-(q25_sfbp+q25_ffbp+q25_hoxbp+q25_fmbp+q25_othbp+q25_cc)</f>
        <v>0.0010000000000332</v>
      </c>
      <c r="D154" s="28" t="n">
        <f aca="false">f_bp-(q26_sfbp+q26_ffbp+q26_hoxbp+q26_fmbp+q26_othbp+q26_cc)</f>
        <v>0.100000000000023</v>
      </c>
      <c r="E154" s="28" t="n">
        <f aca="false">$D154</f>
        <v>0.100000000000023</v>
      </c>
      <c r="F154" s="28" t="n">
        <f aca="false">$D154</f>
        <v>0.100000000000023</v>
      </c>
      <c r="G154" s="28" t="n">
        <f aca="false">$D154</f>
        <v>0.100000000000023</v>
      </c>
    </row>
    <row r="155" customFormat="false" ht="17.15" hidden="false" customHeight="false" outlineLevel="0" collapsed="false">
      <c r="A155" s="6" t="s">
        <v>531</v>
      </c>
    </row>
    <row r="156" customFormat="false" ht="17.15" hidden="false" customHeight="false" outlineLevel="0" collapsed="false">
      <c r="A156" s="4" t="s">
        <v>403</v>
      </c>
      <c r="B156" s="0" t="s">
        <v>170</v>
      </c>
      <c r="C156" s="16" t="n">
        <f aca="false">C144+C146+C148+C140+C150+C153</f>
        <v>1583.719</v>
      </c>
      <c r="D156" s="16" t="n">
        <f aca="false">D144+D146+D148+D140+D150+D153</f>
        <v>1732</v>
      </c>
      <c r="E156" s="16" t="n">
        <f aca="false">E144+E146+E148+E140+E150+E153</f>
        <v>1850.5656</v>
      </c>
      <c r="F156" s="16" t="n">
        <f aca="false">F144+F146+F148+F140+F150+F153</f>
        <v>1921.1613259276</v>
      </c>
      <c r="G156" s="16" t="n">
        <f aca="false">G144+G146+G148+G140+G150+G153</f>
        <v>2024.75432417496</v>
      </c>
      <c r="H156" s="24" t="n">
        <f aca="false">G156*(1+H160)</f>
        <v>2124.53701336304</v>
      </c>
      <c r="I156" s="24" t="n">
        <f aca="false">H156*(1+I160)</f>
        <v>2219.37781258359</v>
      </c>
      <c r="J156" s="24" t="n">
        <f aca="false">I156*(1+J160)</f>
        <v>2308.15292508694</v>
      </c>
      <c r="K156" s="8" t="s">
        <v>532</v>
      </c>
    </row>
    <row r="157" customFormat="false" ht="17.15" hidden="false" customHeight="false" outlineLevel="0" collapsed="false">
      <c r="A157" s="4" t="s">
        <v>533</v>
      </c>
      <c r="B157" s="0" t="s">
        <v>170</v>
      </c>
      <c r="C157" s="16" t="n">
        <f aca="false">C140+C148</f>
        <v>341.504</v>
      </c>
      <c r="D157" s="16" t="n">
        <f aca="false">D140+D148</f>
        <v>406.8</v>
      </c>
      <c r="E157" s="16" t="n">
        <f aca="false">E140+E148</f>
        <v>476.1036</v>
      </c>
      <c r="F157" s="16" t="n">
        <f aca="false">F140+F148</f>
        <v>495.5600259276</v>
      </c>
      <c r="G157" s="16" t="n">
        <f aca="false">G140+G148</f>
        <v>546.064127574963</v>
      </c>
      <c r="K157" s="4" t="s">
        <v>534</v>
      </c>
    </row>
    <row r="158" customFormat="false" ht="17.15" hidden="false" customHeight="false" outlineLevel="0" collapsed="false">
      <c r="A158" s="4" t="s">
        <v>535</v>
      </c>
      <c r="B158" s="0" t="s">
        <v>170</v>
      </c>
      <c r="C158" s="16" t="n">
        <f aca="false">C150+C153</f>
        <v>14.9810000000002</v>
      </c>
      <c r="D158" s="16" t="n">
        <f aca="false">D150+D153</f>
        <v>16</v>
      </c>
      <c r="E158" s="16" t="n">
        <f aca="false">E150+E153</f>
        <v>16</v>
      </c>
      <c r="F158" s="16" t="n">
        <f aca="false">F150+F153</f>
        <v>16</v>
      </c>
      <c r="G158" s="16" t="n">
        <f aca="false">G150+G153</f>
        <v>16</v>
      </c>
      <c r="K158" s="8" t="s">
        <v>536</v>
      </c>
    </row>
    <row r="159" customFormat="false" ht="15" hidden="false" customHeight="false" outlineLevel="0" collapsed="false">
      <c r="A159" s="4" t="s">
        <v>537</v>
      </c>
      <c r="B159" s="0" t="s">
        <v>170</v>
      </c>
      <c r="C159" s="22" t="n">
        <f aca="false">C144+C146+C157+C158-C156</f>
        <v>0</v>
      </c>
      <c r="D159" s="22" t="n">
        <f aca="false">D144+D146+D157+D158-D156</f>
        <v>0</v>
      </c>
      <c r="E159" s="22" t="n">
        <f aca="false">E144+E146+E157+E158-E156</f>
        <v>0</v>
      </c>
      <c r="F159" s="22" t="n">
        <f aca="false">F144+F146+F157+F158-F156</f>
        <v>0</v>
      </c>
      <c r="G159" s="22" t="n">
        <f aca="false">G144+G146+G157+G158-G156</f>
        <v>0</v>
      </c>
    </row>
    <row r="160" customFormat="false" ht="15" hidden="false" customHeight="false" outlineLevel="0" collapsed="false">
      <c r="A160" s="4" t="s">
        <v>538</v>
      </c>
      <c r="B160" s="0" t="s">
        <v>78</v>
      </c>
      <c r="D160" s="17" t="n">
        <f aca="false">D156/C156-1</f>
        <v>0.0936283519993131</v>
      </c>
      <c r="E160" s="17" t="n">
        <f aca="false">E156/D156-1</f>
        <v>0.0684558891454965</v>
      </c>
      <c r="F160" s="17" t="n">
        <f aca="false">F156/E156-1</f>
        <v>0.0381481888173001</v>
      </c>
      <c r="G160" s="17" t="n">
        <f aca="false">G156/F156-1</f>
        <v>0.0539220714311148</v>
      </c>
      <c r="H160" s="25" t="n">
        <f aca="false">$G160+(fade_gB-$G160)*1/3</f>
        <v>0.0492813809540766</v>
      </c>
      <c r="I160" s="25" t="n">
        <f aca="false">$G160+(fade_gB-$G160)*2/3</f>
        <v>0.0446406904770383</v>
      </c>
      <c r="J160" s="25" t="n">
        <f aca="false">$G160+(fade_gB-$G160)*3/3</f>
        <v>0.04</v>
      </c>
    </row>
    <row r="161" customFormat="false" ht="17.15" hidden="false" customHeight="false" outlineLevel="0" collapsed="false">
      <c r="A161" s="0" t="s">
        <v>539</v>
      </c>
      <c r="B161" s="0" t="s">
        <v>78</v>
      </c>
      <c r="C161" s="17" t="n">
        <f aca="false">C140/C156</f>
        <v>0.0646902638662541</v>
      </c>
      <c r="D161" s="17" t="n">
        <f aca="false">D140/D156</f>
        <v>0.0696304849884527</v>
      </c>
      <c r="E161" s="17" t="n">
        <f aca="false">E140/E156</f>
        <v>0.0948864498507916</v>
      </c>
      <c r="F161" s="17" t="n">
        <f aca="false">F140/F156</f>
        <v>0.093706095109258</v>
      </c>
      <c r="G161" s="17" t="n">
        <f aca="false">G140/G156</f>
        <v>0.106063165299064</v>
      </c>
    </row>
    <row r="162" customFormat="false" ht="15" hidden="false" customHeight="false" outlineLevel="0" collapsed="false">
      <c r="A162" s="4" t="s">
        <v>413</v>
      </c>
      <c r="B162" s="0" t="s">
        <v>170</v>
      </c>
      <c r="C162" s="16" t="n">
        <f aca="false">C145+C147+C149+C142+C151+C152+C154</f>
        <v>181.163</v>
      </c>
      <c r="D162" s="16" t="n">
        <f aca="false">D145+D147+D149+D142+D151+D152+D154</f>
        <v>202</v>
      </c>
      <c r="E162" s="16" t="n">
        <f aca="false">E145+E147+E149+E142+E151+E152+E154</f>
        <v>246.03601</v>
      </c>
      <c r="F162" s="16" t="n">
        <f aca="false">F145+F147+F149+F142+F151+F152+F154</f>
        <v>250.472363028579</v>
      </c>
      <c r="G162" s="16" t="n">
        <f aca="false">G145+G147+G149+G142+G151+G152+G154</f>
        <v>270.666896624625</v>
      </c>
    </row>
    <row r="163" customFormat="false" ht="15" hidden="false" customHeight="false" outlineLevel="0" collapsed="false">
      <c r="A163" s="4" t="s">
        <v>429</v>
      </c>
      <c r="B163" s="0" t="s">
        <v>78</v>
      </c>
      <c r="C163" s="17" t="n">
        <f aca="false">C162/C156</f>
        <v>0.114390873633517</v>
      </c>
      <c r="D163" s="17" t="n">
        <f aca="false">D162/D156</f>
        <v>0.11662817551963</v>
      </c>
      <c r="E163" s="17" t="n">
        <f aca="false">E162/E156</f>
        <v>0.132951790522854</v>
      </c>
      <c r="F163" s="17" t="n">
        <f aca="false">F162/F156</f>
        <v>0.130375497178844</v>
      </c>
      <c r="G163" s="17" t="n">
        <f aca="false">G162/G156</f>
        <v>0.133678883108406</v>
      </c>
    </row>
    <row r="164" customFormat="false" ht="17.15" hidden="false" customHeight="false" outlineLevel="0" collapsed="false">
      <c r="A164" s="0" t="s">
        <v>540</v>
      </c>
      <c r="B164" s="0" t="s">
        <v>78</v>
      </c>
      <c r="C164" s="17" t="n">
        <f aca="false">C142/C162</f>
        <v>0.301386044611758</v>
      </c>
      <c r="D164" s="17" t="n">
        <f aca="false">D142/D162</f>
        <v>0.324257425742574</v>
      </c>
      <c r="E164" s="17" t="n">
        <f aca="false">E142/E162</f>
        <v>0.413820318415991</v>
      </c>
      <c r="F164" s="17" t="n">
        <f aca="false">F142/F162</f>
        <v>0.399858701046196</v>
      </c>
      <c r="G164" s="17" t="n">
        <f aca="false">G142/G162</f>
        <v>0.42113200789274</v>
      </c>
    </row>
    <row r="165" customFormat="false" ht="17.15" hidden="false" customHeight="false" outlineLevel="0" collapsed="false">
      <c r="A165" s="4" t="s">
        <v>430</v>
      </c>
      <c r="B165" s="0" t="s">
        <v>53</v>
      </c>
      <c r="C165" s="22" t="n">
        <f aca="false">q25_ni/q25_bp</f>
        <v>0.743391310587703</v>
      </c>
      <c r="D165" s="22" t="n">
        <f aca="false">q26_ni/q26_bp</f>
        <v>0.611386138613861</v>
      </c>
      <c r="E165" s="22" t="n">
        <f aca="false">ni_bp</f>
        <v>0.62</v>
      </c>
      <c r="F165" s="22" t="n">
        <f aca="false">ni_bp</f>
        <v>0.62</v>
      </c>
      <c r="G165" s="22" t="n">
        <f aca="false">ni_bp</f>
        <v>0.62</v>
      </c>
    </row>
    <row r="166" customFormat="false" ht="15" hidden="false" customHeight="false" outlineLevel="0" collapsed="false">
      <c r="A166" s="4" t="s">
        <v>420</v>
      </c>
      <c r="B166" s="0" t="s">
        <v>170</v>
      </c>
      <c r="C166" s="16" t="n">
        <f aca="false">q25_ni</f>
        <v>134.675</v>
      </c>
      <c r="D166" s="16" t="n">
        <f aca="false">q26_ni</f>
        <v>123.5</v>
      </c>
      <c r="E166" s="16" t="n">
        <f aca="false">E162*E165</f>
        <v>152.5423262</v>
      </c>
      <c r="F166" s="16" t="n">
        <f aca="false">F162*F165</f>
        <v>155.292865077719</v>
      </c>
      <c r="G166" s="16" t="n">
        <f aca="false">G162*G165</f>
        <v>167.813475907268</v>
      </c>
      <c r="H166" s="24" t="n">
        <f aca="false">H156*H170</f>
        <v>170.214103884592</v>
      </c>
      <c r="I166" s="24" t="n">
        <f aca="false">I156*I170</f>
        <v>171.681110769174</v>
      </c>
      <c r="J166" s="24" t="n">
        <f aca="false">J156*J170</f>
        <v>172.171628228515</v>
      </c>
    </row>
    <row r="167" customFormat="false" ht="15" hidden="false" customHeight="false" outlineLevel="0" collapsed="false">
      <c r="A167" s="4" t="s">
        <v>541</v>
      </c>
      <c r="B167" s="4" t="s">
        <v>317</v>
      </c>
      <c r="C167" s="20" t="n">
        <f aca="false">q25_sh</f>
        <v>0.973366579936398</v>
      </c>
      <c r="D167" s="20" t="n">
        <f aca="false">q26_sh</f>
        <v>0.95117067159581</v>
      </c>
      <c r="E167" s="20" t="n">
        <f aca="false">D167*(1+sh_g)</f>
        <v>0.936903111521873</v>
      </c>
      <c r="F167" s="20" t="n">
        <f aca="false">E167*(1+sh_g)</f>
        <v>0.922849564849045</v>
      </c>
      <c r="G167" s="20" t="n">
        <f aca="false">F167*(1+sh_g)</f>
        <v>0.909006821376309</v>
      </c>
      <c r="H167" s="29" t="n">
        <f aca="false">G167*(1+sh_g)</f>
        <v>0.895371719055665</v>
      </c>
      <c r="I167" s="29" t="n">
        <f aca="false">H167*(1+sh_g)</f>
        <v>0.88194114326983</v>
      </c>
      <c r="J167" s="29" t="n">
        <f aca="false">I167*(1+sh_g)</f>
        <v>0.868712026120782</v>
      </c>
    </row>
    <row r="168" customFormat="false" ht="17.15" hidden="false" customHeight="false" outlineLevel="0" collapsed="false">
      <c r="A168" s="0" t="s">
        <v>542</v>
      </c>
      <c r="B168" s="0" t="s">
        <v>208</v>
      </c>
      <c r="C168" s="21" t="n">
        <f aca="false">C166/C167</f>
        <v>138.36</v>
      </c>
      <c r="D168" s="21" t="n">
        <f aca="false">D166/D167</f>
        <v>129.84</v>
      </c>
      <c r="E168" s="21" t="n">
        <f aca="false">E166/E167</f>
        <v>162.815476140554</v>
      </c>
      <c r="F168" s="21" t="n">
        <f aca="false">F166/F167</f>
        <v>168.275384193437</v>
      </c>
      <c r="G168" s="21" t="n">
        <f aca="false">G166/G167</f>
        <v>184.611899449978</v>
      </c>
      <c r="H168" s="27" t="n">
        <f aca="false">H166/H167</f>
        <v>190.104400509896</v>
      </c>
      <c r="I168" s="27" t="n">
        <f aca="false">I166/I167</f>
        <v>194.662775491639</v>
      </c>
      <c r="J168" s="27" t="n">
        <f aca="false">J166/J167</f>
        <v>198.191832335215</v>
      </c>
    </row>
    <row r="169" customFormat="false" ht="17.15" hidden="false" customHeight="false" outlineLevel="0" collapsed="false">
      <c r="A169" s="0" t="s">
        <v>543</v>
      </c>
      <c r="B169" s="0" t="s">
        <v>78</v>
      </c>
      <c r="D169" s="17" t="n">
        <f aca="false">D168/C168-1</f>
        <v>-0.0615784908933218</v>
      </c>
      <c r="E169" s="17" t="n">
        <f aca="false">E168/D168-1</f>
        <v>0.253970087342527</v>
      </c>
      <c r="F169" s="17" t="n">
        <f aca="false">F168/E168-1</f>
        <v>0.0335343309021159</v>
      </c>
      <c r="G169" s="17" t="n">
        <f aca="false">G168/F168-1</f>
        <v>0.0970820261967882</v>
      </c>
      <c r="H169" s="25" t="n">
        <f aca="false">H168/G168-1</f>
        <v>0.0297516090581462</v>
      </c>
      <c r="I169" s="25" t="n">
        <f aca="false">I168/H168-1</f>
        <v>0.0239782717786479</v>
      </c>
      <c r="J169" s="25" t="n">
        <f aca="false">J168/I168-1</f>
        <v>0.0181290790427846</v>
      </c>
    </row>
    <row r="170" customFormat="false" ht="15" hidden="false" customHeight="false" outlineLevel="0" collapsed="false">
      <c r="A170" s="4" t="s">
        <v>544</v>
      </c>
      <c r="B170" s="0" t="s">
        <v>78</v>
      </c>
      <c r="C170" s="14" t="n">
        <f aca="false">C166/C156</f>
        <v>0.0850371814696925</v>
      </c>
      <c r="D170" s="14" t="n">
        <f aca="false">D166/D156</f>
        <v>0.0713048498845266</v>
      </c>
      <c r="E170" s="14" t="n">
        <f aca="false">E166/E156</f>
        <v>0.0824301101241696</v>
      </c>
      <c r="F170" s="14" t="n">
        <f aca="false">F166/F156</f>
        <v>0.0808328082508835</v>
      </c>
      <c r="G170" s="14" t="n">
        <f aca="false">G166/G156</f>
        <v>0.082880907527212</v>
      </c>
      <c r="H170" s="26" t="n">
        <f aca="false">$G170+(fade_mB-$G170)*1/3</f>
        <v>0.0801182106096382</v>
      </c>
      <c r="I170" s="26" t="n">
        <f aca="false">$G170+(fade_mB-$G170)*2/3</f>
        <v>0.0773555136920645</v>
      </c>
      <c r="J170" s="26" t="n">
        <f aca="false">$G170+(fade_mB-$G170)*3/3</f>
        <v>0.0745928167744908</v>
      </c>
    </row>
    <row r="171" customFormat="false" ht="17.15" hidden="false" customHeight="false" outlineLevel="0" collapsed="false">
      <c r="A171" s="0" t="s">
        <v>545</v>
      </c>
      <c r="B171" s="0" t="s">
        <v>208</v>
      </c>
      <c r="D171" s="21" t="n">
        <f aca="false">D142*D165/D167</f>
        <v>42.1015841584158</v>
      </c>
      <c r="E171" s="21" t="n">
        <f aca="false">E142*E165/E167</f>
        <v>67.3763521795352</v>
      </c>
      <c r="F171" s="21" t="n">
        <f aca="false">F142*F165/F167</f>
        <v>67.2863765416371</v>
      </c>
      <c r="G171" s="21" t="n">
        <f aca="false">G142*G165/G167</f>
        <v>77.7459798962621</v>
      </c>
      <c r="K171" s="8" t="s">
        <v>546</v>
      </c>
    </row>
    <row r="172" customFormat="false" ht="17.15" hidden="false" customHeight="false" outlineLevel="0" collapsed="false">
      <c r="A172" s="0" t="s">
        <v>547</v>
      </c>
      <c r="B172" s="0" t="s">
        <v>208</v>
      </c>
      <c r="D172" s="21" t="n">
        <f aca="false">D168-D171</f>
        <v>87.7384158415842</v>
      </c>
      <c r="E172" s="21" t="n">
        <f aca="false">E168-E171</f>
        <v>95.4391239610186</v>
      </c>
      <c r="F172" s="21" t="n">
        <f aca="false">F168-F171</f>
        <v>100.9890076518</v>
      </c>
      <c r="G172" s="21" t="n">
        <f aca="false">G168-G171</f>
        <v>106.865919553716</v>
      </c>
    </row>
    <row r="173" customFormat="false" ht="17.15" hidden="false" customHeight="false" outlineLevel="0" collapsed="false">
      <c r="A173" s="0" t="s">
        <v>548</v>
      </c>
      <c r="B173" s="0" t="s">
        <v>455</v>
      </c>
      <c r="D173" s="16" t="n">
        <f aca="false">D138/D128*1000/150</f>
        <v>23.5087719298246</v>
      </c>
      <c r="E173" s="16" t="n">
        <f aca="false">E138/E128*1000/150</f>
        <v>30.1617621884116</v>
      </c>
      <c r="F173" s="16" t="n">
        <f aca="false">F138/F128*1000/150</f>
        <v>34.6886291333333</v>
      </c>
      <c r="G173" s="16" t="n">
        <f aca="false">G138/G128*1000/150</f>
        <v>39.0428217386667</v>
      </c>
      <c r="K173" s="8" t="s">
        <v>549</v>
      </c>
    </row>
    <row r="176" customFormat="false" ht="17.15" hidden="false" customHeight="false" outlineLevel="0" collapsed="false">
      <c r="A176" s="1" t="s">
        <v>551</v>
      </c>
    </row>
    <row r="177" customFormat="false" ht="17.15" hidden="false" customHeight="false" outlineLevel="0" collapsed="false">
      <c r="A177" s="5" t="s">
        <v>20</v>
      </c>
      <c r="B177" s="5" t="s">
        <v>21</v>
      </c>
      <c r="C177" s="15" t="s">
        <v>398</v>
      </c>
      <c r="D177" s="15" t="s">
        <v>470</v>
      </c>
      <c r="E177" s="15" t="s">
        <v>435</v>
      </c>
      <c r="F177" s="15" t="s">
        <v>436</v>
      </c>
      <c r="G177" s="15" t="s">
        <v>437</v>
      </c>
      <c r="H177" s="15" t="s">
        <v>471</v>
      </c>
      <c r="I177" s="15" t="s">
        <v>472</v>
      </c>
      <c r="J177" s="15" t="s">
        <v>473</v>
      </c>
      <c r="K177" s="5" t="s">
        <v>377</v>
      </c>
    </row>
    <row r="178" customFormat="false" ht="17.15" hidden="false" customHeight="false" outlineLevel="0" collapsed="false">
      <c r="A178" s="6" t="s">
        <v>493</v>
      </c>
    </row>
    <row r="179" customFormat="false" ht="17.15" hidden="false" customHeight="false" outlineLevel="0" collapsed="false">
      <c r="A179" s="0" t="s">
        <v>494</v>
      </c>
      <c r="B179" s="4" t="s">
        <v>31</v>
      </c>
      <c r="D179" s="21" t="n">
        <f aca="false">unv_26</f>
        <v>7.6</v>
      </c>
      <c r="E179" s="21" t="n">
        <f aca="false">unv_27</f>
        <v>9.7</v>
      </c>
      <c r="F179" s="21" t="n">
        <f aca="false">unv_28*um28_C</f>
        <v>5.7</v>
      </c>
      <c r="G179" s="21" t="n">
        <f aca="false">unv_29*um29_C</f>
        <v>6.36</v>
      </c>
      <c r="K179" s="8" t="s">
        <v>495</v>
      </c>
    </row>
    <row r="180" customFormat="false" ht="17.15" hidden="false" customHeight="false" outlineLevel="0" collapsed="false">
      <c r="A180" s="4" t="s">
        <v>496</v>
      </c>
      <c r="B180" s="4" t="s">
        <v>31</v>
      </c>
      <c r="D180" s="21" t="n">
        <f aca="false">uot_26</f>
        <v>7.6</v>
      </c>
      <c r="E180" s="21" t="n">
        <f aca="false">uot_27</f>
        <v>14</v>
      </c>
      <c r="F180" s="21" t="n">
        <f aca="false">uot_28*um28_C</f>
        <v>10.2</v>
      </c>
      <c r="G180" s="21" t="n">
        <f aca="false">uot_29*um29_C</f>
        <v>11.73</v>
      </c>
      <c r="K180" s="8" t="s">
        <v>497</v>
      </c>
    </row>
    <row r="181" customFormat="false" ht="17.15" hidden="false" customHeight="false" outlineLevel="0" collapsed="false">
      <c r="A181" s="4" t="s">
        <v>498</v>
      </c>
      <c r="B181" s="4" t="s">
        <v>31</v>
      </c>
      <c r="D181" s="21" t="n">
        <f aca="false">D179+v_ot*D180</f>
        <v>13.68</v>
      </c>
      <c r="E181" s="21" t="n">
        <f aca="false">E179+v_ot*E180</f>
        <v>20.9</v>
      </c>
      <c r="F181" s="21" t="n">
        <f aca="false">F179+v_ot*F180</f>
        <v>13.86</v>
      </c>
      <c r="G181" s="21" t="n">
        <f aca="false">G179+v_ot*G180</f>
        <v>15.744</v>
      </c>
    </row>
    <row r="182" customFormat="false" ht="17.15" hidden="false" customHeight="false" outlineLevel="0" collapsed="false">
      <c r="A182" s="4" t="s">
        <v>499</v>
      </c>
      <c r="B182" s="0" t="s">
        <v>53</v>
      </c>
      <c r="D182" s="22" t="n">
        <f aca="false">1</f>
        <v>1</v>
      </c>
      <c r="E182" s="22" t="n">
        <f aca="false">D182*(1+g_asp)</f>
        <v>1.18</v>
      </c>
      <c r="F182" s="22" t="n">
        <f aca="false">E182*(1+g_asp)</f>
        <v>1.3924</v>
      </c>
      <c r="G182" s="22" t="n">
        <f aca="false">F182*(1+g_asp)</f>
        <v>1.643032</v>
      </c>
    </row>
    <row r="183" customFormat="false" ht="17.15" hidden="false" customHeight="false" outlineLevel="0" collapsed="false">
      <c r="A183" s="4" t="s">
        <v>500</v>
      </c>
      <c r="B183" s="0" t="s">
        <v>53</v>
      </c>
      <c r="D183" s="19" t="n">
        <f aca="false">1</f>
        <v>1</v>
      </c>
      <c r="E183" s="19" t="n">
        <f aca="false">rel_27</f>
        <v>1</v>
      </c>
      <c r="F183" s="19" t="n">
        <f aca="false">rel_28</f>
        <v>0.97</v>
      </c>
      <c r="G183" s="19" t="n">
        <f aca="false">rel_29</f>
        <v>0.95</v>
      </c>
    </row>
    <row r="184" customFormat="false" ht="17.15" hidden="false" customHeight="false" outlineLevel="0" collapsed="false">
      <c r="A184" s="0" t="s">
        <v>501</v>
      </c>
      <c r="B184" s="0" t="s">
        <v>53</v>
      </c>
      <c r="D184" s="22" t="n">
        <f aca="false">D181/$D181*D182*D183</f>
        <v>1</v>
      </c>
      <c r="E184" s="22" t="n">
        <f aca="false">E181/$D181*E182*E183</f>
        <v>1.80277777777778</v>
      </c>
      <c r="F184" s="22" t="n">
        <f aca="false">F181/$D181*F182*F183</f>
        <v>1.36839942105263</v>
      </c>
      <c r="G184" s="22" t="n">
        <f aca="false">G181/$D181*G182*G183</f>
        <v>1.79638165333333</v>
      </c>
      <c r="K184" s="4" t="s">
        <v>502</v>
      </c>
    </row>
    <row r="185" customFormat="false" ht="17.15" hidden="false" customHeight="false" outlineLevel="0" collapsed="false">
      <c r="A185" s="4" t="s">
        <v>503</v>
      </c>
      <c r="B185" s="0" t="s">
        <v>53</v>
      </c>
      <c r="D185" s="22" t="n">
        <f aca="false">1</f>
        <v>1</v>
      </c>
      <c r="E185" s="22" t="n">
        <f aca="false">D185*(1+g_nai)</f>
        <v>1.03</v>
      </c>
      <c r="F185" s="22" t="n">
        <f aca="false">E185*(1+g_nai)</f>
        <v>1.0609</v>
      </c>
      <c r="G185" s="22" t="n">
        <f aca="false">F185*(1+g_nai)</f>
        <v>1.092727</v>
      </c>
    </row>
    <row r="186" customFormat="false" ht="17.15" hidden="false" customHeight="false" outlineLevel="0" collapsed="false">
      <c r="A186" s="0" t="s">
        <v>504</v>
      </c>
      <c r="B186" s="0" t="s">
        <v>53</v>
      </c>
      <c r="D186" s="22" t="n">
        <f aca="false">ai_sh*D184+(1-ai_sh)*D185</f>
        <v>1</v>
      </c>
      <c r="E186" s="22" t="n">
        <f aca="false">ai_sh*E184+(1-ai_sh)*E185</f>
        <v>1.33911111111111</v>
      </c>
      <c r="F186" s="22" t="n">
        <f aca="false">ai_sh*F184+(1-ai_sh)*F185</f>
        <v>1.18389976842105</v>
      </c>
      <c r="G186" s="22" t="n">
        <f aca="false">ai_sh*G184+(1-ai_sh)*G185</f>
        <v>1.37418886133333</v>
      </c>
    </row>
    <row r="187" customFormat="false" ht="17.15" hidden="false" customHeight="false" outlineLevel="0" collapsed="false">
      <c r="A187" s="4" t="s">
        <v>505</v>
      </c>
      <c r="B187" s="0" t="s">
        <v>53</v>
      </c>
      <c r="D187" s="22" t="n">
        <f aca="false">1</f>
        <v>1</v>
      </c>
      <c r="E187" s="22" t="n">
        <f aca="false">cap_27</f>
        <v>1.3</v>
      </c>
      <c r="F187" s="22" t="n">
        <f aca="false">cap_28</f>
        <v>1.55</v>
      </c>
      <c r="G187" s="22" t="n">
        <f aca="false">cap_29</f>
        <v>1.8</v>
      </c>
      <c r="K187" s="4" t="s">
        <v>506</v>
      </c>
    </row>
    <row r="188" customFormat="false" ht="17.15" hidden="false" customHeight="false" outlineLevel="0" collapsed="false">
      <c r="A188" s="4" t="s">
        <v>507</v>
      </c>
      <c r="B188" s="0" t="s">
        <v>53</v>
      </c>
      <c r="D188" s="22" t="n">
        <f aca="false">MIN(D186,D187)</f>
        <v>1</v>
      </c>
      <c r="E188" s="22" t="n">
        <f aca="false">MIN(E186,E187)</f>
        <v>1.3</v>
      </c>
      <c r="F188" s="22" t="n">
        <f aca="false">MIN(F186,F187)</f>
        <v>1.18389976842105</v>
      </c>
      <c r="G188" s="22" t="n">
        <f aca="false">MIN(G186,G187)</f>
        <v>1.37418886133333</v>
      </c>
    </row>
    <row r="189" customFormat="false" ht="17.15" hidden="false" customHeight="false" outlineLevel="0" collapsed="false">
      <c r="A189" s="4" t="s">
        <v>508</v>
      </c>
      <c r="B189" s="0" t="s">
        <v>78</v>
      </c>
      <c r="D189" s="17" t="n">
        <f aca="false">D188/D186</f>
        <v>1</v>
      </c>
      <c r="E189" s="17" t="n">
        <f aca="false">E188/E186</f>
        <v>0.970793229339529</v>
      </c>
      <c r="F189" s="17" t="n">
        <f aca="false">F188/F186</f>
        <v>1</v>
      </c>
      <c r="G189" s="17" t="n">
        <f aca="false">G188/G186</f>
        <v>1</v>
      </c>
      <c r="K189" s="4" t="s">
        <v>509</v>
      </c>
    </row>
    <row r="190" customFormat="false" ht="17.15" hidden="false" customHeight="false" outlineLevel="0" collapsed="false">
      <c r="A190" s="0" t="s">
        <v>510</v>
      </c>
      <c r="B190" s="0" t="s">
        <v>53</v>
      </c>
      <c r="D190" s="22" t="n">
        <f aca="false">1</f>
        <v>1</v>
      </c>
      <c r="E190" s="22" t="n">
        <f aca="false">pp_27</f>
        <v>1.12</v>
      </c>
      <c r="F190" s="22" t="n">
        <f aca="false">pp_28*sp_C</f>
        <v>1.012</v>
      </c>
      <c r="G190" s="22" t="n">
        <f aca="false">pp_29*sp_C</f>
        <v>0.9856</v>
      </c>
      <c r="K190" s="8" t="s">
        <v>511</v>
      </c>
    </row>
    <row r="191" customFormat="false" ht="17.15" hidden="false" customHeight="false" outlineLevel="0" collapsed="false">
      <c r="A191" s="0" t="s">
        <v>452</v>
      </c>
      <c r="B191" s="0" t="s">
        <v>170</v>
      </c>
      <c r="D191" s="16" t="n">
        <f aca="false">q26_fm*ai_sh</f>
        <v>48.24</v>
      </c>
      <c r="E191" s="16" t="n">
        <f aca="false">q26_fm*ai_sh*E184*E189*E190</f>
        <v>94.5571244606705</v>
      </c>
      <c r="F191" s="16" t="n">
        <f aca="false">q26_fm*ai_sh*F184*F189*F190</f>
        <v>66.8037271284379</v>
      </c>
      <c r="G191" s="16" t="n">
        <f aca="false">q26_fm*ai_sh*G184*G189*G190</f>
        <v>85.4095836630221</v>
      </c>
      <c r="K191" s="8" t="s">
        <v>512</v>
      </c>
    </row>
    <row r="192" customFormat="false" ht="17.15" hidden="false" customHeight="false" outlineLevel="0" collapsed="false">
      <c r="A192" s="0" t="s">
        <v>513</v>
      </c>
      <c r="B192" s="0" t="s">
        <v>170</v>
      </c>
      <c r="D192" s="16" t="n">
        <f aca="false">q26_fm*(1-ai_sh)</f>
        <v>72.36</v>
      </c>
      <c r="E192" s="16" t="n">
        <f aca="false">q26_fm*(1-ai_sh)*E185*E189*E190</f>
        <v>81.0364755393296</v>
      </c>
      <c r="F192" s="16" t="n">
        <f aca="false">q26_fm*(1-ai_sh)*F185*F189*F190</f>
        <v>77.687924688</v>
      </c>
      <c r="G192" s="16" t="n">
        <f aca="false">q26_fm*(1-ai_sh)*G185*G189*G190</f>
        <v>77.931121669632</v>
      </c>
    </row>
    <row r="193" customFormat="false" ht="17.15" hidden="false" customHeight="false" outlineLevel="0" collapsed="false">
      <c r="A193" s="4" t="s">
        <v>514</v>
      </c>
      <c r="B193" s="0" t="s">
        <v>170</v>
      </c>
      <c r="C193" s="16" t="n">
        <f aca="false">q25_fm</f>
        <v>102.4512</v>
      </c>
      <c r="D193" s="16" t="n">
        <f aca="false">D191+D192</f>
        <v>120.6</v>
      </c>
      <c r="E193" s="16" t="n">
        <f aca="false">E191+E192</f>
        <v>175.5936</v>
      </c>
      <c r="F193" s="16" t="n">
        <f aca="false">F191+F192</f>
        <v>144.491651816438</v>
      </c>
      <c r="G193" s="16" t="n">
        <f aca="false">G191+G192</f>
        <v>163.340705332654</v>
      </c>
    </row>
    <row r="194" customFormat="false" ht="17.15" hidden="false" customHeight="false" outlineLevel="0" collapsed="false">
      <c r="A194" s="0" t="s">
        <v>515</v>
      </c>
      <c r="B194" s="0" t="s">
        <v>78</v>
      </c>
      <c r="C194" s="17" t="n">
        <f aca="false">q25_fmbp/q25_fm</f>
        <v>0.532936656671664</v>
      </c>
      <c r="D194" s="17" t="n">
        <f aca="false">q26_fmbp/q26_fm</f>
        <v>0.543117744610282</v>
      </c>
      <c r="E194" s="17" t="n">
        <f aca="false">1-(1-$D194)*(1+c_g)^1/E190</f>
        <v>0.579831497275527</v>
      </c>
      <c r="F194" s="17" t="n">
        <f aca="false">1-(1-$D194)*(1+c_g)^2/F190</f>
        <v>0.521041121795502</v>
      </c>
      <c r="G194" s="17" t="n">
        <f aca="false">1-(1-$D194)*(1+c_g)^3/G190</f>
        <v>0.49345822211319</v>
      </c>
      <c r="K194" s="8" t="s">
        <v>516</v>
      </c>
    </row>
    <row r="195" customFormat="false" ht="17.15" hidden="false" customHeight="false" outlineLevel="0" collapsed="false">
      <c r="A195" s="0" t="s">
        <v>478</v>
      </c>
      <c r="B195" s="0" t="s">
        <v>170</v>
      </c>
      <c r="C195" s="16" t="n">
        <f aca="false">q25_fmbp</f>
        <v>54.6</v>
      </c>
      <c r="D195" s="16" t="n">
        <f aca="false">D193*D194</f>
        <v>65.5</v>
      </c>
      <c r="E195" s="16" t="n">
        <f aca="false">E193*E194</f>
        <v>101.8147</v>
      </c>
      <c r="F195" s="16" t="n">
        <f aca="false">F193*F194</f>
        <v>75.2860923525219</v>
      </c>
      <c r="G195" s="16" t="n">
        <f aca="false">G193*G194</f>
        <v>80.6018140521659</v>
      </c>
    </row>
    <row r="196" customFormat="false" ht="17.15" hidden="false" customHeight="false" outlineLevel="0" collapsed="false">
      <c r="A196" s="6" t="s">
        <v>517</v>
      </c>
    </row>
    <row r="197" customFormat="false" ht="15" hidden="false" customHeight="false" outlineLevel="0" collapsed="false">
      <c r="A197" s="4" t="s">
        <v>518</v>
      </c>
      <c r="B197" s="0" t="s">
        <v>170</v>
      </c>
      <c r="C197" s="16" t="n">
        <f aca="false">q25_sf</f>
        <v>936.926</v>
      </c>
      <c r="D197" s="16" t="n">
        <f aca="false">q26_sf</f>
        <v>998.6</v>
      </c>
      <c r="E197" s="16" t="n">
        <f aca="false">D197*(1+g_sf)</f>
        <v>1038.544</v>
      </c>
      <c r="F197" s="16" t="n">
        <f aca="false">E197*(1+g_sf)</f>
        <v>1080.08576</v>
      </c>
      <c r="G197" s="16" t="n">
        <f aca="false">F197*(1+g_sf)</f>
        <v>1123.2891904</v>
      </c>
    </row>
    <row r="198" customFormat="false" ht="15" hidden="false" customHeight="false" outlineLevel="0" collapsed="false">
      <c r="A198" s="4" t="s">
        <v>519</v>
      </c>
      <c r="B198" s="0" t="s">
        <v>170</v>
      </c>
      <c r="C198" s="16" t="n">
        <f aca="false">q25_sfbp</f>
        <v>143.036</v>
      </c>
      <c r="D198" s="16" t="n">
        <f aca="false">q26_sfbp</f>
        <v>145.9</v>
      </c>
      <c r="E198" s="16" t="n">
        <f aca="false">E197*m_sf</f>
        <v>151.736</v>
      </c>
      <c r="F198" s="16" t="n">
        <f aca="false">F197*m_sf</f>
        <v>157.80544</v>
      </c>
      <c r="G198" s="16" t="n">
        <f aca="false">G197*m_sf</f>
        <v>164.1176576</v>
      </c>
    </row>
    <row r="199" customFormat="false" ht="15" hidden="false" customHeight="false" outlineLevel="0" collapsed="false">
      <c r="A199" s="4" t="s">
        <v>520</v>
      </c>
      <c r="B199" s="0" t="s">
        <v>170</v>
      </c>
      <c r="C199" s="16" t="n">
        <f aca="false">q25_ff</f>
        <v>290.308</v>
      </c>
      <c r="D199" s="16" t="n">
        <f aca="false">q26_ff</f>
        <v>310.6</v>
      </c>
      <c r="E199" s="16" t="n">
        <f aca="false">D199*(1+g_ff)</f>
        <v>319.918</v>
      </c>
      <c r="F199" s="16" t="n">
        <f aca="false">E199*(1+g_ff)</f>
        <v>329.51554</v>
      </c>
      <c r="G199" s="16" t="n">
        <f aca="false">F199*(1+g_ff)</f>
        <v>339.4010062</v>
      </c>
    </row>
    <row r="200" customFormat="false" ht="15" hidden="false" customHeight="false" outlineLevel="0" collapsed="false">
      <c r="A200" s="4" t="s">
        <v>521</v>
      </c>
      <c r="B200" s="0" t="s">
        <v>170</v>
      </c>
      <c r="C200" s="16" t="n">
        <f aca="false">q25_ffbp</f>
        <v>8.457</v>
      </c>
      <c r="D200" s="16" t="n">
        <f aca="false">q26_ffbp</f>
        <v>12.1</v>
      </c>
      <c r="E200" s="16" t="n">
        <f aca="false">E199*m_ff</f>
        <v>14.39631</v>
      </c>
      <c r="F200" s="16" t="n">
        <f aca="false">F199*m_ff</f>
        <v>14.8281993</v>
      </c>
      <c r="G200" s="16" t="n">
        <f aca="false">G199*m_ff</f>
        <v>15.273045279</v>
      </c>
    </row>
    <row r="201" customFormat="false" ht="17.15" hidden="false" customHeight="false" outlineLevel="0" collapsed="false">
      <c r="A201" s="4" t="s">
        <v>522</v>
      </c>
      <c r="B201" s="0" t="s">
        <v>170</v>
      </c>
      <c r="C201" s="16" t="n">
        <f aca="false">q25_hox</f>
        <v>239.0528</v>
      </c>
      <c r="D201" s="16" t="n">
        <f aca="false">q26_hox</f>
        <v>286.2</v>
      </c>
      <c r="E201" s="16" t="n">
        <f aca="false">D201*(1+g_ho)</f>
        <v>300.51</v>
      </c>
      <c r="F201" s="16" t="n">
        <f aca="false">E201*(1+g_ho)</f>
        <v>315.5355</v>
      </c>
      <c r="G201" s="16" t="n">
        <f aca="false">F201*(1+g_ho)</f>
        <v>331.312275</v>
      </c>
    </row>
    <row r="202" customFormat="false" ht="17.15" hidden="false" customHeight="false" outlineLevel="0" collapsed="false">
      <c r="A202" s="4" t="s">
        <v>523</v>
      </c>
      <c r="B202" s="0" t="s">
        <v>170</v>
      </c>
      <c r="C202" s="16" t="n">
        <f aca="false">q25_hoxbp</f>
        <v>11.602</v>
      </c>
      <c r="D202" s="16" t="n">
        <f aca="false">q26_hoxbp</f>
        <v>19.5</v>
      </c>
      <c r="E202" s="16" t="n">
        <f aca="false">E201*m_ho</f>
        <v>20.475</v>
      </c>
      <c r="F202" s="16" t="n">
        <f aca="false">F201*m_ho</f>
        <v>21.49875</v>
      </c>
      <c r="G202" s="16" t="n">
        <f aca="false">G201*m_ho</f>
        <v>22.5736875</v>
      </c>
    </row>
    <row r="203" customFormat="false" ht="17.15" hidden="false" customHeight="false" outlineLevel="0" collapsed="false">
      <c r="A203" s="4" t="s">
        <v>524</v>
      </c>
      <c r="B203" s="0" t="s">
        <v>170</v>
      </c>
      <c r="C203" s="16" t="n">
        <f aca="false">q25_oth</f>
        <v>14.979</v>
      </c>
      <c r="D203" s="16" t="n">
        <f aca="false">q26_oth</f>
        <v>15.8</v>
      </c>
      <c r="E203" s="16" t="n">
        <f aca="false">D203</f>
        <v>15.8</v>
      </c>
      <c r="F203" s="16" t="n">
        <f aca="false">E203</f>
        <v>15.8</v>
      </c>
      <c r="G203" s="16" t="n">
        <f aca="false">F203</f>
        <v>15.8</v>
      </c>
      <c r="K203" s="8" t="s">
        <v>525</v>
      </c>
    </row>
    <row r="204" customFormat="false" ht="15" hidden="false" customHeight="false" outlineLevel="0" collapsed="false">
      <c r="A204" s="4" t="s">
        <v>526</v>
      </c>
      <c r="B204" s="0" t="s">
        <v>170</v>
      </c>
      <c r="C204" s="16" t="n">
        <f aca="false">q25_othbp</f>
        <v>6.064</v>
      </c>
      <c r="D204" s="16" t="n">
        <f aca="false">q26_othbp</f>
        <v>5.1</v>
      </c>
      <c r="E204" s="16" t="n">
        <f aca="false">q26_othbp</f>
        <v>5.1</v>
      </c>
      <c r="F204" s="16" t="n">
        <f aca="false">q26_othbp</f>
        <v>5.1</v>
      </c>
      <c r="G204" s="16" t="n">
        <f aca="false">q26_othbp</f>
        <v>5.1</v>
      </c>
    </row>
    <row r="205" customFormat="false" ht="15" hidden="false" customHeight="false" outlineLevel="0" collapsed="false">
      <c r="A205" s="4" t="s">
        <v>527</v>
      </c>
      <c r="B205" s="0" t="s">
        <v>170</v>
      </c>
      <c r="C205" s="16" t="n">
        <f aca="false">q25_cc</f>
        <v>-42.597</v>
      </c>
      <c r="D205" s="16" t="n">
        <f aca="false">q26_cc</f>
        <v>-46.2</v>
      </c>
      <c r="E205" s="16" t="n">
        <f aca="false">D205*(1+g_cc)</f>
        <v>-47.586</v>
      </c>
      <c r="F205" s="16" t="n">
        <f aca="false">E205*(1+g_cc)</f>
        <v>-49.01358</v>
      </c>
      <c r="G205" s="16" t="n">
        <f aca="false">F205*(1+g_cc)</f>
        <v>-50.4839874</v>
      </c>
    </row>
    <row r="206" customFormat="false" ht="17.15" hidden="false" customHeight="false" outlineLevel="0" collapsed="false">
      <c r="A206" s="4" t="s">
        <v>528</v>
      </c>
      <c r="B206" s="0" t="s">
        <v>170</v>
      </c>
      <c r="C206" s="28" t="n">
        <f aca="false">a_rev-(q25_sf+q25_ff+q25_hox+q25_fm+q25_oth)</f>
        <v>0.00200000000018008</v>
      </c>
      <c r="D206" s="28" t="n">
        <f aca="false">f_rev-(q26_sf+q26_ff+q26_hox+q26_fm+q26_oth)</f>
        <v>0.200000000000045</v>
      </c>
      <c r="E206" s="28" t="n">
        <f aca="false">$D206</f>
        <v>0.200000000000045</v>
      </c>
      <c r="F206" s="28" t="n">
        <f aca="false">$D206</f>
        <v>0.200000000000045</v>
      </c>
      <c r="G206" s="28" t="n">
        <f aca="false">$D206</f>
        <v>0.200000000000045</v>
      </c>
      <c r="K206" s="8" t="s">
        <v>529</v>
      </c>
    </row>
    <row r="207" customFormat="false" ht="15" hidden="false" customHeight="false" outlineLevel="0" collapsed="false">
      <c r="A207" s="4" t="s">
        <v>530</v>
      </c>
      <c r="B207" s="0" t="s">
        <v>170</v>
      </c>
      <c r="C207" s="28" t="n">
        <f aca="false">a_bp-(q25_sfbp+q25_ffbp+q25_hoxbp+q25_fmbp+q25_othbp+q25_cc)</f>
        <v>0.0010000000000332</v>
      </c>
      <c r="D207" s="28" t="n">
        <f aca="false">f_bp-(q26_sfbp+q26_ffbp+q26_hoxbp+q26_fmbp+q26_othbp+q26_cc)</f>
        <v>0.100000000000023</v>
      </c>
      <c r="E207" s="28" t="n">
        <f aca="false">$D207</f>
        <v>0.100000000000023</v>
      </c>
      <c r="F207" s="28" t="n">
        <f aca="false">$D207</f>
        <v>0.100000000000023</v>
      </c>
      <c r="G207" s="28" t="n">
        <f aca="false">$D207</f>
        <v>0.100000000000023</v>
      </c>
    </row>
    <row r="208" customFormat="false" ht="17.15" hidden="false" customHeight="false" outlineLevel="0" collapsed="false">
      <c r="A208" s="6" t="s">
        <v>531</v>
      </c>
    </row>
    <row r="209" customFormat="false" ht="17.15" hidden="false" customHeight="false" outlineLevel="0" collapsed="false">
      <c r="A209" s="4" t="s">
        <v>403</v>
      </c>
      <c r="B209" s="0" t="s">
        <v>170</v>
      </c>
      <c r="C209" s="16" t="n">
        <f aca="false">C197+C199+C201+C193+C203+C206</f>
        <v>1583.719</v>
      </c>
      <c r="D209" s="16" t="n">
        <f aca="false">D197+D199+D201+D193+D203+D206</f>
        <v>1732</v>
      </c>
      <c r="E209" s="16" t="n">
        <f aca="false">E197+E199+E201+E193+E203+E206</f>
        <v>1850.5656</v>
      </c>
      <c r="F209" s="16" t="n">
        <f aca="false">F197+F199+F201+F193+F203+F206</f>
        <v>1885.62845181644</v>
      </c>
      <c r="G209" s="16" t="n">
        <f aca="false">G197+G199+G201+G193+G203+G206</f>
        <v>1973.34317693265</v>
      </c>
      <c r="H209" s="24" t="n">
        <f aca="false">G209*(1+H213)</f>
        <v>2047.695461452</v>
      </c>
      <c r="I209" s="24" t="n">
        <f aca="false">H209*(1+I213)</f>
        <v>2106.74929345373</v>
      </c>
      <c r="J209" s="24" t="n">
        <f aca="false">I209*(1+J213)</f>
        <v>2148.8842793228</v>
      </c>
      <c r="K209" s="8" t="s">
        <v>532</v>
      </c>
    </row>
    <row r="210" customFormat="false" ht="17.15" hidden="false" customHeight="false" outlineLevel="0" collapsed="false">
      <c r="A210" s="4" t="s">
        <v>533</v>
      </c>
      <c r="B210" s="0" t="s">
        <v>170</v>
      </c>
      <c r="C210" s="16" t="n">
        <f aca="false">C193+C201</f>
        <v>341.504</v>
      </c>
      <c r="D210" s="16" t="n">
        <f aca="false">D193+D201</f>
        <v>406.8</v>
      </c>
      <c r="E210" s="16" t="n">
        <f aca="false">E193+E201</f>
        <v>476.1036</v>
      </c>
      <c r="F210" s="16" t="n">
        <f aca="false">F193+F201</f>
        <v>460.027151816438</v>
      </c>
      <c r="G210" s="16" t="n">
        <f aca="false">G193+G201</f>
        <v>494.652980332654</v>
      </c>
      <c r="K210" s="4" t="s">
        <v>534</v>
      </c>
    </row>
    <row r="211" customFormat="false" ht="17.15" hidden="false" customHeight="false" outlineLevel="0" collapsed="false">
      <c r="A211" s="4" t="s">
        <v>535</v>
      </c>
      <c r="B211" s="0" t="s">
        <v>170</v>
      </c>
      <c r="C211" s="16" t="n">
        <f aca="false">C203+C206</f>
        <v>14.9810000000002</v>
      </c>
      <c r="D211" s="16" t="n">
        <f aca="false">D203+D206</f>
        <v>16</v>
      </c>
      <c r="E211" s="16" t="n">
        <f aca="false">E203+E206</f>
        <v>16</v>
      </c>
      <c r="F211" s="16" t="n">
        <f aca="false">F203+F206</f>
        <v>16</v>
      </c>
      <c r="G211" s="16" t="n">
        <f aca="false">G203+G206</f>
        <v>16</v>
      </c>
      <c r="K211" s="8" t="s">
        <v>536</v>
      </c>
    </row>
    <row r="212" customFormat="false" ht="15" hidden="false" customHeight="false" outlineLevel="0" collapsed="false">
      <c r="A212" s="4" t="s">
        <v>537</v>
      </c>
      <c r="B212" s="0" t="s">
        <v>170</v>
      </c>
      <c r="C212" s="22" t="n">
        <f aca="false">C197+C199+C210+C211-C209</f>
        <v>0</v>
      </c>
      <c r="D212" s="22" t="n">
        <f aca="false">D197+D199+D210+D211-D209</f>
        <v>0</v>
      </c>
      <c r="E212" s="22" t="n">
        <f aca="false">E197+E199+E210+E211-E209</f>
        <v>0</v>
      </c>
      <c r="F212" s="22" t="n">
        <f aca="false">F197+F199+F210+F211-F209</f>
        <v>0</v>
      </c>
      <c r="G212" s="22" t="n">
        <f aca="false">G197+G199+G210+G211-G209</f>
        <v>0</v>
      </c>
    </row>
    <row r="213" customFormat="false" ht="15" hidden="false" customHeight="false" outlineLevel="0" collapsed="false">
      <c r="A213" s="4" t="s">
        <v>538</v>
      </c>
      <c r="B213" s="0" t="s">
        <v>78</v>
      </c>
      <c r="D213" s="17" t="n">
        <f aca="false">D209/C209-1</f>
        <v>0.0936283519993131</v>
      </c>
      <c r="E213" s="17" t="n">
        <f aca="false">E209/D209-1</f>
        <v>0.0684558891454965</v>
      </c>
      <c r="F213" s="17" t="n">
        <f aca="false">F209/E209-1</f>
        <v>0.0189471001819326</v>
      </c>
      <c r="G213" s="17" t="n">
        <f aca="false">G209/F209-1</f>
        <v>0.0465175019138686</v>
      </c>
      <c r="H213" s="25" t="n">
        <f aca="false">$G213+(fade_gC-$G213)*1/3</f>
        <v>0.0376783346092457</v>
      </c>
      <c r="I213" s="25" t="n">
        <f aca="false">$G213+(fade_gC-$G213)*2/3</f>
        <v>0.0288391673046229</v>
      </c>
      <c r="J213" s="25" t="n">
        <f aca="false">$G213+(fade_gC-$G213)*3/3</f>
        <v>0.02</v>
      </c>
    </row>
    <row r="214" customFormat="false" ht="17.15" hidden="false" customHeight="false" outlineLevel="0" collapsed="false">
      <c r="A214" s="0" t="s">
        <v>539</v>
      </c>
      <c r="B214" s="0" t="s">
        <v>78</v>
      </c>
      <c r="C214" s="17" t="n">
        <f aca="false">C193/C209</f>
        <v>0.0646902638662541</v>
      </c>
      <c r="D214" s="17" t="n">
        <f aca="false">D193/D209</f>
        <v>0.0696304849884527</v>
      </c>
      <c r="E214" s="17" t="n">
        <f aca="false">E193/E209</f>
        <v>0.0948864498507916</v>
      </c>
      <c r="F214" s="17" t="n">
        <f aca="false">F193/F209</f>
        <v>0.0766278487563381</v>
      </c>
      <c r="G214" s="17" t="n">
        <f aca="false">G193/G209</f>
        <v>0.0827735931803556</v>
      </c>
    </row>
    <row r="215" customFormat="false" ht="15" hidden="false" customHeight="false" outlineLevel="0" collapsed="false">
      <c r="A215" s="4" t="s">
        <v>413</v>
      </c>
      <c r="B215" s="0" t="s">
        <v>170</v>
      </c>
      <c r="C215" s="16" t="n">
        <f aca="false">C198+C200+C202+C195+C204+C205+C207</f>
        <v>181.163</v>
      </c>
      <c r="D215" s="16" t="n">
        <f aca="false">D198+D200+D202+D195+D204+D205+D207</f>
        <v>202</v>
      </c>
      <c r="E215" s="16" t="n">
        <f aca="false">E198+E200+E202+E195+E204+E205+E207</f>
        <v>246.03601</v>
      </c>
      <c r="F215" s="16" t="n">
        <f aca="false">F198+F200+F202+F195+F204+F205+F207</f>
        <v>225.604901652522</v>
      </c>
      <c r="G215" s="16" t="n">
        <f aca="false">G198+G200+G202+G195+G204+G205+G207</f>
        <v>237.282217031166</v>
      </c>
    </row>
    <row r="216" customFormat="false" ht="15" hidden="false" customHeight="false" outlineLevel="0" collapsed="false">
      <c r="A216" s="4" t="s">
        <v>429</v>
      </c>
      <c r="B216" s="0" t="s">
        <v>78</v>
      </c>
      <c r="C216" s="17" t="n">
        <f aca="false">C215/C209</f>
        <v>0.114390873633517</v>
      </c>
      <c r="D216" s="17" t="n">
        <f aca="false">D215/D209</f>
        <v>0.11662817551963</v>
      </c>
      <c r="E216" s="17" t="n">
        <f aca="false">E215/E209</f>
        <v>0.132951790522854</v>
      </c>
      <c r="F216" s="17" t="n">
        <f aca="false">F215/F209</f>
        <v>0.119644408968901</v>
      </c>
      <c r="G216" s="17" t="n">
        <f aca="false">G215/G209</f>
        <v>0.120243766925525</v>
      </c>
    </row>
    <row r="217" customFormat="false" ht="17.15" hidden="false" customHeight="false" outlineLevel="0" collapsed="false">
      <c r="A217" s="0" t="s">
        <v>540</v>
      </c>
      <c r="B217" s="0" t="s">
        <v>78</v>
      </c>
      <c r="C217" s="17" t="n">
        <f aca="false">C195/C215</f>
        <v>0.301386044611758</v>
      </c>
      <c r="D217" s="17" t="n">
        <f aca="false">D195/D215</f>
        <v>0.324257425742574</v>
      </c>
      <c r="E217" s="17" t="n">
        <f aca="false">E195/E215</f>
        <v>0.413820318415991</v>
      </c>
      <c r="F217" s="17" t="n">
        <f aca="false">F195/F215</f>
        <v>0.333707697842833</v>
      </c>
      <c r="G217" s="17" t="n">
        <f aca="false">G195/G215</f>
        <v>0.339687546166088</v>
      </c>
    </row>
    <row r="218" customFormat="false" ht="17.15" hidden="false" customHeight="false" outlineLevel="0" collapsed="false">
      <c r="A218" s="4" t="s">
        <v>430</v>
      </c>
      <c r="B218" s="0" t="s">
        <v>53</v>
      </c>
      <c r="C218" s="22" t="n">
        <f aca="false">q25_ni/q25_bp</f>
        <v>0.743391310587703</v>
      </c>
      <c r="D218" s="22" t="n">
        <f aca="false">q26_ni/q26_bp</f>
        <v>0.611386138613861</v>
      </c>
      <c r="E218" s="22" t="n">
        <f aca="false">ni_bp</f>
        <v>0.62</v>
      </c>
      <c r="F218" s="22" t="n">
        <f aca="false">ni_bp</f>
        <v>0.62</v>
      </c>
      <c r="G218" s="22" t="n">
        <f aca="false">ni_bp</f>
        <v>0.62</v>
      </c>
    </row>
    <row r="219" customFormat="false" ht="15" hidden="false" customHeight="false" outlineLevel="0" collapsed="false">
      <c r="A219" s="4" t="s">
        <v>420</v>
      </c>
      <c r="B219" s="0" t="s">
        <v>170</v>
      </c>
      <c r="C219" s="16" t="n">
        <f aca="false">q25_ni</f>
        <v>134.675</v>
      </c>
      <c r="D219" s="16" t="n">
        <f aca="false">q26_ni</f>
        <v>123.5</v>
      </c>
      <c r="E219" s="16" t="n">
        <f aca="false">E215*E218</f>
        <v>152.5423262</v>
      </c>
      <c r="F219" s="16" t="n">
        <f aca="false">F215*F218</f>
        <v>139.875039024564</v>
      </c>
      <c r="G219" s="16" t="n">
        <f aca="false">G215*G218</f>
        <v>147.114974559323</v>
      </c>
      <c r="H219" s="24" t="n">
        <f aca="false">H209*H223</f>
        <v>142.48082034368</v>
      </c>
      <c r="I219" s="24" t="n">
        <f aca="false">I209*I223</f>
        <v>136.119145090752</v>
      </c>
      <c r="J219" s="24" t="n">
        <f aca="false">J209*J223</f>
        <v>128.161410454677</v>
      </c>
    </row>
    <row r="220" customFormat="false" ht="15" hidden="false" customHeight="false" outlineLevel="0" collapsed="false">
      <c r="A220" s="4" t="s">
        <v>541</v>
      </c>
      <c r="B220" s="4" t="s">
        <v>317</v>
      </c>
      <c r="C220" s="20" t="n">
        <f aca="false">q25_sh</f>
        <v>0.973366579936398</v>
      </c>
      <c r="D220" s="20" t="n">
        <f aca="false">q26_sh</f>
        <v>0.95117067159581</v>
      </c>
      <c r="E220" s="20" t="n">
        <f aca="false">D220*(1+sh_g)</f>
        <v>0.936903111521873</v>
      </c>
      <c r="F220" s="20" t="n">
        <f aca="false">E220*(1+sh_g)</f>
        <v>0.922849564849045</v>
      </c>
      <c r="G220" s="20" t="n">
        <f aca="false">F220*(1+sh_g)</f>
        <v>0.909006821376309</v>
      </c>
      <c r="H220" s="29" t="n">
        <f aca="false">G220*(1+sh_g)</f>
        <v>0.895371719055665</v>
      </c>
      <c r="I220" s="29" t="n">
        <f aca="false">H220*(1+sh_g)</f>
        <v>0.88194114326983</v>
      </c>
      <c r="J220" s="29" t="n">
        <f aca="false">I220*(1+sh_g)</f>
        <v>0.868712026120782</v>
      </c>
    </row>
    <row r="221" customFormat="false" ht="17.15" hidden="false" customHeight="false" outlineLevel="0" collapsed="false">
      <c r="A221" s="0" t="s">
        <v>542</v>
      </c>
      <c r="B221" s="0" t="s">
        <v>208</v>
      </c>
      <c r="C221" s="21" t="n">
        <f aca="false">C219/C220</f>
        <v>138.36</v>
      </c>
      <c r="D221" s="21" t="n">
        <f aca="false">D219/D220</f>
        <v>129.84</v>
      </c>
      <c r="E221" s="21" t="n">
        <f aca="false">E219/E220</f>
        <v>162.815476140554</v>
      </c>
      <c r="F221" s="21" t="n">
        <f aca="false">F219/F220</f>
        <v>151.568624348264</v>
      </c>
      <c r="G221" s="21" t="n">
        <f aca="false">G219/G220</f>
        <v>161.841441779919</v>
      </c>
      <c r="H221" s="27" t="n">
        <f aca="false">H219/H220</f>
        <v>159.130355930777</v>
      </c>
      <c r="I221" s="27" t="n">
        <f aca="false">I219/I220</f>
        <v>154.340395761655</v>
      </c>
      <c r="J221" s="27" t="n">
        <f aca="false">J219/J220</f>
        <v>147.530374394584</v>
      </c>
    </row>
    <row r="222" customFormat="false" ht="17.15" hidden="false" customHeight="false" outlineLevel="0" collapsed="false">
      <c r="A222" s="0" t="s">
        <v>543</v>
      </c>
      <c r="B222" s="0" t="s">
        <v>78</v>
      </c>
      <c r="D222" s="17" t="n">
        <f aca="false">D221/C221-1</f>
        <v>-0.0615784908933218</v>
      </c>
      <c r="E222" s="17" t="n">
        <f aca="false">E221/D221-1</f>
        <v>0.253970087342527</v>
      </c>
      <c r="F222" s="17" t="n">
        <f aca="false">F221/E221-1</f>
        <v>-0.0690772895727728</v>
      </c>
      <c r="G222" s="17" t="n">
        <f aca="false">G221/F221-1</f>
        <v>0.0677766752573459</v>
      </c>
      <c r="H222" s="25" t="n">
        <f aca="false">H221/G221-1</f>
        <v>-0.0167514934328634</v>
      </c>
      <c r="I222" s="25" t="n">
        <f aca="false">I221/H221-1</f>
        <v>-0.0301008575083326</v>
      </c>
      <c r="J222" s="25" t="n">
        <f aca="false">J221/I221-1</f>
        <v>-0.0441233893010541</v>
      </c>
    </row>
    <row r="223" customFormat="false" ht="15" hidden="false" customHeight="false" outlineLevel="0" collapsed="false">
      <c r="A223" s="4" t="s">
        <v>544</v>
      </c>
      <c r="B223" s="0" t="s">
        <v>78</v>
      </c>
      <c r="C223" s="14" t="n">
        <f aca="false">C219/C209</f>
        <v>0.0850371814696925</v>
      </c>
      <c r="D223" s="14" t="n">
        <f aca="false">D219/D209</f>
        <v>0.0713048498845266</v>
      </c>
      <c r="E223" s="14" t="n">
        <f aca="false">E219/E209</f>
        <v>0.0824301101241696</v>
      </c>
      <c r="F223" s="14" t="n">
        <f aca="false">F219/F209</f>
        <v>0.0741795335607188</v>
      </c>
      <c r="G223" s="14" t="n">
        <f aca="false">G219/G209</f>
        <v>0.0745511354938258</v>
      </c>
      <c r="H223" s="26" t="n">
        <f aca="false">$G223+(fade_mC-$G223)*1/3</f>
        <v>0.0695810597942374</v>
      </c>
      <c r="I223" s="26" t="n">
        <f aca="false">$G223+(fade_mC-$G223)*2/3</f>
        <v>0.064610984094649</v>
      </c>
      <c r="J223" s="26" t="n">
        <f aca="false">$G223+(fade_mC-$G223)*3/3</f>
        <v>0.0596409083950606</v>
      </c>
    </row>
    <row r="224" customFormat="false" ht="17.15" hidden="false" customHeight="false" outlineLevel="0" collapsed="false">
      <c r="A224" s="0" t="s">
        <v>545</v>
      </c>
      <c r="B224" s="0" t="s">
        <v>208</v>
      </c>
      <c r="D224" s="21" t="n">
        <f aca="false">D195*D218/D220</f>
        <v>42.1015841584158</v>
      </c>
      <c r="E224" s="21" t="n">
        <f aca="false">E195*E218/E220</f>
        <v>67.3763521795352</v>
      </c>
      <c r="F224" s="21" t="n">
        <f aca="false">F195*F218/F220</f>
        <v>50.5796166964643</v>
      </c>
      <c r="G224" s="21" t="n">
        <f aca="false">G195*G218/G220</f>
        <v>54.9755222262024</v>
      </c>
      <c r="K224" s="8" t="s">
        <v>546</v>
      </c>
    </row>
    <row r="225" customFormat="false" ht="17.15" hidden="false" customHeight="false" outlineLevel="0" collapsed="false">
      <c r="A225" s="0" t="s">
        <v>547</v>
      </c>
      <c r="B225" s="0" t="s">
        <v>208</v>
      </c>
      <c r="D225" s="21" t="n">
        <f aca="false">D221-D224</f>
        <v>87.7384158415842</v>
      </c>
      <c r="E225" s="21" t="n">
        <f aca="false">E221-E224</f>
        <v>95.4391239610186</v>
      </c>
      <c r="F225" s="21" t="n">
        <f aca="false">F221-F224</f>
        <v>100.989007651799</v>
      </c>
      <c r="G225" s="21" t="n">
        <f aca="false">G221-G224</f>
        <v>106.865919553716</v>
      </c>
    </row>
    <row r="226" customFormat="false" ht="17.15" hidden="false" customHeight="false" outlineLevel="0" collapsed="false">
      <c r="A226" s="0" t="s">
        <v>548</v>
      </c>
      <c r="B226" s="0" t="s">
        <v>455</v>
      </c>
      <c r="D226" s="16" t="n">
        <f aca="false">D191/D181*1000/150</f>
        <v>23.5087719298246</v>
      </c>
      <c r="E226" s="16" t="n">
        <f aca="false">E191/E181*1000/150</f>
        <v>30.1617621884116</v>
      </c>
      <c r="F226" s="16" t="n">
        <f aca="false">F191/F181*1000/150</f>
        <v>32.1326248814035</v>
      </c>
      <c r="G226" s="16" t="n">
        <f aca="false">G191/G181*1000/150</f>
        <v>36.1659822421333</v>
      </c>
      <c r="K226" s="8" t="s">
        <v>549</v>
      </c>
    </row>
    <row r="229" customFormat="false" ht="17.15" hidden="false" customHeight="false" outlineLevel="0" collapsed="false">
      <c r="A229" s="5" t="s">
        <v>20</v>
      </c>
      <c r="B229" s="15" t="s">
        <v>552</v>
      </c>
      <c r="C229" s="15" t="s">
        <v>553</v>
      </c>
      <c r="D229" s="15" t="s">
        <v>554</v>
      </c>
      <c r="E229" s="15" t="s">
        <v>555</v>
      </c>
      <c r="F229" s="15" t="s">
        <v>556</v>
      </c>
      <c r="G229" s="15" t="s">
        <v>557</v>
      </c>
      <c r="H229" s="15" t="s">
        <v>558</v>
      </c>
      <c r="I229" s="15" t="s">
        <v>559</v>
      </c>
      <c r="J229" s="15" t="s">
        <v>560</v>
      </c>
      <c r="K229" s="15" t="s">
        <v>561</v>
      </c>
      <c r="L229" s="15" t="s">
        <v>562</v>
      </c>
      <c r="M229" s="15" t="s">
        <v>563</v>
      </c>
      <c r="N229" s="15" t="s">
        <v>564</v>
      </c>
      <c r="O229" s="15" t="s">
        <v>565</v>
      </c>
      <c r="P229" s="15" t="s">
        <v>566</v>
      </c>
      <c r="Q229" s="15" t="s">
        <v>567</v>
      </c>
      <c r="R229" s="15" t="s">
        <v>568</v>
      </c>
      <c r="S229" s="15" t="s">
        <v>569</v>
      </c>
      <c r="T229" s="15" t="s">
        <v>570</v>
      </c>
      <c r="U229" s="15" t="s">
        <v>571</v>
      </c>
      <c r="V229" s="15" t="s">
        <v>572</v>
      </c>
    </row>
    <row r="230" customFormat="false" ht="15" hidden="false" customHeight="false" outlineLevel="0" collapsed="false">
      <c r="A230" s="4" t="s">
        <v>573</v>
      </c>
      <c r="B230" s="16" t="n">
        <f aca="false">PL!D113+PL!D103*(da_rev-cx_rev)</f>
        <v>106.400027088139</v>
      </c>
      <c r="C230" s="16" t="n">
        <f aca="false">PL!E113+PL!E103*(da_rev-cx_rev)</f>
        <v>134.271759438093</v>
      </c>
      <c r="D230" s="16" t="n">
        <f aca="false">PL!F113+PL!F103*(da_rev-cx_rev)</f>
        <v>150.932616099418</v>
      </c>
      <c r="E230" s="16" t="n">
        <f aca="false">PL!G113+PL!G103*(da_rev-cx_rev)</f>
        <v>160.418172096255</v>
      </c>
      <c r="F230" s="24" t="n">
        <f aca="false">PL!H113+PL!H103*(da_rev-cx_rev)</f>
        <v>168.940689463528</v>
      </c>
      <c r="G230" s="24" t="n">
        <f aca="false">PL!I113+PL!I103*(da_rev-cx_rev)</f>
        <v>178.496556220125</v>
      </c>
      <c r="H230" s="24" t="n">
        <f aca="false">PL!J113+PL!J103*(da_rev-cx_rev)</f>
        <v>189.206349593332</v>
      </c>
      <c r="I230" s="16" t="n">
        <f aca="false">PL!D166+PL!D156*(da_rev-cx_rev)</f>
        <v>106.400027088139</v>
      </c>
      <c r="J230" s="16" t="n">
        <f aca="false">PL!E166+PL!E156*(da_rev-cx_rev)</f>
        <v>134.271759438093</v>
      </c>
      <c r="K230" s="16" t="n">
        <f aca="false">PL!F166+PL!F156*(da_rev-cx_rev)</f>
        <v>136.32530928518</v>
      </c>
      <c r="L230" s="16" t="n">
        <f aca="false">PL!G166+PL!G156*(da_rev-cx_rev)</f>
        <v>147.82315021641</v>
      </c>
      <c r="M230" s="24" t="n">
        <f aca="false">PL!H166+PL!H156*(da_rev-cx_rev)</f>
        <v>149.238627337967</v>
      </c>
      <c r="N230" s="24" t="n">
        <f aca="false">PL!I166+PL!I156*(da_rev-cx_rev)</f>
        <v>149.769274466423</v>
      </c>
      <c r="O230" s="24" t="n">
        <f aca="false">PL!J166+PL!J156*(da_rev-cx_rev)</f>
        <v>149.383318473654</v>
      </c>
      <c r="P230" s="16" t="n">
        <f aca="false">PL!D219+PL!D209*(da_rev-cx_rev)</f>
        <v>106.400027088139</v>
      </c>
      <c r="Q230" s="16" t="n">
        <f aca="false">PL!E219+PL!E209*(da_rev-cx_rev)</f>
        <v>134.271759438093</v>
      </c>
      <c r="R230" s="16" t="n">
        <f aca="false">PL!F219+PL!F209*(da_rev-cx_rev)</f>
        <v>121.258298003838</v>
      </c>
      <c r="S230" s="16" t="n">
        <f aca="false">PL!G219+PL!G209*(da_rev-cx_rev)</f>
        <v>127.632229252536</v>
      </c>
      <c r="T230" s="24" t="n">
        <f aca="false">PL!H219+PL!H209*(da_rev-cx_rev)</f>
        <v>122.263997640117</v>
      </c>
      <c r="U230" s="24" t="n">
        <f aca="false">PL!I219+PL!I209*(da_rev-cx_rev)</f>
        <v>115.319286054873</v>
      </c>
      <c r="V230" s="24" t="n">
        <f aca="false">PL!J219+PL!J209*(da_rev-cx_rev)</f>
        <v>106.945554238081</v>
      </c>
    </row>
    <row r="231" customFormat="false" ht="17.15" hidden="false" customHeight="false" outlineLevel="0" collapsed="false">
      <c r="A231" s="4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575</v>
      </c>
    </row>
    <row r="2" customFormat="false" ht="17.15" hidden="false" customHeight="false" outlineLevel="0" collapsed="false">
      <c r="A2" s="4" t="s">
        <v>576</v>
      </c>
    </row>
    <row r="4" customFormat="false" ht="17.15" hidden="false" customHeight="false" outlineLevel="0" collapsed="false">
      <c r="A4" s="6" t="s">
        <v>577</v>
      </c>
    </row>
    <row r="5" customFormat="false" ht="17.15" hidden="false" customHeight="false" outlineLevel="0" collapsed="false">
      <c r="A5" s="6" t="s">
        <v>578</v>
      </c>
    </row>
    <row r="6" customFormat="false" ht="17.15" hidden="false" customHeight="false" outlineLevel="0" collapsed="false">
      <c r="A6" s="5" t="s">
        <v>20</v>
      </c>
      <c r="B6" s="15" t="s">
        <v>579</v>
      </c>
      <c r="C6" s="15" t="s">
        <v>580</v>
      </c>
      <c r="D6" s="15" t="s">
        <v>581</v>
      </c>
      <c r="E6" s="5" t="s">
        <v>377</v>
      </c>
      <c r="F6" s="5" t="s">
        <v>582</v>
      </c>
    </row>
    <row r="7" customFormat="false" ht="17.15" hidden="false" customHeight="false" outlineLevel="0" collapsed="false">
      <c r="A7" s="4" t="s">
        <v>583</v>
      </c>
      <c r="E7" s="0" t="s">
        <v>584</v>
      </c>
    </row>
    <row r="8" customFormat="false" ht="15" hidden="false" customHeight="false" outlineLevel="0" collapsed="false">
      <c r="A8" s="0" t="s">
        <v>585</v>
      </c>
      <c r="B8" s="21" t="n">
        <f aca="false">PL!E16</f>
        <v>162.815476140554</v>
      </c>
      <c r="C8" s="21" t="n">
        <f aca="false">PL!E32</f>
        <v>162.815476140554</v>
      </c>
      <c r="D8" s="21" t="n">
        <f aca="false">PL!E48</f>
        <v>162.815476140554</v>
      </c>
      <c r="F8" s="30" t="n">
        <v>1</v>
      </c>
    </row>
    <row r="9" customFormat="false" ht="15" hidden="false" customHeight="false" outlineLevel="0" collapsed="false">
      <c r="A9" s="0" t="s">
        <v>586</v>
      </c>
      <c r="B9" s="21" t="n">
        <f aca="false">PL!F16</f>
        <v>184.47594742965</v>
      </c>
      <c r="C9" s="21" t="n">
        <f aca="false">PL!F32</f>
        <v>168.275384193437</v>
      </c>
      <c r="D9" s="21" t="n">
        <f aca="false">PL!F48</f>
        <v>151.568624348264</v>
      </c>
      <c r="F9" s="30" t="n">
        <v>2</v>
      </c>
    </row>
    <row r="10" customFormat="false" ht="15" hidden="false" customHeight="false" outlineLevel="0" collapsed="false">
      <c r="A10" s="0" t="s">
        <v>587</v>
      </c>
      <c r="B10" s="21" t="n">
        <f aca="false">PL!G16</f>
        <v>198.775923353582</v>
      </c>
      <c r="C10" s="21" t="n">
        <f aca="false">PL!G32</f>
        <v>184.611899449978</v>
      </c>
      <c r="D10" s="21" t="n">
        <f aca="false">PL!G48</f>
        <v>161.841441779919</v>
      </c>
      <c r="F10" s="30" t="n">
        <v>3</v>
      </c>
    </row>
    <row r="11" customFormat="false" ht="15" hidden="false" customHeight="false" outlineLevel="0" collapsed="false">
      <c r="A11" s="0" t="s">
        <v>588</v>
      </c>
      <c r="B11" s="21" t="n">
        <f aca="false">PL!H16</f>
        <v>212.524130418138</v>
      </c>
      <c r="C11" s="21" t="n">
        <f aca="false">PL!H32</f>
        <v>190.104400509896</v>
      </c>
      <c r="D11" s="21" t="n">
        <f aca="false">PL!H48</f>
        <v>159.130355930777</v>
      </c>
      <c r="F11" s="30" t="n">
        <v>4</v>
      </c>
    </row>
    <row r="12" customFormat="false" ht="15" hidden="false" customHeight="false" outlineLevel="0" collapsed="false">
      <c r="A12" s="0" t="s">
        <v>589</v>
      </c>
      <c r="B12" s="21" t="n">
        <f aca="false">PL!I16</f>
        <v>227.964697030395</v>
      </c>
      <c r="C12" s="21" t="n">
        <f aca="false">PL!I32</f>
        <v>194.662775491639</v>
      </c>
      <c r="D12" s="21" t="n">
        <f aca="false">PL!I48</f>
        <v>154.340395761655</v>
      </c>
      <c r="F12" s="30" t="n">
        <v>5</v>
      </c>
    </row>
    <row r="13" customFormat="false" ht="15" hidden="false" customHeight="false" outlineLevel="0" collapsed="false">
      <c r="A13" s="0" t="s">
        <v>590</v>
      </c>
      <c r="B13" s="21" t="n">
        <f aca="false">PL!J16</f>
        <v>245.322415078395</v>
      </c>
      <c r="C13" s="21" t="n">
        <f aca="false">PL!J32</f>
        <v>198.191832335215</v>
      </c>
      <c r="D13" s="21" t="n">
        <f aca="false">PL!J48</f>
        <v>147.530374394584</v>
      </c>
      <c r="F13" s="30" t="n">
        <v>6</v>
      </c>
    </row>
    <row r="14" customFormat="false" ht="17.15" hidden="false" customHeight="false" outlineLevel="0" collapsed="false">
      <c r="A14" s="4" t="s">
        <v>591</v>
      </c>
      <c r="E14" s="4" t="s">
        <v>592</v>
      </c>
    </row>
    <row r="15" customFormat="false" ht="17.15" hidden="false" customHeight="false" outlineLevel="0" collapsed="false">
      <c r="A15" s="4" t="s">
        <v>593</v>
      </c>
      <c r="B15" s="17" t="n">
        <f aca="false">MIN(tp_g/tp_roe,0.8)</f>
        <v>0.307929176289454</v>
      </c>
      <c r="E15" s="8" t="s">
        <v>594</v>
      </c>
    </row>
    <row r="16" customFormat="false" ht="15" hidden="false" customHeight="false" outlineLevel="0" collapsed="false">
      <c r="A16" s="0" t="s">
        <v>585</v>
      </c>
      <c r="B16" s="21" t="n">
        <f aca="false">B8*(1-$B$15)</f>
        <v>112.679840685418</v>
      </c>
      <c r="C16" s="21" t="n">
        <f aca="false">C8*(1-$B$15)</f>
        <v>112.679840685418</v>
      </c>
      <c r="D16" s="21" t="n">
        <f aca="false">D8*(1-$B$15)</f>
        <v>112.679840685418</v>
      </c>
    </row>
    <row r="17" customFormat="false" ht="15" hidden="false" customHeight="false" outlineLevel="0" collapsed="false">
      <c r="A17" s="0" t="s">
        <v>586</v>
      </c>
      <c r="B17" s="21" t="n">
        <f aca="false">B9*(1-$B$15)</f>
        <v>127.670420892421</v>
      </c>
      <c r="C17" s="21" t="n">
        <f aca="false">C9*(1-$B$15)</f>
        <v>116.45848374896</v>
      </c>
      <c r="D17" s="21" t="n">
        <f aca="false">D9*(1-$B$15)</f>
        <v>104.896222701377</v>
      </c>
    </row>
    <row r="18" customFormat="false" ht="15" hidden="false" customHeight="false" outlineLevel="0" collapsed="false">
      <c r="A18" s="0" t="s">
        <v>587</v>
      </c>
      <c r="B18" s="21" t="n">
        <f aca="false">B10*(1-$B$15)</f>
        <v>137.567017009138</v>
      </c>
      <c r="C18" s="21" t="n">
        <f aca="false">C10*(1-$B$15)</f>
        <v>127.764509319115</v>
      </c>
      <c r="D18" s="21" t="n">
        <f aca="false">D10*(1-$B$15)</f>
        <v>112.005739923131</v>
      </c>
    </row>
    <row r="19" customFormat="false" ht="15" hidden="false" customHeight="false" outlineLevel="0" collapsed="false">
      <c r="A19" s="0" t="s">
        <v>588</v>
      </c>
      <c r="B19" s="21" t="n">
        <f aca="false">B11*(1-$B$15)</f>
        <v>147.081749996849</v>
      </c>
      <c r="C19" s="21" t="n">
        <f aca="false">C11*(1-$B$15)</f>
        <v>131.565709051883</v>
      </c>
      <c r="D19" s="21" t="n">
        <f aca="false">D11*(1-$B$15)</f>
        <v>110.129476506365</v>
      </c>
    </row>
    <row r="20" customFormat="false" ht="15" hidden="false" customHeight="false" outlineLevel="0" collapsed="false">
      <c r="A20" s="0" t="s">
        <v>589</v>
      </c>
      <c r="B20" s="21" t="n">
        <f aca="false">B12*(1-$B$15)</f>
        <v>157.767715650751</v>
      </c>
      <c r="C20" s="21" t="n">
        <f aca="false">C12*(1-$B$15)</f>
        <v>134.72042738028</v>
      </c>
      <c r="D20" s="21" t="n">
        <f aca="false">D12*(1-$B$15)</f>
        <v>106.81448482658</v>
      </c>
    </row>
    <row r="21" customFormat="false" ht="15" hidden="false" customHeight="false" outlineLevel="0" collapsed="false">
      <c r="A21" s="0" t="s">
        <v>590</v>
      </c>
      <c r="B21" s="21" t="n">
        <f aca="false">B13*(1-$B$15)</f>
        <v>169.780485877965</v>
      </c>
      <c r="C21" s="21" t="n">
        <f aca="false">C13*(1-$B$15)</f>
        <v>137.162784656935</v>
      </c>
      <c r="D21" s="21" t="n">
        <f aca="false">D13*(1-$B$15)</f>
        <v>102.101467729585</v>
      </c>
    </row>
    <row r="22" customFormat="false" ht="17.15" hidden="false" customHeight="false" outlineLevel="0" collapsed="false">
      <c r="A22" s="0" t="s">
        <v>595</v>
      </c>
      <c r="B22" s="31" t="n">
        <f aca="false">MAX(0,SUMPRODUCT(B16:B21,1/(1+tp_r)^$F$8:$F$13)+B21*(1+tp_g)/(tp_r-tp_g)/(1+tp_r)^$F$13)</f>
        <v>2266.73065104621</v>
      </c>
      <c r="C22" s="31" t="n">
        <f aca="false">MAX(0,SUMPRODUCT(C16:C21,1/(1+tp_r)^$F$8:$F$13)+C21*(1+tp_g)/(tp_r-tp_g)/(1+tp_r)^$F$13)</f>
        <v>1887.64116409074</v>
      </c>
      <c r="D22" s="31" t="n">
        <f aca="false">MAX(0,SUMPRODUCT(D16:D21,1/(1+tp_r)^$F$8:$F$13)+D21*(1+tp_g)/(tp_r-tp_g)/(1+tp_r)^$F$13)</f>
        <v>1471.43849481223</v>
      </c>
      <c r="E22" s="8" t="s">
        <v>596</v>
      </c>
    </row>
    <row r="23" customFormat="false" ht="17.15" hidden="false" customHeight="false" outlineLevel="0" collapsed="false">
      <c r="A23" s="0" t="s">
        <v>597</v>
      </c>
      <c r="B23" s="31" t="n">
        <f aca="false">B22*(1+tp_r)</f>
        <v>2493.40371615083</v>
      </c>
      <c r="C23" s="31" t="n">
        <f aca="false">C22*(1+tp_r)</f>
        <v>2076.40528049981</v>
      </c>
      <c r="D23" s="31" t="n">
        <f aca="false">D22*(1+tp_r)</f>
        <v>1618.58234429345</v>
      </c>
    </row>
    <row r="24" customFormat="false" ht="17.15" hidden="false" customHeight="false" outlineLevel="0" collapsed="false">
      <c r="A24" s="0" t="s">
        <v>598</v>
      </c>
      <c r="B24" s="32" t="n">
        <f aca="false">tp_wA*B23+tp_wB*C23+tp_wC*D23</f>
        <v>2109.94022395385</v>
      </c>
      <c r="E24" s="8" t="s">
        <v>599</v>
      </c>
    </row>
    <row r="26" customFormat="false" ht="17.15" hidden="false" customHeight="false" outlineLevel="0" collapsed="false">
      <c r="A26" s="6" t="s">
        <v>600</v>
      </c>
    </row>
    <row r="27" customFormat="false" ht="17.15" hidden="false" customHeight="false" outlineLevel="0" collapsed="false">
      <c r="A27" s="5" t="s">
        <v>601</v>
      </c>
      <c r="B27" s="5" t="s">
        <v>602</v>
      </c>
      <c r="C27" s="5" t="s">
        <v>603</v>
      </c>
      <c r="D27" s="5" t="s">
        <v>604</v>
      </c>
      <c r="E27" s="5" t="s">
        <v>605</v>
      </c>
      <c r="F27" s="5" t="s">
        <v>25</v>
      </c>
    </row>
    <row r="28" customFormat="false" ht="17.15" hidden="false" customHeight="false" outlineLevel="0" collapsed="false">
      <c r="A28" s="4" t="s">
        <v>606</v>
      </c>
      <c r="B28" s="0" t="s">
        <v>607</v>
      </c>
      <c r="C28" s="33" t="n">
        <v>22.86</v>
      </c>
      <c r="D28" s="8" t="s">
        <v>608</v>
      </c>
      <c r="E28" s="8" t="s">
        <v>609</v>
      </c>
      <c r="F28" s="8" t="s">
        <v>171</v>
      </c>
    </row>
    <row r="29" customFormat="false" ht="17.15" hidden="false" customHeight="false" outlineLevel="0" collapsed="false">
      <c r="A29" s="4" t="s">
        <v>610</v>
      </c>
      <c r="B29" s="0" t="s">
        <v>611</v>
      </c>
      <c r="C29" s="33" t="n">
        <v>16.97</v>
      </c>
      <c r="D29" s="8" t="s">
        <v>612</v>
      </c>
      <c r="E29" s="8" t="s">
        <v>609</v>
      </c>
      <c r="F29" s="8" t="s">
        <v>171</v>
      </c>
    </row>
    <row r="30" customFormat="false" ht="17.15" hidden="false" customHeight="false" outlineLevel="0" collapsed="false">
      <c r="A30" s="4" t="s">
        <v>613</v>
      </c>
      <c r="B30" s="0" t="s">
        <v>614</v>
      </c>
      <c r="C30" s="33" t="n">
        <v>17.79</v>
      </c>
      <c r="D30" s="8" t="s">
        <v>615</v>
      </c>
      <c r="E30" s="8" t="s">
        <v>609</v>
      </c>
      <c r="F30" s="8" t="s">
        <v>171</v>
      </c>
    </row>
    <row r="31" customFormat="false" ht="17.15" hidden="false" customHeight="false" outlineLevel="0" collapsed="false">
      <c r="A31" s="0" t="s">
        <v>616</v>
      </c>
      <c r="B31" s="0" t="s">
        <v>617</v>
      </c>
      <c r="C31" s="33" t="n">
        <v>23.4</v>
      </c>
      <c r="D31" s="8" t="s">
        <v>618</v>
      </c>
      <c r="E31" s="8" t="s">
        <v>609</v>
      </c>
      <c r="F31" s="8" t="s">
        <v>171</v>
      </c>
    </row>
    <row r="32" customFormat="false" ht="17.15" hidden="false" customHeight="false" outlineLevel="0" collapsed="false">
      <c r="A32" s="0" t="s">
        <v>619</v>
      </c>
      <c r="B32" s="0" t="s">
        <v>620</v>
      </c>
      <c r="C32" s="33" t="n">
        <v>15.56</v>
      </c>
      <c r="D32" s="8" t="s">
        <v>621</v>
      </c>
      <c r="E32" s="8" t="s">
        <v>609</v>
      </c>
      <c r="F32" s="8" t="s">
        <v>171</v>
      </c>
    </row>
    <row r="33" customFormat="false" ht="17.15" hidden="false" customHeight="false" outlineLevel="0" collapsed="false">
      <c r="A33" s="0" t="s">
        <v>622</v>
      </c>
      <c r="B33" s="0" t="s">
        <v>623</v>
      </c>
      <c r="C33" s="33" t="n">
        <v>17.74</v>
      </c>
      <c r="D33" s="8" t="s">
        <v>621</v>
      </c>
      <c r="E33" s="8" t="s">
        <v>609</v>
      </c>
      <c r="F33" s="8" t="s">
        <v>171</v>
      </c>
    </row>
    <row r="34" customFormat="false" ht="17.15" hidden="false" customHeight="false" outlineLevel="0" collapsed="false">
      <c r="A34" s="4" t="s">
        <v>624</v>
      </c>
      <c r="B34" s="34" t="n">
        <f aca="false">MEDIAN(C28:C33)</f>
        <v>17.765</v>
      </c>
      <c r="E34" s="4" t="s">
        <v>625</v>
      </c>
    </row>
    <row r="35" customFormat="false" ht="17.15" hidden="false" customHeight="false" outlineLevel="0" collapsed="false">
      <c r="A35" s="0" t="s">
        <v>626</v>
      </c>
      <c r="B35" s="21" t="n">
        <f aca="false">tp_wA*(5/12*B8+7/12*B9)+tp_wB*(5/12*C8+7/12*C9)+tp_wC*(5/12*D8+7/12*D9)</f>
        <v>166.886399089136</v>
      </c>
      <c r="E35" s="4" t="s">
        <v>627</v>
      </c>
    </row>
    <row r="36" customFormat="false" ht="17.15" hidden="false" customHeight="false" outlineLevel="0" collapsed="false">
      <c r="A36" s="0" t="s">
        <v>628</v>
      </c>
      <c r="B36" s="32" t="n">
        <f aca="false">B34*B35</f>
        <v>2964.7368798185</v>
      </c>
      <c r="E36" s="4" t="s">
        <v>629</v>
      </c>
    </row>
    <row r="38" customFormat="false" ht="17.15" hidden="false" customHeight="false" outlineLevel="0" collapsed="false">
      <c r="A38" s="6" t="s">
        <v>630</v>
      </c>
    </row>
    <row r="39" customFormat="false" ht="15" hidden="false" customHeight="false" outlineLevel="0" collapsed="false">
      <c r="A39" s="5" t="s">
        <v>20</v>
      </c>
      <c r="B39" s="5" t="s">
        <v>631</v>
      </c>
      <c r="C39" s="5" t="s">
        <v>632</v>
      </c>
      <c r="D39" s="5" t="s">
        <v>632</v>
      </c>
      <c r="E39" s="5" t="s">
        <v>377</v>
      </c>
    </row>
    <row r="40" customFormat="false" ht="17.15" hidden="false" customHeight="false" outlineLevel="0" collapsed="false">
      <c r="A40" s="4" t="s">
        <v>633</v>
      </c>
      <c r="B40" s="32" t="n">
        <f aca="false">tp_w_dcf*B24+(1-tp_w_dcf)*tp_comp_adj</f>
        <v>2805.20541615467</v>
      </c>
      <c r="E40" s="8" t="s">
        <v>634</v>
      </c>
    </row>
    <row r="41" customFormat="false" ht="17.15" hidden="false" customHeight="false" outlineLevel="0" collapsed="false">
      <c r="A41" s="0" t="s">
        <v>635</v>
      </c>
      <c r="B41" s="31" t="n">
        <f aca="false">B36</f>
        <v>2964.7368798185</v>
      </c>
    </row>
    <row r="42" customFormat="false" ht="17.15" hidden="false" customHeight="false" outlineLevel="0" collapsed="false">
      <c r="A42" s="4" t="s">
        <v>636</v>
      </c>
      <c r="B42" s="31" t="n">
        <f aca="false">cons_tp</f>
        <v>6321.43</v>
      </c>
      <c r="E42" s="8" t="s">
        <v>637</v>
      </c>
    </row>
    <row r="43" customFormat="false" ht="17.15" hidden="false" customHeight="false" outlineLevel="0" collapsed="false">
      <c r="A43" s="4" t="s">
        <v>638</v>
      </c>
      <c r="B43" s="17" t="n">
        <f aca="false">B40/px-1</f>
        <v>-0.44604948338178</v>
      </c>
      <c r="E43" s="4" t="s">
        <v>639</v>
      </c>
    </row>
    <row r="44" customFormat="false" ht="17.15" hidden="false" customHeight="false" outlineLevel="0" collapsed="false">
      <c r="A44" s="4" t="s">
        <v>640</v>
      </c>
      <c r="B44" s="17" t="n">
        <f aca="false">B41/px-1</f>
        <v>-0.414546429735683</v>
      </c>
    </row>
    <row r="45" customFormat="false" ht="17.15" hidden="false" customHeight="false" outlineLevel="0" collapsed="false">
      <c r="A45" s="4" t="s">
        <v>641</v>
      </c>
      <c r="B45" s="17" t="n">
        <f aca="false">B35/C45-1</f>
        <v>0.0823992148406441</v>
      </c>
      <c r="C45" s="21" t="n">
        <f aca="false">cons_feps</f>
        <v>154.181929181929</v>
      </c>
      <c r="E45" s="8" t="s">
        <v>642</v>
      </c>
    </row>
    <row r="46" customFormat="false" ht="17.15" hidden="false" customHeight="false" outlineLevel="0" collapsed="false">
      <c r="A46" s="4" t="s">
        <v>643</v>
      </c>
      <c r="B46" s="17" t="n">
        <f aca="false">C46/D46-1</f>
        <v>1.30789818659691</v>
      </c>
      <c r="C46" s="34" t="n">
        <f aca="false">cons_tp/cons_feps</f>
        <v>40.9998112848941</v>
      </c>
      <c r="D46" s="34" t="n">
        <f aca="false">B34</f>
        <v>17.765</v>
      </c>
      <c r="E46" s="8" t="s">
        <v>644</v>
      </c>
    </row>
    <row r="47" customFormat="false" ht="17.15" hidden="false" customHeight="false" outlineLevel="0" collapsed="false">
      <c r="A47" s="4" t="s">
        <v>645</v>
      </c>
      <c r="B47" s="31" t="n">
        <f aca="false">D23</f>
        <v>1618.58234429345</v>
      </c>
      <c r="C47" s="31" t="n">
        <f aca="false">B23</f>
        <v>2493.40371615083</v>
      </c>
      <c r="E47" s="8" t="s">
        <v>646</v>
      </c>
    </row>
    <row r="48" customFormat="false" ht="17.15" hidden="false" customHeight="false" outlineLevel="0" collapsed="false">
      <c r="A48" s="4" t="s">
        <v>647</v>
      </c>
      <c r="B48" s="35" t="n">
        <f aca="false">IF(px/B9&lt;=MIN($B$96:$B$105),0,IF(px/B9&gt;=MAX($B$96:$B$105),1,PERCENTRANK($B$96:$B$105,px/B9)))</f>
        <v>0.602</v>
      </c>
      <c r="C48" s="35" t="n">
        <f aca="false">IF(px/C9&lt;=MIN($B$96:$B$105),0,IF(px/C9&gt;=MAX($B$96:$B$105),1,PERCENTRANK($B$96:$B$105,px/C9)))</f>
        <v>0.664</v>
      </c>
      <c r="D48" s="35" t="n">
        <f aca="false">IF(px/D9&lt;=MIN($B$96:$B$105),0,IF(px/D9&gt;=MAX($B$96:$B$105),1,PERCENTRANK($B$96:$B$105,px/D9)))</f>
        <v>0.696</v>
      </c>
      <c r="E48" s="4" t="s">
        <v>648</v>
      </c>
    </row>
    <row r="49" customFormat="false" ht="17.15" hidden="false" customHeight="false" outlineLevel="0" collapsed="false">
      <c r="A49" s="4" t="s">
        <v>649</v>
      </c>
      <c r="B49" s="36" t="str">
        <f aca="false">IF(B43&gt;0.5,"大於 50%",IF(B43&gt;0.25,"25%–50%",IF(B43&gt;=0,"0%–25%",IF(B43&gt;=-0.25,"0%～−25%",IF(B43&gt;=-0.5,"−25%～−50%","小於 −50%")))))</f>
        <v>−25%～−50%</v>
      </c>
      <c r="E49" s="4" t="s">
        <v>650</v>
      </c>
    </row>
    <row r="50" customFormat="false" ht="17.15" hidden="false" customHeight="false" outlineLevel="0" collapsed="false">
      <c r="A50" s="4" t="s">
        <v>651</v>
      </c>
      <c r="B50" s="36" t="str">
        <f aca="false">IF(B43&gt;0.5,"強力買進",IF(B43&gt;0.25,"買進",IF(B43&gt;=-0.25,"中立",IF(B43&gt;=-0.5,"放空","強力放空"))))</f>
        <v>放空</v>
      </c>
      <c r="E50" s="4" t="s">
        <v>652</v>
      </c>
    </row>
    <row r="51" customFormat="false" ht="17.15" hidden="false" customHeight="false" outlineLevel="0" collapsed="false">
      <c r="A51" s="4" t="s">
        <v>653</v>
      </c>
      <c r="B51" s="0" t="s">
        <v>654</v>
      </c>
    </row>
    <row r="60" customFormat="false" ht="17.15" hidden="false" customHeight="false" outlineLevel="0" collapsed="false">
      <c r="A60" s="6" t="s">
        <v>655</v>
      </c>
    </row>
    <row r="61" customFormat="false" ht="15" hidden="false" customHeight="false" outlineLevel="0" collapsed="false">
      <c r="A61" s="5" t="s">
        <v>20</v>
      </c>
      <c r="B61" s="15" t="s">
        <v>656</v>
      </c>
      <c r="C61" s="15" t="s">
        <v>657</v>
      </c>
      <c r="D61" s="15" t="s">
        <v>658</v>
      </c>
      <c r="E61" s="5" t="s">
        <v>377</v>
      </c>
    </row>
    <row r="62" customFormat="false" ht="17.15" hidden="false" customHeight="false" outlineLevel="0" collapsed="false">
      <c r="A62" s="4" t="s">
        <v>659</v>
      </c>
      <c r="B62" s="31" t="n">
        <f aca="false">px</f>
        <v>5064</v>
      </c>
    </row>
    <row r="63" customFormat="false" ht="17.15" hidden="false" customHeight="false" outlineLevel="0" collapsed="false">
      <c r="A63" s="4" t="s">
        <v>660</v>
      </c>
      <c r="B63" s="34" t="n">
        <f aca="false">px/PL!C16</f>
        <v>36.6001734605377</v>
      </c>
      <c r="C63" s="34" t="n">
        <f aca="false">px/PL!C32</f>
        <v>36.6001734605377</v>
      </c>
      <c r="D63" s="34" t="n">
        <f aca="false">px/PL!C48</f>
        <v>36.6001734605377</v>
      </c>
    </row>
    <row r="64" customFormat="false" ht="17.15" hidden="false" customHeight="false" outlineLevel="0" collapsed="false">
      <c r="A64" s="4" t="s">
        <v>661</v>
      </c>
      <c r="B64" s="34" t="n">
        <f aca="false">px/PL!D16</f>
        <v>39.0018484288355</v>
      </c>
      <c r="C64" s="34" t="n">
        <f aca="false">px/PL!D32</f>
        <v>39.0018484288355</v>
      </c>
      <c r="D64" s="34" t="n">
        <f aca="false">px/PL!D48</f>
        <v>39.0018484288355</v>
      </c>
      <c r="E64" s="8" t="s">
        <v>662</v>
      </c>
    </row>
    <row r="65" customFormat="false" ht="17.15" hidden="false" customHeight="false" outlineLevel="0" collapsed="false">
      <c r="A65" s="4" t="s">
        <v>663</v>
      </c>
      <c r="B65" s="34" t="n">
        <f aca="false">px/PL!E16</f>
        <v>31.1026944123444</v>
      </c>
      <c r="C65" s="34" t="n">
        <f aca="false">px/PL!E32</f>
        <v>31.1026944123444</v>
      </c>
      <c r="D65" s="34" t="n">
        <f aca="false">px/PL!E48</f>
        <v>31.1026944123444</v>
      </c>
      <c r="E65" s="8" t="s">
        <v>664</v>
      </c>
    </row>
    <row r="66" customFormat="false" ht="17.15" hidden="false" customHeight="false" outlineLevel="0" collapsed="false">
      <c r="A66" s="4" t="s">
        <v>665</v>
      </c>
      <c r="B66" s="34" t="n">
        <f aca="false">px/PL!F16</f>
        <v>27.4507331202685</v>
      </c>
      <c r="C66" s="34" t="n">
        <f aca="false">px/PL!F32</f>
        <v>30.0935280835776</v>
      </c>
      <c r="D66" s="34" t="n">
        <f aca="false">px/PL!F48</f>
        <v>33.4106087046373</v>
      </c>
    </row>
    <row r="67" customFormat="false" ht="17.15" hidden="false" customHeight="false" outlineLevel="0" collapsed="false">
      <c r="A67" s="4" t="s">
        <v>666</v>
      </c>
      <c r="B67" s="34" t="n">
        <f aca="false">px/PL!G16</f>
        <v>25.47592240833</v>
      </c>
      <c r="C67" s="34" t="n">
        <f aca="false">px/PL!G32</f>
        <v>27.4305178327474</v>
      </c>
      <c r="D67" s="34" t="n">
        <f aca="false">px/PL!G48</f>
        <v>31.2898843726709</v>
      </c>
    </row>
    <row r="68" customFormat="false" ht="17.15" hidden="false" customHeight="false" outlineLevel="0" collapsed="false">
      <c r="A68" s="4" t="s">
        <v>667</v>
      </c>
      <c r="B68" s="21" t="n">
        <f aca="false">5/12*PL!D32+7/12*PL!E32</f>
        <v>149.075694415323</v>
      </c>
    </row>
    <row r="69" customFormat="false" ht="17.15" hidden="false" customHeight="false" outlineLevel="0" collapsed="false">
      <c r="A69" s="4" t="s">
        <v>668</v>
      </c>
      <c r="B69" s="34" t="n">
        <f aca="false">px/B68</f>
        <v>33.9693202158882</v>
      </c>
    </row>
    <row r="70" customFormat="false" ht="17.15" hidden="false" customHeight="false" outlineLevel="0" collapsed="false">
      <c r="A70" s="0" t="s">
        <v>301</v>
      </c>
      <c r="B70" s="34" t="n">
        <f aca="false">pe_cf</f>
        <v>39.08</v>
      </c>
    </row>
    <row r="71" customFormat="false" ht="17.15" hidden="false" customHeight="false" outlineLevel="0" collapsed="false">
      <c r="A71" s="4" t="s">
        <v>669</v>
      </c>
      <c r="B71" s="34" t="n">
        <f aca="false">fpe</f>
        <v>32.76</v>
      </c>
    </row>
    <row r="73" customFormat="false" ht="17.15" hidden="false" customHeight="false" outlineLevel="0" collapsed="false">
      <c r="A73" s="6" t="s">
        <v>670</v>
      </c>
    </row>
    <row r="74" customFormat="false" ht="17.15" hidden="false" customHeight="false" outlineLevel="0" collapsed="false">
      <c r="A74" s="5" t="s">
        <v>671</v>
      </c>
      <c r="B74" s="5" t="s">
        <v>672</v>
      </c>
      <c r="C74" s="15" t="s">
        <v>673</v>
      </c>
      <c r="D74" s="5" t="s">
        <v>674</v>
      </c>
      <c r="E74" s="5" t="s">
        <v>675</v>
      </c>
      <c r="F74" s="5" t="s">
        <v>377</v>
      </c>
    </row>
    <row r="75" customFormat="false" ht="17.15" hidden="false" customHeight="false" outlineLevel="0" collapsed="false">
      <c r="A75" s="0" t="s">
        <v>656</v>
      </c>
      <c r="B75" s="0" t="n">
        <f aca="false">INDEX({2026,2027,2028,2029},MATCH(MAX(PL!D103:G103),PL!D103:G103,0))</f>
        <v>2029</v>
      </c>
      <c r="C75" s="0" t="str">
        <f aca="false">IF(B75=2029,"中段",IF(2027&lt;B75,"中段",IF(2027=B75,"見頂","谷底")))</f>
        <v>中段</v>
      </c>
      <c r="D75" s="34" t="n">
        <f aca="false">IF(C75="見頂",pe_peak,IF(C75="谷底",pe_trough,pe_mid))</f>
        <v>24.95</v>
      </c>
      <c r="E75" s="0" t="str">
        <f aca="false">IF(B75=2029,"是：營收到觀測期末仍在增加","否")</f>
        <v>是：營收到觀測期末仍在增加</v>
      </c>
      <c r="F75" s="8" t="s">
        <v>676</v>
      </c>
    </row>
    <row r="76" customFormat="false" ht="15" hidden="false" customHeight="false" outlineLevel="0" collapsed="false">
      <c r="A76" s="0" t="s">
        <v>657</v>
      </c>
      <c r="B76" s="0" t="n">
        <f aca="false">INDEX({2026,2027,2028,2029},MATCH(MAX(PL!D156:G156),PL!D156:G156,0))</f>
        <v>2029</v>
      </c>
      <c r="C76" s="0" t="str">
        <f aca="false">IF(B76=2029,"中段",IF(2027&lt;B76,"中段",IF(2027=B76,"見頂","谷底")))</f>
        <v>中段</v>
      </c>
      <c r="D76" s="34" t="n">
        <f aca="false">IF(C76="見頂",pe_peak,IF(C76="谷底",pe_trough,pe_mid))</f>
        <v>24.95</v>
      </c>
      <c r="E76" s="0" t="str">
        <f aca="false">IF(B76=2029,"是：營收到觀測期末仍在增加","否")</f>
        <v>是：營收到觀測期末仍在增加</v>
      </c>
      <c r="F76" s="4" t="s">
        <v>37</v>
      </c>
    </row>
    <row r="77" customFormat="false" ht="15" hidden="false" customHeight="false" outlineLevel="0" collapsed="false">
      <c r="A77" s="0" t="s">
        <v>658</v>
      </c>
      <c r="B77" s="0" t="n">
        <f aca="false">INDEX({2026,2027,2028,2029},MATCH(MAX(PL!D209:G209),PL!D209:G209,0))</f>
        <v>2029</v>
      </c>
      <c r="C77" s="0" t="str">
        <f aca="false">IF(B77=2029,"中段",IF(2027&lt;B77,"中段",IF(2027=B77,"見頂","谷底")))</f>
        <v>中段</v>
      </c>
      <c r="D77" s="34" t="n">
        <f aca="false">IF(C77="見頂",pe_peak,IF(C77="谷底",pe_trough,pe_mid))</f>
        <v>24.95</v>
      </c>
      <c r="E77" s="0" t="str">
        <f aca="false">IF(B77=2029,"是：營收到觀測期末仍在增加","否")</f>
        <v>是：營收到觀測期末仍在增加</v>
      </c>
      <c r="F77" s="4" t="s">
        <v>37</v>
      </c>
    </row>
    <row r="79" customFormat="false" ht="17.15" hidden="false" customHeight="false" outlineLevel="0" collapsed="false">
      <c r="A79" s="6" t="s">
        <v>677</v>
      </c>
    </row>
    <row r="80" customFormat="false" ht="17.15" hidden="false" customHeight="false" outlineLevel="0" collapsed="false">
      <c r="A80" s="5" t="s">
        <v>671</v>
      </c>
      <c r="B80" s="15" t="s">
        <v>678</v>
      </c>
      <c r="C80" s="5" t="s">
        <v>679</v>
      </c>
      <c r="D80" s="5" t="s">
        <v>680</v>
      </c>
      <c r="E80" s="5" t="s">
        <v>681</v>
      </c>
      <c r="F80" s="5" t="s">
        <v>682</v>
      </c>
      <c r="G80" s="5" t="s">
        <v>683</v>
      </c>
    </row>
    <row r="81" customFormat="false" ht="15" hidden="false" customHeight="false" outlineLevel="0" collapsed="false">
      <c r="A81" s="9" t="s">
        <v>656</v>
      </c>
      <c r="B81" s="37" t="n">
        <f aca="false">PL!E16</f>
        <v>162.815476140554</v>
      </c>
      <c r="C81" s="37" t="n">
        <f aca="false">B81</f>
        <v>162.815476140554</v>
      </c>
      <c r="D81" s="38" t="n">
        <f aca="false">D75</f>
        <v>24.95</v>
      </c>
      <c r="E81" s="32" t="n">
        <f aca="false">C81*D81</f>
        <v>4062.24612970682</v>
      </c>
      <c r="F81" s="39" t="n">
        <f aca="false">E81/px-1</f>
        <v>-0.197818694765637</v>
      </c>
      <c r="G81" s="38" t="n">
        <f aca="false">px/C81</f>
        <v>31.1026944123444</v>
      </c>
    </row>
    <row r="82" customFormat="false" ht="15" hidden="false" customHeight="false" outlineLevel="0" collapsed="false">
      <c r="A82" s="9" t="s">
        <v>657</v>
      </c>
      <c r="B82" s="37" t="n">
        <f aca="false">PL!E32</f>
        <v>162.815476140554</v>
      </c>
      <c r="C82" s="37" t="n">
        <f aca="false">B82</f>
        <v>162.815476140554</v>
      </c>
      <c r="D82" s="38" t="n">
        <f aca="false">D76</f>
        <v>24.95</v>
      </c>
      <c r="E82" s="32" t="n">
        <f aca="false">C82*D82</f>
        <v>4062.24612970682</v>
      </c>
      <c r="F82" s="39" t="n">
        <f aca="false">E82/px-1</f>
        <v>-0.197818694765637</v>
      </c>
      <c r="G82" s="38" t="n">
        <f aca="false">px/C82</f>
        <v>31.1026944123444</v>
      </c>
    </row>
    <row r="83" customFormat="false" ht="15" hidden="false" customHeight="false" outlineLevel="0" collapsed="false">
      <c r="A83" s="9" t="s">
        <v>658</v>
      </c>
      <c r="B83" s="37" t="n">
        <f aca="false">PL!E48</f>
        <v>162.815476140554</v>
      </c>
      <c r="C83" s="37" t="n">
        <f aca="false">B83</f>
        <v>162.815476140554</v>
      </c>
      <c r="D83" s="38" t="n">
        <f aca="false">D77</f>
        <v>24.95</v>
      </c>
      <c r="E83" s="32" t="n">
        <f aca="false">C83*D83</f>
        <v>4062.24612970682</v>
      </c>
      <c r="F83" s="39" t="n">
        <f aca="false">E83/px-1</f>
        <v>-0.197818694765637</v>
      </c>
      <c r="G83" s="38" t="n">
        <f aca="false">px/C83</f>
        <v>31.1026944123444</v>
      </c>
    </row>
    <row r="85" customFormat="false" ht="17.15" hidden="false" customHeight="false" outlineLevel="0" collapsed="false">
      <c r="A85" s="6" t="s">
        <v>684</v>
      </c>
    </row>
    <row r="86" customFormat="false" ht="17.15" hidden="false" customHeight="false" outlineLevel="0" collapsed="false">
      <c r="A86" s="15" t="s">
        <v>685</v>
      </c>
      <c r="B86" s="5" t="s">
        <v>686</v>
      </c>
      <c r="C86" s="5" t="s">
        <v>687</v>
      </c>
      <c r="D86" s="5" t="s">
        <v>688</v>
      </c>
      <c r="E86" s="5" t="s">
        <v>689</v>
      </c>
    </row>
    <row r="87" customFormat="false" ht="15" hidden="false" customHeight="false" outlineLevel="0" collapsed="false">
      <c r="A87" s="40" t="n">
        <v>0.6</v>
      </c>
      <c r="B87" s="34" t="n">
        <f aca="false">px*A87/PL!F16</f>
        <v>16.4704398721611</v>
      </c>
      <c r="C87" s="34" t="n">
        <f aca="false">px*A87/PL!F32</f>
        <v>18.0561168501466</v>
      </c>
      <c r="D87" s="34" t="n">
        <f aca="false">px*A87/PL!F48</f>
        <v>20.0463652227824</v>
      </c>
      <c r="E87" s="34" t="n">
        <f aca="false">pe_mid</f>
        <v>24.95</v>
      </c>
    </row>
    <row r="88" customFormat="false" ht="15" hidden="false" customHeight="false" outlineLevel="0" collapsed="false">
      <c r="A88" s="40" t="n">
        <v>0.8</v>
      </c>
      <c r="B88" s="34" t="n">
        <f aca="false">px*A88/PL!F16</f>
        <v>21.9605864962148</v>
      </c>
      <c r="C88" s="34" t="n">
        <f aca="false">px*A88/PL!F32</f>
        <v>24.0748224668621</v>
      </c>
      <c r="D88" s="34" t="n">
        <f aca="false">px*A88/PL!F48</f>
        <v>26.7284869637098</v>
      </c>
      <c r="E88" s="34" t="n">
        <f aca="false">pe_mid</f>
        <v>24.95</v>
      </c>
    </row>
    <row r="89" customFormat="false" ht="15" hidden="false" customHeight="false" outlineLevel="0" collapsed="false">
      <c r="A89" s="40" t="n">
        <v>1</v>
      </c>
      <c r="B89" s="34" t="n">
        <f aca="false">px*A89/PL!F16</f>
        <v>27.4507331202685</v>
      </c>
      <c r="C89" s="34" t="n">
        <f aca="false">px*A89/PL!F32</f>
        <v>30.0935280835776</v>
      </c>
      <c r="D89" s="34" t="n">
        <f aca="false">px*A89/PL!F48</f>
        <v>33.4106087046373</v>
      </c>
      <c r="E89" s="34" t="n">
        <f aca="false">pe_mid</f>
        <v>24.95</v>
      </c>
    </row>
    <row r="90" customFormat="false" ht="15" hidden="false" customHeight="false" outlineLevel="0" collapsed="false">
      <c r="A90" s="40" t="n">
        <v>1.21</v>
      </c>
      <c r="B90" s="34" t="n">
        <f aca="false">px*A90/PL!F16</f>
        <v>33.2153870755249</v>
      </c>
      <c r="C90" s="34" t="n">
        <f aca="false">px*A90/PL!F32</f>
        <v>36.4131689811289</v>
      </c>
      <c r="D90" s="34" t="n">
        <f aca="false">px*A90/PL!F48</f>
        <v>40.4268365326111</v>
      </c>
      <c r="E90" s="34" t="n">
        <f aca="false">pe_mid</f>
        <v>24.95</v>
      </c>
    </row>
    <row r="91" customFormat="false" ht="15" hidden="false" customHeight="false" outlineLevel="0" collapsed="false">
      <c r="A91" s="40" t="n">
        <v>1.5</v>
      </c>
      <c r="B91" s="34" t="n">
        <f aca="false">px*A91/PL!F16</f>
        <v>41.1760996804027</v>
      </c>
      <c r="C91" s="34" t="n">
        <f aca="false">px*A91/PL!F32</f>
        <v>45.1402921253665</v>
      </c>
      <c r="D91" s="34" t="n">
        <f aca="false">px*A91/PL!F48</f>
        <v>50.1159130569559</v>
      </c>
      <c r="E91" s="34" t="n">
        <f aca="false">pe_mid</f>
        <v>24.95</v>
      </c>
    </row>
    <row r="92" customFormat="false" ht="17.15" hidden="false" customHeight="false" outlineLevel="0" collapsed="false">
      <c r="A92" s="4" t="s">
        <v>690</v>
      </c>
    </row>
    <row r="94" customFormat="false" ht="17.15" hidden="false" customHeight="false" outlineLevel="0" collapsed="false">
      <c r="A94" s="6" t="s">
        <v>691</v>
      </c>
    </row>
    <row r="95" customFormat="false" ht="17.15" hidden="false" customHeight="false" outlineLevel="0" collapsed="false">
      <c r="A95" s="5" t="s">
        <v>692</v>
      </c>
      <c r="B95" s="5" t="s">
        <v>693</v>
      </c>
      <c r="C95" s="15" t="s">
        <v>694</v>
      </c>
      <c r="D95" s="15" t="s">
        <v>695</v>
      </c>
    </row>
    <row r="96" customFormat="false" ht="15" hidden="false" customHeight="false" outlineLevel="0" collapsed="false">
      <c r="A96" s="0" t="s">
        <v>696</v>
      </c>
      <c r="B96" s="19" t="n">
        <f aca="false">C96</f>
        <v>18.6</v>
      </c>
      <c r="C96" s="19" t="n">
        <f aca="false">B115</f>
        <v>18.6</v>
      </c>
      <c r="D96" s="19" t="str">
        <f aca="false">IF(C115="","",C115)</f>
        <v/>
      </c>
    </row>
    <row r="97" customFormat="false" ht="15" hidden="false" customHeight="false" outlineLevel="0" collapsed="false">
      <c r="A97" s="0" t="s">
        <v>697</v>
      </c>
      <c r="B97" s="19" t="n">
        <f aca="false">C97</f>
        <v>21.1</v>
      </c>
      <c r="C97" s="19" t="n">
        <f aca="false">B116</f>
        <v>21.1</v>
      </c>
      <c r="D97" s="19" t="str">
        <f aca="false">IF(C116="","",C116)</f>
        <v/>
      </c>
    </row>
    <row r="98" customFormat="false" ht="15" hidden="false" customHeight="false" outlineLevel="0" collapsed="false">
      <c r="A98" s="0" t="s">
        <v>698</v>
      </c>
      <c r="B98" s="19" t="n">
        <f aca="false">C98</f>
        <v>16.4</v>
      </c>
      <c r="C98" s="19" t="n">
        <f aca="false">B117</f>
        <v>16.4</v>
      </c>
      <c r="D98" s="19" t="str">
        <f aca="false">IF(C117="","",C117)</f>
        <v/>
      </c>
    </row>
    <row r="99" customFormat="false" ht="15" hidden="false" customHeight="false" outlineLevel="0" collapsed="false">
      <c r="A99" s="0" t="s">
        <v>699</v>
      </c>
      <c r="B99" s="19" t="n">
        <f aca="false">C99</f>
        <v>30.2</v>
      </c>
      <c r="C99" s="19" t="n">
        <f aca="false">B118</f>
        <v>30.2</v>
      </c>
      <c r="D99" s="19" t="str">
        <f aca="false">IF(C118="","",C118)</f>
        <v/>
      </c>
    </row>
    <row r="100" customFormat="false" ht="15" hidden="false" customHeight="false" outlineLevel="0" collapsed="false">
      <c r="A100" s="0" t="s">
        <v>700</v>
      </c>
      <c r="B100" s="19" t="n">
        <f aca="false">C100</f>
        <v>54.9</v>
      </c>
      <c r="C100" s="19" t="n">
        <f aca="false">B119</f>
        <v>54.9</v>
      </c>
      <c r="D100" s="19" t="str">
        <f aca="false">IF(C119="","",C119)</f>
        <v/>
      </c>
    </row>
    <row r="101" customFormat="false" ht="15" hidden="false" customHeight="false" outlineLevel="0" collapsed="false">
      <c r="A101" s="0" t="s">
        <v>701</v>
      </c>
      <c r="B101" s="19" t="n">
        <f aca="false">C101</f>
        <v>20.3</v>
      </c>
      <c r="C101" s="19" t="n">
        <f aca="false">B120</f>
        <v>20.3</v>
      </c>
      <c r="D101" s="19" t="n">
        <f aca="false">IF(C120="","",C120)</f>
        <v>24.62</v>
      </c>
    </row>
    <row r="102" customFormat="false" ht="15" hidden="false" customHeight="false" outlineLevel="0" collapsed="false">
      <c r="A102" s="0" t="s">
        <v>702</v>
      </c>
      <c r="B102" s="19" t="n">
        <f aca="false">C102</f>
        <v>24.4</v>
      </c>
      <c r="C102" s="19" t="n">
        <f aca="false">B121</f>
        <v>24.4</v>
      </c>
      <c r="D102" s="19" t="n">
        <f aca="false">IF(C121="","",C121)</f>
        <v>25.92</v>
      </c>
    </row>
    <row r="103" customFormat="false" ht="15" hidden="false" customHeight="false" outlineLevel="0" collapsed="false">
      <c r="A103" s="0" t="s">
        <v>703</v>
      </c>
      <c r="B103" s="19" t="n">
        <f aca="false">C103</f>
        <v>25.5</v>
      </c>
      <c r="C103" s="19" t="n">
        <f aca="false">B122</f>
        <v>25.5</v>
      </c>
      <c r="D103" s="19" t="n">
        <f aca="false">IF(C122="","",C122)</f>
        <v>33.45</v>
      </c>
    </row>
    <row r="104" customFormat="false" ht="15" hidden="false" customHeight="false" outlineLevel="0" collapsed="false">
      <c r="A104" s="0" t="s">
        <v>704</v>
      </c>
      <c r="B104" s="19" t="n">
        <f aca="false">C104</f>
        <v>66.4</v>
      </c>
      <c r="C104" s="19" t="n">
        <f aca="false">B123</f>
        <v>66.4</v>
      </c>
      <c r="D104" s="19" t="n">
        <f aca="false">IF(C123="","",C123)</f>
        <v>41.4</v>
      </c>
    </row>
    <row r="105" customFormat="false" ht="15" hidden="false" customHeight="false" outlineLevel="0" collapsed="false">
      <c r="A105" s="0" t="s">
        <v>705</v>
      </c>
      <c r="B105" s="19" t="n">
        <f aca="false">C105</f>
        <v>42.5</v>
      </c>
      <c r="C105" s="19" t="n">
        <f aca="false">B124</f>
        <v>42.5</v>
      </c>
      <c r="D105" s="19" t="n">
        <f aca="false">IF(C124="","",C124)</f>
        <v>31.34</v>
      </c>
    </row>
    <row r="106" customFormat="false" ht="15" hidden="false" customHeight="false" outlineLevel="0" collapsed="false">
      <c r="A106" s="4" t="s">
        <v>706</v>
      </c>
      <c r="B106" s="0" t="n">
        <f aca="false">COUNT($B$96:$B$105)</f>
        <v>10</v>
      </c>
    </row>
    <row r="110" customFormat="false" ht="17.15" hidden="false" customHeight="false" outlineLevel="0" collapsed="false">
      <c r="A110" s="6" t="s">
        <v>707</v>
      </c>
    </row>
    <row r="111" customFormat="false" ht="17.15" hidden="false" customHeight="false" outlineLevel="0" collapsed="false">
      <c r="A111" s="4" t="s">
        <v>708</v>
      </c>
    </row>
    <row r="113" customFormat="false" ht="17.15" hidden="false" customHeight="false" outlineLevel="0" collapsed="false">
      <c r="A113" s="6" t="s">
        <v>709</v>
      </c>
    </row>
    <row r="114" customFormat="false" ht="17.15" hidden="false" customHeight="false" outlineLevel="0" collapsed="false">
      <c r="A114" s="5" t="s">
        <v>692</v>
      </c>
      <c r="B114" s="15" t="s">
        <v>710</v>
      </c>
      <c r="C114" s="15" t="s">
        <v>711</v>
      </c>
      <c r="D114" s="5" t="s">
        <v>712</v>
      </c>
    </row>
    <row r="115" customFormat="false" ht="17.15" hidden="false" customHeight="false" outlineLevel="0" collapsed="false">
      <c r="A115" s="0" t="s">
        <v>696</v>
      </c>
      <c r="B115" s="40" t="n">
        <v>18.6</v>
      </c>
      <c r="D115" s="8" t="s">
        <v>713</v>
      </c>
    </row>
    <row r="116" customFormat="false" ht="15" hidden="false" customHeight="false" outlineLevel="0" collapsed="false">
      <c r="A116" s="0" t="s">
        <v>697</v>
      </c>
      <c r="B116" s="40" t="n">
        <v>21.1</v>
      </c>
    </row>
    <row r="117" customFormat="false" ht="15" hidden="false" customHeight="false" outlineLevel="0" collapsed="false">
      <c r="A117" s="0" t="s">
        <v>698</v>
      </c>
      <c r="B117" s="40" t="n">
        <v>16.4</v>
      </c>
    </row>
    <row r="118" customFormat="false" ht="15" hidden="false" customHeight="false" outlineLevel="0" collapsed="false">
      <c r="A118" s="0" t="s">
        <v>699</v>
      </c>
      <c r="B118" s="40" t="n">
        <v>30.2</v>
      </c>
    </row>
    <row r="119" customFormat="false" ht="15" hidden="false" customHeight="false" outlineLevel="0" collapsed="false">
      <c r="A119" s="0" t="s">
        <v>700</v>
      </c>
      <c r="B119" s="40" t="n">
        <v>54.9</v>
      </c>
    </row>
    <row r="120" customFormat="false" ht="15" hidden="false" customHeight="false" outlineLevel="0" collapsed="false">
      <c r="A120" s="0" t="s">
        <v>701</v>
      </c>
      <c r="B120" s="40" t="n">
        <v>20.3</v>
      </c>
      <c r="C120" s="40" t="n">
        <v>24.62</v>
      </c>
    </row>
    <row r="121" customFormat="false" ht="15" hidden="false" customHeight="false" outlineLevel="0" collapsed="false">
      <c r="A121" s="0" t="s">
        <v>702</v>
      </c>
      <c r="B121" s="40" t="n">
        <v>24.4</v>
      </c>
      <c r="C121" s="40" t="n">
        <v>25.92</v>
      </c>
    </row>
    <row r="122" customFormat="false" ht="15" hidden="false" customHeight="false" outlineLevel="0" collapsed="false">
      <c r="A122" s="0" t="s">
        <v>703</v>
      </c>
      <c r="B122" s="40" t="n">
        <v>25.5</v>
      </c>
      <c r="C122" s="40" t="n">
        <v>33.45</v>
      </c>
    </row>
    <row r="123" customFormat="false" ht="15" hidden="false" customHeight="false" outlineLevel="0" collapsed="false">
      <c r="A123" s="0" t="s">
        <v>704</v>
      </c>
      <c r="B123" s="40" t="n">
        <v>66.4</v>
      </c>
      <c r="C123" s="40" t="n">
        <v>41.4</v>
      </c>
    </row>
    <row r="124" customFormat="false" ht="15" hidden="false" customHeight="false" outlineLevel="0" collapsed="false">
      <c r="A124" s="0" t="s">
        <v>705</v>
      </c>
      <c r="B124" s="40" t="n">
        <v>42.5</v>
      </c>
      <c r="C124" s="40" t="n">
        <v>31.34</v>
      </c>
    </row>
    <row r="125" customFormat="false" ht="17.15" hidden="false" customHeight="false" outlineLevel="0" collapsed="false">
      <c r="A125" s="0" t="s">
        <v>714</v>
      </c>
      <c r="B125" s="19" t="n">
        <f aca="false">PERCENTILE(B115:B124,0.25)</f>
        <v>20.5</v>
      </c>
      <c r="C125" s="19" t="n">
        <f aca="false">PERCENTILE(C115:C124,0.25)</f>
        <v>25.92</v>
      </c>
    </row>
    <row r="126" customFormat="false" ht="15" hidden="false" customHeight="false" outlineLevel="0" collapsed="false">
      <c r="A126" s="4" t="s">
        <v>715</v>
      </c>
      <c r="B126" s="19" t="n">
        <f aca="false">MEDIAN(B115:B124)</f>
        <v>24.95</v>
      </c>
      <c r="C126" s="19" t="n">
        <f aca="false">MEDIAN(C115:C124)</f>
        <v>31.34</v>
      </c>
    </row>
    <row r="127" customFormat="false" ht="17.15" hidden="false" customHeight="false" outlineLevel="0" collapsed="false">
      <c r="A127" s="0" t="s">
        <v>716</v>
      </c>
      <c r="B127" s="19" t="n">
        <f aca="false">PERCENTILE(B115:B124,0.75)</f>
        <v>39.425</v>
      </c>
      <c r="C127" s="19" t="n">
        <f aca="false">PERCENTILE(C115:C124,0.75)</f>
        <v>33.45</v>
      </c>
    </row>
    <row r="128" customFormat="false" ht="15" hidden="false" customHeight="false" outlineLevel="0" collapsed="false">
      <c r="A128" s="4" t="s">
        <v>717</v>
      </c>
      <c r="B128" s="19" t="n">
        <f aca="false">MIN(B115:B124)</f>
        <v>16.4</v>
      </c>
      <c r="C128" s="19" t="n">
        <f aca="false">MIN(C115:C124)</f>
        <v>24.62</v>
      </c>
    </row>
    <row r="129" customFormat="false" ht="15" hidden="false" customHeight="false" outlineLevel="0" collapsed="false">
      <c r="A129" s="4" t="s">
        <v>718</v>
      </c>
      <c r="B129" s="19" t="n">
        <f aca="false">MAX(B115:B124)</f>
        <v>66.4</v>
      </c>
      <c r="C129" s="19" t="n">
        <f aca="false">MAX(C115:C124)</f>
        <v>41.4</v>
      </c>
    </row>
    <row r="130" customFormat="false" ht="17.15" hidden="false" customHeight="false" outlineLevel="0" collapsed="false">
      <c r="A130" s="1" t="s">
        <v>719</v>
      </c>
      <c r="B130" s="19" t="n">
        <f aca="false">ROUND(AVERAGE(B125),2)</f>
        <v>20.5</v>
      </c>
    </row>
    <row r="131" customFormat="false" ht="17.15" hidden="false" customHeight="false" outlineLevel="0" collapsed="false">
      <c r="A131" s="1" t="s">
        <v>720</v>
      </c>
      <c r="B131" s="19" t="n">
        <f aca="false">ROUND(AVERAGE(B126),2)</f>
        <v>24.95</v>
      </c>
    </row>
    <row r="132" customFormat="false" ht="17.15" hidden="false" customHeight="false" outlineLevel="0" collapsed="false">
      <c r="A132" s="1" t="s">
        <v>721</v>
      </c>
      <c r="B132" s="19" t="n">
        <f aca="false">ROUND(AVERAGE(B127),2)</f>
        <v>39.43</v>
      </c>
    </row>
    <row r="133" customFormat="false" ht="17.15" hidden="false" customHeight="false" outlineLevel="0" collapsed="false">
      <c r="A133" s="1" t="s">
        <v>722</v>
      </c>
      <c r="B133" s="19" t="n">
        <f aca="false">ROUND(MIN(B128),2)</f>
        <v>16.4</v>
      </c>
    </row>
    <row r="134" customFormat="false" ht="17.15" hidden="false" customHeight="false" outlineLevel="0" collapsed="false">
      <c r="A134" s="1" t="s">
        <v>723</v>
      </c>
      <c r="B134" s="19" t="n">
        <f aca="false">ROUND(MAX(B129),2)</f>
        <v>66.4</v>
      </c>
    </row>
    <row r="136" customFormat="false" ht="17.15" hidden="false" customHeight="false" outlineLevel="0" collapsed="false">
      <c r="A136" s="6" t="s">
        <v>724</v>
      </c>
    </row>
    <row r="137" customFormat="false" ht="17.15" hidden="false" customHeight="false" outlineLevel="0" collapsed="false">
      <c r="A137" s="5" t="s">
        <v>725</v>
      </c>
      <c r="B137" s="5" t="s">
        <v>726</v>
      </c>
      <c r="C137" s="5" t="s">
        <v>727</v>
      </c>
      <c r="D137" s="5" t="s">
        <v>23</v>
      </c>
      <c r="E137" s="5" t="s">
        <v>728</v>
      </c>
      <c r="F137" s="5" t="s">
        <v>681</v>
      </c>
      <c r="G137" s="5" t="s">
        <v>729</v>
      </c>
      <c r="H137" s="5" t="s">
        <v>730</v>
      </c>
    </row>
    <row r="138" customFormat="false" ht="17.15" hidden="false" customHeight="false" outlineLevel="0" collapsed="false">
      <c r="A138" s="4" t="s">
        <v>731</v>
      </c>
      <c r="B138" s="0" t="s">
        <v>732</v>
      </c>
      <c r="C138" s="19" t="n">
        <f aca="false">B130</f>
        <v>20.5</v>
      </c>
      <c r="D138" s="8" t="s">
        <v>733</v>
      </c>
      <c r="E138" s="21" t="n">
        <f aca="false">C82</f>
        <v>162.815476140554</v>
      </c>
      <c r="F138" s="16" t="n">
        <f aca="false">C138*E138</f>
        <v>3337.71726088135</v>
      </c>
      <c r="G138" s="17" t="n">
        <f aca="false">F138/px-1</f>
        <v>-0.340893115939702</v>
      </c>
      <c r="H138" s="19" t="n">
        <f aca="false">px/E138</f>
        <v>31.1026944123444</v>
      </c>
    </row>
    <row r="139" customFormat="false" ht="17.15" hidden="false" customHeight="false" outlineLevel="0" collapsed="false">
      <c r="A139" s="4" t="s">
        <v>734</v>
      </c>
      <c r="B139" s="4" t="s">
        <v>735</v>
      </c>
      <c r="C139" s="19" t="n">
        <f aca="false">B131</f>
        <v>24.95</v>
      </c>
      <c r="D139" s="8" t="s">
        <v>733</v>
      </c>
      <c r="E139" s="21" t="n">
        <f aca="false">C82</f>
        <v>162.815476140554</v>
      </c>
      <c r="F139" s="16" t="n">
        <f aca="false">C139*E139</f>
        <v>4062.24612970682</v>
      </c>
      <c r="G139" s="17" t="n">
        <f aca="false">F139/px-1</f>
        <v>-0.197818694765637</v>
      </c>
      <c r="H139" s="19" t="n">
        <f aca="false">px/E139</f>
        <v>31.1026944123444</v>
      </c>
    </row>
    <row r="140" customFormat="false" ht="17.15" hidden="false" customHeight="false" outlineLevel="0" collapsed="false">
      <c r="A140" s="4" t="s">
        <v>736</v>
      </c>
      <c r="B140" s="0" t="s">
        <v>737</v>
      </c>
      <c r="C140" s="19" t="n">
        <f aca="false">B132</f>
        <v>39.43</v>
      </c>
      <c r="D140" s="8" t="s">
        <v>733</v>
      </c>
      <c r="E140" s="21" t="n">
        <f aca="false">C82</f>
        <v>162.815476140554</v>
      </c>
      <c r="F140" s="16" t="n">
        <f aca="false">C140*E140</f>
        <v>6419.81422422203</v>
      </c>
      <c r="G140" s="17" t="n">
        <f aca="false">F140/px-1</f>
        <v>0.267735826268174</v>
      </c>
      <c r="H140" s="19" t="n">
        <f aca="false">px/E140</f>
        <v>31.1026944123444</v>
      </c>
    </row>
    <row r="144" customFormat="false" ht="17.15" hidden="false" customHeight="false" outlineLevel="0" collapsed="false">
      <c r="A144" s="6" t="s">
        <v>738</v>
      </c>
    </row>
    <row r="145" customFormat="false" ht="17.15" hidden="false" customHeight="false" outlineLevel="0" collapsed="false">
      <c r="A145" s="5" t="s">
        <v>739</v>
      </c>
      <c r="B145" s="5" t="s">
        <v>602</v>
      </c>
      <c r="C145" s="5" t="s">
        <v>603</v>
      </c>
      <c r="D145" s="5" t="s">
        <v>604</v>
      </c>
      <c r="E145" s="5" t="s">
        <v>605</v>
      </c>
      <c r="F145" s="5" t="s">
        <v>25</v>
      </c>
    </row>
    <row r="146" customFormat="false" ht="17.15" hidden="false" customHeight="false" outlineLevel="0" collapsed="false">
      <c r="A146" s="0" t="s">
        <v>740</v>
      </c>
      <c r="B146" s="0" t="s">
        <v>741</v>
      </c>
      <c r="C146" s="33" t="n">
        <v>20.86</v>
      </c>
      <c r="D146" s="8" t="s">
        <v>608</v>
      </c>
      <c r="E146" s="8" t="s">
        <v>609</v>
      </c>
      <c r="F146" s="8" t="s">
        <v>171</v>
      </c>
    </row>
    <row r="147" customFormat="false" ht="17.15" hidden="false" customHeight="false" outlineLevel="0" collapsed="false">
      <c r="A147" s="4" t="s">
        <v>742</v>
      </c>
      <c r="B147" s="0" t="s">
        <v>743</v>
      </c>
      <c r="C147" s="33" t="n">
        <v>20.85</v>
      </c>
      <c r="D147" s="8" t="s">
        <v>744</v>
      </c>
      <c r="E147" s="8" t="s">
        <v>609</v>
      </c>
      <c r="F147" s="8" t="s">
        <v>171</v>
      </c>
    </row>
    <row r="148" customFormat="false" ht="17.15" hidden="false" customHeight="false" outlineLevel="0" collapsed="false">
      <c r="A148" s="4" t="s">
        <v>745</v>
      </c>
      <c r="B148" s="0" t="s">
        <v>746</v>
      </c>
      <c r="C148" s="33" t="n">
        <v>24.44</v>
      </c>
      <c r="D148" s="8" t="s">
        <v>615</v>
      </c>
      <c r="E148" s="8" t="s">
        <v>609</v>
      </c>
      <c r="F148" s="8" t="s">
        <v>171</v>
      </c>
    </row>
    <row r="149" customFormat="false" ht="17.15" hidden="false" customHeight="false" outlineLevel="0" collapsed="false">
      <c r="A149" s="4" t="s">
        <v>747</v>
      </c>
      <c r="B149" s="0" t="s">
        <v>748</v>
      </c>
      <c r="C149" s="33" t="n">
        <v>18.85</v>
      </c>
      <c r="D149" s="8" t="s">
        <v>749</v>
      </c>
      <c r="E149" s="8" t="s">
        <v>609</v>
      </c>
      <c r="F149" s="8" t="s">
        <v>171</v>
      </c>
    </row>
    <row r="150" customFormat="false" ht="17.15" hidden="false" customHeight="false" outlineLevel="0" collapsed="false">
      <c r="A150" s="0" t="s">
        <v>750</v>
      </c>
      <c r="B150" s="0" t="s">
        <v>751</v>
      </c>
      <c r="C150" s="33" t="n">
        <v>46.82</v>
      </c>
      <c r="D150" s="8" t="s">
        <v>621</v>
      </c>
      <c r="E150" s="8" t="s">
        <v>609</v>
      </c>
      <c r="F150" s="8" t="s">
        <v>171</v>
      </c>
    </row>
    <row r="151" customFormat="false" ht="17.15" hidden="false" customHeight="false" outlineLevel="0" collapsed="false">
      <c r="A151" s="4" t="s">
        <v>752</v>
      </c>
      <c r="B151" s="34" t="n">
        <f aca="false">MEDIAN(C146:C150)</f>
        <v>20.86</v>
      </c>
      <c r="E151" s="4" t="s">
        <v>753</v>
      </c>
    </row>
    <row r="152" customFormat="false" ht="17.15" hidden="false" customHeight="false" outlineLevel="0" collapsed="false">
      <c r="A152" s="0" t="s">
        <v>754</v>
      </c>
      <c r="B152" s="21" t="n">
        <f aca="false">tp_wA*(5/12*PL!E118+7/12*PL!F118)+tp_wB*(5/12*PL!E171+7/12*PL!F171)+tp_wC*(5/12*PL!E224+7/12*PL!F224)</f>
        <v>68.2098429751618</v>
      </c>
      <c r="E152" s="8" t="s">
        <v>755</v>
      </c>
    </row>
    <row r="153" customFormat="false" ht="17.15" hidden="false" customHeight="false" outlineLevel="0" collapsed="false">
      <c r="A153" s="0" t="s">
        <v>756</v>
      </c>
      <c r="B153" s="21" t="n">
        <f aca="false">tp_wA*(5/12*PL!E119+7/12*PL!F119)+tp_wB*(5/12*PL!E172+7/12*PL!F172)+tp_wC*(5/12*PL!E225+7/12*PL!F225)</f>
        <v>98.6765561139741</v>
      </c>
      <c r="E153" s="8" t="s">
        <v>757</v>
      </c>
    </row>
    <row r="154" customFormat="false" ht="17.15" hidden="false" customHeight="false" outlineLevel="0" collapsed="false">
      <c r="A154" s="0" t="s">
        <v>758</v>
      </c>
      <c r="B154" s="31" t="n">
        <f aca="false">B153*B34+B152*B151</f>
        <v>3175.84634382663</v>
      </c>
      <c r="E154" s="4" t="s">
        <v>759</v>
      </c>
    </row>
    <row r="155" customFormat="false" ht="17.15" hidden="false" customHeight="false" outlineLevel="0" collapsed="false">
      <c r="A155" s="0" t="s">
        <v>760</v>
      </c>
      <c r="B155" s="17" t="n">
        <f aca="false">B154/px-1</f>
        <v>-0.372858146953668</v>
      </c>
    </row>
    <row r="156" customFormat="false" ht="17.15" hidden="false" customHeight="false" outlineLevel="0" collapsed="false">
      <c r="A156" s="4" t="s">
        <v>761</v>
      </c>
      <c r="B156" s="21" t="n">
        <f aca="false">5/12*PL!D172+7/12*PL!E172</f>
        <v>92.2304955779209</v>
      </c>
    </row>
    <row r="157" customFormat="false" ht="17.15" hidden="false" customHeight="false" outlineLevel="0" collapsed="false">
      <c r="A157" s="4" t="s">
        <v>762</v>
      </c>
      <c r="B157" s="21" t="n">
        <f aca="false">5/12*PL!D171+7/12*PL!E171</f>
        <v>56.8451988374021</v>
      </c>
    </row>
    <row r="158" customFormat="false" ht="17.15" hidden="false" customHeight="false" outlineLevel="0" collapsed="false">
      <c r="A158" s="4" t="s">
        <v>763</v>
      </c>
      <c r="B158" s="31" t="n">
        <f aca="false">B156*B34</f>
        <v>1638.47475394176</v>
      </c>
    </row>
    <row r="159" customFormat="false" ht="17.15" hidden="false" customHeight="false" outlineLevel="0" collapsed="false">
      <c r="A159" s="4" t="s">
        <v>764</v>
      </c>
      <c r="B159" s="31" t="n">
        <f aca="false">px-B158</f>
        <v>3425.52524605824</v>
      </c>
    </row>
    <row r="160" customFormat="false" ht="17.15" hidden="false" customHeight="false" outlineLevel="0" collapsed="false">
      <c r="A160" s="0" t="s">
        <v>765</v>
      </c>
      <c r="B160" s="17" t="n">
        <f aca="false">B159/px</f>
        <v>0.6764465335818</v>
      </c>
    </row>
    <row r="161" customFormat="false" ht="17.15" hidden="false" customHeight="false" outlineLevel="0" collapsed="false">
      <c r="A161" s="4" t="s">
        <v>766</v>
      </c>
      <c r="B161" s="34" t="n">
        <f aca="false">B159/B157</f>
        <v>60.2605904476908</v>
      </c>
      <c r="E161" s="4" t="s">
        <v>767</v>
      </c>
    </row>
    <row r="164" customFormat="false" ht="17.15" hidden="false" customHeight="false" outlineLevel="0" collapsed="false">
      <c r="A164" s="6" t="s">
        <v>768</v>
      </c>
    </row>
    <row r="165" customFormat="false" ht="17.15" hidden="false" customHeight="false" outlineLevel="0" collapsed="false">
      <c r="A165" s="4" t="s">
        <v>769</v>
      </c>
    </row>
    <row r="166" customFormat="false" ht="17.15" hidden="false" customHeight="false" outlineLevel="0" collapsed="false">
      <c r="A166" s="5" t="s">
        <v>770</v>
      </c>
      <c r="B166" s="5" t="s">
        <v>602</v>
      </c>
      <c r="C166" s="5" t="s">
        <v>771</v>
      </c>
      <c r="D166" s="15" t="s">
        <v>772</v>
      </c>
      <c r="E166" s="15" t="s">
        <v>773</v>
      </c>
      <c r="F166" s="15" t="s">
        <v>774</v>
      </c>
      <c r="G166" s="15" t="s">
        <v>775</v>
      </c>
      <c r="H166" s="15" t="s">
        <v>776</v>
      </c>
      <c r="I166" s="15" t="s">
        <v>777</v>
      </c>
      <c r="J166" s="15" t="s">
        <v>778</v>
      </c>
      <c r="K166" s="15" t="s">
        <v>779</v>
      </c>
      <c r="L166" s="15" t="s">
        <v>780</v>
      </c>
      <c r="M166" s="15" t="s">
        <v>781</v>
      </c>
      <c r="N166" s="5" t="s">
        <v>782</v>
      </c>
      <c r="O166" s="15" t="s">
        <v>783</v>
      </c>
      <c r="P166" s="5" t="s">
        <v>784</v>
      </c>
      <c r="Q166" s="5" t="s">
        <v>605</v>
      </c>
    </row>
    <row r="167" customFormat="false" ht="17.15" hidden="false" customHeight="false" outlineLevel="0" collapsed="false">
      <c r="A167" s="4" t="s">
        <v>785</v>
      </c>
      <c r="B167" s="0" t="s">
        <v>786</v>
      </c>
      <c r="C167" s="4" t="s">
        <v>787</v>
      </c>
      <c r="D167" s="40" t="n">
        <v>21.302</v>
      </c>
      <c r="E167" s="40" t="n">
        <v>17.5965</v>
      </c>
      <c r="F167" s="40" t="n">
        <v>18.5195</v>
      </c>
      <c r="G167" s="40" t="n">
        <v>22.4645</v>
      </c>
      <c r="H167" s="40" t="n">
        <v>25.0495</v>
      </c>
      <c r="I167" s="40" t="n">
        <v>23.1745</v>
      </c>
      <c r="J167" s="40" t="n">
        <v>26.6195</v>
      </c>
      <c r="K167" s="40" t="n">
        <v>26.8415</v>
      </c>
      <c r="L167" s="40" t="n">
        <v>28.6675</v>
      </c>
      <c r="M167" s="40" t="n">
        <v>32.678</v>
      </c>
      <c r="N167" s="8" t="n">
        <f aca="false">COUNT(D167:M167)</f>
        <v>10</v>
      </c>
      <c r="O167" s="19" t="n">
        <f aca="false">IF(N167&gt;0,MEDIAN(D167:M167),"")</f>
        <v>24.112</v>
      </c>
      <c r="P167" s="19" t="n">
        <f aca="false">IF(N167&gt;=7,O167,"")</f>
        <v>24.112</v>
      </c>
      <c r="Q167" s="8" t="s">
        <v>788</v>
      </c>
    </row>
    <row r="168" customFormat="false" ht="17.15" hidden="false" customHeight="false" outlineLevel="0" collapsed="false">
      <c r="A168" s="4" t="s">
        <v>606</v>
      </c>
      <c r="B168" s="0" t="s">
        <v>607</v>
      </c>
      <c r="C168" s="4" t="s">
        <v>789</v>
      </c>
      <c r="D168" s="40" t="n">
        <v>28.885</v>
      </c>
      <c r="E168" s="40" t="n">
        <v>35.5585</v>
      </c>
      <c r="F168" s="40" t="n">
        <v>34.453</v>
      </c>
      <c r="G168" s="40" t="n">
        <v>35.946</v>
      </c>
      <c r="H168" s="40" t="n">
        <v>46.3705</v>
      </c>
      <c r="I168" s="40" t="n">
        <v>38.1225</v>
      </c>
      <c r="J168" s="40" t="n">
        <v>32.7355</v>
      </c>
      <c r="K168" s="40" t="n">
        <v>29.7435</v>
      </c>
      <c r="L168" s="40" t="n">
        <v>21.4355</v>
      </c>
      <c r="M168" s="40" t="n">
        <v>21.845</v>
      </c>
      <c r="N168" s="8" t="n">
        <f aca="false">COUNT(D168:M168)</f>
        <v>10</v>
      </c>
      <c r="O168" s="19" t="n">
        <f aca="false">IF(N168&gt;0,MEDIAN(D168:M168),"")</f>
        <v>33.59425</v>
      </c>
      <c r="P168" s="19" t="n">
        <f aca="false">IF(N168&gt;=7,O168,"")</f>
        <v>33.59425</v>
      </c>
      <c r="Q168" s="8" t="s">
        <v>790</v>
      </c>
    </row>
    <row r="169" customFormat="false" ht="17.15" hidden="false" customHeight="false" outlineLevel="0" collapsed="false">
      <c r="A169" s="4" t="s">
        <v>610</v>
      </c>
      <c r="B169" s="0" t="s">
        <v>611</v>
      </c>
      <c r="C169" s="4" t="s">
        <v>789</v>
      </c>
      <c r="D169" s="40" t="n">
        <v>25.8665</v>
      </c>
      <c r="E169" s="40" t="n">
        <v>29.7825</v>
      </c>
      <c r="F169" s="40" t="n">
        <v>26.9875</v>
      </c>
      <c r="G169" s="40" t="n">
        <v>28.7565</v>
      </c>
      <c r="H169" s="40" t="n">
        <v>25.4185</v>
      </c>
      <c r="I169" s="40" t="n">
        <v>25.391</v>
      </c>
      <c r="J169" s="40" t="n">
        <v>26.205</v>
      </c>
      <c r="K169" s="40" t="n">
        <v>21.1765</v>
      </c>
      <c r="L169" s="40" t="n">
        <v>15.491</v>
      </c>
      <c r="M169" s="40" t="n">
        <v>16.5315</v>
      </c>
      <c r="N169" s="8" t="n">
        <f aca="false">COUNT(D169:M169)</f>
        <v>10</v>
      </c>
      <c r="O169" s="19" t="n">
        <f aca="false">IF(N169&gt;0,MEDIAN(D169:M169),"")</f>
        <v>25.6425</v>
      </c>
      <c r="P169" s="19" t="n">
        <f aca="false">IF(N169&gt;=7,O169,"")</f>
        <v>25.6425</v>
      </c>
      <c r="Q169" s="8" t="s">
        <v>791</v>
      </c>
    </row>
    <row r="170" customFormat="false" ht="17.15" hidden="false" customHeight="false" outlineLevel="0" collapsed="false">
      <c r="A170" s="4" t="s">
        <v>613</v>
      </c>
      <c r="B170" s="0" t="s">
        <v>614</v>
      </c>
      <c r="C170" s="4" t="s">
        <v>789</v>
      </c>
      <c r="D170" s="40" t="n">
        <v>20.129</v>
      </c>
      <c r="E170" s="40" t="n">
        <v>19.0605</v>
      </c>
      <c r="F170" s="40" t="n">
        <v>17.27</v>
      </c>
      <c r="G170" s="40" t="n">
        <v>16.234</v>
      </c>
      <c r="H170" s="40" t="n">
        <v>14.7955</v>
      </c>
      <c r="I170" s="40" t="n">
        <v>15.518</v>
      </c>
      <c r="J170" s="40" t="n">
        <v>16.9725</v>
      </c>
      <c r="K170" s="40" t="n">
        <v>17.2895</v>
      </c>
      <c r="L170" s="40" t="n">
        <v>15.1675</v>
      </c>
      <c r="M170" s="40" t="n">
        <v>16.1335</v>
      </c>
      <c r="N170" s="8" t="n">
        <f aca="false">COUNT(D170:M170)</f>
        <v>10</v>
      </c>
      <c r="O170" s="19" t="n">
        <f aca="false">IF(N170&gt;0,MEDIAN(D170:M170),"")</f>
        <v>16.60325</v>
      </c>
      <c r="P170" s="19" t="n">
        <f aca="false">IF(N170&gt;=7,O170,"")</f>
        <v>16.60325</v>
      </c>
      <c r="Q170" s="8" t="s">
        <v>792</v>
      </c>
    </row>
    <row r="171" customFormat="false" ht="17.15" hidden="false" customHeight="false" outlineLevel="0" collapsed="false">
      <c r="A171" s="0" t="s">
        <v>616</v>
      </c>
      <c r="B171" s="0" t="s">
        <v>617</v>
      </c>
      <c r="C171" s="4" t="s">
        <v>789</v>
      </c>
      <c r="D171" s="40" t="n">
        <v>21.2885</v>
      </c>
      <c r="E171" s="40" t="n">
        <v>20.489</v>
      </c>
      <c r="F171" s="40" t="n">
        <v>18.7975</v>
      </c>
      <c r="G171" s="40" t="n">
        <v>19.42</v>
      </c>
      <c r="H171" s="40" t="n">
        <v>20.3545</v>
      </c>
      <c r="I171" s="40" t="n">
        <v>19.2055</v>
      </c>
      <c r="J171" s="40" t="n">
        <v>22.3515</v>
      </c>
      <c r="K171" s="40" t="n">
        <v>22.3885</v>
      </c>
      <c r="L171" s="40" t="n">
        <v>17.755</v>
      </c>
      <c r="M171" s="40" t="n">
        <v>22.1385</v>
      </c>
      <c r="N171" s="8" t="n">
        <f aca="false">COUNT(D171:M171)</f>
        <v>10</v>
      </c>
      <c r="O171" s="19" t="n">
        <f aca="false">IF(N171&gt;0,MEDIAN(D171:M171),"")</f>
        <v>20.42175</v>
      </c>
      <c r="P171" s="19" t="n">
        <f aca="false">IF(N171&gt;=7,O171,"")</f>
        <v>20.42175</v>
      </c>
      <c r="Q171" s="8" t="s">
        <v>793</v>
      </c>
    </row>
    <row r="172" customFormat="false" ht="17.15" hidden="false" customHeight="false" outlineLevel="0" collapsed="false">
      <c r="A172" s="0" t="s">
        <v>619</v>
      </c>
      <c r="B172" s="0" t="s">
        <v>620</v>
      </c>
      <c r="C172" s="4" t="s">
        <v>789</v>
      </c>
      <c r="D172" s="40" t="n">
        <v>22.613</v>
      </c>
      <c r="E172" s="40" t="n">
        <v>21.939</v>
      </c>
      <c r="F172" s="40" t="n">
        <v>28.0575</v>
      </c>
      <c r="G172" s="40" t="n">
        <v>31.2425</v>
      </c>
      <c r="H172" s="40" t="n">
        <v>28.93</v>
      </c>
      <c r="I172" s="40" t="n">
        <v>27.9035</v>
      </c>
      <c r="J172" s="40" t="n">
        <v>28.7555</v>
      </c>
      <c r="K172" s="40" t="n">
        <v>24.732</v>
      </c>
      <c r="L172" s="40" t="n">
        <v>23.9965</v>
      </c>
      <c r="M172" s="40" t="n">
        <v>15.871</v>
      </c>
      <c r="N172" s="8" t="n">
        <f aca="false">COUNT(D172:M172)</f>
        <v>10</v>
      </c>
      <c r="O172" s="19" t="n">
        <f aca="false">IF(N172&gt;0,MEDIAN(D172:M172),"")</f>
        <v>26.31775</v>
      </c>
      <c r="P172" s="19" t="n">
        <f aca="false">IF(N172&gt;=7,O172,"")</f>
        <v>26.31775</v>
      </c>
      <c r="Q172" s="8" t="s">
        <v>794</v>
      </c>
    </row>
    <row r="173" customFormat="false" ht="17.15" hidden="false" customHeight="false" outlineLevel="0" collapsed="false">
      <c r="A173" s="0" t="s">
        <v>622</v>
      </c>
      <c r="B173" s="0" t="s">
        <v>623</v>
      </c>
      <c r="C173" s="4" t="s">
        <v>789</v>
      </c>
      <c r="D173" s="40" t="n">
        <v>21.661</v>
      </c>
      <c r="E173" s="40" t="n">
        <v>19.8065</v>
      </c>
      <c r="F173" s="40" t="n">
        <v>21.958</v>
      </c>
      <c r="G173" s="40" t="n">
        <v>23.0645</v>
      </c>
      <c r="H173" s="40" t="n">
        <v>23.9605</v>
      </c>
      <c r="I173" s="40" t="n">
        <v>24.335</v>
      </c>
      <c r="J173" s="40" t="n">
        <v>20.849</v>
      </c>
      <c r="K173" s="40" t="n">
        <v>17.969</v>
      </c>
      <c r="L173" s="40" t="n">
        <v>17.092</v>
      </c>
      <c r="M173" s="40" t="n">
        <v>17.6375</v>
      </c>
      <c r="N173" s="8" t="n">
        <f aca="false">COUNT(D173:M173)</f>
        <v>10</v>
      </c>
      <c r="O173" s="19" t="n">
        <f aca="false">IF(N173&gt;0,MEDIAN(D173:M173),"")</f>
        <v>21.255</v>
      </c>
      <c r="P173" s="19" t="n">
        <f aca="false">IF(N173&gt;=7,O173,"")</f>
        <v>21.255</v>
      </c>
      <c r="Q173" s="8" t="s">
        <v>795</v>
      </c>
    </row>
    <row r="174" customFormat="false" ht="17.15" hidden="false" customHeight="false" outlineLevel="0" collapsed="false">
      <c r="A174" s="0" t="s">
        <v>740</v>
      </c>
      <c r="B174" s="0" t="s">
        <v>741</v>
      </c>
      <c r="C174" s="4" t="s">
        <v>789</v>
      </c>
      <c r="D174" s="40" t="n">
        <v>13.02</v>
      </c>
      <c r="E174" s="40" t="n">
        <v>7.012</v>
      </c>
      <c r="F174" s="40" t="n">
        <v>4.0825</v>
      </c>
      <c r="G174" s="40" t="n">
        <v>14.279</v>
      </c>
      <c r="H174" s="40" t="n">
        <v>23.652</v>
      </c>
      <c r="I174" s="40" t="n">
        <v>8.458</v>
      </c>
      <c r="J174" s="40" t="n">
        <v>15.005</v>
      </c>
      <c r="K174" s="40" t="n">
        <v>22.146</v>
      </c>
      <c r="L174" s="40" t="n">
        <v>12.2085</v>
      </c>
      <c r="M174" s="40" t="n">
        <v>20.387</v>
      </c>
      <c r="N174" s="8" t="n">
        <f aca="false">COUNT(D174:M174)</f>
        <v>10</v>
      </c>
      <c r="O174" s="19" t="n">
        <f aca="false">IF(N174&gt;0,MEDIAN(D174:M174),"")</f>
        <v>13.6495</v>
      </c>
      <c r="P174" s="19" t="n">
        <f aca="false">IF(N174&gt;=7,O174,"")</f>
        <v>13.6495</v>
      </c>
      <c r="Q174" s="8" t="s">
        <v>796</v>
      </c>
    </row>
    <row r="175" customFormat="false" ht="17.15" hidden="false" customHeight="false" outlineLevel="0" collapsed="false">
      <c r="A175" s="4" t="s">
        <v>742</v>
      </c>
      <c r="B175" s="0" t="s">
        <v>743</v>
      </c>
      <c r="C175" s="4" t="s">
        <v>789</v>
      </c>
      <c r="D175" s="40" t="n">
        <v>18.1625</v>
      </c>
      <c r="E175" s="40" t="n">
        <v>17.865</v>
      </c>
      <c r="F175" s="40" t="n">
        <v>18.157</v>
      </c>
      <c r="G175" s="40" t="n">
        <v>23.6925</v>
      </c>
      <c r="H175" s="40" t="n">
        <v>21.5055</v>
      </c>
      <c r="I175" s="40" t="n">
        <v>15.3155</v>
      </c>
      <c r="J175" s="40" t="n">
        <v>16.0575</v>
      </c>
      <c r="K175" s="40" t="n">
        <v>22.158</v>
      </c>
      <c r="L175" s="40" t="n">
        <v>17.7475</v>
      </c>
      <c r="M175" s="40" t="n">
        <v>23.6395</v>
      </c>
      <c r="N175" s="8" t="n">
        <f aca="false">COUNT(D175:M175)</f>
        <v>10</v>
      </c>
      <c r="O175" s="19" t="n">
        <f aca="false">IF(N175&gt;0,MEDIAN(D175:M175),"")</f>
        <v>18.15975</v>
      </c>
      <c r="P175" s="19" t="n">
        <f aca="false">IF(N175&gt;=7,O175,"")</f>
        <v>18.15975</v>
      </c>
      <c r="Q175" s="8" t="s">
        <v>797</v>
      </c>
    </row>
    <row r="176" customFormat="false" ht="17.15" hidden="false" customHeight="false" outlineLevel="0" collapsed="false">
      <c r="A176" s="4" t="s">
        <v>745</v>
      </c>
      <c r="B176" s="0" t="s">
        <v>746</v>
      </c>
      <c r="C176" s="4" t="s">
        <v>789</v>
      </c>
      <c r="E176" s="40" t="n">
        <v>12.2805</v>
      </c>
      <c r="F176" s="40" t="n">
        <v>11.362</v>
      </c>
      <c r="G176" s="40" t="n">
        <v>19.7615</v>
      </c>
      <c r="H176" s="40" t="n">
        <v>24.897</v>
      </c>
      <c r="I176" s="40" t="n">
        <v>13.101</v>
      </c>
      <c r="J176" s="40" t="n">
        <v>18.131</v>
      </c>
      <c r="K176" s="40" t="n">
        <v>23.421</v>
      </c>
      <c r="L176" s="40" t="n">
        <v>16.087</v>
      </c>
      <c r="M176" s="40" t="n">
        <v>25.028</v>
      </c>
      <c r="N176" s="8" t="n">
        <f aca="false">COUNT(D176:M176)</f>
        <v>9</v>
      </c>
      <c r="O176" s="19" t="n">
        <f aca="false">IF(N176&gt;0,MEDIAN(D176:M176),"")</f>
        <v>18.131</v>
      </c>
      <c r="P176" s="19" t="n">
        <f aca="false">IF(N176&gt;=7,O176,"")</f>
        <v>18.131</v>
      </c>
      <c r="Q176" s="8" t="s">
        <v>798</v>
      </c>
    </row>
    <row r="177" customFormat="false" ht="17.15" hidden="false" customHeight="false" outlineLevel="0" collapsed="false">
      <c r="A177" s="4" t="s">
        <v>747</v>
      </c>
      <c r="B177" s="0" t="s">
        <v>748</v>
      </c>
      <c r="C177" s="4" t="s">
        <v>789</v>
      </c>
      <c r="D177" s="40" t="n">
        <v>20.265</v>
      </c>
      <c r="E177" s="40" t="n">
        <v>16.4745</v>
      </c>
      <c r="F177" s="40" t="n">
        <v>13.436</v>
      </c>
      <c r="G177" s="40" t="n">
        <v>16.518</v>
      </c>
      <c r="H177" s="40" t="n">
        <v>20.9685</v>
      </c>
      <c r="I177" s="40" t="n">
        <v>13.4385</v>
      </c>
      <c r="J177" s="40" t="n">
        <v>14.448</v>
      </c>
      <c r="K177" s="40" t="n">
        <v>19.4685</v>
      </c>
      <c r="L177" s="40" t="n">
        <v>15.787</v>
      </c>
      <c r="M177" s="40" t="n">
        <v>18.779</v>
      </c>
      <c r="N177" s="8" t="n">
        <f aca="false">COUNT(D177:M177)</f>
        <v>10</v>
      </c>
      <c r="O177" s="19" t="n">
        <f aca="false">IF(N177&gt;0,MEDIAN(D177:M177),"")</f>
        <v>16.49625</v>
      </c>
      <c r="P177" s="19" t="n">
        <f aca="false">IF(N177&gt;=7,O177,"")</f>
        <v>16.49625</v>
      </c>
      <c r="Q177" s="8" t="s">
        <v>799</v>
      </c>
    </row>
    <row r="178" customFormat="false" ht="17.15" hidden="false" customHeight="false" outlineLevel="0" collapsed="false">
      <c r="A178" s="0" t="s">
        <v>750</v>
      </c>
      <c r="B178" s="0" t="s">
        <v>751</v>
      </c>
      <c r="C178" s="4" t="s">
        <v>789</v>
      </c>
      <c r="D178" s="40" t="n">
        <v>27.158</v>
      </c>
      <c r="E178" s="40" t="n">
        <v>19.7875</v>
      </c>
      <c r="F178" s="40" t="n">
        <v>22.96</v>
      </c>
      <c r="G178" s="40" t="n">
        <v>23.0705</v>
      </c>
      <c r="H178" s="40" t="n">
        <v>21.41</v>
      </c>
      <c r="I178" s="40" t="n">
        <v>12.928</v>
      </c>
      <c r="J178" s="40" t="n">
        <v>17.4575</v>
      </c>
      <c r="K178" s="40" t="n">
        <v>20.983</v>
      </c>
      <c r="L178" s="40" t="n">
        <v>19.837</v>
      </c>
      <c r="M178" s="40" t="n">
        <v>51.143</v>
      </c>
      <c r="N178" s="8" t="n">
        <f aca="false">COUNT(D178:M178)</f>
        <v>10</v>
      </c>
      <c r="O178" s="19" t="n">
        <f aca="false">IF(N178&gt;0,MEDIAN(D178:M178),"")</f>
        <v>21.1965</v>
      </c>
      <c r="P178" s="19" t="n">
        <f aca="false">IF(N178&gt;=7,O178,"")</f>
        <v>21.1965</v>
      </c>
      <c r="Q178" s="8" t="s">
        <v>800</v>
      </c>
    </row>
    <row r="180" customFormat="false" ht="17.15" hidden="false" customHeight="false" outlineLevel="0" collapsed="false">
      <c r="A180" s="4" t="s">
        <v>801</v>
      </c>
      <c r="B180" s="19" t="n">
        <f aca="false">P167</f>
        <v>24.112</v>
      </c>
      <c r="E180" s="4" t="s">
        <v>802</v>
      </c>
    </row>
    <row r="181" customFormat="false" ht="15" hidden="false" customHeight="false" outlineLevel="0" collapsed="false">
      <c r="A181" s="4" t="s">
        <v>803</v>
      </c>
      <c r="B181" s="30" t="n">
        <f aca="false">COUNT(P168:P178)</f>
        <v>11</v>
      </c>
    </row>
    <row r="182" customFormat="false" ht="17.15" hidden="false" customHeight="false" outlineLevel="0" collapsed="false">
      <c r="A182" s="4" t="s">
        <v>804</v>
      </c>
      <c r="B182" s="19" t="n">
        <f aca="false">IF(B181&gt;0,MEDIAN(P168:P178),"")</f>
        <v>20.42175</v>
      </c>
    </row>
    <row r="183" customFormat="false" ht="17.15" hidden="false" customHeight="false" outlineLevel="0" collapsed="false">
      <c r="A183" s="4" t="s">
        <v>805</v>
      </c>
      <c r="B183" s="19" t="n">
        <f aca="false">IF(AND(ISNUMBER(B180),B181&gt;=2),B180/B182,"")</f>
        <v>1.18070194767833</v>
      </c>
      <c r="E183" s="4" t="s">
        <v>806</v>
      </c>
    </row>
    <row r="184" customFormat="false" ht="17.15" hidden="false" customHeight="false" outlineLevel="0" collapsed="false">
      <c r="A184" s="4" t="s">
        <v>807</v>
      </c>
      <c r="B184" s="40" t="n">
        <v>0.5</v>
      </c>
      <c r="E184" s="8" t="s">
        <v>808</v>
      </c>
    </row>
    <row r="185" customFormat="false" ht="17.15" hidden="false" customHeight="false" outlineLevel="0" collapsed="false">
      <c r="A185" s="4" t="s">
        <v>809</v>
      </c>
      <c r="B185" s="40" t="n">
        <v>2</v>
      </c>
      <c r="E185" s="8" t="s">
        <v>810</v>
      </c>
    </row>
    <row r="186" customFormat="false" ht="17.15" hidden="false" customHeight="false" outlineLevel="0" collapsed="false">
      <c r="A186" s="1" t="s">
        <v>811</v>
      </c>
      <c r="B186" s="41" t="n">
        <f aca="false">IF(ISNUMBER(B183),MIN(MAX(B183,B184),B185),1)</f>
        <v>1.18070194767833</v>
      </c>
      <c r="E186" s="4" t="s">
        <v>812</v>
      </c>
    </row>
    <row r="187" customFormat="false" ht="17.15" hidden="false" customHeight="false" outlineLevel="0" collapsed="false">
      <c r="A187" s="6" t="s">
        <v>813</v>
      </c>
      <c r="B187" s="32" t="n">
        <f aca="false">Val!$B$36*B186</f>
        <v>3500.47060835549</v>
      </c>
      <c r="E187" s="4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815</v>
      </c>
    </row>
    <row r="3" customFormat="false" ht="17.15" hidden="false" customHeight="false" outlineLevel="0" collapsed="false">
      <c r="A3" s="5" t="s">
        <v>20</v>
      </c>
      <c r="B3" s="5" t="s">
        <v>816</v>
      </c>
      <c r="C3" s="5" t="s">
        <v>817</v>
      </c>
      <c r="D3" s="5" t="s">
        <v>818</v>
      </c>
      <c r="E3" s="5" t="s">
        <v>819</v>
      </c>
      <c r="F3" s="5" t="s">
        <v>820</v>
      </c>
      <c r="G3" s="5" t="s">
        <v>821</v>
      </c>
      <c r="H3" s="5" t="s">
        <v>822</v>
      </c>
      <c r="I3" s="5" t="s">
        <v>823</v>
      </c>
      <c r="J3" s="5" t="s">
        <v>377</v>
      </c>
    </row>
    <row r="4" customFormat="false" ht="17.15" hidden="false" customHeight="false" outlineLevel="0" collapsed="false">
      <c r="A4" s="6" t="s">
        <v>824</v>
      </c>
    </row>
    <row r="5" customFormat="false" ht="17.15" hidden="false" customHeight="false" outlineLevel="0" collapsed="false">
      <c r="A5" s="0" t="s">
        <v>825</v>
      </c>
      <c r="B5" s="16" t="n">
        <f aca="false">c_rev26</f>
        <v>1730</v>
      </c>
      <c r="C5" s="16" t="n">
        <f aca="false">PL!D103</f>
        <v>1732</v>
      </c>
      <c r="D5" s="17" t="n">
        <f aca="false">C5/B5-1</f>
        <v>0.0011560693641619</v>
      </c>
      <c r="E5" s="16" t="n">
        <f aca="false">PL!D156</f>
        <v>1732</v>
      </c>
      <c r="F5" s="17" t="n">
        <f aca="false">E5/B5-1</f>
        <v>0.0011560693641619</v>
      </c>
      <c r="G5" s="16" t="n">
        <f aca="false">PL!D209</f>
        <v>1732</v>
      </c>
      <c r="H5" s="17" t="n">
        <f aca="false">G5/B5-1</f>
        <v>0.0011560693641619</v>
      </c>
      <c r="I5" s="8" t="s">
        <v>826</v>
      </c>
      <c r="J5" s="4" t="s">
        <v>827</v>
      </c>
    </row>
    <row r="6" customFormat="false" ht="17.15" hidden="false" customHeight="false" outlineLevel="0" collapsed="false">
      <c r="A6" s="0" t="s">
        <v>828</v>
      </c>
      <c r="B6" s="21" t="n">
        <f aca="false">c_eps26</f>
        <v>145.441826720648</v>
      </c>
      <c r="C6" s="21" t="n">
        <f aca="false">PL!D115</f>
        <v>129.84</v>
      </c>
      <c r="D6" s="17" t="n">
        <f aca="false">C6/B6-1</f>
        <v>-0.107271938701749</v>
      </c>
      <c r="E6" s="21" t="n">
        <f aca="false">PL!D168</f>
        <v>129.84</v>
      </c>
      <c r="F6" s="17" t="n">
        <f aca="false">E6/B6-1</f>
        <v>-0.107271938701749</v>
      </c>
      <c r="G6" s="21" t="n">
        <f aca="false">PL!D221</f>
        <v>129.84</v>
      </c>
      <c r="H6" s="17" t="n">
        <f aca="false">G6/B6-1</f>
        <v>-0.107271938701749</v>
      </c>
      <c r="I6" s="8" t="s">
        <v>829</v>
      </c>
      <c r="J6" s="4" t="s">
        <v>830</v>
      </c>
    </row>
    <row r="7" customFormat="false" ht="17.15" hidden="false" customHeight="false" outlineLevel="0" collapsed="false">
      <c r="A7" s="0" t="s">
        <v>831</v>
      </c>
      <c r="B7" s="16" t="n">
        <f aca="false">c_rev27</f>
        <v>1840</v>
      </c>
      <c r="C7" s="16" t="n">
        <f aca="false">PL!E103</f>
        <v>1850.5656</v>
      </c>
      <c r="D7" s="17" t="n">
        <f aca="false">C7/B7-1</f>
        <v>0.00574217391304344</v>
      </c>
      <c r="E7" s="16" t="n">
        <f aca="false">PL!E156</f>
        <v>1850.5656</v>
      </c>
      <c r="F7" s="17" t="n">
        <f aca="false">E7/B7-1</f>
        <v>0.00574217391304344</v>
      </c>
      <c r="G7" s="16" t="n">
        <f aca="false">PL!E209</f>
        <v>1850.5656</v>
      </c>
      <c r="H7" s="17" t="n">
        <f aca="false">G7/B7-1</f>
        <v>0.00574217391304344</v>
      </c>
      <c r="I7" s="8" t="s">
        <v>832</v>
      </c>
    </row>
    <row r="8" customFormat="false" ht="17.15" hidden="false" customHeight="false" outlineLevel="0" collapsed="false">
      <c r="A8" s="0" t="s">
        <v>833</v>
      </c>
      <c r="B8" s="21" t="n">
        <f aca="false">c_eps27</f>
        <v>179.809730374737</v>
      </c>
      <c r="C8" s="21" t="n">
        <f aca="false">PL!E115</f>
        <v>162.815476140554</v>
      </c>
      <c r="D8" s="17" t="n">
        <f aca="false">C8/B8-1</f>
        <v>-0.0945124282137895</v>
      </c>
      <c r="E8" s="21" t="n">
        <f aca="false">PL!E168</f>
        <v>162.815476140554</v>
      </c>
      <c r="F8" s="17" t="n">
        <f aca="false">E8/B8-1</f>
        <v>-0.0945124282137895</v>
      </c>
      <c r="G8" s="21" t="n">
        <f aca="false">PL!E221</f>
        <v>162.815476140554</v>
      </c>
      <c r="H8" s="17" t="n">
        <f aca="false">G8/B8-1</f>
        <v>-0.0945124282137895</v>
      </c>
      <c r="I8" s="8" t="s">
        <v>834</v>
      </c>
      <c r="J8" s="4" t="s">
        <v>287</v>
      </c>
    </row>
    <row r="9" customFormat="false" ht="17.15" hidden="false" customHeight="false" outlineLevel="0" collapsed="false">
      <c r="A9" s="0" t="s">
        <v>835</v>
      </c>
      <c r="C9" s="21" t="n">
        <f aca="false">PL!F115</f>
        <v>184.47594742965</v>
      </c>
      <c r="E9" s="21" t="n">
        <f aca="false">PL!F168</f>
        <v>168.275384193437</v>
      </c>
      <c r="G9" s="21" t="n">
        <f aca="false">PL!F221</f>
        <v>151.568624348264</v>
      </c>
      <c r="I9" s="4" t="s">
        <v>836</v>
      </c>
      <c r="J9" s="4" t="s">
        <v>837</v>
      </c>
    </row>
    <row r="10" customFormat="false" ht="17.15" hidden="false" customHeight="false" outlineLevel="0" collapsed="false">
      <c r="A10" s="6" t="s">
        <v>838</v>
      </c>
    </row>
    <row r="11" customFormat="false" ht="17.15" hidden="false" customHeight="false" outlineLevel="0" collapsed="false">
      <c r="A11" s="0" t="s">
        <v>839</v>
      </c>
      <c r="B11" s="16" t="n">
        <f aca="false">q1_fm*4</f>
        <v>132.4</v>
      </c>
      <c r="C11" s="16" t="n">
        <f aca="false">PL!D87</f>
        <v>120.6</v>
      </c>
      <c r="D11" s="17" t="n">
        <f aca="false">C11/B11-1</f>
        <v>-0.0891238670694865</v>
      </c>
      <c r="E11" s="16" t="n">
        <f aca="false">PL!D140</f>
        <v>120.6</v>
      </c>
      <c r="F11" s="17" t="n">
        <f aca="false">E11/B11-1</f>
        <v>-0.0891238670694865</v>
      </c>
      <c r="G11" s="16" t="n">
        <f aca="false">PL!D193</f>
        <v>120.6</v>
      </c>
      <c r="H11" s="17" t="n">
        <f aca="false">G11/B11-1</f>
        <v>-0.0891238670694865</v>
      </c>
      <c r="I11" s="4" t="s">
        <v>840</v>
      </c>
      <c r="J11" s="4" t="s">
        <v>841</v>
      </c>
    </row>
    <row r="12" customFormat="false" ht="17.15" hidden="false" customHeight="false" outlineLevel="0" collapsed="false">
      <c r="A12" s="0" t="s">
        <v>842</v>
      </c>
      <c r="B12" s="16" t="n">
        <f aca="false">q1_fmbp*4</f>
        <v>76.4</v>
      </c>
      <c r="C12" s="16" t="n">
        <f aca="false">PL!D89</f>
        <v>65.5</v>
      </c>
      <c r="D12" s="17" t="n">
        <f aca="false">C12/B12-1</f>
        <v>-0.142670157068063</v>
      </c>
      <c r="E12" s="16" t="n">
        <f aca="false">PL!D142</f>
        <v>65.5</v>
      </c>
      <c r="F12" s="17" t="n">
        <f aca="false">E12/B12-1</f>
        <v>-0.142670157068063</v>
      </c>
      <c r="G12" s="16" t="n">
        <f aca="false">PL!D195</f>
        <v>65.5</v>
      </c>
      <c r="H12" s="17" t="n">
        <f aca="false">G12/B12-1</f>
        <v>-0.142670157068063</v>
      </c>
      <c r="I12" s="4" t="s">
        <v>37</v>
      </c>
    </row>
    <row r="13" customFormat="false" ht="17.15" hidden="false" customHeight="false" outlineLevel="0" collapsed="false">
      <c r="A13" s="0" t="s">
        <v>843</v>
      </c>
      <c r="B13" s="17" t="n">
        <v>0.66</v>
      </c>
      <c r="C13" s="17" t="n">
        <f aca="false">PL!E88</f>
        <v>0.579831497275527</v>
      </c>
      <c r="D13" s="17" t="n">
        <f aca="false">C13/B13-1</f>
        <v>-0.121467428370413</v>
      </c>
      <c r="E13" s="17" t="n">
        <f aca="false">PL!E141</f>
        <v>0.579831497275527</v>
      </c>
      <c r="F13" s="17" t="n">
        <f aca="false">E13/B13-1</f>
        <v>-0.121467428370413</v>
      </c>
      <c r="G13" s="17" t="n">
        <f aca="false">PL!E194</f>
        <v>0.579831497275527</v>
      </c>
      <c r="H13" s="17" t="n">
        <f aca="false">G13/B13-1</f>
        <v>-0.121467428370413</v>
      </c>
      <c r="I13" s="8" t="s">
        <v>844</v>
      </c>
      <c r="J13" s="8" t="s">
        <v>845</v>
      </c>
    </row>
    <row r="14" customFormat="false" ht="17.15" hidden="false" customHeight="false" outlineLevel="0" collapsed="false">
      <c r="A14" s="0" t="s">
        <v>846</v>
      </c>
      <c r="C14" s="17" t="n">
        <f aca="false">PL!E87/PL!C87-1</f>
        <v>0.713924287856072</v>
      </c>
      <c r="E14" s="17" t="n">
        <f aca="false">PL!E140/PL!C140-1</f>
        <v>0.713924287856072</v>
      </c>
      <c r="G14" s="17" t="n">
        <f aca="false">PL!E193/PL!C193-1</f>
        <v>0.713924287856072</v>
      </c>
      <c r="I14" s="8" t="s">
        <v>847</v>
      </c>
    </row>
    <row r="15" customFormat="false" ht="17.15" hidden="false" customHeight="false" outlineLevel="0" collapsed="false">
      <c r="A15" s="0" t="s">
        <v>848</v>
      </c>
      <c r="B15" s="16" t="n">
        <v>77</v>
      </c>
      <c r="C15" s="16" t="n">
        <f aca="false">PL!G87</f>
        <v>243.1296</v>
      </c>
      <c r="D15" s="17" t="n">
        <f aca="false">C15/B15-1</f>
        <v>2.15752727272727</v>
      </c>
      <c r="E15" s="16" t="n">
        <f aca="false">PL!G140</f>
        <v>214.751852574963</v>
      </c>
      <c r="F15" s="17" t="n">
        <f aca="false">E15/B15-1</f>
        <v>1.78898509837615</v>
      </c>
      <c r="G15" s="16" t="n">
        <f aca="false">PL!G193</f>
        <v>163.340705332654</v>
      </c>
      <c r="H15" s="17" t="n">
        <f aca="false">G15/B15-1</f>
        <v>1.12130786146304</v>
      </c>
      <c r="I15" s="8" t="s">
        <v>849</v>
      </c>
      <c r="J15" s="4" t="s">
        <v>850</v>
      </c>
    </row>
    <row r="16" customFormat="false" ht="17.15" hidden="false" customHeight="false" outlineLevel="0" collapsed="false">
      <c r="A16" s="6" t="s">
        <v>851</v>
      </c>
    </row>
    <row r="17" customFormat="false" ht="17.15" hidden="false" customHeight="false" outlineLevel="0" collapsed="false">
      <c r="A17" s="0" t="s">
        <v>852</v>
      </c>
      <c r="B17" s="17" t="n">
        <v>0.1</v>
      </c>
      <c r="C17" s="17" t="n">
        <f aca="false">Units!D17</f>
        <v>0.118717115433123</v>
      </c>
      <c r="D17" s="17" t="n">
        <f aca="false">C17/B17-1</f>
        <v>0.187171154331234</v>
      </c>
      <c r="E17" s="17" t="n">
        <f aca="false">Units!D17</f>
        <v>0.118717115433123</v>
      </c>
      <c r="F17" s="17" t="n">
        <f aca="false">E17/B17-1</f>
        <v>0.187171154331234</v>
      </c>
      <c r="G17" s="17" t="n">
        <f aca="false">Units!D17</f>
        <v>0.118717115433123</v>
      </c>
      <c r="H17" s="17" t="n">
        <f aca="false">G17/B17-1</f>
        <v>0.187171154331234</v>
      </c>
      <c r="I17" s="8" t="s">
        <v>853</v>
      </c>
      <c r="J17" s="8" t="s">
        <v>854</v>
      </c>
    </row>
    <row r="18" customFormat="false" ht="17.15" hidden="false" customHeight="false" outlineLevel="0" collapsed="false">
      <c r="A18" s="0" t="s">
        <v>855</v>
      </c>
      <c r="C18" s="17" t="n">
        <f aca="false">Units!D19</f>
        <v>0.348175110236595</v>
      </c>
      <c r="E18" s="17" t="n">
        <f aca="false">Units!D19</f>
        <v>0.348175110236595</v>
      </c>
      <c r="G18" s="17" t="n">
        <f aca="false">Units!D19</f>
        <v>0.348175110236595</v>
      </c>
      <c r="I18" s="8" t="s">
        <v>856</v>
      </c>
      <c r="J18" s="4" t="s">
        <v>857</v>
      </c>
    </row>
    <row r="19" customFormat="false" ht="17.15" hidden="false" customHeight="false" outlineLevel="0" collapsed="false">
      <c r="A19" s="6" t="s">
        <v>858</v>
      </c>
    </row>
    <row r="20" customFormat="false" ht="17.15" hidden="false" customHeight="false" outlineLevel="0" collapsed="false">
      <c r="A20" s="0" t="s">
        <v>859</v>
      </c>
      <c r="C20" s="17" t="n">
        <f aca="false">PL!D88</f>
        <v>0.543117744610282</v>
      </c>
      <c r="E20" s="17" t="n">
        <f aca="false">PL!D141</f>
        <v>0.543117744610282</v>
      </c>
      <c r="G20" s="17" t="n">
        <f aca="false">PL!D194</f>
        <v>0.543117744610282</v>
      </c>
      <c r="I20" s="4" t="s">
        <v>860</v>
      </c>
    </row>
    <row r="21" customFormat="false" ht="17.15" hidden="false" customHeight="false" outlineLevel="0" collapsed="false">
      <c r="A21" s="0" t="s">
        <v>861</v>
      </c>
      <c r="C21" s="16" t="n">
        <f aca="false">PL!D85</f>
        <v>48.24</v>
      </c>
      <c r="E21" s="16" t="n">
        <f aca="false">PL!D138</f>
        <v>48.24</v>
      </c>
      <c r="G21" s="16" t="n">
        <f aca="false">PL!D191</f>
        <v>48.24</v>
      </c>
      <c r="I21" s="8" t="s">
        <v>862</v>
      </c>
      <c r="J21" s="4" t="s">
        <v>863</v>
      </c>
    </row>
    <row r="22" customFormat="false" ht="17.15" hidden="false" customHeight="false" outlineLevel="0" collapsed="false">
      <c r="A22" s="0" t="s">
        <v>864</v>
      </c>
      <c r="C22" s="16" t="n">
        <f aca="false">PL!D120</f>
        <v>23.5087719298246</v>
      </c>
      <c r="E22" s="16" t="n">
        <f aca="false">PL!D173</f>
        <v>23.5087719298246</v>
      </c>
      <c r="G22" s="16" t="n">
        <f aca="false">PL!D226</f>
        <v>23.5087719298246</v>
      </c>
      <c r="I22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865</v>
      </c>
    </row>
    <row r="3" customFormat="false" ht="17.15" hidden="false" customHeight="false" outlineLevel="0" collapsed="false">
      <c r="A3" s="5" t="s">
        <v>866</v>
      </c>
      <c r="B3" s="5" t="s">
        <v>867</v>
      </c>
      <c r="C3" s="15" t="s">
        <v>868</v>
      </c>
      <c r="D3" s="15" t="s">
        <v>869</v>
      </c>
      <c r="E3" s="15" t="s">
        <v>678</v>
      </c>
      <c r="F3" s="15" t="s">
        <v>870</v>
      </c>
      <c r="G3" s="15" t="s">
        <v>871</v>
      </c>
      <c r="H3" s="15" t="s">
        <v>872</v>
      </c>
      <c r="I3" s="15" t="s">
        <v>873</v>
      </c>
      <c r="J3" s="15" t="s">
        <v>874</v>
      </c>
    </row>
    <row r="4" customFormat="false" ht="17.15" hidden="false" customHeight="false" outlineLevel="0" collapsed="false">
      <c r="A4" s="4" t="s">
        <v>875</v>
      </c>
      <c r="B4" s="0" t="s">
        <v>876</v>
      </c>
      <c r="C4" s="16" t="n">
        <f aca="false">PL!E103</f>
        <v>1850.5656</v>
      </c>
      <c r="D4" s="17" t="n">
        <f aca="false">PL!E110</f>
        <v>0.132951790522854</v>
      </c>
      <c r="E4" s="21" t="n">
        <f aca="false">PL!E115</f>
        <v>162.815476140554</v>
      </c>
      <c r="F4" s="17" t="n">
        <f aca="false">E4/E$4-1</f>
        <v>0</v>
      </c>
      <c r="G4" s="16" t="n">
        <f aca="false">PL!F103</f>
        <v>1955.94074307053</v>
      </c>
      <c r="H4" s="17" t="n">
        <f aca="false">PL!F110</f>
        <v>0.140385831426233</v>
      </c>
      <c r="I4" s="21" t="n">
        <f aca="false">PL!F115</f>
        <v>184.47594742965</v>
      </c>
      <c r="J4" s="17" t="n">
        <f aca="false">I4/I$4-1</f>
        <v>0</v>
      </c>
    </row>
    <row r="5" customFormat="false" ht="17.15" hidden="false" customHeight="false" outlineLevel="0" collapsed="false">
      <c r="A5" s="0" t="s">
        <v>877</v>
      </c>
      <c r="B5" s="0" t="s">
        <v>878</v>
      </c>
      <c r="C5" s="16" t="n">
        <f aca="false">E83</f>
        <v>1845.410352</v>
      </c>
      <c r="D5" s="17" t="n">
        <f aca="false">E90</f>
        <v>0.131703409255251</v>
      </c>
      <c r="E5" s="21" t="n">
        <f aca="false">E95</f>
        <v>160.837375544513</v>
      </c>
      <c r="F5" s="17" t="n">
        <f aca="false">E5/E$4-1</f>
        <v>-0.0121493401175979</v>
      </c>
      <c r="G5" s="16" t="n">
        <f aca="false">F83</f>
        <v>1939.0238125529</v>
      </c>
      <c r="H5" s="17" t="n">
        <f aca="false">F90</f>
        <v>0.136563381831767</v>
      </c>
      <c r="I5" s="21" t="n">
        <f aca="false">F95</f>
        <v>177.900915616161</v>
      </c>
      <c r="J5" s="17" t="n">
        <f aca="false">I5/I$4-1</f>
        <v>-0.0356416752704112</v>
      </c>
    </row>
    <row r="6" customFormat="false" ht="17.15" hidden="false" customHeight="false" outlineLevel="0" collapsed="false">
      <c r="A6" s="0" t="s">
        <v>879</v>
      </c>
      <c r="B6" s="0" t="s">
        <v>880</v>
      </c>
      <c r="C6" s="16" t="n">
        <f aca="false">E136</f>
        <v>1850.5656</v>
      </c>
      <c r="D6" s="17" t="n">
        <f aca="false">E143</f>
        <v>0.132951790522854</v>
      </c>
      <c r="E6" s="21" t="n">
        <f aca="false">E148</f>
        <v>162.815476140554</v>
      </c>
      <c r="F6" s="17" t="n">
        <f aca="false">E6/E$4-1</f>
        <v>0</v>
      </c>
      <c r="G6" s="16" t="n">
        <f aca="false">F136</f>
        <v>1956.1063</v>
      </c>
      <c r="H6" s="17" t="n">
        <f aca="false">F143</f>
        <v>0.140422913008358</v>
      </c>
      <c r="I6" s="21" t="n">
        <f aca="false">F148</f>
        <v>184.540293741004</v>
      </c>
      <c r="J6" s="17" t="n">
        <f aca="false">I6/I$4-1</f>
        <v>0.000348805967661514</v>
      </c>
    </row>
    <row r="7" customFormat="false" ht="17.15" hidden="false" customHeight="false" outlineLevel="0" collapsed="false">
      <c r="A7" s="4" t="s">
        <v>881</v>
      </c>
      <c r="B7" s="0" t="s">
        <v>882</v>
      </c>
      <c r="C7" s="16" t="n">
        <f aca="false">E189</f>
        <v>1849.244896</v>
      </c>
      <c r="D7" s="17" t="n">
        <f aca="false">E196</f>
        <v>0.132632635489628</v>
      </c>
      <c r="E7" s="21" t="n">
        <f aca="false">E201</f>
        <v>162.308713833562</v>
      </c>
      <c r="F7" s="17" t="n">
        <f aca="false">E7/E$4-1</f>
        <v>-0.0031124947026161</v>
      </c>
      <c r="G7" s="16" t="n">
        <f aca="false">F189</f>
        <v>1939.36673331053</v>
      </c>
      <c r="H7" s="17" t="n">
        <f aca="false">F196</f>
        <v>0.136641528367048</v>
      </c>
      <c r="I7" s="21" t="n">
        <f aca="false">F201</f>
        <v>178.034197176228</v>
      </c>
      <c r="J7" s="17" t="n">
        <f aca="false">I7/I$4-1</f>
        <v>-0.0349191878029447</v>
      </c>
    </row>
    <row r="8" customFormat="false" ht="17.15" hidden="false" customHeight="false" outlineLevel="0" collapsed="false">
      <c r="A8" s="4" t="s">
        <v>883</v>
      </c>
      <c r="B8" s="0" t="s">
        <v>884</v>
      </c>
      <c r="C8" s="16" t="n">
        <f aca="false">E242</f>
        <v>1850.5656</v>
      </c>
      <c r="D8" s="17" t="n">
        <f aca="false">E249</f>
        <v>0.132951790522854</v>
      </c>
      <c r="E8" s="21" t="n">
        <f aca="false">E254</f>
        <v>162.815476140554</v>
      </c>
      <c r="F8" s="17" t="n">
        <f aca="false">E8/E$4-1</f>
        <v>0</v>
      </c>
      <c r="G8" s="16" t="n">
        <f aca="false">F242</f>
        <v>1956.1063</v>
      </c>
      <c r="H8" s="17" t="n">
        <f aca="false">F249</f>
        <v>0.140422913008358</v>
      </c>
      <c r="I8" s="21" t="n">
        <f aca="false">F254</f>
        <v>184.540293741004</v>
      </c>
      <c r="J8" s="17" t="n">
        <f aca="false">I8/I$4-1</f>
        <v>0.000348805967661514</v>
      </c>
    </row>
    <row r="9" customFormat="false" ht="17.15" hidden="false" customHeight="false" outlineLevel="0" collapsed="false">
      <c r="A9" s="4" t="s">
        <v>885</v>
      </c>
      <c r="B9" s="4" t="s">
        <v>886</v>
      </c>
      <c r="C9" s="16" t="n">
        <f aca="false">E295</f>
        <v>1850.5656</v>
      </c>
      <c r="D9" s="17" t="n">
        <f aca="false">E302</f>
        <v>0.132951790522854</v>
      </c>
      <c r="E9" s="21" t="n">
        <f aca="false">E307</f>
        <v>162.815476140554</v>
      </c>
      <c r="F9" s="17" t="n">
        <f aca="false">E9/E$4-1</f>
        <v>0</v>
      </c>
      <c r="G9" s="16" t="n">
        <f aca="false">F295</f>
        <v>1950.80591310013</v>
      </c>
      <c r="H9" s="17" t="n">
        <f aca="false">F302</f>
        <v>0.13923260297508</v>
      </c>
      <c r="I9" s="21" t="n">
        <f aca="false">F307</f>
        <v>182.480214789085</v>
      </c>
      <c r="J9" s="17" t="n">
        <f aca="false">I9/I$4-1</f>
        <v>-0.0108183894343504</v>
      </c>
    </row>
    <row r="10" customFormat="false" ht="17.15" hidden="false" customHeight="false" outlineLevel="0" collapsed="false">
      <c r="A10" s="4" t="s">
        <v>887</v>
      </c>
      <c r="B10" s="4" t="s">
        <v>888</v>
      </c>
      <c r="C10" s="16" t="n">
        <f aca="false">E348</f>
        <v>1850.5656</v>
      </c>
      <c r="D10" s="17" t="n">
        <f aca="false">E355</f>
        <v>0.132951790522854</v>
      </c>
      <c r="E10" s="21" t="n">
        <f aca="false">E360</f>
        <v>162.815476140554</v>
      </c>
      <c r="F10" s="17" t="n">
        <f aca="false">E10/E$4-1</f>
        <v>0</v>
      </c>
      <c r="G10" s="16" t="n">
        <f aca="false">F348</f>
        <v>1956.1063</v>
      </c>
      <c r="H10" s="17" t="n">
        <f aca="false">F355</f>
        <v>0.140422913008358</v>
      </c>
      <c r="I10" s="21" t="n">
        <f aca="false">F360</f>
        <v>184.540293741004</v>
      </c>
      <c r="J10" s="17" t="n">
        <f aca="false">I10/I$4-1</f>
        <v>0.000348805967661514</v>
      </c>
    </row>
    <row r="11" customFormat="false" ht="17.15" hidden="false" customHeight="false" outlineLevel="0" collapsed="false">
      <c r="A11" s="4" t="s">
        <v>889</v>
      </c>
      <c r="B11" s="0" t="s">
        <v>890</v>
      </c>
      <c r="C11" s="16" t="n">
        <f aca="false">E401</f>
        <v>1830.3048</v>
      </c>
      <c r="D11" s="17" t="n">
        <f aca="false">E408</f>
        <v>0.128004996763381</v>
      </c>
      <c r="E11" s="21" t="n">
        <f aca="false">E413</f>
        <v>155.0412816583</v>
      </c>
      <c r="F11" s="17" t="n">
        <f aca="false">E11/E$4-1</f>
        <v>-0.0477484982787684</v>
      </c>
      <c r="G11" s="16" t="n">
        <f aca="false">F401</f>
        <v>1921.4338</v>
      </c>
      <c r="H11" s="17" t="n">
        <f aca="false">F408</f>
        <v>0.132517468101165</v>
      </c>
      <c r="I11" s="21" t="n">
        <f aca="false">F413</f>
        <v>171.064279855648</v>
      </c>
      <c r="J11" s="17" t="n">
        <f aca="false">I11/I$4-1</f>
        <v>-0.0727014429841405</v>
      </c>
    </row>
    <row r="12" customFormat="false" ht="17.15" hidden="false" customHeight="false" outlineLevel="0" collapsed="false">
      <c r="A12" s="4" t="s">
        <v>891</v>
      </c>
      <c r="B12" s="0" t="s">
        <v>892</v>
      </c>
      <c r="C12" s="16" t="n">
        <f aca="false">E454</f>
        <v>1855.848416</v>
      </c>
      <c r="D12" s="17" t="n">
        <f aca="false">E461</f>
        <v>0.134223868158374</v>
      </c>
      <c r="E12" s="21" t="n">
        <f aca="false">E466</f>
        <v>164.842525368519</v>
      </c>
      <c r="F12" s="17" t="n">
        <f aca="false">E12/E$4-1</f>
        <v>0.0124499788104639</v>
      </c>
      <c r="G12" s="16" t="n">
        <f aca="false">F454</f>
        <v>1955.94074307053</v>
      </c>
      <c r="H12" s="17" t="n">
        <f aca="false">F461</f>
        <v>0.140385831426233</v>
      </c>
      <c r="I12" s="21" t="n">
        <f aca="false">F466</f>
        <v>184.47594742965</v>
      </c>
      <c r="J12" s="17" t="n">
        <f aca="false">I12/I$4-1</f>
        <v>0</v>
      </c>
    </row>
    <row r="13" customFormat="false" ht="17.15" hidden="false" customHeight="false" outlineLevel="0" collapsed="false">
      <c r="A13" s="0" t="s">
        <v>893</v>
      </c>
      <c r="B13" s="0" t="s">
        <v>894</v>
      </c>
      <c r="C13" s="16" t="n">
        <f aca="false">E507</f>
        <v>1831.752</v>
      </c>
      <c r="D13" s="17" t="n">
        <f aca="false">E514</f>
        <v>0.124046492101551</v>
      </c>
      <c r="E13" s="21" t="n">
        <f aca="false">E519</f>
        <v>150.365488669541</v>
      </c>
      <c r="F13" s="17" t="n">
        <f aca="false">E13/E$4-1</f>
        <v>-0.0764668554005571</v>
      </c>
      <c r="G13" s="16" t="n">
        <f aca="false">F507</f>
        <v>1918.58353558</v>
      </c>
      <c r="H13" s="17" t="n">
        <f aca="false">F514</f>
        <v>0.123648074502087</v>
      </c>
      <c r="I13" s="21" t="n">
        <f aca="false">F519</f>
        <v>159.378174697954</v>
      </c>
      <c r="J13" s="17" t="n">
        <f aca="false">I13/I$4-1</f>
        <v>-0.136049024717803</v>
      </c>
    </row>
    <row r="14" customFormat="false" ht="17.15" hidden="false" customHeight="false" outlineLevel="0" collapsed="false">
      <c r="A14" s="0" t="s">
        <v>895</v>
      </c>
      <c r="B14" s="0" t="s">
        <v>896</v>
      </c>
      <c r="C14" s="16" t="n">
        <f aca="false">E560</f>
        <v>1863.108</v>
      </c>
      <c r="D14" s="17" t="n">
        <f aca="false">E567</f>
        <v>0.138788739031768</v>
      </c>
      <c r="E14" s="21" t="n">
        <f aca="false">E572</f>
        <v>171.115467787895</v>
      </c>
      <c r="F14" s="17" t="n">
        <f aca="false">E14/E$4-1</f>
        <v>0.0509779036003712</v>
      </c>
      <c r="G14" s="16" t="n">
        <f aca="false">F560</f>
        <v>1983.95864868842</v>
      </c>
      <c r="H14" s="17" t="n">
        <f aca="false">F567</f>
        <v>0.152525494044114</v>
      </c>
      <c r="I14" s="21" t="n">
        <f aca="false">F572</f>
        <v>203.299276978422</v>
      </c>
      <c r="J14" s="17" t="n">
        <f aca="false">I14/I$4-1</f>
        <v>0.102036768538352</v>
      </c>
    </row>
    <row r="15" customFormat="false" ht="17.15" hidden="false" customHeight="false" outlineLevel="0" collapsed="false">
      <c r="A15" s="4" t="s">
        <v>897</v>
      </c>
      <c r="B15" s="4" t="s">
        <v>898</v>
      </c>
      <c r="C15" s="16" t="n">
        <f aca="false">E613</f>
        <v>1850.5656</v>
      </c>
      <c r="D15" s="17" t="n">
        <f aca="false">E620</f>
        <v>0.132951790522854</v>
      </c>
      <c r="E15" s="21" t="n">
        <f aca="false">E625</f>
        <v>162.815476140554</v>
      </c>
      <c r="F15" s="17" t="n">
        <f aca="false">E15/E$4-1</f>
        <v>0</v>
      </c>
      <c r="G15" s="16" t="n">
        <f aca="false">F613</f>
        <v>1944.20156890316</v>
      </c>
      <c r="H15" s="17" t="n">
        <f aca="false">F620</f>
        <v>0.137740381161986</v>
      </c>
      <c r="I15" s="21" t="n">
        <f aca="false">F625</f>
        <v>179.91333227118</v>
      </c>
      <c r="J15" s="17" t="n">
        <f aca="false">I15/I$4-1</f>
        <v>-0.0247328457831084</v>
      </c>
    </row>
    <row r="16" customFormat="false" ht="17.15" hidden="false" customHeight="false" outlineLevel="0" collapsed="false">
      <c r="A16" s="4" t="s">
        <v>899</v>
      </c>
      <c r="B16" s="0" t="s">
        <v>900</v>
      </c>
      <c r="C16" s="16" t="n">
        <f aca="false">E666</f>
        <v>1850.5656</v>
      </c>
      <c r="D16" s="17" t="n">
        <f aca="false">E673</f>
        <v>0.131790577972486</v>
      </c>
      <c r="E16" s="21" t="n">
        <f aca="false">E678</f>
        <v>161.393431551721</v>
      </c>
      <c r="F16" s="17" t="n">
        <f aca="false">E16/E$4-1</f>
        <v>-0.00873408733949155</v>
      </c>
      <c r="G16" s="16" t="n">
        <f aca="false">F666</f>
        <v>1955.94074307053</v>
      </c>
      <c r="H16" s="17" t="n">
        <f aca="false">F673</f>
        <v>0.137650181333899</v>
      </c>
      <c r="I16" s="21" t="n">
        <f aca="false">F678</f>
        <v>180.881128511728</v>
      </c>
      <c r="J16" s="17" t="n">
        <f aca="false">I16/I$4-1</f>
        <v>-0.0194866537779569</v>
      </c>
    </row>
    <row r="17" customFormat="false" ht="17.15" hidden="false" customHeight="false" outlineLevel="0" collapsed="false">
      <c r="A17" s="4" t="s">
        <v>901</v>
      </c>
      <c r="B17" s="0" t="s">
        <v>902</v>
      </c>
      <c r="C17" s="16" t="n">
        <f aca="false">E719</f>
        <v>1850.5656</v>
      </c>
      <c r="D17" s="17" t="n">
        <f aca="false">E726</f>
        <v>0.132951790522854</v>
      </c>
      <c r="E17" s="21" t="n">
        <f aca="false">E731</f>
        <v>162.815476140554</v>
      </c>
      <c r="F17" s="17" t="n">
        <f aca="false">E17/E$4-1</f>
        <v>0</v>
      </c>
      <c r="G17" s="16" t="n">
        <f aca="false">F719</f>
        <v>1947.57773607053</v>
      </c>
      <c r="H17" s="17" t="n">
        <f aca="false">F726</f>
        <v>0.138504475337477</v>
      </c>
      <c r="I17" s="21" t="n">
        <f aca="false">F731</f>
        <v>181.225532880502</v>
      </c>
      <c r="J17" s="17" t="n">
        <f aca="false">I17/I$4-1</f>
        <v>-0.0176197200471747</v>
      </c>
    </row>
    <row r="18" customFormat="false" ht="17.15" hidden="false" customHeight="false" outlineLevel="0" collapsed="false">
      <c r="A18" s="4" t="s">
        <v>903</v>
      </c>
      <c r="B18" s="0" t="s">
        <v>904</v>
      </c>
      <c r="C18" s="16" t="n">
        <f aca="false">E772</f>
        <v>1850.5656</v>
      </c>
      <c r="D18" s="17" t="n">
        <f aca="false">E779</f>
        <v>0.126719879587084</v>
      </c>
      <c r="E18" s="21" t="n">
        <f aca="false">E784</f>
        <v>155.183750819047</v>
      </c>
      <c r="F18" s="17" t="n">
        <f aca="false">E18/E$4-1</f>
        <v>-0.0468734637665437</v>
      </c>
      <c r="G18" s="16" t="n">
        <f aca="false">F772</f>
        <v>1955.94074307053</v>
      </c>
      <c r="H18" s="17" t="n">
        <f aca="false">F779</f>
        <v>0.134253814164211</v>
      </c>
      <c r="I18" s="21" t="n">
        <f aca="false">F784</f>
        <v>176.418085161257</v>
      </c>
      <c r="J18" s="17" t="n">
        <f aca="false">I18/I$4-1</f>
        <v>-0.0436797445990399</v>
      </c>
    </row>
    <row r="19" customFormat="false" ht="17.15" hidden="false" customHeight="false" outlineLevel="0" collapsed="false">
      <c r="A19" s="4" t="s">
        <v>905</v>
      </c>
      <c r="B19" s="0" t="s">
        <v>906</v>
      </c>
      <c r="C19" s="16" t="n">
        <f aca="false">E825</f>
        <v>1850.5656</v>
      </c>
      <c r="D19" s="17" t="n">
        <f aca="false">E832</f>
        <v>0.137943950757541</v>
      </c>
      <c r="E19" s="21" t="n">
        <f aca="false">E837</f>
        <v>168.928977450946</v>
      </c>
      <c r="F19" s="17" t="n">
        <f aca="false">E19/E$4-1</f>
        <v>0.0375486498907214</v>
      </c>
      <c r="G19" s="16" t="n">
        <f aca="false">F825</f>
        <v>1955.94074307053</v>
      </c>
      <c r="H19" s="17" t="n">
        <f aca="false">F832</f>
        <v>0.145297970423306</v>
      </c>
      <c r="I19" s="21" t="n">
        <f aca="false">F837</f>
        <v>190.930811757374</v>
      </c>
      <c r="J19" s="17" t="n">
        <f aca="false">I19/I$4-1</f>
        <v>0.0349902760639615</v>
      </c>
    </row>
    <row r="20" customFormat="false" ht="17.15" hidden="false" customHeight="false" outlineLevel="0" collapsed="false">
      <c r="A20" s="4" t="s">
        <v>907</v>
      </c>
      <c r="B20" s="0" t="s">
        <v>908</v>
      </c>
      <c r="C20" s="16" t="n">
        <f aca="false">E878</f>
        <v>1830.5936</v>
      </c>
      <c r="D20" s="17" t="n">
        <f aca="false">E885</f>
        <v>0.132808292348449</v>
      </c>
      <c r="E20" s="21" t="n">
        <f aca="false">E890</f>
        <v>160.88447604273</v>
      </c>
      <c r="F20" s="17" t="n">
        <f aca="false">E20/E$4-1</f>
        <v>-0.0118600525183284</v>
      </c>
      <c r="G20" s="16" t="n">
        <f aca="false">F878</f>
        <v>1914.79842307053</v>
      </c>
      <c r="H20" s="17" t="n">
        <f aca="false">F885</f>
        <v>0.140262956246704</v>
      </c>
      <c r="I20" s="21" t="n">
        <f aca="false">F890</f>
        <v>180.437510676841</v>
      </c>
      <c r="J20" s="17" t="n">
        <f aca="false">I20/I$4-1</f>
        <v>-0.0218913999850787</v>
      </c>
    </row>
    <row r="21" customFormat="false" ht="17.15" hidden="false" customHeight="false" outlineLevel="0" collapsed="false">
      <c r="A21" s="4" t="s">
        <v>909</v>
      </c>
      <c r="B21" s="0" t="s">
        <v>910</v>
      </c>
      <c r="C21" s="16" t="n">
        <f aca="false">E931</f>
        <v>1850.5656</v>
      </c>
      <c r="D21" s="17" t="n">
        <f aca="false">E938</f>
        <v>0.135544927453531</v>
      </c>
      <c r="E21" s="21" t="n">
        <f aca="false">E943</f>
        <v>165.991084550229</v>
      </c>
      <c r="F21" s="17" t="n">
        <f aca="false">E21/E$4-1</f>
        <v>0.019504340035428</v>
      </c>
      <c r="G21" s="16" t="n">
        <f aca="false">F931</f>
        <v>1955.94074307053</v>
      </c>
      <c r="H21" s="17" t="n">
        <f aca="false">F938</f>
        <v>0.142912867645255</v>
      </c>
      <c r="I21" s="21" t="n">
        <f aca="false">F943</f>
        <v>187.796634396113</v>
      </c>
      <c r="J21" s="17" t="n">
        <f aca="false">I21/I$4-1</f>
        <v>0.018000650018231</v>
      </c>
    </row>
    <row r="22" customFormat="false" ht="17.15" hidden="false" customHeight="false" outlineLevel="0" collapsed="false">
      <c r="A22" s="4" t="s">
        <v>911</v>
      </c>
      <c r="B22" s="0" t="s">
        <v>912</v>
      </c>
      <c r="C22" s="16" t="n">
        <f aca="false">E984</f>
        <v>1850.5656</v>
      </c>
      <c r="D22" s="17" t="n">
        <f aca="false">E991</f>
        <v>0.132951790522854</v>
      </c>
      <c r="E22" s="21" t="n">
        <f aca="false">E996</f>
        <v>152.311251873421</v>
      </c>
      <c r="F22" s="17" t="n">
        <f aca="false">E22/E$4-1</f>
        <v>-0.0645161290322581</v>
      </c>
      <c r="G22" s="16" t="n">
        <f aca="false">F984</f>
        <v>1955.94074307053</v>
      </c>
      <c r="H22" s="17" t="n">
        <f aca="false">F991</f>
        <v>0.140385831426233</v>
      </c>
      <c r="I22" s="21" t="n">
        <f aca="false">F996</f>
        <v>172.574273401931</v>
      </c>
      <c r="J22" s="17" t="n">
        <f aca="false">I22/I$4-1</f>
        <v>-0.0645161290322582</v>
      </c>
    </row>
    <row r="23" customFormat="false" ht="17.15" hidden="false" customHeight="false" outlineLevel="0" collapsed="false">
      <c r="A23" s="4" t="s">
        <v>913</v>
      </c>
      <c r="B23" s="0" t="s">
        <v>914</v>
      </c>
      <c r="C23" s="16" t="n">
        <f aca="false">E1037</f>
        <v>1850.5656</v>
      </c>
      <c r="D23" s="17" t="n">
        <f aca="false">E1044</f>
        <v>0.132951790522854</v>
      </c>
      <c r="E23" s="21" t="n">
        <f aca="false">E1049</f>
        <v>173.319700407686</v>
      </c>
      <c r="F23" s="17" t="n">
        <f aca="false">E23/E$4-1</f>
        <v>0.064516129032258</v>
      </c>
      <c r="G23" s="16" t="n">
        <f aca="false">F1037</f>
        <v>1955.94074307053</v>
      </c>
      <c r="H23" s="17" t="n">
        <f aca="false">F1044</f>
        <v>0.140385831426233</v>
      </c>
      <c r="I23" s="21" t="n">
        <f aca="false">F1049</f>
        <v>196.377621457369</v>
      </c>
      <c r="J23" s="17" t="n">
        <f aca="false">I23/I$4-1</f>
        <v>0.064516129032258</v>
      </c>
    </row>
    <row r="24" customFormat="false" ht="17.15" hidden="false" customHeight="false" outlineLevel="0" collapsed="false">
      <c r="A24" s="4" t="s">
        <v>915</v>
      </c>
      <c r="B24" s="4" t="s">
        <v>916</v>
      </c>
      <c r="C24" s="16" t="n">
        <f aca="false">E1090</f>
        <v>1850.5656</v>
      </c>
      <c r="D24" s="17" t="n">
        <f aca="false">E1097</f>
        <v>0.132951790522854</v>
      </c>
      <c r="E24" s="21" t="n">
        <f aca="false">E1102</f>
        <v>165.333241235511</v>
      </c>
      <c r="F24" s="17" t="n">
        <f aca="false">E24/E$4-1</f>
        <v>0.0154639175257731</v>
      </c>
      <c r="G24" s="16" t="n">
        <f aca="false">F1090</f>
        <v>1955.94074307053</v>
      </c>
      <c r="H24" s="17" t="n">
        <f aca="false">F1097</f>
        <v>0.140385831426233</v>
      </c>
      <c r="I24" s="21" t="n">
        <f aca="false">F1102</f>
        <v>190.225503342472</v>
      </c>
      <c r="J24" s="17" t="n">
        <f aca="false">I24/I$4-1</f>
        <v>0.0311669677967903</v>
      </c>
    </row>
    <row r="25" customFormat="false" ht="17.15" hidden="false" customHeight="false" outlineLevel="0" collapsed="false">
      <c r="A25" s="4" t="s">
        <v>917</v>
      </c>
      <c r="B25" s="0" t="s">
        <v>918</v>
      </c>
      <c r="C25" s="16" t="n">
        <f aca="false">PL!E156</f>
        <v>1850.5656</v>
      </c>
      <c r="D25" s="17" t="n">
        <f aca="false">PL!E163</f>
        <v>0.132951790522854</v>
      </c>
      <c r="E25" s="21" t="n">
        <f aca="false">PL!E168</f>
        <v>162.815476140554</v>
      </c>
      <c r="F25" s="17" t="n">
        <f aca="false">E25/E$4-1</f>
        <v>0</v>
      </c>
      <c r="G25" s="16" t="n">
        <f aca="false">PL!F156</f>
        <v>1921.1613259276</v>
      </c>
      <c r="H25" s="17" t="n">
        <f aca="false">PL!F163</f>
        <v>0.130375497178844</v>
      </c>
      <c r="I25" s="21" t="n">
        <f aca="false">PL!F168</f>
        <v>168.275384193437</v>
      </c>
      <c r="J25" s="17" t="n">
        <f aca="false">I25/I$4-1</f>
        <v>-0.0878193795014471</v>
      </c>
    </row>
    <row r="26" customFormat="false" ht="17.15" hidden="false" customHeight="false" outlineLevel="0" collapsed="false">
      <c r="A26" s="4" t="s">
        <v>919</v>
      </c>
      <c r="B26" s="0" t="s">
        <v>920</v>
      </c>
      <c r="C26" s="16" t="n">
        <f aca="false">PL!E209</f>
        <v>1850.5656</v>
      </c>
      <c r="D26" s="17" t="n">
        <f aca="false">PL!E216</f>
        <v>0.132951790522854</v>
      </c>
      <c r="E26" s="21" t="n">
        <f aca="false">PL!E221</f>
        <v>162.815476140554</v>
      </c>
      <c r="F26" s="17" t="n">
        <f aca="false">E26/E$4-1</f>
        <v>0</v>
      </c>
      <c r="G26" s="16" t="n">
        <f aca="false">PL!F209</f>
        <v>1885.62845181644</v>
      </c>
      <c r="H26" s="17" t="n">
        <f aca="false">PL!F216</f>
        <v>0.119644408968901</v>
      </c>
      <c r="I26" s="21" t="n">
        <f aca="false">PL!F221</f>
        <v>151.568624348264</v>
      </c>
      <c r="J26" s="17" t="n">
        <f aca="false">I26/I$4-1</f>
        <v>-0.178382729780724</v>
      </c>
    </row>
    <row r="28" customFormat="false" ht="17.15" hidden="false" customHeight="false" outlineLevel="0" collapsed="false">
      <c r="A28" s="4" t="s">
        <v>921</v>
      </c>
    </row>
    <row r="30" customFormat="false" ht="17.15" hidden="false" customHeight="false" outlineLevel="0" collapsed="false">
      <c r="A30" s="1" t="s">
        <v>922</v>
      </c>
    </row>
    <row r="31" customFormat="false" ht="17.15" hidden="false" customHeight="false" outlineLevel="0" collapsed="false">
      <c r="A31" s="5" t="s">
        <v>866</v>
      </c>
      <c r="B31" s="5" t="s">
        <v>867</v>
      </c>
      <c r="C31" s="15" t="s">
        <v>923</v>
      </c>
      <c r="D31" s="15" t="s">
        <v>813</v>
      </c>
      <c r="E31" s="5" t="s">
        <v>924</v>
      </c>
      <c r="F31" s="5" t="s">
        <v>925</v>
      </c>
    </row>
    <row r="32" customFormat="false" ht="17.15" hidden="false" customHeight="false" outlineLevel="0" collapsed="false">
      <c r="A32" s="4" t="s">
        <v>23</v>
      </c>
      <c r="B32" s="0" t="s">
        <v>926</v>
      </c>
      <c r="C32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2" s="31" t="n">
        <f aca="false">tp_comp_adj</f>
        <v>3500.47060835549</v>
      </c>
      <c r="E32" s="31" t="n">
        <f aca="false">tp_w_dcf*C32+(1-tp_w_dcf)*D32</f>
        <v>2805.20541615467</v>
      </c>
      <c r="F32" s="17" t="n">
        <f aca="false">E32/E$32-1</f>
        <v>0</v>
      </c>
    </row>
    <row r="33" customFormat="false" ht="17.15" hidden="false" customHeight="false" outlineLevel="0" collapsed="false">
      <c r="A33" s="4" t="s">
        <v>927</v>
      </c>
      <c r="B33" s="0" t="s">
        <v>928</v>
      </c>
      <c r="C33" s="31" t="n">
        <f aca="false">(tp_wA*MAX(0,Val!B8*(1-MIN(tp_g/tp_roe,0.8))/(1+(tp_r+0.01))^Val!$F$8+Val!B9*(1-MIN(tp_g/tp_roe,0.8))/(1+(tp_r+0.01))^Val!$F$9+Val!B10*(1-MIN(tp_g/tp_roe,0.8))/(1+(tp_r+0.01))^Val!$F$10+Val!B11*(1-MIN(tp_g/tp_roe,0.8))/(1+(tp_r+0.01))^Val!$F$11+Val!B12*(1-MIN(tp_g/tp_roe,0.8))/(1+(tp_r+0.01))^Val!$F$12+Val!B13*(1-MIN(tp_g/tp_roe,0.8))/(1+(tp_r+0.01))^Val!$F$13+Val!B13*(1-MIN(tp_g/tp_roe,0.8))*(1+tp_g)/((tp_r+0.01)-tp_g)/(1+(tp_r+0.01))^Val!$F$13)+tp_wB*MAX(0,Val!C8*(1-MIN(tp_g/tp_roe,0.8))/(1+(tp_r+0.01))^Val!$F$8+Val!C9*(1-MIN(tp_g/tp_roe,0.8))/(1+(tp_r+0.01))^Val!$F$9+Val!C10*(1-MIN(tp_g/tp_roe,0.8))/(1+(tp_r+0.01))^Val!$F$10+Val!C11*(1-MIN(tp_g/tp_roe,0.8))/(1+(tp_r+0.01))^Val!$F$11+Val!C12*(1-MIN(tp_g/tp_roe,0.8))/(1+(tp_r+0.01))^Val!$F$12+Val!C13*(1-MIN(tp_g/tp_roe,0.8))/(1+(tp_r+0.01))^Val!$F$13+Val!C13*(1-MIN(tp_g/tp_roe,0.8))*(1+tp_g)/((tp_r+0.01)-tp_g)/(1+(tp_r+0.01))^Val!$F$13)+tp_wC*MAX(0,Val!D8*(1-MIN(tp_g/tp_roe,0.8))/(1+(tp_r+0.01))^Val!$F$8+Val!D9*(1-MIN(tp_g/tp_roe,0.8))/(1+(tp_r+0.01))^Val!$F$9+Val!D10*(1-MIN(tp_g/tp_roe,0.8))/(1+(tp_r+0.01))^Val!$F$10+Val!D11*(1-MIN(tp_g/tp_roe,0.8))/(1+(tp_r+0.01))^Val!$F$11+Val!D12*(1-MIN(tp_g/tp_roe,0.8))/(1+(tp_r+0.01))^Val!$F$12+Val!D13*(1-MIN(tp_g/tp_roe,0.8))/(1+(tp_r+0.01))^Val!$F$13+Val!D13*(1-MIN(tp_g/tp_roe,0.8))*(1+tp_g)/((tp_r+0.01)-tp_g)/(1+(tp_r+0.01))^Val!$F$13))*(1+(tp_r+0.01))</f>
        <v>1825.01881942649</v>
      </c>
      <c r="D33" s="31" t="n">
        <f aca="false">tp_comp_adj</f>
        <v>3500.47060835549</v>
      </c>
      <c r="E33" s="31" t="n">
        <f aca="false">tp_w_dcf*C33+(1-tp_w_dcf)*D33</f>
        <v>2662.74471389099</v>
      </c>
      <c r="F33" s="17" t="n">
        <f aca="false">E33/E$32-1</f>
        <v>-0.050784410098196</v>
      </c>
    </row>
    <row r="34" customFormat="false" ht="17.15" hidden="false" customHeight="false" outlineLevel="0" collapsed="false">
      <c r="A34" s="4" t="s">
        <v>929</v>
      </c>
      <c r="B34" s="0" t="s">
        <v>930</v>
      </c>
      <c r="C34" s="31" t="n">
        <f aca="false">(tp_wA*MAX(0,Val!B8*(1-MIN(tp_g/tp_roe,0.8))/(1+(tp_r-0.01))^Val!$F$8+Val!B9*(1-MIN(tp_g/tp_roe,0.8))/(1+(tp_r-0.01))^Val!$F$9+Val!B10*(1-MIN(tp_g/tp_roe,0.8))/(1+(tp_r-0.01))^Val!$F$10+Val!B11*(1-MIN(tp_g/tp_roe,0.8))/(1+(tp_r-0.01))^Val!$F$11+Val!B12*(1-MIN(tp_g/tp_roe,0.8))/(1+(tp_r-0.01))^Val!$F$12+Val!B13*(1-MIN(tp_g/tp_roe,0.8))/(1+(tp_r-0.01))^Val!$F$13+Val!B13*(1-MIN(tp_g/tp_roe,0.8))*(1+tp_g)/((tp_r-0.01)-tp_g)/(1+(tp_r-0.01))^Val!$F$13)+tp_wB*MAX(0,Val!C8*(1-MIN(tp_g/tp_roe,0.8))/(1+(tp_r-0.01))^Val!$F$8+Val!C9*(1-MIN(tp_g/tp_roe,0.8))/(1+(tp_r-0.01))^Val!$F$9+Val!C10*(1-MIN(tp_g/tp_roe,0.8))/(1+(tp_r-0.01))^Val!$F$10+Val!C11*(1-MIN(tp_g/tp_roe,0.8))/(1+(tp_r-0.01))^Val!$F$11+Val!C12*(1-MIN(tp_g/tp_roe,0.8))/(1+(tp_r-0.01))^Val!$F$12+Val!C13*(1-MIN(tp_g/tp_roe,0.8))/(1+(tp_r-0.01))^Val!$F$13+Val!C13*(1-MIN(tp_g/tp_roe,0.8))*(1+tp_g)/((tp_r-0.01)-tp_g)/(1+(tp_r-0.01))^Val!$F$13)+tp_wC*MAX(0,Val!D8*(1-MIN(tp_g/tp_roe,0.8))/(1+(tp_r-0.01))^Val!$F$8+Val!D9*(1-MIN(tp_g/tp_roe,0.8))/(1+(tp_r-0.01))^Val!$F$9+Val!D10*(1-MIN(tp_g/tp_roe,0.8))/(1+(tp_r-0.01))^Val!$F$10+Val!D11*(1-MIN(tp_g/tp_roe,0.8))/(1+(tp_r-0.01))^Val!$F$11+Val!D12*(1-MIN(tp_g/tp_roe,0.8))/(1+(tp_r-0.01))^Val!$F$12+Val!D13*(1-MIN(tp_g/tp_roe,0.8))/(1+(tp_r-0.01))^Val!$F$13+Val!D13*(1-MIN(tp_g/tp_roe,0.8))*(1+tp_g)/((tp_r-0.01)-tp_g)/(1+(tp_r-0.01))^Val!$F$13))*(1+(tp_r-0.01))</f>
        <v>2508.78785347222</v>
      </c>
      <c r="D34" s="31" t="n">
        <f aca="false">tp_comp_adj</f>
        <v>3500.47060835549</v>
      </c>
      <c r="E34" s="31" t="n">
        <f aca="false">tp_w_dcf*C34+(1-tp_w_dcf)*D34</f>
        <v>3004.62923091385</v>
      </c>
      <c r="F34" s="17" t="n">
        <f aca="false">E34/E$32-1</f>
        <v>0.0710906280198742</v>
      </c>
    </row>
    <row r="35" customFormat="false" ht="17.15" hidden="false" customHeight="false" outlineLevel="0" collapsed="false">
      <c r="A35" s="4" t="s">
        <v>931</v>
      </c>
      <c r="B35" s="0" t="s">
        <v>932</v>
      </c>
      <c r="C35" s="31" t="n">
        <f aca="false">(tp_wA*MAX(0,Val!B8*(1-MIN((tp_g+0.01)/tp_roe,0.8))/(1+tp_r)^Val!$F$8+Val!B9*(1-MIN((tp_g+0.01)/tp_roe,0.8))/(1+tp_r)^Val!$F$9+Val!B10*(1-MIN((tp_g+0.01)/tp_roe,0.8))/(1+tp_r)^Val!$F$10+Val!B11*(1-MIN((tp_g+0.01)/tp_roe,0.8))/(1+tp_r)^Val!$F$11+Val!B12*(1-MIN((tp_g+0.01)/tp_roe,0.8))/(1+tp_r)^Val!$F$12+Val!B13*(1-MIN((tp_g+0.01)/tp_roe,0.8))/(1+tp_r)^Val!$F$13+Val!B13*(1-MIN((tp_g+0.01)/tp_roe,0.8))*(1+(tp_g+0.01))/(tp_r-(tp_g+0.01))/(1+tp_r)^Val!$F$13)+tp_wB*MAX(0,Val!C8*(1-MIN((tp_g+0.01)/tp_roe,0.8))/(1+tp_r)^Val!$F$8+Val!C9*(1-MIN((tp_g+0.01)/tp_roe,0.8))/(1+tp_r)^Val!$F$9+Val!C10*(1-MIN((tp_g+0.01)/tp_roe,0.8))/(1+tp_r)^Val!$F$10+Val!C11*(1-MIN((tp_g+0.01)/tp_roe,0.8))/(1+tp_r)^Val!$F$11+Val!C12*(1-MIN((tp_g+0.01)/tp_roe,0.8))/(1+tp_r)^Val!$F$12+Val!C13*(1-MIN((tp_g+0.01)/tp_roe,0.8))/(1+tp_r)^Val!$F$13+Val!C13*(1-MIN((tp_g+0.01)/tp_roe,0.8))*(1+(tp_g+0.01))/(tp_r-(tp_g+0.01))/(1+tp_r)^Val!$F$13)+tp_wC*MAX(0,Val!D8*(1-MIN((tp_g+0.01)/tp_roe,0.8))/(1+tp_r)^Val!$F$8+Val!D9*(1-MIN((tp_g+0.01)/tp_roe,0.8))/(1+tp_r)^Val!$F$9+Val!D10*(1-MIN((tp_g+0.01)/tp_roe,0.8))/(1+tp_r)^Val!$F$10+Val!D11*(1-MIN((tp_g+0.01)/tp_roe,0.8))/(1+tp_r)^Val!$F$11+Val!D12*(1-MIN((tp_g+0.01)/tp_roe,0.8))/(1+tp_r)^Val!$F$12+Val!D13*(1-MIN((tp_g+0.01)/tp_roe,0.8))/(1+tp_r)^Val!$F$13+Val!D13*(1-MIN((tp_g+0.01)/tp_roe,0.8))*(1+(tp_g+0.01))/(tp_r-(tp_g+0.01))/(1+tp_r)^Val!$F$13))*(1+tp_r)</f>
        <v>2158.3965085016</v>
      </c>
      <c r="D35" s="31" t="n">
        <f aca="false">tp_comp_adj</f>
        <v>3500.47060835549</v>
      </c>
      <c r="E35" s="31" t="n">
        <f aca="false">tp_w_dcf*C35+(1-tp_w_dcf)*D35</f>
        <v>2829.43355842854</v>
      </c>
      <c r="F35" s="17" t="n">
        <f aca="false">E35/E$32-1</f>
        <v>0.00863685138148918</v>
      </c>
    </row>
    <row r="36" customFormat="false" ht="17.15" hidden="false" customHeight="false" outlineLevel="0" collapsed="false">
      <c r="A36" s="4" t="s">
        <v>933</v>
      </c>
      <c r="B36" s="0" t="s">
        <v>934</v>
      </c>
      <c r="C36" s="31" t="n">
        <f aca="false">(tp_wA*MAX(0,Val!B8*(1-MIN((tp_g-0.01)/tp_roe,0.8))/(1+tp_r)^Val!$F$8+Val!B9*(1-MIN((tp_g-0.01)/tp_roe,0.8))/(1+tp_r)^Val!$F$9+Val!B10*(1-MIN((tp_g-0.01)/tp_roe,0.8))/(1+tp_r)^Val!$F$10+Val!B11*(1-MIN((tp_g-0.01)/tp_roe,0.8))/(1+tp_r)^Val!$F$11+Val!B12*(1-MIN((tp_g-0.01)/tp_roe,0.8))/(1+tp_r)^Val!$F$12+Val!B13*(1-MIN((tp_g-0.01)/tp_roe,0.8))/(1+tp_r)^Val!$F$13+Val!B13*(1-MIN((tp_g-0.01)/tp_roe,0.8))*(1+(tp_g-0.01))/(tp_r-(tp_g-0.01))/(1+tp_r)^Val!$F$13)+tp_wB*MAX(0,Val!C8*(1-MIN((tp_g-0.01)/tp_roe,0.8))/(1+tp_r)^Val!$F$8+Val!C9*(1-MIN((tp_g-0.01)/tp_roe,0.8))/(1+tp_r)^Val!$F$9+Val!C10*(1-MIN((tp_g-0.01)/tp_roe,0.8))/(1+tp_r)^Val!$F$10+Val!C11*(1-MIN((tp_g-0.01)/tp_roe,0.8))/(1+tp_r)^Val!$F$11+Val!C12*(1-MIN((tp_g-0.01)/tp_roe,0.8))/(1+tp_r)^Val!$F$12+Val!C13*(1-MIN((tp_g-0.01)/tp_roe,0.8))/(1+tp_r)^Val!$F$13+Val!C13*(1-MIN((tp_g-0.01)/tp_roe,0.8))*(1+(tp_g-0.01))/(tp_r-(tp_g-0.01))/(1+tp_r)^Val!$F$13)+tp_wC*MAX(0,Val!D8*(1-MIN((tp_g-0.01)/tp_roe,0.8))/(1+tp_r)^Val!$F$8+Val!D9*(1-MIN((tp_g-0.01)/tp_roe,0.8))/(1+tp_r)^Val!$F$9+Val!D10*(1-MIN((tp_g-0.01)/tp_roe,0.8))/(1+tp_r)^Val!$F$10+Val!D11*(1-MIN((tp_g-0.01)/tp_roe,0.8))/(1+tp_r)^Val!$F$11+Val!D12*(1-MIN((tp_g-0.01)/tp_roe,0.8))/(1+tp_r)^Val!$F$12+Val!D13*(1-MIN((tp_g-0.01)/tp_roe,0.8))/(1+tp_r)^Val!$F$13+Val!D13*(1-MIN((tp_g-0.01)/tp_roe,0.8))*(1+(tp_g-0.01))/(tp_r-(tp_g-0.01))/(1+tp_r)^Val!$F$13))*(1+tp_r)</f>
        <v>2091.7586771708</v>
      </c>
      <c r="D36" s="31" t="n">
        <f aca="false">tp_comp_adj</f>
        <v>3500.47060835549</v>
      </c>
      <c r="E36" s="31" t="n">
        <f aca="false">tp_w_dcf*C36+(1-tp_w_dcf)*D36</f>
        <v>2796.11464276314</v>
      </c>
      <c r="F36" s="17" t="n">
        <f aca="false">E36/E$32-1</f>
        <v>-0.00324068010819156</v>
      </c>
    </row>
    <row r="37" customFormat="false" ht="17.15" hidden="false" customHeight="false" outlineLevel="0" collapsed="false">
      <c r="A37" s="0" t="s">
        <v>935</v>
      </c>
      <c r="C37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7" s="31" t="n">
        <f aca="false">tp_comp_adj</f>
        <v>3500.47060835549</v>
      </c>
      <c r="E37" s="31" t="n">
        <f aca="false">0.3*C37+(1-0.3)*D37</f>
        <v>3083.31149303499</v>
      </c>
      <c r="F37" s="17" t="n">
        <f aca="false">E37/E$32-1</f>
        <v>0.0991392912899589</v>
      </c>
    </row>
    <row r="38" customFormat="false" ht="17.15" hidden="false" customHeight="false" outlineLevel="0" collapsed="false">
      <c r="A38" s="0" t="s">
        <v>936</v>
      </c>
      <c r="C38" s="31" t="n">
        <f aca="false">(tp_wA*MAX(0,Val!B8*(1-MIN(tp_g/tp_roe,0.8))/(1+tp_r)^Val!$F$8+Val!B9*(1-MIN(tp_g/tp_roe,0.8))/(1+tp_r)^Val!$F$9+Val!B10*(1-MIN(tp_g/tp_roe,0.8))/(1+tp_r)^Val!$F$10+Val!B11*(1-MIN(tp_g/tp_roe,0.8))/(1+tp_r)^Val!$F$11+Val!B12*(1-MIN(tp_g/tp_roe,0.8))/(1+tp_r)^Val!$F$12+Val!B13*(1-MIN(tp_g/tp_roe,0.8))/(1+tp_r)^Val!$F$13+Val!B13*(1-MIN(tp_g/tp_roe,0.8))*(1+tp_g)/(tp_r-tp_g)/(1+tp_r)^Val!$F$13)+tp_wB*MAX(0,Val!C8*(1-MIN(tp_g/tp_roe,0.8))/(1+tp_r)^Val!$F$8+Val!C9*(1-MIN(tp_g/tp_roe,0.8))/(1+tp_r)^Val!$F$9+Val!C10*(1-MIN(tp_g/tp_roe,0.8))/(1+tp_r)^Val!$F$10+Val!C11*(1-MIN(tp_g/tp_roe,0.8))/(1+tp_r)^Val!$F$11+Val!C12*(1-MIN(tp_g/tp_roe,0.8))/(1+tp_r)^Val!$F$12+Val!C13*(1-MIN(tp_g/tp_roe,0.8))/(1+tp_r)^Val!$F$13+Val!C13*(1-MIN(tp_g/tp_roe,0.8))*(1+tp_g)/(tp_r-tp_g)/(1+tp_r)^Val!$F$13)+tp_wC*MAX(0,Val!D8*(1-MIN(tp_g/tp_roe,0.8))/(1+tp_r)^Val!$F$8+Val!D9*(1-MIN(tp_g/tp_roe,0.8))/(1+tp_r)^Val!$F$9+Val!D10*(1-MIN(tp_g/tp_roe,0.8))/(1+tp_r)^Val!$F$10+Val!D11*(1-MIN(tp_g/tp_roe,0.8))/(1+tp_r)^Val!$F$11+Val!D12*(1-MIN(tp_g/tp_roe,0.8))/(1+tp_r)^Val!$F$12+Val!D13*(1-MIN(tp_g/tp_roe,0.8))/(1+tp_r)^Val!$F$13+Val!D13*(1-MIN(tp_g/tp_roe,0.8))*(1+tp_g)/(tp_r-tp_g)/(1+tp_r)^Val!$F$13))*(1+tp_r)</f>
        <v>2109.94022395385</v>
      </c>
      <c r="D38" s="31" t="n">
        <f aca="false">tp_comp_adj</f>
        <v>3500.47060835549</v>
      </c>
      <c r="E38" s="31" t="n">
        <f aca="false">0.7*C38+(1-0.7)*D38</f>
        <v>2527.09933927434</v>
      </c>
      <c r="F38" s="17" t="n">
        <f aca="false">E38/E$32-1</f>
        <v>-0.099139291289959</v>
      </c>
    </row>
    <row r="50" customFormat="false" ht="17.15" hidden="false" customHeight="false" outlineLevel="0" collapsed="false">
      <c r="A50" s="1" t="s">
        <v>937</v>
      </c>
    </row>
    <row r="51" customFormat="false" ht="17.15" hidden="false" customHeight="false" outlineLevel="0" collapsed="false">
      <c r="A51" s="5" t="s">
        <v>20</v>
      </c>
      <c r="B51" s="5" t="s">
        <v>21</v>
      </c>
      <c r="C51" s="15" t="s">
        <v>398</v>
      </c>
      <c r="D51" s="15" t="s">
        <v>470</v>
      </c>
      <c r="E51" s="15" t="s">
        <v>435</v>
      </c>
      <c r="F51" s="15" t="s">
        <v>436</v>
      </c>
      <c r="G51" s="15" t="s">
        <v>437</v>
      </c>
      <c r="H51" s="15" t="s">
        <v>471</v>
      </c>
      <c r="I51" s="15" t="s">
        <v>472</v>
      </c>
      <c r="J51" s="15" t="s">
        <v>473</v>
      </c>
      <c r="K51" s="5" t="s">
        <v>377</v>
      </c>
    </row>
    <row r="52" customFormat="false" ht="17.15" hidden="false" customHeight="false" outlineLevel="0" collapsed="false">
      <c r="A52" s="6" t="s">
        <v>493</v>
      </c>
    </row>
    <row r="53" customFormat="false" ht="17.15" hidden="false" customHeight="false" outlineLevel="0" collapsed="false">
      <c r="A53" s="0" t="s">
        <v>494</v>
      </c>
      <c r="B53" s="4" t="s">
        <v>31</v>
      </c>
      <c r="D53" s="21" t="n">
        <f aca="false">unv_26</f>
        <v>7.6</v>
      </c>
      <c r="E53" s="21" t="n">
        <f aca="false">unv_27</f>
        <v>9.7</v>
      </c>
      <c r="F53" s="21" t="n">
        <f aca="false">unv_28*um28_A</f>
        <v>9.5</v>
      </c>
      <c r="G53" s="21" t="n">
        <f aca="false">unv_29*um29_A</f>
        <v>10.6</v>
      </c>
      <c r="K53" s="8" t="s">
        <v>495</v>
      </c>
    </row>
    <row r="54" customFormat="false" ht="17.15" hidden="false" customHeight="false" outlineLevel="0" collapsed="false">
      <c r="A54" s="4" t="s">
        <v>496</v>
      </c>
      <c r="B54" s="4" t="s">
        <v>31</v>
      </c>
      <c r="D54" s="21" t="n">
        <f aca="false">uot_26</f>
        <v>7.6</v>
      </c>
      <c r="E54" s="21" t="n">
        <f aca="false">uot_27</f>
        <v>14</v>
      </c>
      <c r="F54" s="21" t="n">
        <f aca="false">uot_28*um28_A</f>
        <v>17</v>
      </c>
      <c r="G54" s="21" t="n">
        <f aca="false">uot_29*um29_A</f>
        <v>19.55</v>
      </c>
      <c r="K54" s="8" t="s">
        <v>497</v>
      </c>
    </row>
    <row r="55" customFormat="false" ht="17.15" hidden="false" customHeight="false" outlineLevel="0" collapsed="false">
      <c r="A55" s="4" t="s">
        <v>498</v>
      </c>
      <c r="B55" s="4" t="s">
        <v>31</v>
      </c>
      <c r="D55" s="21" t="n">
        <f aca="false">D53+v_ot*D54</f>
        <v>13.68</v>
      </c>
      <c r="E55" s="21" t="n">
        <f aca="false">E53+v_ot*E54</f>
        <v>20.9</v>
      </c>
      <c r="F55" s="21" t="n">
        <f aca="false">F53+v_ot*F54</f>
        <v>23.1</v>
      </c>
      <c r="G55" s="21" t="n">
        <f aca="false">G53+v_ot*G54</f>
        <v>26.24</v>
      </c>
    </row>
    <row r="56" customFormat="false" ht="17.15" hidden="false" customHeight="false" outlineLevel="0" collapsed="false">
      <c r="A56" s="4" t="s">
        <v>499</v>
      </c>
      <c r="B56" s="0" t="s">
        <v>53</v>
      </c>
      <c r="D56" s="22" t="n">
        <f aca="false">1</f>
        <v>1</v>
      </c>
      <c r="E56" s="22" t="n">
        <f aca="false">D56*(1+g_asp)</f>
        <v>1.18</v>
      </c>
      <c r="F56" s="22" t="n">
        <f aca="false">E56*(1+g_asp)</f>
        <v>1.3924</v>
      </c>
      <c r="G56" s="22" t="n">
        <f aca="false">F56*(1+g_asp)</f>
        <v>1.643032</v>
      </c>
    </row>
    <row r="57" customFormat="false" ht="17.15" hidden="false" customHeight="false" outlineLevel="0" collapsed="false">
      <c r="A57" s="4" t="s">
        <v>500</v>
      </c>
      <c r="B57" s="0" t="s">
        <v>53</v>
      </c>
      <c r="D57" s="19" t="n">
        <f aca="false">1</f>
        <v>1</v>
      </c>
      <c r="E57" s="19" t="n">
        <f aca="false">rel_27</f>
        <v>1</v>
      </c>
      <c r="F57" s="19" t="n">
        <f aca="false">rel_28</f>
        <v>0.97</v>
      </c>
      <c r="G57" s="19" t="n">
        <f aca="false">rel_29</f>
        <v>0.95</v>
      </c>
    </row>
    <row r="58" customFormat="false" ht="17.15" hidden="false" customHeight="false" outlineLevel="0" collapsed="false">
      <c r="A58" s="0" t="s">
        <v>501</v>
      </c>
      <c r="B58" s="0" t="s">
        <v>53</v>
      </c>
      <c r="D58" s="22" t="n">
        <f aca="false">D55/$D55*D56*D57</f>
        <v>1</v>
      </c>
      <c r="E58" s="22" t="n">
        <f aca="false">E55/$D55*E56*E57</f>
        <v>1.80277777777778</v>
      </c>
      <c r="F58" s="22" t="n">
        <f aca="false">F55/$D55*F56*F57</f>
        <v>2.28066570175439</v>
      </c>
      <c r="G58" s="22" t="n">
        <f aca="false">G55/$D55*G56*G57</f>
        <v>2.99396942222222</v>
      </c>
      <c r="K58" s="4" t="s">
        <v>502</v>
      </c>
    </row>
    <row r="59" customFormat="false" ht="17.15" hidden="false" customHeight="false" outlineLevel="0" collapsed="false">
      <c r="A59" s="4" t="s">
        <v>503</v>
      </c>
      <c r="B59" s="0" t="s">
        <v>53</v>
      </c>
      <c r="D59" s="22" t="n">
        <f aca="false">1</f>
        <v>1</v>
      </c>
      <c r="E59" s="22" t="n">
        <f aca="false">D59*(1+g_nai)</f>
        <v>1.03</v>
      </c>
      <c r="F59" s="22" t="n">
        <f aca="false">E59*(1+g_nai)</f>
        <v>1.0609</v>
      </c>
      <c r="G59" s="22" t="n">
        <f aca="false">F59*(1+g_nai)</f>
        <v>1.092727</v>
      </c>
    </row>
    <row r="60" customFormat="false" ht="17.15" hidden="false" customHeight="false" outlineLevel="0" collapsed="false">
      <c r="A60" s="0" t="s">
        <v>504</v>
      </c>
      <c r="B60" s="0" t="s">
        <v>53</v>
      </c>
      <c r="D60" s="22" t="n">
        <f aca="false">ai_sh_lo*D58+(1-ai_sh_lo)*D59</f>
        <v>1</v>
      </c>
      <c r="E60" s="22" t="n">
        <f aca="false">ai_sh_lo*E58+(1-ai_sh_lo)*E59</f>
        <v>1.26183333333333</v>
      </c>
      <c r="F60" s="22" t="n">
        <f aca="false">ai_sh_lo*F58+(1-ai_sh_lo)*F59</f>
        <v>1.42682971052632</v>
      </c>
      <c r="G60" s="22" t="n">
        <f aca="false">ai_sh_lo*G58+(1-ai_sh_lo)*G59</f>
        <v>1.66309972666667</v>
      </c>
    </row>
    <row r="61" customFormat="false" ht="17.15" hidden="false" customHeight="false" outlineLevel="0" collapsed="false">
      <c r="A61" s="4" t="s">
        <v>505</v>
      </c>
      <c r="B61" s="0" t="s">
        <v>53</v>
      </c>
      <c r="D61" s="22" t="n">
        <f aca="false">1</f>
        <v>1</v>
      </c>
      <c r="E61" s="22" t="n">
        <f aca="false">cap_27</f>
        <v>1.3</v>
      </c>
      <c r="F61" s="22" t="n">
        <f aca="false">cap_28</f>
        <v>1.55</v>
      </c>
      <c r="G61" s="22" t="n">
        <f aca="false">cap_29</f>
        <v>1.8</v>
      </c>
      <c r="K61" s="4" t="s">
        <v>506</v>
      </c>
    </row>
    <row r="62" customFormat="false" ht="17.15" hidden="false" customHeight="false" outlineLevel="0" collapsed="false">
      <c r="A62" s="4" t="s">
        <v>507</v>
      </c>
      <c r="B62" s="0" t="s">
        <v>53</v>
      </c>
      <c r="D62" s="22" t="n">
        <f aca="false">MIN(D60,D61)</f>
        <v>1</v>
      </c>
      <c r="E62" s="22" t="n">
        <f aca="false">MIN(E60,E61)</f>
        <v>1.26183333333333</v>
      </c>
      <c r="F62" s="22" t="n">
        <f aca="false">MIN(F60,F61)</f>
        <v>1.42682971052632</v>
      </c>
      <c r="G62" s="22" t="n">
        <f aca="false">MIN(G60,G61)</f>
        <v>1.66309972666667</v>
      </c>
    </row>
    <row r="63" customFormat="false" ht="17.15" hidden="false" customHeight="false" outlineLevel="0" collapsed="false">
      <c r="A63" s="4" t="s">
        <v>508</v>
      </c>
      <c r="B63" s="0" t="s">
        <v>78</v>
      </c>
      <c r="D63" s="17" t="n">
        <f aca="false">D62/D60</f>
        <v>1</v>
      </c>
      <c r="E63" s="17" t="n">
        <f aca="false">E62/E60</f>
        <v>1</v>
      </c>
      <c r="F63" s="17" t="n">
        <f aca="false">F62/F60</f>
        <v>1</v>
      </c>
      <c r="G63" s="17" t="n">
        <f aca="false">G62/G60</f>
        <v>1</v>
      </c>
      <c r="K63" s="4" t="s">
        <v>509</v>
      </c>
    </row>
    <row r="64" customFormat="false" ht="17.15" hidden="false" customHeight="false" outlineLevel="0" collapsed="false">
      <c r="A64" s="0" t="s">
        <v>510</v>
      </c>
      <c r="B64" s="0" t="s">
        <v>53</v>
      </c>
      <c r="D64" s="22" t="n">
        <f aca="false">1</f>
        <v>1</v>
      </c>
      <c r="E64" s="22" t="n">
        <f aca="false">pp_27</f>
        <v>1.12</v>
      </c>
      <c r="F64" s="22" t="n">
        <f aca="false">pp_28*sp_A</f>
        <v>1.15</v>
      </c>
      <c r="G64" s="22" t="n">
        <f aca="false">pp_29*sp_A</f>
        <v>1.12</v>
      </c>
      <c r="K64" s="8" t="s">
        <v>511</v>
      </c>
    </row>
    <row r="65" customFormat="false" ht="17.15" hidden="false" customHeight="false" outlineLevel="0" collapsed="false">
      <c r="A65" s="0" t="s">
        <v>452</v>
      </c>
      <c r="B65" s="0" t="s">
        <v>170</v>
      </c>
      <c r="D65" s="16" t="n">
        <f aca="false">q26_fm*ai_sh_lo</f>
        <v>36.18</v>
      </c>
      <c r="E65" s="16" t="n">
        <f aca="false">q26_fm*ai_sh_lo*E58*E63*E64</f>
        <v>73.05144</v>
      </c>
      <c r="F65" s="16" t="n">
        <f aca="false">q26_fm*ai_sh_lo*F58*F63*F64</f>
        <v>94.8916578528947</v>
      </c>
      <c r="G65" s="16" t="n">
        <f aca="false">q26_fm*ai_sh_lo*G58*G63*G64</f>
        <v>121.32043133952</v>
      </c>
      <c r="K65" s="8" t="s">
        <v>512</v>
      </c>
    </row>
    <row r="66" customFormat="false" ht="17.15" hidden="false" customHeight="false" outlineLevel="0" collapsed="false">
      <c r="A66" s="0" t="s">
        <v>513</v>
      </c>
      <c r="B66" s="0" t="s">
        <v>170</v>
      </c>
      <c r="D66" s="16" t="n">
        <f aca="false">q26_fm*(1-ai_sh_lo)</f>
        <v>84.42</v>
      </c>
      <c r="E66" s="16" t="n">
        <f aca="false">q26_fm*(1-ai_sh_lo)*E59*E63*E64</f>
        <v>97.386912</v>
      </c>
      <c r="F66" s="16" t="n">
        <f aca="false">q26_fm*(1-ai_sh_lo)*F59*F63*F64</f>
        <v>102.9953547</v>
      </c>
      <c r="G66" s="16" t="n">
        <f aca="false">q26_fm*(1-ai_sh_lo)*G59*G63*G64</f>
        <v>103.3177749408</v>
      </c>
    </row>
    <row r="67" customFormat="false" ht="17.15" hidden="false" customHeight="false" outlineLevel="0" collapsed="false">
      <c r="A67" s="4" t="s">
        <v>514</v>
      </c>
      <c r="B67" s="0" t="s">
        <v>170</v>
      </c>
      <c r="C67" s="16" t="n">
        <f aca="false">q25_fm</f>
        <v>102.4512</v>
      </c>
      <c r="D67" s="16" t="n">
        <f aca="false">D65+D66</f>
        <v>120.6</v>
      </c>
      <c r="E67" s="16" t="n">
        <f aca="false">E65+E66</f>
        <v>170.438352</v>
      </c>
      <c r="F67" s="16" t="n">
        <f aca="false">F65+F66</f>
        <v>197.887012552895</v>
      </c>
      <c r="G67" s="16" t="n">
        <f aca="false">G65+G66</f>
        <v>224.63820628032</v>
      </c>
    </row>
    <row r="68" customFormat="false" ht="17.15" hidden="false" customHeight="false" outlineLevel="0" collapsed="false">
      <c r="A68" s="0" t="s">
        <v>515</v>
      </c>
      <c r="B68" s="0" t="s">
        <v>78</v>
      </c>
      <c r="C68" s="17" t="n">
        <f aca="false">q25_fmbp/q25_fm</f>
        <v>0.532936656671664</v>
      </c>
      <c r="D68" s="17" t="n">
        <f aca="false">q26_fmbp/q26_fm</f>
        <v>0.543117744610282</v>
      </c>
      <c r="E68" s="17" t="n">
        <f aca="false">1-(1-$D68)*(1+c_g)^1/E64</f>
        <v>0.579831497275527</v>
      </c>
      <c r="F68" s="17" t="n">
        <f aca="false">1-(1-$D68)*(1+c_g)^2/F64</f>
        <v>0.578516187180042</v>
      </c>
      <c r="G68" s="17" t="n">
        <f aca="false">1-(1-$D68)*(1+c_g)^3/G64</f>
        <v>0.554243235459607</v>
      </c>
      <c r="K68" s="8" t="s">
        <v>516</v>
      </c>
    </row>
    <row r="69" customFormat="false" ht="17.15" hidden="false" customHeight="false" outlineLevel="0" collapsed="false">
      <c r="A69" s="0" t="s">
        <v>478</v>
      </c>
      <c r="B69" s="0" t="s">
        <v>170</v>
      </c>
      <c r="C69" s="16" t="n">
        <f aca="false">q25_fmbp</f>
        <v>54.6</v>
      </c>
      <c r="D69" s="16" t="n">
        <f aca="false">D67*D68</f>
        <v>65.5</v>
      </c>
      <c r="E69" s="16" t="n">
        <f aca="false">E67*E68</f>
        <v>98.8255248333334</v>
      </c>
      <c r="F69" s="16" t="n">
        <f aca="false">F67*F68</f>
        <v>114.48083999455</v>
      </c>
      <c r="G69" s="16" t="n">
        <f aca="false">G67*G68</f>
        <v>124.504206256647</v>
      </c>
    </row>
    <row r="70" customFormat="false" ht="17.15" hidden="false" customHeight="false" outlineLevel="0" collapsed="false">
      <c r="A70" s="6" t="s">
        <v>517</v>
      </c>
    </row>
    <row r="71" customFormat="false" ht="15" hidden="false" customHeight="false" outlineLevel="0" collapsed="false">
      <c r="A71" s="4" t="s">
        <v>518</v>
      </c>
      <c r="B71" s="0" t="s">
        <v>170</v>
      </c>
      <c r="C71" s="16" t="n">
        <f aca="false">q25_sf</f>
        <v>936.926</v>
      </c>
      <c r="D71" s="16" t="n">
        <f aca="false">q26_sf</f>
        <v>998.6</v>
      </c>
      <c r="E71" s="16" t="n">
        <f aca="false">D71*(1+g_sf)</f>
        <v>1038.544</v>
      </c>
      <c r="F71" s="16" t="n">
        <f aca="false">E71*(1+g_sf)</f>
        <v>1080.08576</v>
      </c>
      <c r="G71" s="16" t="n">
        <f aca="false">F71*(1+g_sf)</f>
        <v>1123.2891904</v>
      </c>
    </row>
    <row r="72" customFormat="false" ht="15" hidden="false" customHeight="false" outlineLevel="0" collapsed="false">
      <c r="A72" s="4" t="s">
        <v>519</v>
      </c>
      <c r="B72" s="0" t="s">
        <v>170</v>
      </c>
      <c r="C72" s="16" t="n">
        <f aca="false">q25_sfbp</f>
        <v>143.036</v>
      </c>
      <c r="D72" s="16" t="n">
        <f aca="false">q26_sfbp</f>
        <v>145.9</v>
      </c>
      <c r="E72" s="16" t="n">
        <f aca="false">E71*m_sf</f>
        <v>151.736</v>
      </c>
      <c r="F72" s="16" t="n">
        <f aca="false">F71*m_sf</f>
        <v>157.80544</v>
      </c>
      <c r="G72" s="16" t="n">
        <f aca="false">G71*m_sf</f>
        <v>164.1176576</v>
      </c>
    </row>
    <row r="73" customFormat="false" ht="15" hidden="false" customHeight="false" outlineLevel="0" collapsed="false">
      <c r="A73" s="4" t="s">
        <v>520</v>
      </c>
      <c r="B73" s="0" t="s">
        <v>170</v>
      </c>
      <c r="C73" s="16" t="n">
        <f aca="false">q25_ff</f>
        <v>290.308</v>
      </c>
      <c r="D73" s="16" t="n">
        <f aca="false">q26_ff</f>
        <v>310.6</v>
      </c>
      <c r="E73" s="16" t="n">
        <f aca="false">D73*(1+g_ff)</f>
        <v>319.918</v>
      </c>
      <c r="F73" s="16" t="n">
        <f aca="false">E73*(1+g_ff)</f>
        <v>329.51554</v>
      </c>
      <c r="G73" s="16" t="n">
        <f aca="false">F73*(1+g_ff)</f>
        <v>339.4010062</v>
      </c>
    </row>
    <row r="74" customFormat="false" ht="15" hidden="false" customHeight="false" outlineLevel="0" collapsed="false">
      <c r="A74" s="4" t="s">
        <v>521</v>
      </c>
      <c r="B74" s="0" t="s">
        <v>170</v>
      </c>
      <c r="C74" s="16" t="n">
        <f aca="false">q25_ffbp</f>
        <v>8.457</v>
      </c>
      <c r="D74" s="16" t="n">
        <f aca="false">q26_ffbp</f>
        <v>12.1</v>
      </c>
      <c r="E74" s="16" t="n">
        <f aca="false">E73*m_ff</f>
        <v>14.39631</v>
      </c>
      <c r="F74" s="16" t="n">
        <f aca="false">F73*m_ff</f>
        <v>14.8281993</v>
      </c>
      <c r="G74" s="16" t="n">
        <f aca="false">G73*m_ff</f>
        <v>15.273045279</v>
      </c>
    </row>
    <row r="75" customFormat="false" ht="17.15" hidden="false" customHeight="false" outlineLevel="0" collapsed="false">
      <c r="A75" s="4" t="s">
        <v>522</v>
      </c>
      <c r="B75" s="0" t="s">
        <v>170</v>
      </c>
      <c r="C75" s="16" t="n">
        <f aca="false">q25_hox</f>
        <v>239.0528</v>
      </c>
      <c r="D75" s="16" t="n">
        <f aca="false">q26_hox</f>
        <v>286.2</v>
      </c>
      <c r="E75" s="16" t="n">
        <f aca="false">D75*(1+g_ho)</f>
        <v>300.51</v>
      </c>
      <c r="F75" s="16" t="n">
        <f aca="false">E75*(1+g_ho)</f>
        <v>315.5355</v>
      </c>
      <c r="G75" s="16" t="n">
        <f aca="false">F75*(1+g_ho)</f>
        <v>331.312275</v>
      </c>
    </row>
    <row r="76" customFormat="false" ht="17.15" hidden="false" customHeight="false" outlineLevel="0" collapsed="false">
      <c r="A76" s="4" t="s">
        <v>523</v>
      </c>
      <c r="B76" s="0" t="s">
        <v>170</v>
      </c>
      <c r="C76" s="16" t="n">
        <f aca="false">q25_hoxbp</f>
        <v>11.602</v>
      </c>
      <c r="D76" s="16" t="n">
        <f aca="false">q26_hoxbp</f>
        <v>19.5</v>
      </c>
      <c r="E76" s="16" t="n">
        <f aca="false">E75*m_ho</f>
        <v>20.475</v>
      </c>
      <c r="F76" s="16" t="n">
        <f aca="false">F75*m_ho</f>
        <v>21.49875</v>
      </c>
      <c r="G76" s="16" t="n">
        <f aca="false">G75*m_ho</f>
        <v>22.5736875</v>
      </c>
    </row>
    <row r="77" customFormat="false" ht="17.15" hidden="false" customHeight="false" outlineLevel="0" collapsed="false">
      <c r="A77" s="4" t="s">
        <v>524</v>
      </c>
      <c r="B77" s="0" t="s">
        <v>170</v>
      </c>
      <c r="C77" s="16" t="n">
        <f aca="false">q25_oth</f>
        <v>14.979</v>
      </c>
      <c r="D77" s="16" t="n">
        <f aca="false">q26_oth</f>
        <v>15.8</v>
      </c>
      <c r="E77" s="16" t="n">
        <f aca="false">D77</f>
        <v>15.8</v>
      </c>
      <c r="F77" s="16" t="n">
        <f aca="false">E77</f>
        <v>15.8</v>
      </c>
      <c r="G77" s="16" t="n">
        <f aca="false">F77</f>
        <v>15.8</v>
      </c>
      <c r="K77" s="8" t="s">
        <v>525</v>
      </c>
    </row>
    <row r="78" customFormat="false" ht="15" hidden="false" customHeight="false" outlineLevel="0" collapsed="false">
      <c r="A78" s="4" t="s">
        <v>526</v>
      </c>
      <c r="B78" s="0" t="s">
        <v>170</v>
      </c>
      <c r="C78" s="16" t="n">
        <f aca="false">q25_othbp</f>
        <v>6.064</v>
      </c>
      <c r="D78" s="16" t="n">
        <f aca="false">q26_othbp</f>
        <v>5.1</v>
      </c>
      <c r="E78" s="16" t="n">
        <f aca="false">q26_othbp</f>
        <v>5.1</v>
      </c>
      <c r="F78" s="16" t="n">
        <f aca="false">q26_othbp</f>
        <v>5.1</v>
      </c>
      <c r="G78" s="16" t="n">
        <f aca="false">q26_othbp</f>
        <v>5.1</v>
      </c>
    </row>
    <row r="79" customFormat="false" ht="15" hidden="false" customHeight="false" outlineLevel="0" collapsed="false">
      <c r="A79" s="4" t="s">
        <v>527</v>
      </c>
      <c r="B79" s="0" t="s">
        <v>170</v>
      </c>
      <c r="C79" s="16" t="n">
        <f aca="false">q25_cc</f>
        <v>-42.597</v>
      </c>
      <c r="D79" s="16" t="n">
        <f aca="false">q26_cc</f>
        <v>-46.2</v>
      </c>
      <c r="E79" s="16" t="n">
        <f aca="false">D79*(1+g_cc)</f>
        <v>-47.586</v>
      </c>
      <c r="F79" s="16" t="n">
        <f aca="false">E79*(1+g_cc)</f>
        <v>-49.01358</v>
      </c>
      <c r="G79" s="16" t="n">
        <f aca="false">F79*(1+g_cc)</f>
        <v>-50.4839874</v>
      </c>
    </row>
    <row r="80" customFormat="false" ht="17.15" hidden="false" customHeight="false" outlineLevel="0" collapsed="false">
      <c r="A80" s="4" t="s">
        <v>528</v>
      </c>
      <c r="B80" s="0" t="s">
        <v>170</v>
      </c>
      <c r="C80" s="28" t="n">
        <f aca="false">a_rev-(q25_sf+q25_ff+q25_hox+q25_fm+q25_oth)</f>
        <v>0.00200000000018008</v>
      </c>
      <c r="D80" s="28" t="n">
        <f aca="false">f_rev-(q26_sf+q26_ff+q26_hox+q26_fm+q26_oth)</f>
        <v>0.200000000000045</v>
      </c>
      <c r="E80" s="28" t="n">
        <f aca="false">$D80</f>
        <v>0.200000000000045</v>
      </c>
      <c r="F80" s="28" t="n">
        <f aca="false">$D80</f>
        <v>0.200000000000045</v>
      </c>
      <c r="G80" s="28" t="n">
        <f aca="false">$D80</f>
        <v>0.200000000000045</v>
      </c>
      <c r="K80" s="8" t="s">
        <v>529</v>
      </c>
    </row>
    <row r="81" customFormat="false" ht="15" hidden="false" customHeight="false" outlineLevel="0" collapsed="false">
      <c r="A81" s="4" t="s">
        <v>530</v>
      </c>
      <c r="B81" s="0" t="s">
        <v>170</v>
      </c>
      <c r="C81" s="28" t="n">
        <f aca="false">a_bp-(q25_sfbp+q25_ffbp+q25_hoxbp+q25_fmbp+q25_othbp+q25_cc)</f>
        <v>0.0010000000000332</v>
      </c>
      <c r="D81" s="28" t="n">
        <f aca="false">f_bp-(q26_sfbp+q26_ffbp+q26_hoxbp+q26_fmbp+q26_othbp+q26_cc)</f>
        <v>0.100000000000023</v>
      </c>
      <c r="E81" s="28" t="n">
        <f aca="false">$D81</f>
        <v>0.100000000000023</v>
      </c>
      <c r="F81" s="28" t="n">
        <f aca="false">$D81</f>
        <v>0.100000000000023</v>
      </c>
      <c r="G81" s="28" t="n">
        <f aca="false">$D81</f>
        <v>0.100000000000023</v>
      </c>
    </row>
    <row r="82" customFormat="false" ht="17.15" hidden="false" customHeight="false" outlineLevel="0" collapsed="false">
      <c r="A82" s="6" t="s">
        <v>531</v>
      </c>
    </row>
    <row r="83" customFormat="false" ht="17.15" hidden="false" customHeight="false" outlineLevel="0" collapsed="false">
      <c r="A83" s="4" t="s">
        <v>403</v>
      </c>
      <c r="B83" s="0" t="s">
        <v>170</v>
      </c>
      <c r="C83" s="16" t="n">
        <f aca="false">C71+C73+C75+C67+C77+C80</f>
        <v>1583.719</v>
      </c>
      <c r="D83" s="16" t="n">
        <f aca="false">D71+D73+D75+D67+D77+D80</f>
        <v>1732</v>
      </c>
      <c r="E83" s="16" t="n">
        <f aca="false">E71+E73+E75+E67+E77+E80</f>
        <v>1845.410352</v>
      </c>
      <c r="F83" s="16" t="n">
        <f aca="false">F71+F73+F75+F67+F77+F80</f>
        <v>1939.0238125529</v>
      </c>
      <c r="G83" s="16" t="n">
        <f aca="false">G71+G73+G75+G67+G77+G80</f>
        <v>2034.64067788032</v>
      </c>
      <c r="H83" s="24" t="n">
        <f aca="false">G83*(1+H87)</f>
        <v>2142.22143179469</v>
      </c>
      <c r="I83" s="24" t="n">
        <f aca="false">H83*(1+I87)</f>
        <v>2263.12259483591</v>
      </c>
      <c r="J83" s="24" t="n">
        <f aca="false">I83*(1+J87)</f>
        <v>2398.90995052606</v>
      </c>
      <c r="K83" s="8" t="s">
        <v>532</v>
      </c>
    </row>
    <row r="84" customFormat="false" ht="17.15" hidden="false" customHeight="false" outlineLevel="0" collapsed="false">
      <c r="A84" s="4" t="s">
        <v>533</v>
      </c>
      <c r="B84" s="0" t="s">
        <v>170</v>
      </c>
      <c r="C84" s="16" t="n">
        <f aca="false">C67+C75</f>
        <v>341.504</v>
      </c>
      <c r="D84" s="16" t="n">
        <f aca="false">D67+D75</f>
        <v>406.8</v>
      </c>
      <c r="E84" s="16" t="n">
        <f aca="false">E67+E75</f>
        <v>470.948352</v>
      </c>
      <c r="F84" s="16" t="n">
        <f aca="false">F67+F75</f>
        <v>513.422512552895</v>
      </c>
      <c r="G84" s="16" t="n">
        <f aca="false">G67+G75</f>
        <v>555.95048128032</v>
      </c>
      <c r="K84" s="4" t="s">
        <v>534</v>
      </c>
    </row>
    <row r="85" customFormat="false" ht="17.15" hidden="false" customHeight="false" outlineLevel="0" collapsed="false">
      <c r="A85" s="4" t="s">
        <v>535</v>
      </c>
      <c r="B85" s="0" t="s">
        <v>170</v>
      </c>
      <c r="C85" s="16" t="n">
        <f aca="false">C77+C80</f>
        <v>14.9810000000002</v>
      </c>
      <c r="D85" s="16" t="n">
        <f aca="false">D77+D80</f>
        <v>16</v>
      </c>
      <c r="E85" s="16" t="n">
        <f aca="false">E77+E80</f>
        <v>16</v>
      </c>
      <c r="F85" s="16" t="n">
        <f aca="false">F77+F80</f>
        <v>16</v>
      </c>
      <c r="G85" s="16" t="n">
        <f aca="false">G77+G80</f>
        <v>16</v>
      </c>
      <c r="K85" s="8" t="s">
        <v>536</v>
      </c>
    </row>
    <row r="86" customFormat="false" ht="15" hidden="false" customHeight="false" outlineLevel="0" collapsed="false">
      <c r="A86" s="4" t="s">
        <v>537</v>
      </c>
      <c r="B86" s="0" t="s">
        <v>170</v>
      </c>
      <c r="C86" s="22" t="n">
        <f aca="false">C71+C73+C84+C85-C83</f>
        <v>0</v>
      </c>
      <c r="D86" s="22" t="n">
        <f aca="false">D71+D73+D84+D85-D83</f>
        <v>0</v>
      </c>
      <c r="E86" s="22" t="n">
        <f aca="false">E71+E73+E84+E85-E83</f>
        <v>0</v>
      </c>
      <c r="F86" s="22" t="n">
        <f aca="false">F71+F73+F84+F85-F83</f>
        <v>0</v>
      </c>
      <c r="G86" s="22" t="n">
        <f aca="false">G71+G73+G84+G85-G83</f>
        <v>0</v>
      </c>
    </row>
    <row r="87" customFormat="false" ht="15" hidden="false" customHeight="false" outlineLevel="0" collapsed="false">
      <c r="A87" s="4" t="s">
        <v>538</v>
      </c>
      <c r="B87" s="0" t="s">
        <v>78</v>
      </c>
      <c r="D87" s="17" t="n">
        <f aca="false">D83/C83-1</f>
        <v>0.0936283519993131</v>
      </c>
      <c r="E87" s="17" t="n">
        <f aca="false">E83/D83-1</f>
        <v>0.0654794180138567</v>
      </c>
      <c r="F87" s="17" t="n">
        <f aca="false">F83/E83-1</f>
        <v>0.0507277205047862</v>
      </c>
      <c r="G87" s="17" t="n">
        <f aca="false">G83/F83-1</f>
        <v>0.0493118571873221</v>
      </c>
      <c r="H87" s="25" t="n">
        <f aca="false">$G87+(fade_gA-$G87)*1/3</f>
        <v>0.0528745714582147</v>
      </c>
      <c r="I87" s="25" t="n">
        <f aca="false">$G87+(fade_gA-$G87)*2/3</f>
        <v>0.0564372857291074</v>
      </c>
      <c r="J87" s="25" t="n">
        <f aca="false">$G87+(fade_gA-$G87)*3/3</f>
        <v>0.06</v>
      </c>
    </row>
    <row r="88" customFormat="false" ht="17.15" hidden="false" customHeight="false" outlineLevel="0" collapsed="false">
      <c r="A88" s="0" t="s">
        <v>539</v>
      </c>
      <c r="B88" s="0" t="s">
        <v>78</v>
      </c>
      <c r="C88" s="17" t="n">
        <f aca="false">C67/C83</f>
        <v>0.0646902638662541</v>
      </c>
      <c r="D88" s="17" t="n">
        <f aca="false">D67/D83</f>
        <v>0.0696304849884527</v>
      </c>
      <c r="E88" s="17" t="n">
        <f aca="false">E67/E83</f>
        <v>0.0923579689554055</v>
      </c>
      <c r="F88" s="17" t="n">
        <f aca="false">F67/F83</f>
        <v>0.102054967696533</v>
      </c>
      <c r="G88" s="17" t="n">
        <f aca="false">G67/G83</f>
        <v>0.110406819603325</v>
      </c>
    </row>
    <row r="89" customFormat="false" ht="15" hidden="false" customHeight="false" outlineLevel="0" collapsed="false">
      <c r="A89" s="4" t="s">
        <v>413</v>
      </c>
      <c r="B89" s="0" t="s">
        <v>170</v>
      </c>
      <c r="C89" s="16" t="n">
        <f aca="false">C72+C74+C76+C69+C78+C79+C81</f>
        <v>181.163</v>
      </c>
      <c r="D89" s="16" t="n">
        <f aca="false">D72+D74+D76+D69+D78+D79+D81</f>
        <v>202</v>
      </c>
      <c r="E89" s="16" t="n">
        <f aca="false">E72+E74+E76+E69+E78+E79+E81</f>
        <v>243.046834833333</v>
      </c>
      <c r="F89" s="16" t="n">
        <f aca="false">F72+F74+F76+F69+F78+F79+F81</f>
        <v>264.79964929455</v>
      </c>
      <c r="G89" s="16" t="n">
        <f aca="false">G72+G74+G76+G69+G78+G79+G81</f>
        <v>281.184609235647</v>
      </c>
    </row>
    <row r="90" customFormat="false" ht="15" hidden="false" customHeight="false" outlineLevel="0" collapsed="false">
      <c r="A90" s="4" t="s">
        <v>429</v>
      </c>
      <c r="B90" s="0" t="s">
        <v>78</v>
      </c>
      <c r="C90" s="17" t="n">
        <f aca="false">C89/C83</f>
        <v>0.114390873633517</v>
      </c>
      <c r="D90" s="17" t="n">
        <f aca="false">D89/D83</f>
        <v>0.11662817551963</v>
      </c>
      <c r="E90" s="17" t="n">
        <f aca="false">E89/E83</f>
        <v>0.131703409255251</v>
      </c>
      <c r="F90" s="17" t="n">
        <f aca="false">F89/F83</f>
        <v>0.136563381831767</v>
      </c>
      <c r="G90" s="17" t="n">
        <f aca="false">G89/G83</f>
        <v>0.13819865703687</v>
      </c>
    </row>
    <row r="91" customFormat="false" ht="17.15" hidden="false" customHeight="false" outlineLevel="0" collapsed="false">
      <c r="A91" s="0" t="s">
        <v>540</v>
      </c>
      <c r="B91" s="0" t="s">
        <v>78</v>
      </c>
      <c r="C91" s="17" t="n">
        <f aca="false">C69/C89</f>
        <v>0.301386044611758</v>
      </c>
      <c r="D91" s="17" t="n">
        <f aca="false">D69/D89</f>
        <v>0.324257425742574</v>
      </c>
      <c r="E91" s="17" t="n">
        <f aca="false">E69/E89</f>
        <v>0.406611034046594</v>
      </c>
      <c r="F91" s="17" t="n">
        <f aca="false">F69/F89</f>
        <v>0.432330028757731</v>
      </c>
      <c r="G91" s="17" t="n">
        <f aca="false">G69/G89</f>
        <v>0.442784569877742</v>
      </c>
    </row>
    <row r="92" customFormat="false" ht="17.15" hidden="false" customHeight="false" outlineLevel="0" collapsed="false">
      <c r="A92" s="4" t="s">
        <v>430</v>
      </c>
      <c r="B92" s="0" t="s">
        <v>53</v>
      </c>
      <c r="C92" s="22" t="n">
        <f aca="false">q25_ni/q25_bp</f>
        <v>0.743391310587703</v>
      </c>
      <c r="D92" s="22" t="n">
        <f aca="false">q26_ni/q26_bp</f>
        <v>0.611386138613861</v>
      </c>
      <c r="E92" s="22" t="n">
        <f aca="false">ni_bp</f>
        <v>0.62</v>
      </c>
      <c r="F92" s="22" t="n">
        <f aca="false">ni_bp</f>
        <v>0.62</v>
      </c>
      <c r="G92" s="22" t="n">
        <f aca="false">ni_bp</f>
        <v>0.62</v>
      </c>
    </row>
    <row r="93" customFormat="false" ht="15" hidden="false" customHeight="false" outlineLevel="0" collapsed="false">
      <c r="A93" s="4" t="s">
        <v>420</v>
      </c>
      <c r="B93" s="0" t="s">
        <v>170</v>
      </c>
      <c r="C93" s="16" t="n">
        <f aca="false">q25_ni</f>
        <v>134.675</v>
      </c>
      <c r="D93" s="16" t="n">
        <f aca="false">q26_ni</f>
        <v>123.5</v>
      </c>
      <c r="E93" s="16" t="n">
        <f aca="false">E89*E92</f>
        <v>150.689037596667</v>
      </c>
      <c r="F93" s="16" t="n">
        <f aca="false">F89*F92</f>
        <v>164.175782562621</v>
      </c>
      <c r="G93" s="16" t="n">
        <f aca="false">G89*G92</f>
        <v>174.334457726101</v>
      </c>
      <c r="H93" s="24" t="n">
        <f aca="false">H83*H97</f>
        <v>185.211245021432</v>
      </c>
      <c r="I93" s="24" t="n">
        <f aca="false">I83*I97</f>
        <v>197.416617897906</v>
      </c>
      <c r="J93" s="24" t="n">
        <f aca="false">J83*J97</f>
        <v>211.119321067994</v>
      </c>
    </row>
    <row r="94" customFormat="false" ht="15" hidden="false" customHeight="false" outlineLevel="0" collapsed="false">
      <c r="A94" s="4" t="s">
        <v>541</v>
      </c>
      <c r="B94" s="4" t="s">
        <v>317</v>
      </c>
      <c r="C94" s="20" t="n">
        <f aca="false">q25_sh</f>
        <v>0.973366579936398</v>
      </c>
      <c r="D94" s="20" t="n">
        <f aca="false">q26_sh</f>
        <v>0.95117067159581</v>
      </c>
      <c r="E94" s="20" t="n">
        <f aca="false">D94*(1+sh_g)</f>
        <v>0.936903111521873</v>
      </c>
      <c r="F94" s="20" t="n">
        <f aca="false">E94*(1+sh_g)</f>
        <v>0.922849564849045</v>
      </c>
      <c r="G94" s="20" t="n">
        <f aca="false">F94*(1+sh_g)</f>
        <v>0.909006821376309</v>
      </c>
      <c r="H94" s="29" t="n">
        <f aca="false">G94*(1+sh_g)</f>
        <v>0.895371719055665</v>
      </c>
      <c r="I94" s="29" t="n">
        <f aca="false">H94*(1+sh_g)</f>
        <v>0.88194114326983</v>
      </c>
      <c r="J94" s="29" t="n">
        <f aca="false">I94*(1+sh_g)</f>
        <v>0.868712026120782</v>
      </c>
    </row>
    <row r="95" customFormat="false" ht="17.15" hidden="false" customHeight="false" outlineLevel="0" collapsed="false">
      <c r="A95" s="0" t="s">
        <v>542</v>
      </c>
      <c r="B95" s="0" t="s">
        <v>208</v>
      </c>
      <c r="C95" s="21" t="n">
        <f aca="false">C93/C94</f>
        <v>138.36</v>
      </c>
      <c r="D95" s="21" t="n">
        <f aca="false">D93/D94</f>
        <v>129.84</v>
      </c>
      <c r="E95" s="21" t="n">
        <f aca="false">E93/E94</f>
        <v>160.837375544513</v>
      </c>
      <c r="F95" s="21" t="n">
        <f aca="false">F93/F94</f>
        <v>177.900915616161</v>
      </c>
      <c r="G95" s="21" t="n">
        <f aca="false">G93/G94</f>
        <v>191.785642996765</v>
      </c>
      <c r="H95" s="27" t="n">
        <f aca="false">H93/H94</f>
        <v>206.854026187885</v>
      </c>
      <c r="I95" s="27" t="n">
        <f aca="false">I93/I94</f>
        <v>223.843302248012</v>
      </c>
      <c r="J95" s="27" t="n">
        <f aca="false">J93/J94</f>
        <v>243.025668714112</v>
      </c>
    </row>
    <row r="96" customFormat="false" ht="17.15" hidden="false" customHeight="false" outlineLevel="0" collapsed="false">
      <c r="A96" s="0" t="s">
        <v>543</v>
      </c>
      <c r="B96" s="0" t="s">
        <v>78</v>
      </c>
      <c r="D96" s="17" t="n">
        <f aca="false">D95/C95-1</f>
        <v>-0.0615784908933218</v>
      </c>
      <c r="E96" s="17" t="n">
        <f aca="false">E95/D95-1</f>
        <v>0.238735178254109</v>
      </c>
      <c r="F96" s="17" t="n">
        <f aca="false">F95/E95-1</f>
        <v>0.106091883269539</v>
      </c>
      <c r="G96" s="17" t="n">
        <f aca="false">G95/F95-1</f>
        <v>0.0780475318663452</v>
      </c>
      <c r="H96" s="25" t="n">
        <f aca="false">H95/G95-1</f>
        <v>0.0785688801083688</v>
      </c>
      <c r="I96" s="25" t="n">
        <f aca="false">I95/H95-1</f>
        <v>0.0821317156509995</v>
      </c>
      <c r="J96" s="25" t="n">
        <f aca="false">J95/I95-1</f>
        <v>0.0856955123224801</v>
      </c>
    </row>
    <row r="97" customFormat="false" ht="15" hidden="false" customHeight="false" outlineLevel="0" collapsed="false">
      <c r="A97" s="4" t="s">
        <v>544</v>
      </c>
      <c r="B97" s="0" t="s">
        <v>78</v>
      </c>
      <c r="C97" s="14" t="n">
        <f aca="false">C93/C83</f>
        <v>0.0850371814696925</v>
      </c>
      <c r="D97" s="14" t="n">
        <f aca="false">D93/D83</f>
        <v>0.0713048498845266</v>
      </c>
      <c r="E97" s="14" t="n">
        <f aca="false">E93/E83</f>
        <v>0.0816561137382558</v>
      </c>
      <c r="F97" s="14" t="n">
        <f aca="false">F93/F83</f>
        <v>0.0846692967356956</v>
      </c>
      <c r="G97" s="14" t="n">
        <f aca="false">G93/G83</f>
        <v>0.0856831673628594</v>
      </c>
      <c r="H97" s="26" t="n">
        <f aca="false">$G97+(fade_mA-$G97)*1/3</f>
        <v>0.0864575632903956</v>
      </c>
      <c r="I97" s="26" t="n">
        <f aca="false">$G97+(fade_mA-$G97)*2/3</f>
        <v>0.0872319592179318</v>
      </c>
      <c r="J97" s="26" t="n">
        <f aca="false">$G97+(fade_mA-$G97)*3/3</f>
        <v>0.088006355145468</v>
      </c>
    </row>
    <row r="98" customFormat="false" ht="17.15" hidden="false" customHeight="false" outlineLevel="0" collapsed="false">
      <c r="A98" s="0" t="s">
        <v>545</v>
      </c>
      <c r="B98" s="0" t="s">
        <v>208</v>
      </c>
      <c r="D98" s="21" t="n">
        <f aca="false">D69*D92/D94</f>
        <v>42.1015841584158</v>
      </c>
      <c r="E98" s="21" t="n">
        <f aca="false">E69*E92/E94</f>
        <v>65.3982515834949</v>
      </c>
      <c r="F98" s="21" t="n">
        <f aca="false">F69*F92/F94</f>
        <v>76.9119079643615</v>
      </c>
      <c r="G98" s="21" t="n">
        <f aca="false">G69*G92/G94</f>
        <v>84.919723443049</v>
      </c>
      <c r="K98" s="8" t="s">
        <v>546</v>
      </c>
    </row>
    <row r="99" customFormat="false" ht="17.15" hidden="false" customHeight="false" outlineLevel="0" collapsed="false">
      <c r="A99" s="0" t="s">
        <v>547</v>
      </c>
      <c r="B99" s="0" t="s">
        <v>208</v>
      </c>
      <c r="D99" s="21" t="n">
        <f aca="false">D95-D98</f>
        <v>87.7384158415842</v>
      </c>
      <c r="E99" s="21" t="n">
        <f aca="false">E95-E98</f>
        <v>95.4391239610185</v>
      </c>
      <c r="F99" s="21" t="n">
        <f aca="false">F95-F98</f>
        <v>100.989007651799</v>
      </c>
      <c r="G99" s="21" t="n">
        <f aca="false">G95-G98</f>
        <v>106.865919553716</v>
      </c>
    </row>
    <row r="100" customFormat="false" ht="17.15" hidden="false" customHeight="false" outlineLevel="0" collapsed="false">
      <c r="A100" s="0" t="s">
        <v>548</v>
      </c>
      <c r="B100" s="0" t="s">
        <v>455</v>
      </c>
      <c r="D100" s="16" t="n">
        <f aca="false">D65/D55*1000/150</f>
        <v>17.6315789473684</v>
      </c>
      <c r="E100" s="16" t="n">
        <f aca="false">E65/E55*1000/150</f>
        <v>23.3018947368421</v>
      </c>
      <c r="F100" s="16" t="n">
        <f aca="false">F65/F55*1000/150</f>
        <v>27.3857598421053</v>
      </c>
      <c r="G100" s="16" t="n">
        <f aca="false">G65/G55*1000/150</f>
        <v>30.82328032</v>
      </c>
      <c r="K100" s="8" t="s">
        <v>549</v>
      </c>
    </row>
    <row r="103" customFormat="false" ht="17.15" hidden="false" customHeight="false" outlineLevel="0" collapsed="false">
      <c r="A103" s="1" t="s">
        <v>938</v>
      </c>
    </row>
    <row r="104" customFormat="false" ht="17.15" hidden="false" customHeight="false" outlineLevel="0" collapsed="false">
      <c r="A104" s="5" t="s">
        <v>20</v>
      </c>
      <c r="B104" s="5" t="s">
        <v>21</v>
      </c>
      <c r="C104" s="15" t="s">
        <v>398</v>
      </c>
      <c r="D104" s="15" t="s">
        <v>470</v>
      </c>
      <c r="E104" s="15" t="s">
        <v>435</v>
      </c>
      <c r="F104" s="15" t="s">
        <v>436</v>
      </c>
      <c r="G104" s="15" t="s">
        <v>437</v>
      </c>
      <c r="H104" s="15" t="s">
        <v>471</v>
      </c>
      <c r="I104" s="15" t="s">
        <v>472</v>
      </c>
      <c r="J104" s="15" t="s">
        <v>473</v>
      </c>
      <c r="K104" s="5" t="s">
        <v>377</v>
      </c>
    </row>
    <row r="105" customFormat="false" ht="17.15" hidden="false" customHeight="false" outlineLevel="0" collapsed="false">
      <c r="A105" s="6" t="s">
        <v>493</v>
      </c>
    </row>
    <row r="106" customFormat="false" ht="17.15" hidden="false" customHeight="false" outlineLevel="0" collapsed="false">
      <c r="A106" s="0" t="s">
        <v>494</v>
      </c>
      <c r="B106" s="4" t="s">
        <v>31</v>
      </c>
      <c r="D106" s="21" t="n">
        <f aca="false">unv_26</f>
        <v>7.6</v>
      </c>
      <c r="E106" s="21" t="n">
        <f aca="false">unv_27</f>
        <v>9.7</v>
      </c>
      <c r="F106" s="21" t="n">
        <f aca="false">unv_28*um28_A</f>
        <v>9.5</v>
      </c>
      <c r="G106" s="21" t="n">
        <f aca="false">unv_29*um29_A</f>
        <v>10.6</v>
      </c>
      <c r="K106" s="8" t="s">
        <v>495</v>
      </c>
    </row>
    <row r="107" customFormat="false" ht="17.15" hidden="false" customHeight="false" outlineLevel="0" collapsed="false">
      <c r="A107" s="4" t="s">
        <v>496</v>
      </c>
      <c r="B107" s="4" t="s">
        <v>31</v>
      </c>
      <c r="D107" s="21" t="n">
        <f aca="false">uot_26</f>
        <v>7.6</v>
      </c>
      <c r="E107" s="21" t="n">
        <f aca="false">uot_27</f>
        <v>14</v>
      </c>
      <c r="F107" s="21" t="n">
        <f aca="false">uot_28*um28_A</f>
        <v>17</v>
      </c>
      <c r="G107" s="21" t="n">
        <f aca="false">uot_29*um29_A</f>
        <v>19.55</v>
      </c>
      <c r="K107" s="8" t="s">
        <v>497</v>
      </c>
    </row>
    <row r="108" customFormat="false" ht="17.15" hidden="false" customHeight="false" outlineLevel="0" collapsed="false">
      <c r="A108" s="4" t="s">
        <v>498</v>
      </c>
      <c r="B108" s="4" t="s">
        <v>31</v>
      </c>
      <c r="D108" s="21" t="n">
        <f aca="false">D106+v_ot*D107</f>
        <v>13.68</v>
      </c>
      <c r="E108" s="21" t="n">
        <f aca="false">E106+v_ot*E107</f>
        <v>20.9</v>
      </c>
      <c r="F108" s="21" t="n">
        <f aca="false">F106+v_ot*F107</f>
        <v>23.1</v>
      </c>
      <c r="G108" s="21" t="n">
        <f aca="false">G106+v_ot*G107</f>
        <v>26.24</v>
      </c>
    </row>
    <row r="109" customFormat="false" ht="17.15" hidden="false" customHeight="false" outlineLevel="0" collapsed="false">
      <c r="A109" s="4" t="s">
        <v>499</v>
      </c>
      <c r="B109" s="0" t="s">
        <v>53</v>
      </c>
      <c r="D109" s="22" t="n">
        <f aca="false">1</f>
        <v>1</v>
      </c>
      <c r="E109" s="22" t="n">
        <f aca="false">D109*(1+g_asp)</f>
        <v>1.18</v>
      </c>
      <c r="F109" s="22" t="n">
        <f aca="false">E109*(1+g_asp)</f>
        <v>1.3924</v>
      </c>
      <c r="G109" s="22" t="n">
        <f aca="false">F109*(1+g_asp)</f>
        <v>1.643032</v>
      </c>
    </row>
    <row r="110" customFormat="false" ht="17.15" hidden="false" customHeight="false" outlineLevel="0" collapsed="false">
      <c r="A110" s="4" t="s">
        <v>500</v>
      </c>
      <c r="B110" s="0" t="s">
        <v>53</v>
      </c>
      <c r="D110" s="19" t="n">
        <f aca="false">1</f>
        <v>1</v>
      </c>
      <c r="E110" s="19" t="n">
        <f aca="false">rel_27</f>
        <v>1</v>
      </c>
      <c r="F110" s="19" t="n">
        <f aca="false">rel_28</f>
        <v>0.97</v>
      </c>
      <c r="G110" s="19" t="n">
        <f aca="false">rel_29</f>
        <v>0.95</v>
      </c>
    </row>
    <row r="111" customFormat="false" ht="17.15" hidden="false" customHeight="false" outlineLevel="0" collapsed="false">
      <c r="A111" s="0" t="s">
        <v>501</v>
      </c>
      <c r="B111" s="0" t="s">
        <v>53</v>
      </c>
      <c r="D111" s="22" t="n">
        <f aca="false">D108/$D108*D109*D110</f>
        <v>1</v>
      </c>
      <c r="E111" s="22" t="n">
        <f aca="false">E108/$D108*E109*E110</f>
        <v>1.80277777777778</v>
      </c>
      <c r="F111" s="22" t="n">
        <f aca="false">F108/$D108*F109*F110</f>
        <v>2.28066570175439</v>
      </c>
      <c r="G111" s="22" t="n">
        <f aca="false">G108/$D108*G109*G110</f>
        <v>2.99396942222222</v>
      </c>
      <c r="K111" s="4" t="s">
        <v>502</v>
      </c>
    </row>
    <row r="112" customFormat="false" ht="17.15" hidden="false" customHeight="false" outlineLevel="0" collapsed="false">
      <c r="A112" s="4" t="s">
        <v>503</v>
      </c>
      <c r="B112" s="0" t="s">
        <v>53</v>
      </c>
      <c r="D112" s="22" t="n">
        <f aca="false">1</f>
        <v>1</v>
      </c>
      <c r="E112" s="22" t="n">
        <f aca="false">D112*(1+g_nai)</f>
        <v>1.03</v>
      </c>
      <c r="F112" s="22" t="n">
        <f aca="false">E112*(1+g_nai)</f>
        <v>1.0609</v>
      </c>
      <c r="G112" s="22" t="n">
        <f aca="false">F112*(1+g_nai)</f>
        <v>1.092727</v>
      </c>
    </row>
    <row r="113" customFormat="false" ht="17.15" hidden="false" customHeight="false" outlineLevel="0" collapsed="false">
      <c r="A113" s="0" t="s">
        <v>504</v>
      </c>
      <c r="B113" s="0" t="s">
        <v>53</v>
      </c>
      <c r="D113" s="22" t="n">
        <f aca="false">ai_sh_hi*D111+(1-ai_sh_hi)*D112</f>
        <v>1</v>
      </c>
      <c r="E113" s="22" t="n">
        <f aca="false">ai_sh_hi*E111+(1-ai_sh_hi)*E112</f>
        <v>1.41638888888889</v>
      </c>
      <c r="F113" s="22" t="n">
        <f aca="false">ai_sh_hi*F111+(1-ai_sh_hi)*F112</f>
        <v>1.67078285087719</v>
      </c>
      <c r="G113" s="22" t="n">
        <f aca="false">ai_sh_hi*G111+(1-ai_sh_hi)*G112</f>
        <v>2.04334821111111</v>
      </c>
    </row>
    <row r="114" customFormat="false" ht="17.15" hidden="false" customHeight="false" outlineLevel="0" collapsed="false">
      <c r="A114" s="4" t="s">
        <v>505</v>
      </c>
      <c r="B114" s="0" t="s">
        <v>53</v>
      </c>
      <c r="D114" s="22" t="n">
        <f aca="false">1</f>
        <v>1</v>
      </c>
      <c r="E114" s="22" t="n">
        <f aca="false">cap_27</f>
        <v>1.3</v>
      </c>
      <c r="F114" s="22" t="n">
        <f aca="false">cap_28</f>
        <v>1.55</v>
      </c>
      <c r="G114" s="22" t="n">
        <f aca="false">cap_29</f>
        <v>1.8</v>
      </c>
      <c r="K114" s="4" t="s">
        <v>506</v>
      </c>
    </row>
    <row r="115" customFormat="false" ht="17.15" hidden="false" customHeight="false" outlineLevel="0" collapsed="false">
      <c r="A115" s="4" t="s">
        <v>507</v>
      </c>
      <c r="B115" s="0" t="s">
        <v>53</v>
      </c>
      <c r="D115" s="22" t="n">
        <f aca="false">MIN(D113,D114)</f>
        <v>1</v>
      </c>
      <c r="E115" s="22" t="n">
        <f aca="false">MIN(E113,E114)</f>
        <v>1.3</v>
      </c>
      <c r="F115" s="22" t="n">
        <f aca="false">MIN(F113,F114)</f>
        <v>1.55</v>
      </c>
      <c r="G115" s="22" t="n">
        <f aca="false">MIN(G113,G114)</f>
        <v>1.8</v>
      </c>
    </row>
    <row r="116" customFormat="false" ht="17.15" hidden="false" customHeight="false" outlineLevel="0" collapsed="false">
      <c r="A116" s="4" t="s">
        <v>508</v>
      </c>
      <c r="B116" s="0" t="s">
        <v>78</v>
      </c>
      <c r="D116" s="17" t="n">
        <f aca="false">D115/D113</f>
        <v>1</v>
      </c>
      <c r="E116" s="17" t="n">
        <f aca="false">E115/E113</f>
        <v>0.917827024906845</v>
      </c>
      <c r="F116" s="17" t="n">
        <f aca="false">F115/F113</f>
        <v>0.927708827742768</v>
      </c>
      <c r="G116" s="17" t="n">
        <f aca="false">G115/G113</f>
        <v>0.880907125967147</v>
      </c>
      <c r="K116" s="4" t="s">
        <v>509</v>
      </c>
    </row>
    <row r="117" customFormat="false" ht="17.15" hidden="false" customHeight="false" outlineLevel="0" collapsed="false">
      <c r="A117" s="0" t="s">
        <v>510</v>
      </c>
      <c r="B117" s="0" t="s">
        <v>53</v>
      </c>
      <c r="D117" s="22" t="n">
        <f aca="false">1</f>
        <v>1</v>
      </c>
      <c r="E117" s="22" t="n">
        <f aca="false">pp_27</f>
        <v>1.12</v>
      </c>
      <c r="F117" s="22" t="n">
        <f aca="false">pp_28*sp_A</f>
        <v>1.15</v>
      </c>
      <c r="G117" s="22" t="n">
        <f aca="false">pp_29*sp_A</f>
        <v>1.12</v>
      </c>
      <c r="K117" s="8" t="s">
        <v>511</v>
      </c>
    </row>
    <row r="118" customFormat="false" ht="17.15" hidden="false" customHeight="false" outlineLevel="0" collapsed="false">
      <c r="A118" s="0" t="s">
        <v>452</v>
      </c>
      <c r="B118" s="0" t="s">
        <v>170</v>
      </c>
      <c r="D118" s="16" t="n">
        <f aca="false">q26_fm*ai_sh_hi</f>
        <v>60.3</v>
      </c>
      <c r="E118" s="16" t="n">
        <f aca="false">q26_fm*ai_sh_hi*E111*E116*E117</f>
        <v>111.747643067268</v>
      </c>
      <c r="F118" s="16" t="n">
        <f aca="false">q26_fm*ai_sh_hi*F111*F116*F117</f>
        <v>146.719714448795</v>
      </c>
      <c r="G118" s="16" t="n">
        <f aca="false">q26_fm*ai_sh_hi*G111*G116*G117</f>
        <v>178.120054153985</v>
      </c>
      <c r="K118" s="8" t="s">
        <v>512</v>
      </c>
    </row>
    <row r="119" customFormat="false" ht="17.15" hidden="false" customHeight="false" outlineLevel="0" collapsed="false">
      <c r="A119" s="0" t="s">
        <v>513</v>
      </c>
      <c r="B119" s="0" t="s">
        <v>170</v>
      </c>
      <c r="D119" s="16" t="n">
        <f aca="false">q26_fm*(1-ai_sh_hi)</f>
        <v>60.3</v>
      </c>
      <c r="E119" s="16" t="n">
        <f aca="false">q26_fm*(1-ai_sh_hi)*E112*E116*E117</f>
        <v>63.8459569327319</v>
      </c>
      <c r="F119" s="16" t="n">
        <f aca="false">q26_fm*(1-ai_sh_hi)*F112*F116*F117</f>
        <v>68.2497855512054</v>
      </c>
      <c r="G119" s="16" t="n">
        <f aca="false">q26_fm*(1-ai_sh_hi)*G112*G116*G117</f>
        <v>65.0095458460148</v>
      </c>
    </row>
    <row r="120" customFormat="false" ht="17.15" hidden="false" customHeight="false" outlineLevel="0" collapsed="false">
      <c r="A120" s="4" t="s">
        <v>514</v>
      </c>
      <c r="B120" s="0" t="s">
        <v>170</v>
      </c>
      <c r="C120" s="16" t="n">
        <f aca="false">q25_fm</f>
        <v>102.4512</v>
      </c>
      <c r="D120" s="16" t="n">
        <f aca="false">D118+D119</f>
        <v>120.6</v>
      </c>
      <c r="E120" s="16" t="n">
        <f aca="false">E118+E119</f>
        <v>175.5936</v>
      </c>
      <c r="F120" s="16" t="n">
        <f aca="false">F118+F119</f>
        <v>214.9695</v>
      </c>
      <c r="G120" s="16" t="n">
        <f aca="false">G118+G119</f>
        <v>243.1296</v>
      </c>
    </row>
    <row r="121" customFormat="false" ht="17.15" hidden="false" customHeight="false" outlineLevel="0" collapsed="false">
      <c r="A121" s="0" t="s">
        <v>515</v>
      </c>
      <c r="B121" s="0" t="s">
        <v>78</v>
      </c>
      <c r="C121" s="17" t="n">
        <f aca="false">q25_fmbp/q25_fm</f>
        <v>0.532936656671664</v>
      </c>
      <c r="D121" s="17" t="n">
        <f aca="false">q26_fmbp/q26_fm</f>
        <v>0.543117744610282</v>
      </c>
      <c r="E121" s="17" t="n">
        <f aca="false">1-(1-$D121)*(1+c_g)^1/E117</f>
        <v>0.579831497275527</v>
      </c>
      <c r="F121" s="17" t="n">
        <f aca="false">1-(1-$D121)*(1+c_g)^2/F117</f>
        <v>0.578516187180042</v>
      </c>
      <c r="G121" s="17" t="n">
        <f aca="false">1-(1-$D121)*(1+c_g)^3/G117</f>
        <v>0.554243235459607</v>
      </c>
      <c r="K121" s="8" t="s">
        <v>516</v>
      </c>
    </row>
    <row r="122" customFormat="false" ht="17.15" hidden="false" customHeight="false" outlineLevel="0" collapsed="false">
      <c r="A122" s="0" t="s">
        <v>478</v>
      </c>
      <c r="B122" s="0" t="s">
        <v>170</v>
      </c>
      <c r="C122" s="16" t="n">
        <f aca="false">q25_fmbp</f>
        <v>54.6</v>
      </c>
      <c r="D122" s="16" t="n">
        <f aca="false">D120*D121</f>
        <v>65.5</v>
      </c>
      <c r="E122" s="16" t="n">
        <f aca="false">E120*E121</f>
        <v>101.8147</v>
      </c>
      <c r="F122" s="16" t="n">
        <f aca="false">F120*F121</f>
        <v>124.3633355</v>
      </c>
      <c r="G122" s="16" t="n">
        <f aca="false">G120*G121</f>
        <v>134.75293614</v>
      </c>
    </row>
    <row r="123" customFormat="false" ht="17.15" hidden="false" customHeight="false" outlineLevel="0" collapsed="false">
      <c r="A123" s="6" t="s">
        <v>517</v>
      </c>
    </row>
    <row r="124" customFormat="false" ht="15" hidden="false" customHeight="false" outlineLevel="0" collapsed="false">
      <c r="A124" s="4" t="s">
        <v>518</v>
      </c>
      <c r="B124" s="0" t="s">
        <v>170</v>
      </c>
      <c r="C124" s="16" t="n">
        <f aca="false">q25_sf</f>
        <v>936.926</v>
      </c>
      <c r="D124" s="16" t="n">
        <f aca="false">q26_sf</f>
        <v>998.6</v>
      </c>
      <c r="E124" s="16" t="n">
        <f aca="false">D124*(1+g_sf)</f>
        <v>1038.544</v>
      </c>
      <c r="F124" s="16" t="n">
        <f aca="false">E124*(1+g_sf)</f>
        <v>1080.08576</v>
      </c>
      <c r="G124" s="16" t="n">
        <f aca="false">F124*(1+g_sf)</f>
        <v>1123.2891904</v>
      </c>
    </row>
    <row r="125" customFormat="false" ht="15" hidden="false" customHeight="false" outlineLevel="0" collapsed="false">
      <c r="A125" s="4" t="s">
        <v>519</v>
      </c>
      <c r="B125" s="0" t="s">
        <v>170</v>
      </c>
      <c r="C125" s="16" t="n">
        <f aca="false">q25_sfbp</f>
        <v>143.036</v>
      </c>
      <c r="D125" s="16" t="n">
        <f aca="false">q26_sfbp</f>
        <v>145.9</v>
      </c>
      <c r="E125" s="16" t="n">
        <f aca="false">E124*m_sf</f>
        <v>151.736</v>
      </c>
      <c r="F125" s="16" t="n">
        <f aca="false">F124*m_sf</f>
        <v>157.80544</v>
      </c>
      <c r="G125" s="16" t="n">
        <f aca="false">G124*m_sf</f>
        <v>164.1176576</v>
      </c>
    </row>
    <row r="126" customFormat="false" ht="15" hidden="false" customHeight="false" outlineLevel="0" collapsed="false">
      <c r="A126" s="4" t="s">
        <v>520</v>
      </c>
      <c r="B126" s="0" t="s">
        <v>170</v>
      </c>
      <c r="C126" s="16" t="n">
        <f aca="false">q25_ff</f>
        <v>290.308</v>
      </c>
      <c r="D126" s="16" t="n">
        <f aca="false">q26_ff</f>
        <v>310.6</v>
      </c>
      <c r="E126" s="16" t="n">
        <f aca="false">D126*(1+g_ff)</f>
        <v>319.918</v>
      </c>
      <c r="F126" s="16" t="n">
        <f aca="false">E126*(1+g_ff)</f>
        <v>329.51554</v>
      </c>
      <c r="G126" s="16" t="n">
        <f aca="false">F126*(1+g_ff)</f>
        <v>339.4010062</v>
      </c>
    </row>
    <row r="127" customFormat="false" ht="15" hidden="false" customHeight="false" outlineLevel="0" collapsed="false">
      <c r="A127" s="4" t="s">
        <v>521</v>
      </c>
      <c r="B127" s="0" t="s">
        <v>170</v>
      </c>
      <c r="C127" s="16" t="n">
        <f aca="false">q25_ffbp</f>
        <v>8.457</v>
      </c>
      <c r="D127" s="16" t="n">
        <f aca="false">q26_ffbp</f>
        <v>12.1</v>
      </c>
      <c r="E127" s="16" t="n">
        <f aca="false">E126*m_ff</f>
        <v>14.39631</v>
      </c>
      <c r="F127" s="16" t="n">
        <f aca="false">F126*m_ff</f>
        <v>14.8281993</v>
      </c>
      <c r="G127" s="16" t="n">
        <f aca="false">G126*m_ff</f>
        <v>15.273045279</v>
      </c>
    </row>
    <row r="128" customFormat="false" ht="17.15" hidden="false" customHeight="false" outlineLevel="0" collapsed="false">
      <c r="A128" s="4" t="s">
        <v>522</v>
      </c>
      <c r="B128" s="0" t="s">
        <v>170</v>
      </c>
      <c r="C128" s="16" t="n">
        <f aca="false">q25_hox</f>
        <v>239.0528</v>
      </c>
      <c r="D128" s="16" t="n">
        <f aca="false">q26_hox</f>
        <v>286.2</v>
      </c>
      <c r="E128" s="16" t="n">
        <f aca="false">D128*(1+g_ho)</f>
        <v>300.51</v>
      </c>
      <c r="F128" s="16" t="n">
        <f aca="false">E128*(1+g_ho)</f>
        <v>315.5355</v>
      </c>
      <c r="G128" s="16" t="n">
        <f aca="false">F128*(1+g_ho)</f>
        <v>331.312275</v>
      </c>
    </row>
    <row r="129" customFormat="false" ht="17.15" hidden="false" customHeight="false" outlineLevel="0" collapsed="false">
      <c r="A129" s="4" t="s">
        <v>523</v>
      </c>
      <c r="B129" s="0" t="s">
        <v>170</v>
      </c>
      <c r="C129" s="16" t="n">
        <f aca="false">q25_hoxbp</f>
        <v>11.602</v>
      </c>
      <c r="D129" s="16" t="n">
        <f aca="false">q26_hoxbp</f>
        <v>19.5</v>
      </c>
      <c r="E129" s="16" t="n">
        <f aca="false">E128*m_ho</f>
        <v>20.475</v>
      </c>
      <c r="F129" s="16" t="n">
        <f aca="false">F128*m_ho</f>
        <v>21.49875</v>
      </c>
      <c r="G129" s="16" t="n">
        <f aca="false">G128*m_ho</f>
        <v>22.5736875</v>
      </c>
    </row>
    <row r="130" customFormat="false" ht="17.15" hidden="false" customHeight="false" outlineLevel="0" collapsed="false">
      <c r="A130" s="4" t="s">
        <v>524</v>
      </c>
      <c r="B130" s="0" t="s">
        <v>170</v>
      </c>
      <c r="C130" s="16" t="n">
        <f aca="false">q25_oth</f>
        <v>14.979</v>
      </c>
      <c r="D130" s="16" t="n">
        <f aca="false">q26_oth</f>
        <v>15.8</v>
      </c>
      <c r="E130" s="16" t="n">
        <f aca="false">D130</f>
        <v>15.8</v>
      </c>
      <c r="F130" s="16" t="n">
        <f aca="false">E130</f>
        <v>15.8</v>
      </c>
      <c r="G130" s="16" t="n">
        <f aca="false">F130</f>
        <v>15.8</v>
      </c>
      <c r="K130" s="8" t="s">
        <v>525</v>
      </c>
    </row>
    <row r="131" customFormat="false" ht="15" hidden="false" customHeight="false" outlineLevel="0" collapsed="false">
      <c r="A131" s="4" t="s">
        <v>526</v>
      </c>
      <c r="B131" s="0" t="s">
        <v>170</v>
      </c>
      <c r="C131" s="16" t="n">
        <f aca="false">q25_othbp</f>
        <v>6.064</v>
      </c>
      <c r="D131" s="16" t="n">
        <f aca="false">q26_othbp</f>
        <v>5.1</v>
      </c>
      <c r="E131" s="16" t="n">
        <f aca="false">q26_othbp</f>
        <v>5.1</v>
      </c>
      <c r="F131" s="16" t="n">
        <f aca="false">q26_othbp</f>
        <v>5.1</v>
      </c>
      <c r="G131" s="16" t="n">
        <f aca="false">q26_othbp</f>
        <v>5.1</v>
      </c>
    </row>
    <row r="132" customFormat="false" ht="15" hidden="false" customHeight="false" outlineLevel="0" collapsed="false">
      <c r="A132" s="4" t="s">
        <v>527</v>
      </c>
      <c r="B132" s="0" t="s">
        <v>170</v>
      </c>
      <c r="C132" s="16" t="n">
        <f aca="false">q25_cc</f>
        <v>-42.597</v>
      </c>
      <c r="D132" s="16" t="n">
        <f aca="false">q26_cc</f>
        <v>-46.2</v>
      </c>
      <c r="E132" s="16" t="n">
        <f aca="false">D132*(1+g_cc)</f>
        <v>-47.586</v>
      </c>
      <c r="F132" s="16" t="n">
        <f aca="false">E132*(1+g_cc)</f>
        <v>-49.01358</v>
      </c>
      <c r="G132" s="16" t="n">
        <f aca="false">F132*(1+g_cc)</f>
        <v>-50.4839874</v>
      </c>
    </row>
    <row r="133" customFormat="false" ht="17.15" hidden="false" customHeight="false" outlineLevel="0" collapsed="false">
      <c r="A133" s="4" t="s">
        <v>528</v>
      </c>
      <c r="B133" s="0" t="s">
        <v>170</v>
      </c>
      <c r="C133" s="28" t="n">
        <f aca="false">a_rev-(q25_sf+q25_ff+q25_hox+q25_fm+q25_oth)</f>
        <v>0.00200000000018008</v>
      </c>
      <c r="D133" s="28" t="n">
        <f aca="false">f_rev-(q26_sf+q26_ff+q26_hox+q26_fm+q26_oth)</f>
        <v>0.200000000000045</v>
      </c>
      <c r="E133" s="28" t="n">
        <f aca="false">$D133</f>
        <v>0.200000000000045</v>
      </c>
      <c r="F133" s="28" t="n">
        <f aca="false">$D133</f>
        <v>0.200000000000045</v>
      </c>
      <c r="G133" s="28" t="n">
        <f aca="false">$D133</f>
        <v>0.200000000000045</v>
      </c>
      <c r="K133" s="8" t="s">
        <v>529</v>
      </c>
    </row>
    <row r="134" customFormat="false" ht="15" hidden="false" customHeight="false" outlineLevel="0" collapsed="false">
      <c r="A134" s="4" t="s">
        <v>530</v>
      </c>
      <c r="B134" s="0" t="s">
        <v>170</v>
      </c>
      <c r="C134" s="28" t="n">
        <f aca="false">a_bp-(q25_sfbp+q25_ffbp+q25_hoxbp+q25_fmbp+q25_othbp+q25_cc)</f>
        <v>0.0010000000000332</v>
      </c>
      <c r="D134" s="28" t="n">
        <f aca="false">f_bp-(q26_sfbp+q26_ffbp+q26_hoxbp+q26_fmbp+q26_othbp+q26_cc)</f>
        <v>0.100000000000023</v>
      </c>
      <c r="E134" s="28" t="n">
        <f aca="false">$D134</f>
        <v>0.100000000000023</v>
      </c>
      <c r="F134" s="28" t="n">
        <f aca="false">$D134</f>
        <v>0.100000000000023</v>
      </c>
      <c r="G134" s="28" t="n">
        <f aca="false">$D134</f>
        <v>0.100000000000023</v>
      </c>
    </row>
    <row r="135" customFormat="false" ht="17.15" hidden="false" customHeight="false" outlineLevel="0" collapsed="false">
      <c r="A135" s="6" t="s">
        <v>531</v>
      </c>
    </row>
    <row r="136" customFormat="false" ht="17.15" hidden="false" customHeight="false" outlineLevel="0" collapsed="false">
      <c r="A136" s="4" t="s">
        <v>403</v>
      </c>
      <c r="B136" s="0" t="s">
        <v>170</v>
      </c>
      <c r="C136" s="16" t="n">
        <f aca="false">C124+C126+C128+C120+C130+C133</f>
        <v>1583.719</v>
      </c>
      <c r="D136" s="16" t="n">
        <f aca="false">D124+D126+D128+D120+D130+D133</f>
        <v>1732</v>
      </c>
      <c r="E136" s="16" t="n">
        <f aca="false">E124+E126+E128+E120+E130+E133</f>
        <v>1850.5656</v>
      </c>
      <c r="F136" s="16" t="n">
        <f aca="false">F124+F126+F128+F120+F130+F133</f>
        <v>1956.1063</v>
      </c>
      <c r="G136" s="16" t="n">
        <f aca="false">G124+G126+G128+G120+G130+G133</f>
        <v>2053.1320716</v>
      </c>
      <c r="H136" s="24" t="n">
        <f aca="false">G136*(1+H140)</f>
        <v>2162.08697548001</v>
      </c>
      <c r="I136" s="24" t="n">
        <f aca="false">H136*(1+I140)</f>
        <v>2284.31802729425</v>
      </c>
      <c r="J136" s="24" t="n">
        <f aca="false">I136*(1+J140)</f>
        <v>2421.3771089319</v>
      </c>
      <c r="K136" s="8" t="s">
        <v>532</v>
      </c>
    </row>
    <row r="137" customFormat="false" ht="17.15" hidden="false" customHeight="false" outlineLevel="0" collapsed="false">
      <c r="A137" s="4" t="s">
        <v>533</v>
      </c>
      <c r="B137" s="0" t="s">
        <v>170</v>
      </c>
      <c r="C137" s="16" t="n">
        <f aca="false">C120+C128</f>
        <v>341.504</v>
      </c>
      <c r="D137" s="16" t="n">
        <f aca="false">D120+D128</f>
        <v>406.8</v>
      </c>
      <c r="E137" s="16" t="n">
        <f aca="false">E120+E128</f>
        <v>476.1036</v>
      </c>
      <c r="F137" s="16" t="n">
        <f aca="false">F120+F128</f>
        <v>530.505</v>
      </c>
      <c r="G137" s="16" t="n">
        <f aca="false">G120+G128</f>
        <v>574.441875</v>
      </c>
      <c r="K137" s="4" t="s">
        <v>534</v>
      </c>
    </row>
    <row r="138" customFormat="false" ht="17.15" hidden="false" customHeight="false" outlineLevel="0" collapsed="false">
      <c r="A138" s="4" t="s">
        <v>535</v>
      </c>
      <c r="B138" s="0" t="s">
        <v>170</v>
      </c>
      <c r="C138" s="16" t="n">
        <f aca="false">C130+C133</f>
        <v>14.9810000000002</v>
      </c>
      <c r="D138" s="16" t="n">
        <f aca="false">D130+D133</f>
        <v>16</v>
      </c>
      <c r="E138" s="16" t="n">
        <f aca="false">E130+E133</f>
        <v>16</v>
      </c>
      <c r="F138" s="16" t="n">
        <f aca="false">F130+F133</f>
        <v>16</v>
      </c>
      <c r="G138" s="16" t="n">
        <f aca="false">G130+G133</f>
        <v>16</v>
      </c>
      <c r="K138" s="8" t="s">
        <v>536</v>
      </c>
    </row>
    <row r="139" customFormat="false" ht="15" hidden="false" customHeight="false" outlineLevel="0" collapsed="false">
      <c r="A139" s="4" t="s">
        <v>537</v>
      </c>
      <c r="B139" s="0" t="s">
        <v>170</v>
      </c>
      <c r="C139" s="22" t="n">
        <f aca="false">C124+C126+C137+C138-C136</f>
        <v>0</v>
      </c>
      <c r="D139" s="22" t="n">
        <f aca="false">D124+D126+D137+D138-D136</f>
        <v>0</v>
      </c>
      <c r="E139" s="22" t="n">
        <f aca="false">E124+E126+E137+E138-E136</f>
        <v>0</v>
      </c>
      <c r="F139" s="22" t="n">
        <f aca="false">F124+F126+F137+F138-F136</f>
        <v>0</v>
      </c>
      <c r="G139" s="22" t="n">
        <f aca="false">G124+G126+G137+G138-G136</f>
        <v>0</v>
      </c>
    </row>
    <row r="140" customFormat="false" ht="15" hidden="false" customHeight="false" outlineLevel="0" collapsed="false">
      <c r="A140" s="4" t="s">
        <v>538</v>
      </c>
      <c r="B140" s="0" t="s">
        <v>78</v>
      </c>
      <c r="D140" s="17" t="n">
        <f aca="false">D136/C136-1</f>
        <v>0.0936283519993131</v>
      </c>
      <c r="E140" s="17" t="n">
        <f aca="false">E136/D136-1</f>
        <v>0.0684558891454965</v>
      </c>
      <c r="F140" s="17" t="n">
        <f aca="false">F136/E136-1</f>
        <v>0.0570315907741936</v>
      </c>
      <c r="G140" s="17" t="n">
        <f aca="false">G136/F136-1</f>
        <v>0.0496014820871442</v>
      </c>
      <c r="H140" s="25" t="n">
        <f aca="false">$G140+(fade_gA-$G140)*1/3</f>
        <v>0.0530676547247628</v>
      </c>
      <c r="I140" s="25" t="n">
        <f aca="false">$G140+(fade_gA-$G140)*2/3</f>
        <v>0.0565338273623814</v>
      </c>
      <c r="J140" s="25" t="n">
        <f aca="false">$G140+(fade_gA-$G140)*3/3</f>
        <v>0.06</v>
      </c>
    </row>
    <row r="141" customFormat="false" ht="17.15" hidden="false" customHeight="false" outlineLevel="0" collapsed="false">
      <c r="A141" s="0" t="s">
        <v>539</v>
      </c>
      <c r="B141" s="0" t="s">
        <v>78</v>
      </c>
      <c r="C141" s="17" t="n">
        <f aca="false">C120/C136</f>
        <v>0.0646902638662541</v>
      </c>
      <c r="D141" s="17" t="n">
        <f aca="false">D120/D136</f>
        <v>0.0696304849884527</v>
      </c>
      <c r="E141" s="17" t="n">
        <f aca="false">E120/E136</f>
        <v>0.0948864498507916</v>
      </c>
      <c r="F141" s="17" t="n">
        <f aca="false">F120/F136</f>
        <v>0.109896634963039</v>
      </c>
      <c r="G141" s="17" t="n">
        <f aca="false">G120/G136</f>
        <v>0.118418879799842</v>
      </c>
    </row>
    <row r="142" customFormat="false" ht="15" hidden="false" customHeight="false" outlineLevel="0" collapsed="false">
      <c r="A142" s="4" t="s">
        <v>413</v>
      </c>
      <c r="B142" s="0" t="s">
        <v>170</v>
      </c>
      <c r="C142" s="16" t="n">
        <f aca="false">C125+C127+C129+C122+C131+C132+C134</f>
        <v>181.163</v>
      </c>
      <c r="D142" s="16" t="n">
        <f aca="false">D125+D127+D129+D122+D131+D132+D134</f>
        <v>202</v>
      </c>
      <c r="E142" s="16" t="n">
        <f aca="false">E125+E127+E129+E122+E131+E132+E134</f>
        <v>246.03601</v>
      </c>
      <c r="F142" s="16" t="n">
        <f aca="false">F125+F127+F129+F122+F131+F132+F134</f>
        <v>274.6821448</v>
      </c>
      <c r="G142" s="16" t="n">
        <f aca="false">G125+G127+G129+G122+G131+G132+G134</f>
        <v>291.433339119</v>
      </c>
    </row>
    <row r="143" customFormat="false" ht="15" hidden="false" customHeight="false" outlineLevel="0" collapsed="false">
      <c r="A143" s="4" t="s">
        <v>429</v>
      </c>
      <c r="B143" s="0" t="s">
        <v>78</v>
      </c>
      <c r="C143" s="17" t="n">
        <f aca="false">C142/C136</f>
        <v>0.114390873633517</v>
      </c>
      <c r="D143" s="17" t="n">
        <f aca="false">D142/D136</f>
        <v>0.11662817551963</v>
      </c>
      <c r="E143" s="17" t="n">
        <f aca="false">E142/E136</f>
        <v>0.132951790522854</v>
      </c>
      <c r="F143" s="17" t="n">
        <f aca="false">F142/F136</f>
        <v>0.140422913008358</v>
      </c>
      <c r="G143" s="17" t="n">
        <f aca="false">G142/G136</f>
        <v>0.141945734105594</v>
      </c>
    </row>
    <row r="144" customFormat="false" ht="17.15" hidden="false" customHeight="false" outlineLevel="0" collapsed="false">
      <c r="A144" s="0" t="s">
        <v>540</v>
      </c>
      <c r="B144" s="0" t="s">
        <v>78</v>
      </c>
      <c r="C144" s="17" t="n">
        <f aca="false">C122/C142</f>
        <v>0.301386044611758</v>
      </c>
      <c r="D144" s="17" t="n">
        <f aca="false">D122/D142</f>
        <v>0.324257425742574</v>
      </c>
      <c r="E144" s="17" t="n">
        <f aca="false">E122/E142</f>
        <v>0.413820318415991</v>
      </c>
      <c r="F144" s="17" t="n">
        <f aca="false">F122/F142</f>
        <v>0.452753620336519</v>
      </c>
      <c r="G144" s="17" t="n">
        <f aca="false">G122/G142</f>
        <v>0.462379961562931</v>
      </c>
    </row>
    <row r="145" customFormat="false" ht="17.15" hidden="false" customHeight="false" outlineLevel="0" collapsed="false">
      <c r="A145" s="4" t="s">
        <v>430</v>
      </c>
      <c r="B145" s="0" t="s">
        <v>53</v>
      </c>
      <c r="C145" s="22" t="n">
        <f aca="false">q25_ni/q25_bp</f>
        <v>0.743391310587703</v>
      </c>
      <c r="D145" s="22" t="n">
        <f aca="false">q26_ni/q26_bp</f>
        <v>0.611386138613861</v>
      </c>
      <c r="E145" s="22" t="n">
        <f aca="false">ni_bp</f>
        <v>0.62</v>
      </c>
      <c r="F145" s="22" t="n">
        <f aca="false">ni_bp</f>
        <v>0.62</v>
      </c>
      <c r="G145" s="22" t="n">
        <f aca="false">ni_bp</f>
        <v>0.62</v>
      </c>
    </row>
    <row r="146" customFormat="false" ht="15" hidden="false" customHeight="false" outlineLevel="0" collapsed="false">
      <c r="A146" s="4" t="s">
        <v>420</v>
      </c>
      <c r="B146" s="0" t="s">
        <v>170</v>
      </c>
      <c r="C146" s="16" t="n">
        <f aca="false">q25_ni</f>
        <v>134.675</v>
      </c>
      <c r="D146" s="16" t="n">
        <f aca="false">q26_ni</f>
        <v>123.5</v>
      </c>
      <c r="E146" s="16" t="n">
        <f aca="false">E142*E145</f>
        <v>152.5423262</v>
      </c>
      <c r="F146" s="16" t="n">
        <f aca="false">F142*F145</f>
        <v>170.302929776</v>
      </c>
      <c r="G146" s="16" t="n">
        <f aca="false">G142*G145</f>
        <v>180.68867025378</v>
      </c>
      <c r="H146" s="24" t="n">
        <f aca="false">H136*H150</f>
        <v>190.277394219484</v>
      </c>
      <c r="I146" s="24" t="n">
        <f aca="false">I136*I150</f>
        <v>201.034503575252</v>
      </c>
      <c r="J146" s="24" t="n">
        <f aca="false">J136*J150</f>
        <v>213.096573789767</v>
      </c>
    </row>
    <row r="147" customFormat="false" ht="15" hidden="false" customHeight="false" outlineLevel="0" collapsed="false">
      <c r="A147" s="4" t="s">
        <v>541</v>
      </c>
      <c r="B147" s="4" t="s">
        <v>317</v>
      </c>
      <c r="C147" s="20" t="n">
        <f aca="false">q25_sh</f>
        <v>0.973366579936398</v>
      </c>
      <c r="D147" s="20" t="n">
        <f aca="false">q26_sh</f>
        <v>0.95117067159581</v>
      </c>
      <c r="E147" s="20" t="n">
        <f aca="false">D147*(1+sh_g)</f>
        <v>0.936903111521873</v>
      </c>
      <c r="F147" s="20" t="n">
        <f aca="false">E147*(1+sh_g)</f>
        <v>0.922849564849045</v>
      </c>
      <c r="G147" s="20" t="n">
        <f aca="false">F147*(1+sh_g)</f>
        <v>0.909006821376309</v>
      </c>
      <c r="H147" s="29" t="n">
        <f aca="false">G147*(1+sh_g)</f>
        <v>0.895371719055665</v>
      </c>
      <c r="I147" s="29" t="n">
        <f aca="false">H147*(1+sh_g)</f>
        <v>0.88194114326983</v>
      </c>
      <c r="J147" s="29" t="n">
        <f aca="false">I147*(1+sh_g)</f>
        <v>0.868712026120782</v>
      </c>
    </row>
    <row r="148" customFormat="false" ht="17.15" hidden="false" customHeight="false" outlineLevel="0" collapsed="false">
      <c r="A148" s="0" t="s">
        <v>542</v>
      </c>
      <c r="B148" s="0" t="s">
        <v>208</v>
      </c>
      <c r="C148" s="21" t="n">
        <f aca="false">C146/C147</f>
        <v>138.36</v>
      </c>
      <c r="D148" s="21" t="n">
        <f aca="false">D146/D147</f>
        <v>129.84</v>
      </c>
      <c r="E148" s="21" t="n">
        <f aca="false">E146/E147</f>
        <v>162.815476140554</v>
      </c>
      <c r="F148" s="21" t="n">
        <f aca="false">F146/F147</f>
        <v>184.540293741004</v>
      </c>
      <c r="G148" s="21" t="n">
        <f aca="false">G146/G147</f>
        <v>198.775923353582</v>
      </c>
      <c r="H148" s="27" t="n">
        <f aca="false">H146/H147</f>
        <v>212.512178093102</v>
      </c>
      <c r="I148" s="27" t="n">
        <f aca="false">I146/I147</f>
        <v>227.945487189666</v>
      </c>
      <c r="J148" s="27" t="n">
        <f aca="false">J146/J147</f>
        <v>245.301742559438</v>
      </c>
    </row>
    <row r="149" customFormat="false" ht="17.15" hidden="false" customHeight="false" outlineLevel="0" collapsed="false">
      <c r="A149" s="0" t="s">
        <v>543</v>
      </c>
      <c r="B149" s="0" t="s">
        <v>78</v>
      </c>
      <c r="D149" s="17" t="n">
        <f aca="false">D148/C148-1</f>
        <v>-0.0615784908933218</v>
      </c>
      <c r="E149" s="17" t="n">
        <f aca="false">E148/D148-1</f>
        <v>0.253970087342527</v>
      </c>
      <c r="F149" s="17" t="n">
        <f aca="false">F148/E148-1</f>
        <v>0.133432141190899</v>
      </c>
      <c r="G149" s="17" t="n">
        <f aca="false">G148/F148-1</f>
        <v>0.0771410369193262</v>
      </c>
      <c r="H149" s="25" t="n">
        <f aca="false">H148/G148-1</f>
        <v>0.0691042179946833</v>
      </c>
      <c r="I149" s="25" t="n">
        <f aca="false">I148/H148-1</f>
        <v>0.0726231749871891</v>
      </c>
      <c r="J149" s="25" t="n">
        <f aca="false">J148/I148-1</f>
        <v>0.0761421319796956</v>
      </c>
    </row>
    <row r="150" customFormat="false" ht="15" hidden="false" customHeight="false" outlineLevel="0" collapsed="false">
      <c r="A150" s="4" t="s">
        <v>544</v>
      </c>
      <c r="B150" s="0" t="s">
        <v>78</v>
      </c>
      <c r="C150" s="14" t="n">
        <f aca="false">C146/C136</f>
        <v>0.0850371814696925</v>
      </c>
      <c r="D150" s="14" t="n">
        <f aca="false">D146/D136</f>
        <v>0.0713048498845266</v>
      </c>
      <c r="E150" s="14" t="n">
        <f aca="false">E146/E136</f>
        <v>0.0824301101241696</v>
      </c>
      <c r="F150" s="14" t="n">
        <f aca="false">F146/F136</f>
        <v>0.0870622060651816</v>
      </c>
      <c r="G150" s="14" t="n">
        <f aca="false">G146/G136</f>
        <v>0.088006355145468</v>
      </c>
      <c r="H150" s="26" t="n">
        <f aca="false">$G150+(fade_mA-$G150)*1/3</f>
        <v>0.088006355145468</v>
      </c>
      <c r="I150" s="26" t="n">
        <f aca="false">$G150+(fade_mA-$G150)*2/3</f>
        <v>0.088006355145468</v>
      </c>
      <c r="J150" s="26" t="n">
        <f aca="false">$G150+(fade_mA-$G150)*3/3</f>
        <v>0.088006355145468</v>
      </c>
    </row>
    <row r="151" customFormat="false" ht="17.15" hidden="false" customHeight="false" outlineLevel="0" collapsed="false">
      <c r="A151" s="0" t="s">
        <v>545</v>
      </c>
      <c r="B151" s="0" t="s">
        <v>208</v>
      </c>
      <c r="D151" s="21" t="n">
        <f aca="false">D122*D145/D147</f>
        <v>42.1015841584158</v>
      </c>
      <c r="E151" s="21" t="n">
        <f aca="false">E122*E145/E147</f>
        <v>67.3763521795352</v>
      </c>
      <c r="F151" s="21" t="n">
        <f aca="false">F122*F145/F147</f>
        <v>83.551286089204</v>
      </c>
      <c r="G151" s="21" t="n">
        <f aca="false">G122*G145/G147</f>
        <v>91.9100037998653</v>
      </c>
      <c r="K151" s="8" t="s">
        <v>546</v>
      </c>
    </row>
    <row r="152" customFormat="false" ht="17.15" hidden="false" customHeight="false" outlineLevel="0" collapsed="false">
      <c r="A152" s="0" t="s">
        <v>547</v>
      </c>
      <c r="B152" s="0" t="s">
        <v>208</v>
      </c>
      <c r="D152" s="21" t="n">
        <f aca="false">D148-D151</f>
        <v>87.7384158415842</v>
      </c>
      <c r="E152" s="21" t="n">
        <f aca="false">E148-E151</f>
        <v>95.4391239610186</v>
      </c>
      <c r="F152" s="21" t="n">
        <f aca="false">F148-F151</f>
        <v>100.9890076518</v>
      </c>
      <c r="G152" s="21" t="n">
        <f aca="false">G148-G151</f>
        <v>106.865919553716</v>
      </c>
    </row>
    <row r="153" customFormat="false" ht="17.15" hidden="false" customHeight="false" outlineLevel="0" collapsed="false">
      <c r="A153" s="0" t="s">
        <v>548</v>
      </c>
      <c r="B153" s="0" t="s">
        <v>455</v>
      </c>
      <c r="D153" s="16" t="n">
        <f aca="false">D118/D108*1000/150</f>
        <v>29.3859649122807</v>
      </c>
      <c r="E153" s="16" t="n">
        <f aca="false">E118/E108*1000/150</f>
        <v>35.6451812016804</v>
      </c>
      <c r="F153" s="16" t="n">
        <f aca="false">F118/F108*1000/150</f>
        <v>42.3433519332741</v>
      </c>
      <c r="G153" s="16" t="n">
        <f aca="false">G118/G108*1000/150</f>
        <v>45.2540787992849</v>
      </c>
      <c r="K153" s="8" t="s">
        <v>549</v>
      </c>
    </row>
    <row r="156" customFormat="false" ht="17.15" hidden="false" customHeight="false" outlineLevel="0" collapsed="false">
      <c r="A156" s="1" t="s">
        <v>939</v>
      </c>
    </row>
    <row r="157" customFormat="false" ht="17.15" hidden="false" customHeight="false" outlineLevel="0" collapsed="false">
      <c r="A157" s="5" t="s">
        <v>20</v>
      </c>
      <c r="B157" s="5" t="s">
        <v>21</v>
      </c>
      <c r="C157" s="15" t="s">
        <v>398</v>
      </c>
      <c r="D157" s="15" t="s">
        <v>470</v>
      </c>
      <c r="E157" s="15" t="s">
        <v>435</v>
      </c>
      <c r="F157" s="15" t="s">
        <v>436</v>
      </c>
      <c r="G157" s="15" t="s">
        <v>437</v>
      </c>
      <c r="H157" s="15" t="s">
        <v>471</v>
      </c>
      <c r="I157" s="15" t="s">
        <v>472</v>
      </c>
      <c r="J157" s="15" t="s">
        <v>473</v>
      </c>
      <c r="K157" s="5" t="s">
        <v>377</v>
      </c>
    </row>
    <row r="158" customFormat="false" ht="17.15" hidden="false" customHeight="false" outlineLevel="0" collapsed="false">
      <c r="A158" s="6" t="s">
        <v>493</v>
      </c>
    </row>
    <row r="159" customFormat="false" ht="17.15" hidden="false" customHeight="false" outlineLevel="0" collapsed="false">
      <c r="A159" s="0" t="s">
        <v>494</v>
      </c>
      <c r="B159" s="4" t="s">
        <v>31</v>
      </c>
      <c r="D159" s="21" t="n">
        <f aca="false">unv_26</f>
        <v>7.6</v>
      </c>
      <c r="E159" s="21" t="n">
        <f aca="false">unv_27</f>
        <v>9.7</v>
      </c>
      <c r="F159" s="21" t="n">
        <f aca="false">unv_28*um28_A</f>
        <v>9.5</v>
      </c>
      <c r="G159" s="21" t="n">
        <f aca="false">unv_29*um29_A</f>
        <v>10.6</v>
      </c>
      <c r="K159" s="8" t="s">
        <v>495</v>
      </c>
    </row>
    <row r="160" customFormat="false" ht="17.15" hidden="false" customHeight="false" outlineLevel="0" collapsed="false">
      <c r="A160" s="4" t="s">
        <v>496</v>
      </c>
      <c r="B160" s="4" t="s">
        <v>31</v>
      </c>
      <c r="D160" s="21" t="n">
        <f aca="false">uot_26</f>
        <v>7.6</v>
      </c>
      <c r="E160" s="21" t="n">
        <f aca="false">uot_27</f>
        <v>14</v>
      </c>
      <c r="F160" s="21" t="n">
        <f aca="false">uot_28*um28_A</f>
        <v>17</v>
      </c>
      <c r="G160" s="21" t="n">
        <f aca="false">uot_29*um29_A</f>
        <v>19.55</v>
      </c>
      <c r="K160" s="8" t="s">
        <v>497</v>
      </c>
    </row>
    <row r="161" customFormat="false" ht="17.15" hidden="false" customHeight="false" outlineLevel="0" collapsed="false">
      <c r="A161" s="4" t="s">
        <v>498</v>
      </c>
      <c r="B161" s="4" t="s">
        <v>31</v>
      </c>
      <c r="D161" s="21" t="n">
        <f aca="false">D159+v_ot*D160</f>
        <v>13.68</v>
      </c>
      <c r="E161" s="21" t="n">
        <f aca="false">E159+v_ot*E160</f>
        <v>20.9</v>
      </c>
      <c r="F161" s="21" t="n">
        <f aca="false">F159+v_ot*F160</f>
        <v>23.1</v>
      </c>
      <c r="G161" s="21" t="n">
        <f aca="false">G159+v_ot*G160</f>
        <v>26.24</v>
      </c>
    </row>
    <row r="162" customFormat="false" ht="17.15" hidden="false" customHeight="false" outlineLevel="0" collapsed="false">
      <c r="A162" s="4" t="s">
        <v>499</v>
      </c>
      <c r="B162" s="0" t="s">
        <v>53</v>
      </c>
      <c r="D162" s="22" t="n">
        <f aca="false">1</f>
        <v>1</v>
      </c>
      <c r="E162" s="22" t="n">
        <f aca="false">D162*(1+g_asp_lo)</f>
        <v>1.1</v>
      </c>
      <c r="F162" s="22" t="n">
        <f aca="false">E162*(1+g_asp_lo)</f>
        <v>1.21</v>
      </c>
      <c r="G162" s="22" t="n">
        <f aca="false">F162*(1+g_asp_lo)</f>
        <v>1.331</v>
      </c>
    </row>
    <row r="163" customFormat="false" ht="17.15" hidden="false" customHeight="false" outlineLevel="0" collapsed="false">
      <c r="A163" s="4" t="s">
        <v>500</v>
      </c>
      <c r="B163" s="0" t="s">
        <v>53</v>
      </c>
      <c r="D163" s="19" t="n">
        <f aca="false">1</f>
        <v>1</v>
      </c>
      <c r="E163" s="19" t="n">
        <f aca="false">rel_27</f>
        <v>1</v>
      </c>
      <c r="F163" s="19" t="n">
        <f aca="false">rel_28</f>
        <v>0.97</v>
      </c>
      <c r="G163" s="19" t="n">
        <f aca="false">rel_29</f>
        <v>0.95</v>
      </c>
    </row>
    <row r="164" customFormat="false" ht="17.15" hidden="false" customHeight="false" outlineLevel="0" collapsed="false">
      <c r="A164" s="0" t="s">
        <v>501</v>
      </c>
      <c r="B164" s="0" t="s">
        <v>53</v>
      </c>
      <c r="D164" s="22" t="n">
        <f aca="false">D161/$D161*D162*D163</f>
        <v>1</v>
      </c>
      <c r="E164" s="22" t="n">
        <f aca="false">E161/$D161*E162*E163</f>
        <v>1.68055555555556</v>
      </c>
      <c r="F164" s="22" t="n">
        <f aca="false">F161/$D161*F162*F163</f>
        <v>1.98190570175439</v>
      </c>
      <c r="G164" s="22" t="n">
        <f aca="false">G161/$D161*G162*G163</f>
        <v>2.42537777777778</v>
      </c>
      <c r="K164" s="4" t="s">
        <v>502</v>
      </c>
    </row>
    <row r="165" customFormat="false" ht="17.15" hidden="false" customHeight="false" outlineLevel="0" collapsed="false">
      <c r="A165" s="4" t="s">
        <v>503</v>
      </c>
      <c r="B165" s="0" t="s">
        <v>53</v>
      </c>
      <c r="D165" s="22" t="n">
        <f aca="false">1</f>
        <v>1</v>
      </c>
      <c r="E165" s="22" t="n">
        <f aca="false">D165*(1+g_nai)</f>
        <v>1.03</v>
      </c>
      <c r="F165" s="22" t="n">
        <f aca="false">E165*(1+g_nai)</f>
        <v>1.0609</v>
      </c>
      <c r="G165" s="22" t="n">
        <f aca="false">F165*(1+g_nai)</f>
        <v>1.092727</v>
      </c>
    </row>
    <row r="166" customFormat="false" ht="17.15" hidden="false" customHeight="false" outlineLevel="0" collapsed="false">
      <c r="A166" s="0" t="s">
        <v>504</v>
      </c>
      <c r="B166" s="0" t="s">
        <v>53</v>
      </c>
      <c r="D166" s="22" t="n">
        <f aca="false">ai_sh*D164+(1-ai_sh)*D165</f>
        <v>1</v>
      </c>
      <c r="E166" s="22" t="n">
        <f aca="false">ai_sh*E164+(1-ai_sh)*E165</f>
        <v>1.29022222222222</v>
      </c>
      <c r="F166" s="22" t="n">
        <f aca="false">ai_sh*F164+(1-ai_sh)*F165</f>
        <v>1.42930228070175</v>
      </c>
      <c r="G166" s="22" t="n">
        <f aca="false">ai_sh*G164+(1-ai_sh)*G165</f>
        <v>1.62578731111111</v>
      </c>
    </row>
    <row r="167" customFormat="false" ht="17.15" hidden="false" customHeight="false" outlineLevel="0" collapsed="false">
      <c r="A167" s="4" t="s">
        <v>505</v>
      </c>
      <c r="B167" s="0" t="s">
        <v>53</v>
      </c>
      <c r="D167" s="22" t="n">
        <f aca="false">1</f>
        <v>1</v>
      </c>
      <c r="E167" s="22" t="n">
        <f aca="false">cap_27</f>
        <v>1.3</v>
      </c>
      <c r="F167" s="22" t="n">
        <f aca="false">cap_28</f>
        <v>1.55</v>
      </c>
      <c r="G167" s="22" t="n">
        <f aca="false">cap_29</f>
        <v>1.8</v>
      </c>
      <c r="K167" s="4" t="s">
        <v>506</v>
      </c>
    </row>
    <row r="168" customFormat="false" ht="17.15" hidden="false" customHeight="false" outlineLevel="0" collapsed="false">
      <c r="A168" s="4" t="s">
        <v>507</v>
      </c>
      <c r="B168" s="0" t="s">
        <v>53</v>
      </c>
      <c r="D168" s="22" t="n">
        <f aca="false">MIN(D166,D167)</f>
        <v>1</v>
      </c>
      <c r="E168" s="22" t="n">
        <f aca="false">MIN(E166,E167)</f>
        <v>1.29022222222222</v>
      </c>
      <c r="F168" s="22" t="n">
        <f aca="false">MIN(F166,F167)</f>
        <v>1.42930228070175</v>
      </c>
      <c r="G168" s="22" t="n">
        <f aca="false">MIN(G166,G167)</f>
        <v>1.62578731111111</v>
      </c>
    </row>
    <row r="169" customFormat="false" ht="17.15" hidden="false" customHeight="false" outlineLevel="0" collapsed="false">
      <c r="A169" s="4" t="s">
        <v>508</v>
      </c>
      <c r="B169" s="0" t="s">
        <v>78</v>
      </c>
      <c r="D169" s="17" t="n">
        <f aca="false">D168/D166</f>
        <v>1</v>
      </c>
      <c r="E169" s="17" t="n">
        <f aca="false">E168/E166</f>
        <v>1</v>
      </c>
      <c r="F169" s="17" t="n">
        <f aca="false">F168/F166</f>
        <v>1</v>
      </c>
      <c r="G169" s="17" t="n">
        <f aca="false">G168/G166</f>
        <v>1</v>
      </c>
      <c r="K169" s="4" t="s">
        <v>509</v>
      </c>
    </row>
    <row r="170" customFormat="false" ht="17.15" hidden="false" customHeight="false" outlineLevel="0" collapsed="false">
      <c r="A170" s="0" t="s">
        <v>510</v>
      </c>
      <c r="B170" s="0" t="s">
        <v>53</v>
      </c>
      <c r="D170" s="22" t="n">
        <f aca="false">1</f>
        <v>1</v>
      </c>
      <c r="E170" s="22" t="n">
        <f aca="false">pp_27</f>
        <v>1.12</v>
      </c>
      <c r="F170" s="22" t="n">
        <f aca="false">pp_28*sp_A</f>
        <v>1.15</v>
      </c>
      <c r="G170" s="22" t="n">
        <f aca="false">pp_29*sp_A</f>
        <v>1.12</v>
      </c>
      <c r="K170" s="8" t="s">
        <v>511</v>
      </c>
    </row>
    <row r="171" customFormat="false" ht="17.15" hidden="false" customHeight="false" outlineLevel="0" collapsed="false">
      <c r="A171" s="0" t="s">
        <v>452</v>
      </c>
      <c r="B171" s="0" t="s">
        <v>170</v>
      </c>
      <c r="D171" s="16" t="n">
        <f aca="false">q26_fm*ai_sh</f>
        <v>48.24</v>
      </c>
      <c r="E171" s="16" t="n">
        <f aca="false">q26_fm*ai_sh*E164*E169*E170</f>
        <v>90.7984</v>
      </c>
      <c r="F171" s="16" t="n">
        <f aca="false">q26_fm*ai_sh*F164*F169*F170</f>
        <v>109.948200710526</v>
      </c>
      <c r="G171" s="16" t="n">
        <f aca="false">q26_fm*ai_sh*G164*G169*G170</f>
        <v>131.04025088</v>
      </c>
      <c r="K171" s="8" t="s">
        <v>512</v>
      </c>
    </row>
    <row r="172" customFormat="false" ht="17.15" hidden="false" customHeight="false" outlineLevel="0" collapsed="false">
      <c r="A172" s="0" t="s">
        <v>513</v>
      </c>
      <c r="B172" s="0" t="s">
        <v>170</v>
      </c>
      <c r="D172" s="16" t="n">
        <f aca="false">q26_fm*(1-ai_sh)</f>
        <v>72.36</v>
      </c>
      <c r="E172" s="16" t="n">
        <f aca="false">q26_fm*(1-ai_sh)*E165*E169*E170</f>
        <v>83.474496</v>
      </c>
      <c r="F172" s="16" t="n">
        <f aca="false">q26_fm*(1-ai_sh)*F165*F169*F170</f>
        <v>88.2817326</v>
      </c>
      <c r="G172" s="16" t="n">
        <f aca="false">q26_fm*(1-ai_sh)*G165*G169*G170</f>
        <v>88.5580928064</v>
      </c>
    </row>
    <row r="173" customFormat="false" ht="17.15" hidden="false" customHeight="false" outlineLevel="0" collapsed="false">
      <c r="A173" s="4" t="s">
        <v>514</v>
      </c>
      <c r="B173" s="0" t="s">
        <v>170</v>
      </c>
      <c r="C173" s="16" t="n">
        <f aca="false">q25_fm</f>
        <v>102.4512</v>
      </c>
      <c r="D173" s="16" t="n">
        <f aca="false">D171+D172</f>
        <v>120.6</v>
      </c>
      <c r="E173" s="16" t="n">
        <f aca="false">E171+E172</f>
        <v>174.272896</v>
      </c>
      <c r="F173" s="16" t="n">
        <f aca="false">F171+F172</f>
        <v>198.229933310526</v>
      </c>
      <c r="G173" s="16" t="n">
        <f aca="false">G171+G172</f>
        <v>219.5983436864</v>
      </c>
    </row>
    <row r="174" customFormat="false" ht="17.15" hidden="false" customHeight="false" outlineLevel="0" collapsed="false">
      <c r="A174" s="0" t="s">
        <v>515</v>
      </c>
      <c r="B174" s="0" t="s">
        <v>78</v>
      </c>
      <c r="C174" s="17" t="n">
        <f aca="false">q25_fmbp/q25_fm</f>
        <v>0.532936656671664</v>
      </c>
      <c r="D174" s="17" t="n">
        <f aca="false">q26_fmbp/q26_fm</f>
        <v>0.543117744610282</v>
      </c>
      <c r="E174" s="17" t="n">
        <f aca="false">1-(1-$D174)*(1+c_g)^1/E170</f>
        <v>0.579831497275527</v>
      </c>
      <c r="F174" s="17" t="n">
        <f aca="false">1-(1-$D174)*(1+c_g)^2/F170</f>
        <v>0.578516187180042</v>
      </c>
      <c r="G174" s="17" t="n">
        <f aca="false">1-(1-$D174)*(1+c_g)^3/G170</f>
        <v>0.554243235459607</v>
      </c>
      <c r="K174" s="8" t="s">
        <v>516</v>
      </c>
    </row>
    <row r="175" customFormat="false" ht="17.15" hidden="false" customHeight="false" outlineLevel="0" collapsed="false">
      <c r="A175" s="0" t="s">
        <v>478</v>
      </c>
      <c r="B175" s="0" t="s">
        <v>170</v>
      </c>
      <c r="C175" s="16" t="n">
        <f aca="false">q25_fmbp</f>
        <v>54.6</v>
      </c>
      <c r="D175" s="16" t="n">
        <f aca="false">D173*D174</f>
        <v>65.5</v>
      </c>
      <c r="E175" s="16" t="n">
        <f aca="false">E173*E174</f>
        <v>101.048914222222</v>
      </c>
      <c r="F175" s="16" t="n">
        <f aca="false">F173*F174</f>
        <v>114.67922520376</v>
      </c>
      <c r="G175" s="16" t="n">
        <f aca="false">G173*G174</f>
        <v>121.710896506321</v>
      </c>
    </row>
    <row r="176" customFormat="false" ht="17.15" hidden="false" customHeight="false" outlineLevel="0" collapsed="false">
      <c r="A176" s="6" t="s">
        <v>517</v>
      </c>
    </row>
    <row r="177" customFormat="false" ht="15" hidden="false" customHeight="false" outlineLevel="0" collapsed="false">
      <c r="A177" s="4" t="s">
        <v>518</v>
      </c>
      <c r="B177" s="0" t="s">
        <v>170</v>
      </c>
      <c r="C177" s="16" t="n">
        <f aca="false">q25_sf</f>
        <v>936.926</v>
      </c>
      <c r="D177" s="16" t="n">
        <f aca="false">q26_sf</f>
        <v>998.6</v>
      </c>
      <c r="E177" s="16" t="n">
        <f aca="false">D177*(1+g_sf)</f>
        <v>1038.544</v>
      </c>
      <c r="F177" s="16" t="n">
        <f aca="false">E177*(1+g_sf)</f>
        <v>1080.08576</v>
      </c>
      <c r="G177" s="16" t="n">
        <f aca="false">F177*(1+g_sf)</f>
        <v>1123.2891904</v>
      </c>
    </row>
    <row r="178" customFormat="false" ht="15" hidden="false" customHeight="false" outlineLevel="0" collapsed="false">
      <c r="A178" s="4" t="s">
        <v>519</v>
      </c>
      <c r="B178" s="0" t="s">
        <v>170</v>
      </c>
      <c r="C178" s="16" t="n">
        <f aca="false">q25_sfbp</f>
        <v>143.036</v>
      </c>
      <c r="D178" s="16" t="n">
        <f aca="false">q26_sfbp</f>
        <v>145.9</v>
      </c>
      <c r="E178" s="16" t="n">
        <f aca="false">E177*m_sf</f>
        <v>151.736</v>
      </c>
      <c r="F178" s="16" t="n">
        <f aca="false">F177*m_sf</f>
        <v>157.80544</v>
      </c>
      <c r="G178" s="16" t="n">
        <f aca="false">G177*m_sf</f>
        <v>164.1176576</v>
      </c>
    </row>
    <row r="179" customFormat="false" ht="15" hidden="false" customHeight="false" outlineLevel="0" collapsed="false">
      <c r="A179" s="4" t="s">
        <v>520</v>
      </c>
      <c r="B179" s="0" t="s">
        <v>170</v>
      </c>
      <c r="C179" s="16" t="n">
        <f aca="false">q25_ff</f>
        <v>290.308</v>
      </c>
      <c r="D179" s="16" t="n">
        <f aca="false">q26_ff</f>
        <v>310.6</v>
      </c>
      <c r="E179" s="16" t="n">
        <f aca="false">D179*(1+g_ff)</f>
        <v>319.918</v>
      </c>
      <c r="F179" s="16" t="n">
        <f aca="false">E179*(1+g_ff)</f>
        <v>329.51554</v>
      </c>
      <c r="G179" s="16" t="n">
        <f aca="false">F179*(1+g_ff)</f>
        <v>339.4010062</v>
      </c>
    </row>
    <row r="180" customFormat="false" ht="15" hidden="false" customHeight="false" outlineLevel="0" collapsed="false">
      <c r="A180" s="4" t="s">
        <v>521</v>
      </c>
      <c r="B180" s="0" t="s">
        <v>170</v>
      </c>
      <c r="C180" s="16" t="n">
        <f aca="false">q25_ffbp</f>
        <v>8.457</v>
      </c>
      <c r="D180" s="16" t="n">
        <f aca="false">q26_ffbp</f>
        <v>12.1</v>
      </c>
      <c r="E180" s="16" t="n">
        <f aca="false">E179*m_ff</f>
        <v>14.39631</v>
      </c>
      <c r="F180" s="16" t="n">
        <f aca="false">F179*m_ff</f>
        <v>14.8281993</v>
      </c>
      <c r="G180" s="16" t="n">
        <f aca="false">G179*m_ff</f>
        <v>15.273045279</v>
      </c>
    </row>
    <row r="181" customFormat="false" ht="17.15" hidden="false" customHeight="false" outlineLevel="0" collapsed="false">
      <c r="A181" s="4" t="s">
        <v>522</v>
      </c>
      <c r="B181" s="0" t="s">
        <v>170</v>
      </c>
      <c r="C181" s="16" t="n">
        <f aca="false">q25_hox</f>
        <v>239.0528</v>
      </c>
      <c r="D181" s="16" t="n">
        <f aca="false">q26_hox</f>
        <v>286.2</v>
      </c>
      <c r="E181" s="16" t="n">
        <f aca="false">D181*(1+g_ho)</f>
        <v>300.51</v>
      </c>
      <c r="F181" s="16" t="n">
        <f aca="false">E181*(1+g_ho)</f>
        <v>315.5355</v>
      </c>
      <c r="G181" s="16" t="n">
        <f aca="false">F181*(1+g_ho)</f>
        <v>331.312275</v>
      </c>
    </row>
    <row r="182" customFormat="false" ht="17.15" hidden="false" customHeight="false" outlineLevel="0" collapsed="false">
      <c r="A182" s="4" t="s">
        <v>523</v>
      </c>
      <c r="B182" s="0" t="s">
        <v>170</v>
      </c>
      <c r="C182" s="16" t="n">
        <f aca="false">q25_hoxbp</f>
        <v>11.602</v>
      </c>
      <c r="D182" s="16" t="n">
        <f aca="false">q26_hoxbp</f>
        <v>19.5</v>
      </c>
      <c r="E182" s="16" t="n">
        <f aca="false">E181*m_ho</f>
        <v>20.475</v>
      </c>
      <c r="F182" s="16" t="n">
        <f aca="false">F181*m_ho</f>
        <v>21.49875</v>
      </c>
      <c r="G182" s="16" t="n">
        <f aca="false">G181*m_ho</f>
        <v>22.5736875</v>
      </c>
    </row>
    <row r="183" customFormat="false" ht="17.15" hidden="false" customHeight="false" outlineLevel="0" collapsed="false">
      <c r="A183" s="4" t="s">
        <v>524</v>
      </c>
      <c r="B183" s="0" t="s">
        <v>170</v>
      </c>
      <c r="C183" s="16" t="n">
        <f aca="false">q25_oth</f>
        <v>14.979</v>
      </c>
      <c r="D183" s="16" t="n">
        <f aca="false">q26_oth</f>
        <v>15.8</v>
      </c>
      <c r="E183" s="16" t="n">
        <f aca="false">D183</f>
        <v>15.8</v>
      </c>
      <c r="F183" s="16" t="n">
        <f aca="false">E183</f>
        <v>15.8</v>
      </c>
      <c r="G183" s="16" t="n">
        <f aca="false">F183</f>
        <v>15.8</v>
      </c>
      <c r="K183" s="8" t="s">
        <v>525</v>
      </c>
    </row>
    <row r="184" customFormat="false" ht="15" hidden="false" customHeight="false" outlineLevel="0" collapsed="false">
      <c r="A184" s="4" t="s">
        <v>526</v>
      </c>
      <c r="B184" s="0" t="s">
        <v>170</v>
      </c>
      <c r="C184" s="16" t="n">
        <f aca="false">q25_othbp</f>
        <v>6.064</v>
      </c>
      <c r="D184" s="16" t="n">
        <f aca="false">q26_othbp</f>
        <v>5.1</v>
      </c>
      <c r="E184" s="16" t="n">
        <f aca="false">q26_othbp</f>
        <v>5.1</v>
      </c>
      <c r="F184" s="16" t="n">
        <f aca="false">q26_othbp</f>
        <v>5.1</v>
      </c>
      <c r="G184" s="16" t="n">
        <f aca="false">q26_othbp</f>
        <v>5.1</v>
      </c>
    </row>
    <row r="185" customFormat="false" ht="15" hidden="false" customHeight="false" outlineLevel="0" collapsed="false">
      <c r="A185" s="4" t="s">
        <v>527</v>
      </c>
      <c r="B185" s="0" t="s">
        <v>170</v>
      </c>
      <c r="C185" s="16" t="n">
        <f aca="false">q25_cc</f>
        <v>-42.597</v>
      </c>
      <c r="D185" s="16" t="n">
        <f aca="false">q26_cc</f>
        <v>-46.2</v>
      </c>
      <c r="E185" s="16" t="n">
        <f aca="false">D185*(1+g_cc)</f>
        <v>-47.586</v>
      </c>
      <c r="F185" s="16" t="n">
        <f aca="false">E185*(1+g_cc)</f>
        <v>-49.01358</v>
      </c>
      <c r="G185" s="16" t="n">
        <f aca="false">F185*(1+g_cc)</f>
        <v>-50.4839874</v>
      </c>
    </row>
    <row r="186" customFormat="false" ht="17.15" hidden="false" customHeight="false" outlineLevel="0" collapsed="false">
      <c r="A186" s="4" t="s">
        <v>528</v>
      </c>
      <c r="B186" s="0" t="s">
        <v>170</v>
      </c>
      <c r="C186" s="28" t="n">
        <f aca="false">a_rev-(q25_sf+q25_ff+q25_hox+q25_fm+q25_oth)</f>
        <v>0.00200000000018008</v>
      </c>
      <c r="D186" s="28" t="n">
        <f aca="false">f_rev-(q26_sf+q26_ff+q26_hox+q26_fm+q26_oth)</f>
        <v>0.200000000000045</v>
      </c>
      <c r="E186" s="28" t="n">
        <f aca="false">$D186</f>
        <v>0.200000000000045</v>
      </c>
      <c r="F186" s="28" t="n">
        <f aca="false">$D186</f>
        <v>0.200000000000045</v>
      </c>
      <c r="G186" s="28" t="n">
        <f aca="false">$D186</f>
        <v>0.200000000000045</v>
      </c>
      <c r="K186" s="8" t="s">
        <v>529</v>
      </c>
    </row>
    <row r="187" customFormat="false" ht="15" hidden="false" customHeight="false" outlineLevel="0" collapsed="false">
      <c r="A187" s="4" t="s">
        <v>530</v>
      </c>
      <c r="B187" s="0" t="s">
        <v>170</v>
      </c>
      <c r="C187" s="28" t="n">
        <f aca="false">a_bp-(q25_sfbp+q25_ffbp+q25_hoxbp+q25_fmbp+q25_othbp+q25_cc)</f>
        <v>0.0010000000000332</v>
      </c>
      <c r="D187" s="28" t="n">
        <f aca="false">f_bp-(q26_sfbp+q26_ffbp+q26_hoxbp+q26_fmbp+q26_othbp+q26_cc)</f>
        <v>0.100000000000023</v>
      </c>
      <c r="E187" s="28" t="n">
        <f aca="false">$D187</f>
        <v>0.100000000000023</v>
      </c>
      <c r="F187" s="28" t="n">
        <f aca="false">$D187</f>
        <v>0.100000000000023</v>
      </c>
      <c r="G187" s="28" t="n">
        <f aca="false">$D187</f>
        <v>0.100000000000023</v>
      </c>
    </row>
    <row r="188" customFormat="false" ht="17.15" hidden="false" customHeight="false" outlineLevel="0" collapsed="false">
      <c r="A188" s="6" t="s">
        <v>531</v>
      </c>
    </row>
    <row r="189" customFormat="false" ht="17.15" hidden="false" customHeight="false" outlineLevel="0" collapsed="false">
      <c r="A189" s="4" t="s">
        <v>403</v>
      </c>
      <c r="B189" s="0" t="s">
        <v>170</v>
      </c>
      <c r="C189" s="16" t="n">
        <f aca="false">C177+C179+C181+C173+C183+C186</f>
        <v>1583.719</v>
      </c>
      <c r="D189" s="16" t="n">
        <f aca="false">D177+D179+D181+D173+D183+D186</f>
        <v>1732</v>
      </c>
      <c r="E189" s="16" t="n">
        <f aca="false">E177+E179+E181+E173+E183+E186</f>
        <v>1849.244896</v>
      </c>
      <c r="F189" s="16" t="n">
        <f aca="false">F177+F179+F181+F173+F183+F186</f>
        <v>1939.36673331053</v>
      </c>
      <c r="G189" s="16" t="n">
        <f aca="false">G177+G179+G181+G173+G183+G186</f>
        <v>2029.6008152864</v>
      </c>
      <c r="H189" s="24" t="n">
        <f aca="false">G189*(1+H193)</f>
        <v>2133.14780316412</v>
      </c>
      <c r="I189" s="24" t="n">
        <f aca="false">H189*(1+I193)</f>
        <v>2251.55713206299</v>
      </c>
      <c r="J189" s="24" t="n">
        <f aca="false">I189*(1+J193)</f>
        <v>2386.65055998677</v>
      </c>
      <c r="K189" s="8" t="s">
        <v>532</v>
      </c>
    </row>
    <row r="190" customFormat="false" ht="17.15" hidden="false" customHeight="false" outlineLevel="0" collapsed="false">
      <c r="A190" s="4" t="s">
        <v>533</v>
      </c>
      <c r="B190" s="0" t="s">
        <v>170</v>
      </c>
      <c r="C190" s="16" t="n">
        <f aca="false">C173+C181</f>
        <v>341.504</v>
      </c>
      <c r="D190" s="16" t="n">
        <f aca="false">D173+D181</f>
        <v>406.8</v>
      </c>
      <c r="E190" s="16" t="n">
        <f aca="false">E173+E181</f>
        <v>474.782896</v>
      </c>
      <c r="F190" s="16" t="n">
        <f aca="false">F173+F181</f>
        <v>513.765433310526</v>
      </c>
      <c r="G190" s="16" t="n">
        <f aca="false">G173+G181</f>
        <v>550.9106186864</v>
      </c>
      <c r="K190" s="4" t="s">
        <v>534</v>
      </c>
    </row>
    <row r="191" customFormat="false" ht="17.15" hidden="false" customHeight="false" outlineLevel="0" collapsed="false">
      <c r="A191" s="4" t="s">
        <v>535</v>
      </c>
      <c r="B191" s="0" t="s">
        <v>170</v>
      </c>
      <c r="C191" s="16" t="n">
        <f aca="false">C183+C186</f>
        <v>14.9810000000002</v>
      </c>
      <c r="D191" s="16" t="n">
        <f aca="false">D183+D186</f>
        <v>16</v>
      </c>
      <c r="E191" s="16" t="n">
        <f aca="false">E183+E186</f>
        <v>16</v>
      </c>
      <c r="F191" s="16" t="n">
        <f aca="false">F183+F186</f>
        <v>16</v>
      </c>
      <c r="G191" s="16" t="n">
        <f aca="false">G183+G186</f>
        <v>16</v>
      </c>
      <c r="K191" s="8" t="s">
        <v>536</v>
      </c>
    </row>
    <row r="192" customFormat="false" ht="15" hidden="false" customHeight="false" outlineLevel="0" collapsed="false">
      <c r="A192" s="4" t="s">
        <v>537</v>
      </c>
      <c r="B192" s="0" t="s">
        <v>170</v>
      </c>
      <c r="C192" s="22" t="n">
        <f aca="false">C177+C179+C190+C191-C189</f>
        <v>0</v>
      </c>
      <c r="D192" s="22" t="n">
        <f aca="false">D177+D179+D190+D191-D189</f>
        <v>0</v>
      </c>
      <c r="E192" s="22" t="n">
        <f aca="false">E177+E179+E190+E191-E189</f>
        <v>0</v>
      </c>
      <c r="F192" s="22" t="n">
        <f aca="false">F177+F179+F190+F191-F189</f>
        <v>0</v>
      </c>
      <c r="G192" s="22" t="n">
        <f aca="false">G177+G179+G190+G191-G189</f>
        <v>0</v>
      </c>
    </row>
    <row r="193" customFormat="false" ht="15" hidden="false" customHeight="false" outlineLevel="0" collapsed="false">
      <c r="A193" s="4" t="s">
        <v>538</v>
      </c>
      <c r="B193" s="0" t="s">
        <v>78</v>
      </c>
      <c r="D193" s="17" t="n">
        <f aca="false">D189/C189-1</f>
        <v>0.0936283519993131</v>
      </c>
      <c r="E193" s="17" t="n">
        <f aca="false">E189/D189-1</f>
        <v>0.0676933579676673</v>
      </c>
      <c r="F193" s="17" t="n">
        <f aca="false">F189/E189-1</f>
        <v>0.0487343982970909</v>
      </c>
      <c r="G193" s="17" t="n">
        <f aca="false">G189/F189-1</f>
        <v>0.0465276012143629</v>
      </c>
      <c r="H193" s="25" t="n">
        <f aca="false">$G193+(fade_gA-$G193)*1/3</f>
        <v>0.0510184008095753</v>
      </c>
      <c r="I193" s="25" t="n">
        <f aca="false">$G193+(fade_gA-$G193)*2/3</f>
        <v>0.0555092004047877</v>
      </c>
      <c r="J193" s="25" t="n">
        <f aca="false">$G193+(fade_gA-$G193)*3/3</f>
        <v>0.06</v>
      </c>
    </row>
    <row r="194" customFormat="false" ht="17.15" hidden="false" customHeight="false" outlineLevel="0" collapsed="false">
      <c r="A194" s="0" t="s">
        <v>539</v>
      </c>
      <c r="B194" s="0" t="s">
        <v>78</v>
      </c>
      <c r="C194" s="17" t="n">
        <f aca="false">C173/C189</f>
        <v>0.0646902638662541</v>
      </c>
      <c r="D194" s="17" t="n">
        <f aca="false">D173/D189</f>
        <v>0.0696304849884527</v>
      </c>
      <c r="E194" s="17" t="n">
        <f aca="false">E173/E189</f>
        <v>0.094240030823911</v>
      </c>
      <c r="F194" s="17" t="n">
        <f aca="false">F173/F189</f>
        <v>0.102213743231609</v>
      </c>
      <c r="G194" s="17" t="n">
        <f aca="false">G173/G189</f>
        <v>0.108197800292769</v>
      </c>
    </row>
    <row r="195" customFormat="false" ht="15" hidden="false" customHeight="false" outlineLevel="0" collapsed="false">
      <c r="A195" s="4" t="s">
        <v>413</v>
      </c>
      <c r="B195" s="0" t="s">
        <v>170</v>
      </c>
      <c r="C195" s="16" t="n">
        <f aca="false">C178+C180+C182+C175+C184+C185+C187</f>
        <v>181.163</v>
      </c>
      <c r="D195" s="16" t="n">
        <f aca="false">D178+D180+D182+D175+D184+D185+D187</f>
        <v>202</v>
      </c>
      <c r="E195" s="16" t="n">
        <f aca="false">E178+E180+E182+E175+E184+E185+E187</f>
        <v>245.270224222222</v>
      </c>
      <c r="F195" s="16" t="n">
        <f aca="false">F178+F180+F182+F175+F184+F185+F187</f>
        <v>264.99803450376</v>
      </c>
      <c r="G195" s="16" t="n">
        <f aca="false">G178+G180+G182+G175+G184+G185+G187</f>
        <v>278.391299485321</v>
      </c>
    </row>
    <row r="196" customFormat="false" ht="15" hidden="false" customHeight="false" outlineLevel="0" collapsed="false">
      <c r="A196" s="4" t="s">
        <v>429</v>
      </c>
      <c r="B196" s="0" t="s">
        <v>78</v>
      </c>
      <c r="C196" s="17" t="n">
        <f aca="false">C195/C189</f>
        <v>0.114390873633517</v>
      </c>
      <c r="D196" s="17" t="n">
        <f aca="false">D195/D189</f>
        <v>0.11662817551963</v>
      </c>
      <c r="E196" s="17" t="n">
        <f aca="false">E195/E189</f>
        <v>0.132632635489628</v>
      </c>
      <c r="F196" s="17" t="n">
        <f aca="false">F195/F189</f>
        <v>0.136641528367048</v>
      </c>
      <c r="G196" s="17" t="n">
        <f aca="false">G195/G189</f>
        <v>0.137165543780114</v>
      </c>
    </row>
    <row r="197" customFormat="false" ht="17.15" hidden="false" customHeight="false" outlineLevel="0" collapsed="false">
      <c r="A197" s="0" t="s">
        <v>540</v>
      </c>
      <c r="B197" s="0" t="s">
        <v>78</v>
      </c>
      <c r="C197" s="17" t="n">
        <f aca="false">C175/C195</f>
        <v>0.301386044611758</v>
      </c>
      <c r="D197" s="17" t="n">
        <f aca="false">D175/D195</f>
        <v>0.324257425742574</v>
      </c>
      <c r="E197" s="17" t="n">
        <f aca="false">E175/E195</f>
        <v>0.411990140844283</v>
      </c>
      <c r="F197" s="17" t="n">
        <f aca="false">F175/F195</f>
        <v>0.432755002951287</v>
      </c>
      <c r="G197" s="17" t="n">
        <f aca="false">G175/G195</f>
        <v>0.437193607455892</v>
      </c>
    </row>
    <row r="198" customFormat="false" ht="17.15" hidden="false" customHeight="false" outlineLevel="0" collapsed="false">
      <c r="A198" s="4" t="s">
        <v>430</v>
      </c>
      <c r="B198" s="0" t="s">
        <v>53</v>
      </c>
      <c r="C198" s="22" t="n">
        <f aca="false">q25_ni/q25_bp</f>
        <v>0.743391310587703</v>
      </c>
      <c r="D198" s="22" t="n">
        <f aca="false">q26_ni/q26_bp</f>
        <v>0.611386138613861</v>
      </c>
      <c r="E198" s="22" t="n">
        <f aca="false">ni_bp</f>
        <v>0.62</v>
      </c>
      <c r="F198" s="22" t="n">
        <f aca="false">ni_bp</f>
        <v>0.62</v>
      </c>
      <c r="G198" s="22" t="n">
        <f aca="false">ni_bp</f>
        <v>0.62</v>
      </c>
    </row>
    <row r="199" customFormat="false" ht="15" hidden="false" customHeight="false" outlineLevel="0" collapsed="false">
      <c r="A199" s="4" t="s">
        <v>420</v>
      </c>
      <c r="B199" s="0" t="s">
        <v>170</v>
      </c>
      <c r="C199" s="16" t="n">
        <f aca="false">q25_ni</f>
        <v>134.675</v>
      </c>
      <c r="D199" s="16" t="n">
        <f aca="false">q26_ni</f>
        <v>123.5</v>
      </c>
      <c r="E199" s="16" t="n">
        <f aca="false">E195*E198</f>
        <v>152.067539017778</v>
      </c>
      <c r="F199" s="16" t="n">
        <f aca="false">F195*F198</f>
        <v>164.298781392331</v>
      </c>
      <c r="G199" s="16" t="n">
        <f aca="false">G195*G198</f>
        <v>172.602605680899</v>
      </c>
      <c r="H199" s="24" t="n">
        <f aca="false">H189*H203</f>
        <v>183.515864113215</v>
      </c>
      <c r="I199" s="24" t="n">
        <f aca="false">I189*I203</f>
        <v>195.92700979319</v>
      </c>
      <c r="J199" s="24" t="n">
        <f aca="false">J189*J203</f>
        <v>210.040416790326</v>
      </c>
    </row>
    <row r="200" customFormat="false" ht="15" hidden="false" customHeight="false" outlineLevel="0" collapsed="false">
      <c r="A200" s="4" t="s">
        <v>541</v>
      </c>
      <c r="B200" s="4" t="s">
        <v>317</v>
      </c>
      <c r="C200" s="20" t="n">
        <f aca="false">q25_sh</f>
        <v>0.973366579936398</v>
      </c>
      <c r="D200" s="20" t="n">
        <f aca="false">q26_sh</f>
        <v>0.95117067159581</v>
      </c>
      <c r="E200" s="20" t="n">
        <f aca="false">D200*(1+sh_g)</f>
        <v>0.936903111521873</v>
      </c>
      <c r="F200" s="20" t="n">
        <f aca="false">E200*(1+sh_g)</f>
        <v>0.922849564849045</v>
      </c>
      <c r="G200" s="20" t="n">
        <f aca="false">F200*(1+sh_g)</f>
        <v>0.909006821376309</v>
      </c>
      <c r="H200" s="29" t="n">
        <f aca="false">G200*(1+sh_g)</f>
        <v>0.895371719055665</v>
      </c>
      <c r="I200" s="29" t="n">
        <f aca="false">H200*(1+sh_g)</f>
        <v>0.88194114326983</v>
      </c>
      <c r="J200" s="29" t="n">
        <f aca="false">I200*(1+sh_g)</f>
        <v>0.868712026120782</v>
      </c>
    </row>
    <row r="201" customFormat="false" ht="17.15" hidden="false" customHeight="false" outlineLevel="0" collapsed="false">
      <c r="A201" s="0" t="s">
        <v>542</v>
      </c>
      <c r="B201" s="0" t="s">
        <v>208</v>
      </c>
      <c r="C201" s="21" t="n">
        <f aca="false">C199/C200</f>
        <v>138.36</v>
      </c>
      <c r="D201" s="21" t="n">
        <f aca="false">D199/D200</f>
        <v>129.84</v>
      </c>
      <c r="E201" s="21" t="n">
        <f aca="false">E199/E200</f>
        <v>162.308713833562</v>
      </c>
      <c r="F201" s="21" t="n">
        <f aca="false">F199/F200</f>
        <v>178.034197176228</v>
      </c>
      <c r="G201" s="21" t="n">
        <f aca="false">G199/G200</f>
        <v>189.880429521491</v>
      </c>
      <c r="H201" s="27" t="n">
        <f aca="false">H199/H200</f>
        <v>204.960532265601</v>
      </c>
      <c r="I201" s="27" t="n">
        <f aca="false">I199/I200</f>
        <v>222.154291460747</v>
      </c>
      <c r="J201" s="27" t="n">
        <f aca="false">J199/J200</f>
        <v>241.783710222429</v>
      </c>
    </row>
    <row r="202" customFormat="false" ht="17.15" hidden="false" customHeight="false" outlineLevel="0" collapsed="false">
      <c r="A202" s="0" t="s">
        <v>543</v>
      </c>
      <c r="B202" s="0" t="s">
        <v>78</v>
      </c>
      <c r="D202" s="17" t="n">
        <f aca="false">D201/C201-1</f>
        <v>-0.0615784908933218</v>
      </c>
      <c r="E202" s="17" t="n">
        <f aca="false">E201/D201-1</f>
        <v>0.250067112088434</v>
      </c>
      <c r="F202" s="17" t="n">
        <f aca="false">F201/E201-1</f>
        <v>0.0968862544175611</v>
      </c>
      <c r="G202" s="17" t="n">
        <f aca="false">G201/F201-1</f>
        <v>0.0665390836881601</v>
      </c>
      <c r="H202" s="25" t="n">
        <f aca="false">H201/G201-1</f>
        <v>0.0794189416050524</v>
      </c>
      <c r="I202" s="25" t="n">
        <f aca="false">I201/H201-1</f>
        <v>0.0838881466840911</v>
      </c>
      <c r="J202" s="25" t="n">
        <f aca="false">J201/I201-1</f>
        <v>0.0883593948719637</v>
      </c>
    </row>
    <row r="203" customFormat="false" ht="15" hidden="false" customHeight="false" outlineLevel="0" collapsed="false">
      <c r="A203" s="4" t="s">
        <v>544</v>
      </c>
      <c r="B203" s="0" t="s">
        <v>78</v>
      </c>
      <c r="C203" s="14" t="n">
        <f aca="false">C199/C189</f>
        <v>0.0850371814696925</v>
      </c>
      <c r="D203" s="14" t="n">
        <f aca="false">D199/D189</f>
        <v>0.0713048498845266</v>
      </c>
      <c r="E203" s="14" t="n">
        <f aca="false">E199/E189</f>
        <v>0.0822322340035691</v>
      </c>
      <c r="F203" s="14" t="n">
        <f aca="false">F199/F189</f>
        <v>0.0847177475875698</v>
      </c>
      <c r="G203" s="14" t="n">
        <f aca="false">G199/G189</f>
        <v>0.0850426371436705</v>
      </c>
      <c r="H203" s="26" t="n">
        <f aca="false">$G203+(fade_mA-$G203)*1/3</f>
        <v>0.0860305431442697</v>
      </c>
      <c r="I203" s="26" t="n">
        <f aca="false">$G203+(fade_mA-$G203)*2/3</f>
        <v>0.0870184491448688</v>
      </c>
      <c r="J203" s="26" t="n">
        <f aca="false">$G203+(fade_mA-$G203)*3/3</f>
        <v>0.088006355145468</v>
      </c>
    </row>
    <row r="204" customFormat="false" ht="17.15" hidden="false" customHeight="false" outlineLevel="0" collapsed="false">
      <c r="A204" s="0" t="s">
        <v>545</v>
      </c>
      <c r="B204" s="0" t="s">
        <v>208</v>
      </c>
      <c r="D204" s="21" t="n">
        <f aca="false">D175*D198/D200</f>
        <v>42.1015841584158</v>
      </c>
      <c r="E204" s="21" t="n">
        <f aca="false">E175*E198/E200</f>
        <v>66.8695898725438</v>
      </c>
      <c r="F204" s="21" t="n">
        <f aca="false">F175*F198/F200</f>
        <v>77.0451895244284</v>
      </c>
      <c r="G204" s="21" t="n">
        <f aca="false">G175*G198/G200</f>
        <v>83.014509967775</v>
      </c>
      <c r="K204" s="8" t="s">
        <v>546</v>
      </c>
    </row>
    <row r="205" customFormat="false" ht="17.15" hidden="false" customHeight="false" outlineLevel="0" collapsed="false">
      <c r="A205" s="0" t="s">
        <v>547</v>
      </c>
      <c r="B205" s="0" t="s">
        <v>208</v>
      </c>
      <c r="D205" s="21" t="n">
        <f aca="false">D201-D204</f>
        <v>87.7384158415842</v>
      </c>
      <c r="E205" s="21" t="n">
        <f aca="false">E201-E204</f>
        <v>95.4391239610185</v>
      </c>
      <c r="F205" s="21" t="n">
        <f aca="false">F201-F204</f>
        <v>100.9890076518</v>
      </c>
      <c r="G205" s="21" t="n">
        <f aca="false">G201-G204</f>
        <v>106.865919553716</v>
      </c>
    </row>
    <row r="206" customFormat="false" ht="17.15" hidden="false" customHeight="false" outlineLevel="0" collapsed="false">
      <c r="A206" s="0" t="s">
        <v>548</v>
      </c>
      <c r="B206" s="0" t="s">
        <v>455</v>
      </c>
      <c r="D206" s="16" t="n">
        <f aca="false">D171/D161*1000/150</f>
        <v>23.5087719298246</v>
      </c>
      <c r="E206" s="16" t="n">
        <f aca="false">E171/E161*1000/150</f>
        <v>28.9628070175439</v>
      </c>
      <c r="F206" s="16" t="n">
        <f aca="false">F171/F161*1000/150</f>
        <v>31.7310824561404</v>
      </c>
      <c r="G206" s="16" t="n">
        <f aca="false">G171/G161*1000/150</f>
        <v>33.2927466666667</v>
      </c>
      <c r="K206" s="8" t="s">
        <v>549</v>
      </c>
    </row>
    <row r="209" customFormat="false" ht="17.15" hidden="false" customHeight="false" outlineLevel="0" collapsed="false">
      <c r="A209" s="1" t="s">
        <v>940</v>
      </c>
    </row>
    <row r="210" customFormat="false" ht="17.15" hidden="false" customHeight="false" outlineLevel="0" collapsed="false">
      <c r="A210" s="5" t="s">
        <v>20</v>
      </c>
      <c r="B210" s="5" t="s">
        <v>21</v>
      </c>
      <c r="C210" s="15" t="s">
        <v>398</v>
      </c>
      <c r="D210" s="15" t="s">
        <v>470</v>
      </c>
      <c r="E210" s="15" t="s">
        <v>435</v>
      </c>
      <c r="F210" s="15" t="s">
        <v>436</v>
      </c>
      <c r="G210" s="15" t="s">
        <v>437</v>
      </c>
      <c r="H210" s="15" t="s">
        <v>471</v>
      </c>
      <c r="I210" s="15" t="s">
        <v>472</v>
      </c>
      <c r="J210" s="15" t="s">
        <v>473</v>
      </c>
      <c r="K210" s="5" t="s">
        <v>377</v>
      </c>
    </row>
    <row r="211" customFormat="false" ht="17.15" hidden="false" customHeight="false" outlineLevel="0" collapsed="false">
      <c r="A211" s="6" t="s">
        <v>493</v>
      </c>
    </row>
    <row r="212" customFormat="false" ht="17.15" hidden="false" customHeight="false" outlineLevel="0" collapsed="false">
      <c r="A212" s="0" t="s">
        <v>494</v>
      </c>
      <c r="B212" s="4" t="s">
        <v>31</v>
      </c>
      <c r="D212" s="21" t="n">
        <f aca="false">unv_26</f>
        <v>7.6</v>
      </c>
      <c r="E212" s="21" t="n">
        <f aca="false">unv_27</f>
        <v>9.7</v>
      </c>
      <c r="F212" s="21" t="n">
        <f aca="false">unv_28*um28_A</f>
        <v>9.5</v>
      </c>
      <c r="G212" s="21" t="n">
        <f aca="false">unv_29*um29_A</f>
        <v>10.6</v>
      </c>
      <c r="K212" s="8" t="s">
        <v>495</v>
      </c>
    </row>
    <row r="213" customFormat="false" ht="17.15" hidden="false" customHeight="false" outlineLevel="0" collapsed="false">
      <c r="A213" s="4" t="s">
        <v>496</v>
      </c>
      <c r="B213" s="4" t="s">
        <v>31</v>
      </c>
      <c r="D213" s="21" t="n">
        <f aca="false">uot_26</f>
        <v>7.6</v>
      </c>
      <c r="E213" s="21" t="n">
        <f aca="false">uot_27</f>
        <v>14</v>
      </c>
      <c r="F213" s="21" t="n">
        <f aca="false">uot_28*um28_A</f>
        <v>17</v>
      </c>
      <c r="G213" s="21" t="n">
        <f aca="false">uot_29*um29_A</f>
        <v>19.55</v>
      </c>
      <c r="K213" s="8" t="s">
        <v>497</v>
      </c>
    </row>
    <row r="214" customFormat="false" ht="17.15" hidden="false" customHeight="false" outlineLevel="0" collapsed="false">
      <c r="A214" s="4" t="s">
        <v>498</v>
      </c>
      <c r="B214" s="4" t="s">
        <v>31</v>
      </c>
      <c r="D214" s="21" t="n">
        <f aca="false">D212+v_ot*D213</f>
        <v>13.68</v>
      </c>
      <c r="E214" s="21" t="n">
        <f aca="false">E212+v_ot*E213</f>
        <v>20.9</v>
      </c>
      <c r="F214" s="21" t="n">
        <f aca="false">F212+v_ot*F213</f>
        <v>23.1</v>
      </c>
      <c r="G214" s="21" t="n">
        <f aca="false">G212+v_ot*G213</f>
        <v>26.24</v>
      </c>
    </row>
    <row r="215" customFormat="false" ht="17.15" hidden="false" customHeight="false" outlineLevel="0" collapsed="false">
      <c r="A215" s="4" t="s">
        <v>499</v>
      </c>
      <c r="B215" s="0" t="s">
        <v>53</v>
      </c>
      <c r="D215" s="22" t="n">
        <f aca="false">1</f>
        <v>1</v>
      </c>
      <c r="E215" s="22" t="n">
        <f aca="false">D215*(1+g_asp_hi)</f>
        <v>1.22</v>
      </c>
      <c r="F215" s="22" t="n">
        <f aca="false">E215*(1+g_asp_hi)</f>
        <v>1.4884</v>
      </c>
      <c r="G215" s="22" t="n">
        <f aca="false">F215*(1+g_asp_hi)</f>
        <v>1.815848</v>
      </c>
    </row>
    <row r="216" customFormat="false" ht="17.15" hidden="false" customHeight="false" outlineLevel="0" collapsed="false">
      <c r="A216" s="4" t="s">
        <v>500</v>
      </c>
      <c r="B216" s="0" t="s">
        <v>53</v>
      </c>
      <c r="D216" s="19" t="n">
        <f aca="false">1</f>
        <v>1</v>
      </c>
      <c r="E216" s="19" t="n">
        <f aca="false">rel_27</f>
        <v>1</v>
      </c>
      <c r="F216" s="19" t="n">
        <f aca="false">rel_28</f>
        <v>0.97</v>
      </c>
      <c r="G216" s="19" t="n">
        <f aca="false">rel_29</f>
        <v>0.95</v>
      </c>
    </row>
    <row r="217" customFormat="false" ht="17.15" hidden="false" customHeight="false" outlineLevel="0" collapsed="false">
      <c r="A217" s="0" t="s">
        <v>501</v>
      </c>
      <c r="B217" s="0" t="s">
        <v>53</v>
      </c>
      <c r="D217" s="22" t="n">
        <f aca="false">D214/$D214*D215*D216</f>
        <v>1</v>
      </c>
      <c r="E217" s="22" t="n">
        <f aca="false">E214/$D214*E215*E216</f>
        <v>1.86388888888889</v>
      </c>
      <c r="F217" s="22" t="n">
        <f aca="false">F214/$D214*F215*F216</f>
        <v>2.43790780701754</v>
      </c>
      <c r="G217" s="22" t="n">
        <f aca="false">G214/$D214*G215*G216</f>
        <v>3.30887857777778</v>
      </c>
      <c r="K217" s="4" t="s">
        <v>502</v>
      </c>
    </row>
    <row r="218" customFormat="false" ht="17.15" hidden="false" customHeight="false" outlineLevel="0" collapsed="false">
      <c r="A218" s="4" t="s">
        <v>503</v>
      </c>
      <c r="B218" s="0" t="s">
        <v>53</v>
      </c>
      <c r="D218" s="22" t="n">
        <f aca="false">1</f>
        <v>1</v>
      </c>
      <c r="E218" s="22" t="n">
        <f aca="false">D218*(1+g_nai)</f>
        <v>1.03</v>
      </c>
      <c r="F218" s="22" t="n">
        <f aca="false">E218*(1+g_nai)</f>
        <v>1.0609</v>
      </c>
      <c r="G218" s="22" t="n">
        <f aca="false">F218*(1+g_nai)</f>
        <v>1.092727</v>
      </c>
    </row>
    <row r="219" customFormat="false" ht="17.15" hidden="false" customHeight="false" outlineLevel="0" collapsed="false">
      <c r="A219" s="0" t="s">
        <v>504</v>
      </c>
      <c r="B219" s="0" t="s">
        <v>53</v>
      </c>
      <c r="D219" s="22" t="n">
        <f aca="false">ai_sh*D217+(1-ai_sh)*D218</f>
        <v>1</v>
      </c>
      <c r="E219" s="22" t="n">
        <f aca="false">ai_sh*E217+(1-ai_sh)*E218</f>
        <v>1.36355555555556</v>
      </c>
      <c r="F219" s="22" t="n">
        <f aca="false">ai_sh*F217+(1-ai_sh)*F218</f>
        <v>1.61170312280702</v>
      </c>
      <c r="G219" s="22" t="n">
        <f aca="false">ai_sh*G217+(1-ai_sh)*G218</f>
        <v>1.97918763111111</v>
      </c>
    </row>
    <row r="220" customFormat="false" ht="17.15" hidden="false" customHeight="false" outlineLevel="0" collapsed="false">
      <c r="A220" s="4" t="s">
        <v>505</v>
      </c>
      <c r="B220" s="0" t="s">
        <v>53</v>
      </c>
      <c r="D220" s="22" t="n">
        <f aca="false">1</f>
        <v>1</v>
      </c>
      <c r="E220" s="22" t="n">
        <f aca="false">cap_27</f>
        <v>1.3</v>
      </c>
      <c r="F220" s="22" t="n">
        <f aca="false">cap_28</f>
        <v>1.55</v>
      </c>
      <c r="G220" s="22" t="n">
        <f aca="false">cap_29</f>
        <v>1.8</v>
      </c>
      <c r="K220" s="4" t="s">
        <v>506</v>
      </c>
    </row>
    <row r="221" customFormat="false" ht="17.15" hidden="false" customHeight="false" outlineLevel="0" collapsed="false">
      <c r="A221" s="4" t="s">
        <v>507</v>
      </c>
      <c r="B221" s="0" t="s">
        <v>53</v>
      </c>
      <c r="D221" s="22" t="n">
        <f aca="false">MIN(D219,D220)</f>
        <v>1</v>
      </c>
      <c r="E221" s="22" t="n">
        <f aca="false">MIN(E219,E220)</f>
        <v>1.3</v>
      </c>
      <c r="F221" s="22" t="n">
        <f aca="false">MIN(F219,F220)</f>
        <v>1.55</v>
      </c>
      <c r="G221" s="22" t="n">
        <f aca="false">MIN(G219,G220)</f>
        <v>1.8</v>
      </c>
    </row>
    <row r="222" customFormat="false" ht="17.15" hidden="false" customHeight="false" outlineLevel="0" collapsed="false">
      <c r="A222" s="4" t="s">
        <v>508</v>
      </c>
      <c r="B222" s="0" t="s">
        <v>78</v>
      </c>
      <c r="D222" s="17" t="n">
        <f aca="false">D221/D219</f>
        <v>1</v>
      </c>
      <c r="E222" s="17" t="n">
        <f aca="false">E221/E219</f>
        <v>0.953389830508475</v>
      </c>
      <c r="F222" s="17" t="n">
        <f aca="false">F221/F219</f>
        <v>0.961715577804706</v>
      </c>
      <c r="G222" s="17" t="n">
        <f aca="false">G221/G219</f>
        <v>0.909464050656725</v>
      </c>
      <c r="K222" s="4" t="s">
        <v>509</v>
      </c>
    </row>
    <row r="223" customFormat="false" ht="17.15" hidden="false" customHeight="false" outlineLevel="0" collapsed="false">
      <c r="A223" s="0" t="s">
        <v>510</v>
      </c>
      <c r="B223" s="0" t="s">
        <v>53</v>
      </c>
      <c r="D223" s="22" t="n">
        <f aca="false">1</f>
        <v>1</v>
      </c>
      <c r="E223" s="22" t="n">
        <f aca="false">pp_27</f>
        <v>1.12</v>
      </c>
      <c r="F223" s="22" t="n">
        <f aca="false">pp_28*sp_A</f>
        <v>1.15</v>
      </c>
      <c r="G223" s="22" t="n">
        <f aca="false">pp_29*sp_A</f>
        <v>1.12</v>
      </c>
      <c r="K223" s="8" t="s">
        <v>511</v>
      </c>
    </row>
    <row r="224" customFormat="false" ht="17.15" hidden="false" customHeight="false" outlineLevel="0" collapsed="false">
      <c r="A224" s="0" t="s">
        <v>452</v>
      </c>
      <c r="B224" s="0" t="s">
        <v>170</v>
      </c>
      <c r="D224" s="16" t="n">
        <f aca="false">q26_fm*ai_sh</f>
        <v>48.24</v>
      </c>
      <c r="E224" s="16" t="n">
        <f aca="false">q26_fm*ai_sh*E217*E222*E223</f>
        <v>96.0098644067797</v>
      </c>
      <c r="F224" s="16" t="n">
        <f aca="false">q26_fm*ai_sh*F217*F222*F223</f>
        <v>130.06758252299</v>
      </c>
      <c r="G224" s="16" t="n">
        <f aca="false">q26_fm*ai_sh*G217*G222*G223</f>
        <v>162.589198197857</v>
      </c>
      <c r="K224" s="8" t="s">
        <v>512</v>
      </c>
    </row>
    <row r="225" customFormat="false" ht="17.15" hidden="false" customHeight="false" outlineLevel="0" collapsed="false">
      <c r="A225" s="0" t="s">
        <v>513</v>
      </c>
      <c r="B225" s="0" t="s">
        <v>170</v>
      </c>
      <c r="D225" s="16" t="n">
        <f aca="false">q26_fm*(1-ai_sh)</f>
        <v>72.36</v>
      </c>
      <c r="E225" s="16" t="n">
        <f aca="false">q26_fm*(1-ai_sh)*E218*E222*E223</f>
        <v>79.5837355932204</v>
      </c>
      <c r="F225" s="16" t="n">
        <f aca="false">q26_fm*(1-ai_sh)*F218*F222*F223</f>
        <v>84.9019174770096</v>
      </c>
      <c r="G225" s="16" t="n">
        <f aca="false">q26_fm*(1-ai_sh)*G218*G222*G223</f>
        <v>80.5404018021428</v>
      </c>
    </row>
    <row r="226" customFormat="false" ht="17.15" hidden="false" customHeight="false" outlineLevel="0" collapsed="false">
      <c r="A226" s="4" t="s">
        <v>514</v>
      </c>
      <c r="B226" s="0" t="s">
        <v>170</v>
      </c>
      <c r="C226" s="16" t="n">
        <f aca="false">q25_fm</f>
        <v>102.4512</v>
      </c>
      <c r="D226" s="16" t="n">
        <f aca="false">D224+D225</f>
        <v>120.6</v>
      </c>
      <c r="E226" s="16" t="n">
        <f aca="false">E224+E225</f>
        <v>175.5936</v>
      </c>
      <c r="F226" s="16" t="n">
        <f aca="false">F224+F225</f>
        <v>214.9695</v>
      </c>
      <c r="G226" s="16" t="n">
        <f aca="false">G224+G225</f>
        <v>243.1296</v>
      </c>
    </row>
    <row r="227" customFormat="false" ht="17.15" hidden="false" customHeight="false" outlineLevel="0" collapsed="false">
      <c r="A227" s="0" t="s">
        <v>515</v>
      </c>
      <c r="B227" s="0" t="s">
        <v>78</v>
      </c>
      <c r="C227" s="17" t="n">
        <f aca="false">q25_fmbp/q25_fm</f>
        <v>0.532936656671664</v>
      </c>
      <c r="D227" s="17" t="n">
        <f aca="false">q26_fmbp/q26_fm</f>
        <v>0.543117744610282</v>
      </c>
      <c r="E227" s="17" t="n">
        <f aca="false">1-(1-$D227)*(1+c_g)^1/E223</f>
        <v>0.579831497275527</v>
      </c>
      <c r="F227" s="17" t="n">
        <f aca="false">1-(1-$D227)*(1+c_g)^2/F223</f>
        <v>0.578516187180042</v>
      </c>
      <c r="G227" s="17" t="n">
        <f aca="false">1-(1-$D227)*(1+c_g)^3/G223</f>
        <v>0.554243235459607</v>
      </c>
      <c r="K227" s="8" t="s">
        <v>516</v>
      </c>
    </row>
    <row r="228" customFormat="false" ht="17.15" hidden="false" customHeight="false" outlineLevel="0" collapsed="false">
      <c r="A228" s="0" t="s">
        <v>478</v>
      </c>
      <c r="B228" s="0" t="s">
        <v>170</v>
      </c>
      <c r="C228" s="16" t="n">
        <f aca="false">q25_fmbp</f>
        <v>54.6</v>
      </c>
      <c r="D228" s="16" t="n">
        <f aca="false">D226*D227</f>
        <v>65.5</v>
      </c>
      <c r="E228" s="16" t="n">
        <f aca="false">E226*E227</f>
        <v>101.8147</v>
      </c>
      <c r="F228" s="16" t="n">
        <f aca="false">F226*F227</f>
        <v>124.3633355</v>
      </c>
      <c r="G228" s="16" t="n">
        <f aca="false">G226*G227</f>
        <v>134.75293614</v>
      </c>
    </row>
    <row r="229" customFormat="false" ht="17.15" hidden="false" customHeight="false" outlineLevel="0" collapsed="false">
      <c r="A229" s="6" t="s">
        <v>517</v>
      </c>
    </row>
    <row r="230" customFormat="false" ht="15" hidden="false" customHeight="false" outlineLevel="0" collapsed="false">
      <c r="A230" s="4" t="s">
        <v>518</v>
      </c>
      <c r="B230" s="0" t="s">
        <v>170</v>
      </c>
      <c r="C230" s="16" t="n">
        <f aca="false">q25_sf</f>
        <v>936.926</v>
      </c>
      <c r="D230" s="16" t="n">
        <f aca="false">q26_sf</f>
        <v>998.6</v>
      </c>
      <c r="E230" s="16" t="n">
        <f aca="false">D230*(1+g_sf)</f>
        <v>1038.544</v>
      </c>
      <c r="F230" s="16" t="n">
        <f aca="false">E230*(1+g_sf)</f>
        <v>1080.08576</v>
      </c>
      <c r="G230" s="16" t="n">
        <f aca="false">F230*(1+g_sf)</f>
        <v>1123.2891904</v>
      </c>
    </row>
    <row r="231" customFormat="false" ht="15" hidden="false" customHeight="false" outlineLevel="0" collapsed="false">
      <c r="A231" s="4" t="s">
        <v>519</v>
      </c>
      <c r="B231" s="0" t="s">
        <v>170</v>
      </c>
      <c r="C231" s="16" t="n">
        <f aca="false">q25_sfbp</f>
        <v>143.036</v>
      </c>
      <c r="D231" s="16" t="n">
        <f aca="false">q26_sfbp</f>
        <v>145.9</v>
      </c>
      <c r="E231" s="16" t="n">
        <f aca="false">E230*m_sf</f>
        <v>151.736</v>
      </c>
      <c r="F231" s="16" t="n">
        <f aca="false">F230*m_sf</f>
        <v>157.80544</v>
      </c>
      <c r="G231" s="16" t="n">
        <f aca="false">G230*m_sf</f>
        <v>164.1176576</v>
      </c>
    </row>
    <row r="232" customFormat="false" ht="15" hidden="false" customHeight="false" outlineLevel="0" collapsed="false">
      <c r="A232" s="4" t="s">
        <v>520</v>
      </c>
      <c r="B232" s="0" t="s">
        <v>170</v>
      </c>
      <c r="C232" s="16" t="n">
        <f aca="false">q25_ff</f>
        <v>290.308</v>
      </c>
      <c r="D232" s="16" t="n">
        <f aca="false">q26_ff</f>
        <v>310.6</v>
      </c>
      <c r="E232" s="16" t="n">
        <f aca="false">D232*(1+g_ff)</f>
        <v>319.918</v>
      </c>
      <c r="F232" s="16" t="n">
        <f aca="false">E232*(1+g_ff)</f>
        <v>329.51554</v>
      </c>
      <c r="G232" s="16" t="n">
        <f aca="false">F232*(1+g_ff)</f>
        <v>339.4010062</v>
      </c>
    </row>
    <row r="233" customFormat="false" ht="15" hidden="false" customHeight="false" outlineLevel="0" collapsed="false">
      <c r="A233" s="4" t="s">
        <v>521</v>
      </c>
      <c r="B233" s="0" t="s">
        <v>170</v>
      </c>
      <c r="C233" s="16" t="n">
        <f aca="false">q25_ffbp</f>
        <v>8.457</v>
      </c>
      <c r="D233" s="16" t="n">
        <f aca="false">q26_ffbp</f>
        <v>12.1</v>
      </c>
      <c r="E233" s="16" t="n">
        <f aca="false">E232*m_ff</f>
        <v>14.39631</v>
      </c>
      <c r="F233" s="16" t="n">
        <f aca="false">F232*m_ff</f>
        <v>14.8281993</v>
      </c>
      <c r="G233" s="16" t="n">
        <f aca="false">G232*m_ff</f>
        <v>15.273045279</v>
      </c>
    </row>
    <row r="234" customFormat="false" ht="17.15" hidden="false" customHeight="false" outlineLevel="0" collapsed="false">
      <c r="A234" s="4" t="s">
        <v>522</v>
      </c>
      <c r="B234" s="0" t="s">
        <v>170</v>
      </c>
      <c r="C234" s="16" t="n">
        <f aca="false">q25_hox</f>
        <v>239.0528</v>
      </c>
      <c r="D234" s="16" t="n">
        <f aca="false">q26_hox</f>
        <v>286.2</v>
      </c>
      <c r="E234" s="16" t="n">
        <f aca="false">D234*(1+g_ho)</f>
        <v>300.51</v>
      </c>
      <c r="F234" s="16" t="n">
        <f aca="false">E234*(1+g_ho)</f>
        <v>315.5355</v>
      </c>
      <c r="G234" s="16" t="n">
        <f aca="false">F234*(1+g_ho)</f>
        <v>331.312275</v>
      </c>
    </row>
    <row r="235" customFormat="false" ht="17.15" hidden="false" customHeight="false" outlineLevel="0" collapsed="false">
      <c r="A235" s="4" t="s">
        <v>523</v>
      </c>
      <c r="B235" s="0" t="s">
        <v>170</v>
      </c>
      <c r="C235" s="16" t="n">
        <f aca="false">q25_hoxbp</f>
        <v>11.602</v>
      </c>
      <c r="D235" s="16" t="n">
        <f aca="false">q26_hoxbp</f>
        <v>19.5</v>
      </c>
      <c r="E235" s="16" t="n">
        <f aca="false">E234*m_ho</f>
        <v>20.475</v>
      </c>
      <c r="F235" s="16" t="n">
        <f aca="false">F234*m_ho</f>
        <v>21.49875</v>
      </c>
      <c r="G235" s="16" t="n">
        <f aca="false">G234*m_ho</f>
        <v>22.5736875</v>
      </c>
    </row>
    <row r="236" customFormat="false" ht="17.15" hidden="false" customHeight="false" outlineLevel="0" collapsed="false">
      <c r="A236" s="4" t="s">
        <v>524</v>
      </c>
      <c r="B236" s="0" t="s">
        <v>170</v>
      </c>
      <c r="C236" s="16" t="n">
        <f aca="false">q25_oth</f>
        <v>14.979</v>
      </c>
      <c r="D236" s="16" t="n">
        <f aca="false">q26_oth</f>
        <v>15.8</v>
      </c>
      <c r="E236" s="16" t="n">
        <f aca="false">D236</f>
        <v>15.8</v>
      </c>
      <c r="F236" s="16" t="n">
        <f aca="false">E236</f>
        <v>15.8</v>
      </c>
      <c r="G236" s="16" t="n">
        <f aca="false">F236</f>
        <v>15.8</v>
      </c>
      <c r="K236" s="8" t="s">
        <v>525</v>
      </c>
    </row>
    <row r="237" customFormat="false" ht="15" hidden="false" customHeight="false" outlineLevel="0" collapsed="false">
      <c r="A237" s="4" t="s">
        <v>526</v>
      </c>
      <c r="B237" s="0" t="s">
        <v>170</v>
      </c>
      <c r="C237" s="16" t="n">
        <f aca="false">q25_othbp</f>
        <v>6.064</v>
      </c>
      <c r="D237" s="16" t="n">
        <f aca="false">q26_othbp</f>
        <v>5.1</v>
      </c>
      <c r="E237" s="16" t="n">
        <f aca="false">q26_othbp</f>
        <v>5.1</v>
      </c>
      <c r="F237" s="16" t="n">
        <f aca="false">q26_othbp</f>
        <v>5.1</v>
      </c>
      <c r="G237" s="16" t="n">
        <f aca="false">q26_othbp</f>
        <v>5.1</v>
      </c>
    </row>
    <row r="238" customFormat="false" ht="15" hidden="false" customHeight="false" outlineLevel="0" collapsed="false">
      <c r="A238" s="4" t="s">
        <v>527</v>
      </c>
      <c r="B238" s="0" t="s">
        <v>170</v>
      </c>
      <c r="C238" s="16" t="n">
        <f aca="false">q25_cc</f>
        <v>-42.597</v>
      </c>
      <c r="D238" s="16" t="n">
        <f aca="false">q26_cc</f>
        <v>-46.2</v>
      </c>
      <c r="E238" s="16" t="n">
        <f aca="false">D238*(1+g_cc)</f>
        <v>-47.586</v>
      </c>
      <c r="F238" s="16" t="n">
        <f aca="false">E238*(1+g_cc)</f>
        <v>-49.01358</v>
      </c>
      <c r="G238" s="16" t="n">
        <f aca="false">F238*(1+g_cc)</f>
        <v>-50.4839874</v>
      </c>
    </row>
    <row r="239" customFormat="false" ht="17.15" hidden="false" customHeight="false" outlineLevel="0" collapsed="false">
      <c r="A239" s="4" t="s">
        <v>528</v>
      </c>
      <c r="B239" s="0" t="s">
        <v>170</v>
      </c>
      <c r="C239" s="28" t="n">
        <f aca="false">a_rev-(q25_sf+q25_ff+q25_hox+q25_fm+q25_oth)</f>
        <v>0.00200000000018008</v>
      </c>
      <c r="D239" s="28" t="n">
        <f aca="false">f_rev-(q26_sf+q26_ff+q26_hox+q26_fm+q26_oth)</f>
        <v>0.200000000000045</v>
      </c>
      <c r="E239" s="28" t="n">
        <f aca="false">$D239</f>
        <v>0.200000000000045</v>
      </c>
      <c r="F239" s="28" t="n">
        <f aca="false">$D239</f>
        <v>0.200000000000045</v>
      </c>
      <c r="G239" s="28" t="n">
        <f aca="false">$D239</f>
        <v>0.200000000000045</v>
      </c>
      <c r="K239" s="8" t="s">
        <v>529</v>
      </c>
    </row>
    <row r="240" customFormat="false" ht="15" hidden="false" customHeight="false" outlineLevel="0" collapsed="false">
      <c r="A240" s="4" t="s">
        <v>530</v>
      </c>
      <c r="B240" s="0" t="s">
        <v>170</v>
      </c>
      <c r="C240" s="28" t="n">
        <f aca="false">a_bp-(q25_sfbp+q25_ffbp+q25_hoxbp+q25_fmbp+q25_othbp+q25_cc)</f>
        <v>0.0010000000000332</v>
      </c>
      <c r="D240" s="28" t="n">
        <f aca="false">f_bp-(q26_sfbp+q26_ffbp+q26_hoxbp+q26_fmbp+q26_othbp+q26_cc)</f>
        <v>0.100000000000023</v>
      </c>
      <c r="E240" s="28" t="n">
        <f aca="false">$D240</f>
        <v>0.100000000000023</v>
      </c>
      <c r="F240" s="28" t="n">
        <f aca="false">$D240</f>
        <v>0.100000000000023</v>
      </c>
      <c r="G240" s="28" t="n">
        <f aca="false">$D240</f>
        <v>0.100000000000023</v>
      </c>
    </row>
    <row r="241" customFormat="false" ht="17.15" hidden="false" customHeight="false" outlineLevel="0" collapsed="false">
      <c r="A241" s="6" t="s">
        <v>531</v>
      </c>
    </row>
    <row r="242" customFormat="false" ht="17.15" hidden="false" customHeight="false" outlineLevel="0" collapsed="false">
      <c r="A242" s="4" t="s">
        <v>403</v>
      </c>
      <c r="B242" s="0" t="s">
        <v>170</v>
      </c>
      <c r="C242" s="16" t="n">
        <f aca="false">C230+C232+C234+C226+C236+C239</f>
        <v>1583.719</v>
      </c>
      <c r="D242" s="16" t="n">
        <f aca="false">D230+D232+D234+D226+D236+D239</f>
        <v>1732</v>
      </c>
      <c r="E242" s="16" t="n">
        <f aca="false">E230+E232+E234+E226+E236+E239</f>
        <v>1850.5656</v>
      </c>
      <c r="F242" s="16" t="n">
        <f aca="false">F230+F232+F234+F226+F236+F239</f>
        <v>1956.1063</v>
      </c>
      <c r="G242" s="16" t="n">
        <f aca="false">G230+G232+G234+G226+G236+G239</f>
        <v>2053.1320716</v>
      </c>
      <c r="H242" s="24" t="n">
        <f aca="false">G242*(1+H246)</f>
        <v>2162.08697548001</v>
      </c>
      <c r="I242" s="24" t="n">
        <f aca="false">H242*(1+I246)</f>
        <v>2284.31802729425</v>
      </c>
      <c r="J242" s="24" t="n">
        <f aca="false">I242*(1+J246)</f>
        <v>2421.3771089319</v>
      </c>
      <c r="K242" s="8" t="s">
        <v>532</v>
      </c>
    </row>
    <row r="243" customFormat="false" ht="17.15" hidden="false" customHeight="false" outlineLevel="0" collapsed="false">
      <c r="A243" s="4" t="s">
        <v>533</v>
      </c>
      <c r="B243" s="0" t="s">
        <v>170</v>
      </c>
      <c r="C243" s="16" t="n">
        <f aca="false">C226+C234</f>
        <v>341.504</v>
      </c>
      <c r="D243" s="16" t="n">
        <f aca="false">D226+D234</f>
        <v>406.8</v>
      </c>
      <c r="E243" s="16" t="n">
        <f aca="false">E226+E234</f>
        <v>476.1036</v>
      </c>
      <c r="F243" s="16" t="n">
        <f aca="false">F226+F234</f>
        <v>530.505</v>
      </c>
      <c r="G243" s="16" t="n">
        <f aca="false">G226+G234</f>
        <v>574.441875</v>
      </c>
      <c r="K243" s="4" t="s">
        <v>534</v>
      </c>
    </row>
    <row r="244" customFormat="false" ht="17.15" hidden="false" customHeight="false" outlineLevel="0" collapsed="false">
      <c r="A244" s="4" t="s">
        <v>535</v>
      </c>
      <c r="B244" s="0" t="s">
        <v>170</v>
      </c>
      <c r="C244" s="16" t="n">
        <f aca="false">C236+C239</f>
        <v>14.9810000000002</v>
      </c>
      <c r="D244" s="16" t="n">
        <f aca="false">D236+D239</f>
        <v>16</v>
      </c>
      <c r="E244" s="16" t="n">
        <f aca="false">E236+E239</f>
        <v>16</v>
      </c>
      <c r="F244" s="16" t="n">
        <f aca="false">F236+F239</f>
        <v>16</v>
      </c>
      <c r="G244" s="16" t="n">
        <f aca="false">G236+G239</f>
        <v>16</v>
      </c>
      <c r="K244" s="8" t="s">
        <v>536</v>
      </c>
    </row>
    <row r="245" customFormat="false" ht="15" hidden="false" customHeight="false" outlineLevel="0" collapsed="false">
      <c r="A245" s="4" t="s">
        <v>537</v>
      </c>
      <c r="B245" s="0" t="s">
        <v>170</v>
      </c>
      <c r="C245" s="22" t="n">
        <f aca="false">C230+C232+C243+C244-C242</f>
        <v>0</v>
      </c>
      <c r="D245" s="22" t="n">
        <f aca="false">D230+D232+D243+D244-D242</f>
        <v>0</v>
      </c>
      <c r="E245" s="22" t="n">
        <f aca="false">E230+E232+E243+E244-E242</f>
        <v>0</v>
      </c>
      <c r="F245" s="22" t="n">
        <f aca="false">F230+F232+F243+F244-F242</f>
        <v>0</v>
      </c>
      <c r="G245" s="22" t="n">
        <f aca="false">G230+G232+G243+G244-G242</f>
        <v>0</v>
      </c>
    </row>
    <row r="246" customFormat="false" ht="15" hidden="false" customHeight="false" outlineLevel="0" collapsed="false">
      <c r="A246" s="4" t="s">
        <v>538</v>
      </c>
      <c r="B246" s="0" t="s">
        <v>78</v>
      </c>
      <c r="D246" s="17" t="n">
        <f aca="false">D242/C242-1</f>
        <v>0.0936283519993131</v>
      </c>
      <c r="E246" s="17" t="n">
        <f aca="false">E242/D242-1</f>
        <v>0.0684558891454965</v>
      </c>
      <c r="F246" s="17" t="n">
        <f aca="false">F242/E242-1</f>
        <v>0.0570315907741936</v>
      </c>
      <c r="G246" s="17" t="n">
        <f aca="false">G242/F242-1</f>
        <v>0.0496014820871442</v>
      </c>
      <c r="H246" s="25" t="n">
        <f aca="false">$G246+(fade_gA-$G246)*1/3</f>
        <v>0.0530676547247628</v>
      </c>
      <c r="I246" s="25" t="n">
        <f aca="false">$G246+(fade_gA-$G246)*2/3</f>
        <v>0.0565338273623814</v>
      </c>
      <c r="J246" s="25" t="n">
        <f aca="false">$G246+(fade_gA-$G246)*3/3</f>
        <v>0.06</v>
      </c>
    </row>
    <row r="247" customFormat="false" ht="17.15" hidden="false" customHeight="false" outlineLevel="0" collapsed="false">
      <c r="A247" s="0" t="s">
        <v>539</v>
      </c>
      <c r="B247" s="0" t="s">
        <v>78</v>
      </c>
      <c r="C247" s="17" t="n">
        <f aca="false">C226/C242</f>
        <v>0.0646902638662541</v>
      </c>
      <c r="D247" s="17" t="n">
        <f aca="false">D226/D242</f>
        <v>0.0696304849884527</v>
      </c>
      <c r="E247" s="17" t="n">
        <f aca="false">E226/E242</f>
        <v>0.0948864498507916</v>
      </c>
      <c r="F247" s="17" t="n">
        <f aca="false">F226/F242</f>
        <v>0.109896634963039</v>
      </c>
      <c r="G247" s="17" t="n">
        <f aca="false">G226/G242</f>
        <v>0.118418879799842</v>
      </c>
    </row>
    <row r="248" customFormat="false" ht="15" hidden="false" customHeight="false" outlineLevel="0" collapsed="false">
      <c r="A248" s="4" t="s">
        <v>413</v>
      </c>
      <c r="B248" s="0" t="s">
        <v>170</v>
      </c>
      <c r="C248" s="16" t="n">
        <f aca="false">C231+C233+C235+C228+C237+C238+C240</f>
        <v>181.163</v>
      </c>
      <c r="D248" s="16" t="n">
        <f aca="false">D231+D233+D235+D228+D237+D238+D240</f>
        <v>202</v>
      </c>
      <c r="E248" s="16" t="n">
        <f aca="false">E231+E233+E235+E228+E237+E238+E240</f>
        <v>246.03601</v>
      </c>
      <c r="F248" s="16" t="n">
        <f aca="false">F231+F233+F235+F228+F237+F238+F240</f>
        <v>274.6821448</v>
      </c>
      <c r="G248" s="16" t="n">
        <f aca="false">G231+G233+G235+G228+G237+G238+G240</f>
        <v>291.433339119</v>
      </c>
    </row>
    <row r="249" customFormat="false" ht="15" hidden="false" customHeight="false" outlineLevel="0" collapsed="false">
      <c r="A249" s="4" t="s">
        <v>429</v>
      </c>
      <c r="B249" s="0" t="s">
        <v>78</v>
      </c>
      <c r="C249" s="17" t="n">
        <f aca="false">C248/C242</f>
        <v>0.114390873633517</v>
      </c>
      <c r="D249" s="17" t="n">
        <f aca="false">D248/D242</f>
        <v>0.11662817551963</v>
      </c>
      <c r="E249" s="17" t="n">
        <f aca="false">E248/E242</f>
        <v>0.132951790522854</v>
      </c>
      <c r="F249" s="17" t="n">
        <f aca="false">F248/F242</f>
        <v>0.140422913008358</v>
      </c>
      <c r="G249" s="17" t="n">
        <f aca="false">G248/G242</f>
        <v>0.141945734105594</v>
      </c>
    </row>
    <row r="250" customFormat="false" ht="17.15" hidden="false" customHeight="false" outlineLevel="0" collapsed="false">
      <c r="A250" s="0" t="s">
        <v>540</v>
      </c>
      <c r="B250" s="0" t="s">
        <v>78</v>
      </c>
      <c r="C250" s="17" t="n">
        <f aca="false">C228/C248</f>
        <v>0.301386044611758</v>
      </c>
      <c r="D250" s="17" t="n">
        <f aca="false">D228/D248</f>
        <v>0.324257425742574</v>
      </c>
      <c r="E250" s="17" t="n">
        <f aca="false">E228/E248</f>
        <v>0.413820318415991</v>
      </c>
      <c r="F250" s="17" t="n">
        <f aca="false">F228/F248</f>
        <v>0.452753620336519</v>
      </c>
      <c r="G250" s="17" t="n">
        <f aca="false">G228/G248</f>
        <v>0.462379961562931</v>
      </c>
    </row>
    <row r="251" customFormat="false" ht="17.15" hidden="false" customHeight="false" outlineLevel="0" collapsed="false">
      <c r="A251" s="4" t="s">
        <v>430</v>
      </c>
      <c r="B251" s="0" t="s">
        <v>53</v>
      </c>
      <c r="C251" s="22" t="n">
        <f aca="false">q25_ni/q25_bp</f>
        <v>0.743391310587703</v>
      </c>
      <c r="D251" s="22" t="n">
        <f aca="false">q26_ni/q26_bp</f>
        <v>0.611386138613861</v>
      </c>
      <c r="E251" s="22" t="n">
        <f aca="false">ni_bp</f>
        <v>0.62</v>
      </c>
      <c r="F251" s="22" t="n">
        <f aca="false">ni_bp</f>
        <v>0.62</v>
      </c>
      <c r="G251" s="22" t="n">
        <f aca="false">ni_bp</f>
        <v>0.62</v>
      </c>
    </row>
    <row r="252" customFormat="false" ht="15" hidden="false" customHeight="false" outlineLevel="0" collapsed="false">
      <c r="A252" s="4" t="s">
        <v>420</v>
      </c>
      <c r="B252" s="0" t="s">
        <v>170</v>
      </c>
      <c r="C252" s="16" t="n">
        <f aca="false">q25_ni</f>
        <v>134.675</v>
      </c>
      <c r="D252" s="16" t="n">
        <f aca="false">q26_ni</f>
        <v>123.5</v>
      </c>
      <c r="E252" s="16" t="n">
        <f aca="false">E248*E251</f>
        <v>152.5423262</v>
      </c>
      <c r="F252" s="16" t="n">
        <f aca="false">F248*F251</f>
        <v>170.302929776</v>
      </c>
      <c r="G252" s="16" t="n">
        <f aca="false">G248*G251</f>
        <v>180.68867025378</v>
      </c>
      <c r="H252" s="24" t="n">
        <f aca="false">H242*H256</f>
        <v>190.277394219484</v>
      </c>
      <c r="I252" s="24" t="n">
        <f aca="false">I242*I256</f>
        <v>201.034503575252</v>
      </c>
      <c r="J252" s="24" t="n">
        <f aca="false">J242*J256</f>
        <v>213.096573789767</v>
      </c>
    </row>
    <row r="253" customFormat="false" ht="15" hidden="false" customHeight="false" outlineLevel="0" collapsed="false">
      <c r="A253" s="4" t="s">
        <v>541</v>
      </c>
      <c r="B253" s="4" t="s">
        <v>317</v>
      </c>
      <c r="C253" s="20" t="n">
        <f aca="false">q25_sh</f>
        <v>0.973366579936398</v>
      </c>
      <c r="D253" s="20" t="n">
        <f aca="false">q26_sh</f>
        <v>0.95117067159581</v>
      </c>
      <c r="E253" s="20" t="n">
        <f aca="false">D253*(1+sh_g)</f>
        <v>0.936903111521873</v>
      </c>
      <c r="F253" s="20" t="n">
        <f aca="false">E253*(1+sh_g)</f>
        <v>0.922849564849045</v>
      </c>
      <c r="G253" s="20" t="n">
        <f aca="false">F253*(1+sh_g)</f>
        <v>0.909006821376309</v>
      </c>
      <c r="H253" s="29" t="n">
        <f aca="false">G253*(1+sh_g)</f>
        <v>0.895371719055665</v>
      </c>
      <c r="I253" s="29" t="n">
        <f aca="false">H253*(1+sh_g)</f>
        <v>0.88194114326983</v>
      </c>
      <c r="J253" s="29" t="n">
        <f aca="false">I253*(1+sh_g)</f>
        <v>0.868712026120782</v>
      </c>
    </row>
    <row r="254" customFormat="false" ht="17.15" hidden="false" customHeight="false" outlineLevel="0" collapsed="false">
      <c r="A254" s="0" t="s">
        <v>542</v>
      </c>
      <c r="B254" s="0" t="s">
        <v>208</v>
      </c>
      <c r="C254" s="21" t="n">
        <f aca="false">C252/C253</f>
        <v>138.36</v>
      </c>
      <c r="D254" s="21" t="n">
        <f aca="false">D252/D253</f>
        <v>129.84</v>
      </c>
      <c r="E254" s="21" t="n">
        <f aca="false">E252/E253</f>
        <v>162.815476140554</v>
      </c>
      <c r="F254" s="21" t="n">
        <f aca="false">F252/F253</f>
        <v>184.540293741004</v>
      </c>
      <c r="G254" s="21" t="n">
        <f aca="false">G252/G253</f>
        <v>198.775923353582</v>
      </c>
      <c r="H254" s="27" t="n">
        <f aca="false">H252/H253</f>
        <v>212.512178093102</v>
      </c>
      <c r="I254" s="27" t="n">
        <f aca="false">I252/I253</f>
        <v>227.945487189666</v>
      </c>
      <c r="J254" s="27" t="n">
        <f aca="false">J252/J253</f>
        <v>245.301742559437</v>
      </c>
    </row>
    <row r="255" customFormat="false" ht="17.15" hidden="false" customHeight="false" outlineLevel="0" collapsed="false">
      <c r="A255" s="0" t="s">
        <v>543</v>
      </c>
      <c r="B255" s="0" t="s">
        <v>78</v>
      </c>
      <c r="D255" s="17" t="n">
        <f aca="false">D254/C254-1</f>
        <v>-0.0615784908933218</v>
      </c>
      <c r="E255" s="17" t="n">
        <f aca="false">E254/D254-1</f>
        <v>0.253970087342527</v>
      </c>
      <c r="F255" s="17" t="n">
        <f aca="false">F254/E254-1</f>
        <v>0.133432141190899</v>
      </c>
      <c r="G255" s="17" t="n">
        <f aca="false">G254/F254-1</f>
        <v>0.0771410369193262</v>
      </c>
      <c r="H255" s="25" t="n">
        <f aca="false">H254/G254-1</f>
        <v>0.0691042179946833</v>
      </c>
      <c r="I255" s="25" t="n">
        <f aca="false">I254/H254-1</f>
        <v>0.0726231749871891</v>
      </c>
      <c r="J255" s="25" t="n">
        <f aca="false">J254/I254-1</f>
        <v>0.0761421319796956</v>
      </c>
    </row>
    <row r="256" customFormat="false" ht="15" hidden="false" customHeight="false" outlineLevel="0" collapsed="false">
      <c r="A256" s="4" t="s">
        <v>544</v>
      </c>
      <c r="B256" s="0" t="s">
        <v>78</v>
      </c>
      <c r="C256" s="14" t="n">
        <f aca="false">C252/C242</f>
        <v>0.0850371814696925</v>
      </c>
      <c r="D256" s="14" t="n">
        <f aca="false">D252/D242</f>
        <v>0.0713048498845266</v>
      </c>
      <c r="E256" s="14" t="n">
        <f aca="false">E252/E242</f>
        <v>0.0824301101241696</v>
      </c>
      <c r="F256" s="14" t="n">
        <f aca="false">F252/F242</f>
        <v>0.0870622060651816</v>
      </c>
      <c r="G256" s="14" t="n">
        <f aca="false">G252/G242</f>
        <v>0.088006355145468</v>
      </c>
      <c r="H256" s="26" t="n">
        <f aca="false">$G256+(fade_mA-$G256)*1/3</f>
        <v>0.088006355145468</v>
      </c>
      <c r="I256" s="26" t="n">
        <f aca="false">$G256+(fade_mA-$G256)*2/3</f>
        <v>0.088006355145468</v>
      </c>
      <c r="J256" s="26" t="n">
        <f aca="false">$G256+(fade_mA-$G256)*3/3</f>
        <v>0.088006355145468</v>
      </c>
    </row>
    <row r="257" customFormat="false" ht="17.15" hidden="false" customHeight="false" outlineLevel="0" collapsed="false">
      <c r="A257" s="0" t="s">
        <v>545</v>
      </c>
      <c r="B257" s="0" t="s">
        <v>208</v>
      </c>
      <c r="D257" s="21" t="n">
        <f aca="false">D228*D251/D253</f>
        <v>42.1015841584158</v>
      </c>
      <c r="E257" s="21" t="n">
        <f aca="false">E228*E251/E253</f>
        <v>67.3763521795352</v>
      </c>
      <c r="F257" s="21" t="n">
        <f aca="false">F228*F251/F253</f>
        <v>83.551286089204</v>
      </c>
      <c r="G257" s="21" t="n">
        <f aca="false">G228*G251/G253</f>
        <v>91.9100037998652</v>
      </c>
      <c r="K257" s="8" t="s">
        <v>546</v>
      </c>
    </row>
    <row r="258" customFormat="false" ht="17.15" hidden="false" customHeight="false" outlineLevel="0" collapsed="false">
      <c r="A258" s="0" t="s">
        <v>547</v>
      </c>
      <c r="B258" s="0" t="s">
        <v>208</v>
      </c>
      <c r="D258" s="21" t="n">
        <f aca="false">D254-D257</f>
        <v>87.7384158415842</v>
      </c>
      <c r="E258" s="21" t="n">
        <f aca="false">E254-E257</f>
        <v>95.4391239610186</v>
      </c>
      <c r="F258" s="21" t="n">
        <f aca="false">F254-F257</f>
        <v>100.9890076518</v>
      </c>
      <c r="G258" s="21" t="n">
        <f aca="false">G254-G257</f>
        <v>106.865919553716</v>
      </c>
    </row>
    <row r="259" customFormat="false" ht="17.15" hidden="false" customHeight="false" outlineLevel="0" collapsed="false">
      <c r="A259" s="0" t="s">
        <v>548</v>
      </c>
      <c r="B259" s="0" t="s">
        <v>455</v>
      </c>
      <c r="D259" s="16" t="n">
        <f aca="false">D224/D214*1000/150</f>
        <v>23.5087719298246</v>
      </c>
      <c r="E259" s="16" t="n">
        <f aca="false">E224/E214*1000/150</f>
        <v>30.6251561106155</v>
      </c>
      <c r="F259" s="16" t="n">
        <f aca="false">F224/F214*1000/150</f>
        <v>37.5375418536769</v>
      </c>
      <c r="G259" s="16" t="n">
        <f aca="false">G224/G214*1000/150</f>
        <v>41.3082312494556</v>
      </c>
      <c r="K259" s="8" t="s">
        <v>549</v>
      </c>
    </row>
    <row r="262" customFormat="false" ht="17.15" hidden="false" customHeight="false" outlineLevel="0" collapsed="false">
      <c r="A262" s="1" t="s">
        <v>941</v>
      </c>
    </row>
    <row r="263" customFormat="false" ht="17.15" hidden="false" customHeight="false" outlineLevel="0" collapsed="false">
      <c r="A263" s="5" t="s">
        <v>20</v>
      </c>
      <c r="B263" s="5" t="s">
        <v>21</v>
      </c>
      <c r="C263" s="15" t="s">
        <v>398</v>
      </c>
      <c r="D263" s="15" t="s">
        <v>470</v>
      </c>
      <c r="E263" s="15" t="s">
        <v>435</v>
      </c>
      <c r="F263" s="15" t="s">
        <v>436</v>
      </c>
      <c r="G263" s="15" t="s">
        <v>437</v>
      </c>
      <c r="H263" s="15" t="s">
        <v>471</v>
      </c>
      <c r="I263" s="15" t="s">
        <v>472</v>
      </c>
      <c r="J263" s="15" t="s">
        <v>473</v>
      </c>
      <c r="K263" s="5" t="s">
        <v>377</v>
      </c>
    </row>
    <row r="264" customFormat="false" ht="17.15" hidden="false" customHeight="false" outlineLevel="0" collapsed="false">
      <c r="A264" s="6" t="s">
        <v>493</v>
      </c>
    </row>
    <row r="265" customFormat="false" ht="17.15" hidden="false" customHeight="false" outlineLevel="0" collapsed="false">
      <c r="A265" s="0" t="s">
        <v>494</v>
      </c>
      <c r="B265" s="4" t="s">
        <v>31</v>
      </c>
      <c r="D265" s="21" t="n">
        <f aca="false">unv_26</f>
        <v>7.6</v>
      </c>
      <c r="E265" s="21" t="n">
        <f aca="false">unv_27</f>
        <v>9.7</v>
      </c>
      <c r="F265" s="21" t="n">
        <f aca="false">unv_28*um28_A</f>
        <v>9.5</v>
      </c>
      <c r="G265" s="21" t="n">
        <f aca="false">unv_29*um29_A</f>
        <v>10.6</v>
      </c>
      <c r="K265" s="8" t="s">
        <v>495</v>
      </c>
    </row>
    <row r="266" customFormat="false" ht="17.15" hidden="false" customHeight="false" outlineLevel="0" collapsed="false">
      <c r="A266" s="4" t="s">
        <v>496</v>
      </c>
      <c r="B266" s="4" t="s">
        <v>31</v>
      </c>
      <c r="D266" s="21" t="n">
        <f aca="false">uot_26</f>
        <v>7.6</v>
      </c>
      <c r="E266" s="21" t="n">
        <f aca="false">uot_27</f>
        <v>14</v>
      </c>
      <c r="F266" s="21" t="n">
        <f aca="false">uot_28*um28_A</f>
        <v>17</v>
      </c>
      <c r="G266" s="21" t="n">
        <f aca="false">uot_29*um29_A</f>
        <v>19.55</v>
      </c>
      <c r="K266" s="8" t="s">
        <v>497</v>
      </c>
    </row>
    <row r="267" customFormat="false" ht="17.15" hidden="false" customHeight="false" outlineLevel="0" collapsed="false">
      <c r="A267" s="4" t="s">
        <v>498</v>
      </c>
      <c r="B267" s="4" t="s">
        <v>31</v>
      </c>
      <c r="D267" s="21" t="n">
        <f aca="false">D265+v_ot_lo*D266</f>
        <v>12.16</v>
      </c>
      <c r="E267" s="21" t="n">
        <f aca="false">E265+v_ot_lo*E266</f>
        <v>18.1</v>
      </c>
      <c r="F267" s="21" t="n">
        <f aca="false">F265+v_ot_lo*F266</f>
        <v>19.7</v>
      </c>
      <c r="G267" s="21" t="n">
        <f aca="false">G265+v_ot_lo*G266</f>
        <v>22.33</v>
      </c>
    </row>
    <row r="268" customFormat="false" ht="17.15" hidden="false" customHeight="false" outlineLevel="0" collapsed="false">
      <c r="A268" s="4" t="s">
        <v>499</v>
      </c>
      <c r="B268" s="0" t="s">
        <v>53</v>
      </c>
      <c r="D268" s="22" t="n">
        <f aca="false">1</f>
        <v>1</v>
      </c>
      <c r="E268" s="22" t="n">
        <f aca="false">D268*(1+g_asp)</f>
        <v>1.18</v>
      </c>
      <c r="F268" s="22" t="n">
        <f aca="false">E268*(1+g_asp)</f>
        <v>1.3924</v>
      </c>
      <c r="G268" s="22" t="n">
        <f aca="false">F268*(1+g_asp)</f>
        <v>1.643032</v>
      </c>
    </row>
    <row r="269" customFormat="false" ht="17.15" hidden="false" customHeight="false" outlineLevel="0" collapsed="false">
      <c r="A269" s="4" t="s">
        <v>500</v>
      </c>
      <c r="B269" s="0" t="s">
        <v>53</v>
      </c>
      <c r="D269" s="19" t="n">
        <f aca="false">1</f>
        <v>1</v>
      </c>
      <c r="E269" s="19" t="n">
        <f aca="false">rel_27</f>
        <v>1</v>
      </c>
      <c r="F269" s="19" t="n">
        <f aca="false">rel_28</f>
        <v>0.97</v>
      </c>
      <c r="G269" s="19" t="n">
        <f aca="false">rel_29</f>
        <v>0.95</v>
      </c>
    </row>
    <row r="270" customFormat="false" ht="17.15" hidden="false" customHeight="false" outlineLevel="0" collapsed="false">
      <c r="A270" s="0" t="s">
        <v>501</v>
      </c>
      <c r="B270" s="0" t="s">
        <v>53</v>
      </c>
      <c r="D270" s="22" t="n">
        <f aca="false">D267/$D267*D268*D269</f>
        <v>1</v>
      </c>
      <c r="E270" s="22" t="n">
        <f aca="false">E267/$D267*E268*E269</f>
        <v>1.75641447368421</v>
      </c>
      <c r="F270" s="22" t="n">
        <f aca="false">F267/$D267*F268*F269</f>
        <v>2.18810621710526</v>
      </c>
      <c r="G270" s="22" t="n">
        <f aca="false">G267/$D267*G268*G269</f>
        <v>2.86632066875</v>
      </c>
      <c r="K270" s="4" t="s">
        <v>502</v>
      </c>
    </row>
    <row r="271" customFormat="false" ht="17.15" hidden="false" customHeight="false" outlineLevel="0" collapsed="false">
      <c r="A271" s="4" t="s">
        <v>503</v>
      </c>
      <c r="B271" s="0" t="s">
        <v>53</v>
      </c>
      <c r="D271" s="22" t="n">
        <f aca="false">1</f>
        <v>1</v>
      </c>
      <c r="E271" s="22" t="n">
        <f aca="false">D271*(1+g_nai)</f>
        <v>1.03</v>
      </c>
      <c r="F271" s="22" t="n">
        <f aca="false">E271*(1+g_nai)</f>
        <v>1.0609</v>
      </c>
      <c r="G271" s="22" t="n">
        <f aca="false">F271*(1+g_nai)</f>
        <v>1.092727</v>
      </c>
    </row>
    <row r="272" customFormat="false" ht="17.15" hidden="false" customHeight="false" outlineLevel="0" collapsed="false">
      <c r="A272" s="0" t="s">
        <v>504</v>
      </c>
      <c r="B272" s="0" t="s">
        <v>53</v>
      </c>
      <c r="D272" s="22" t="n">
        <f aca="false">ai_sh*D270+(1-ai_sh)*D271</f>
        <v>1</v>
      </c>
      <c r="E272" s="22" t="n">
        <f aca="false">ai_sh*E270+(1-ai_sh)*E271</f>
        <v>1.32056578947368</v>
      </c>
      <c r="F272" s="22" t="n">
        <f aca="false">ai_sh*F270+(1-ai_sh)*F271</f>
        <v>1.51178248684211</v>
      </c>
      <c r="G272" s="22" t="n">
        <f aca="false">ai_sh*G270+(1-ai_sh)*G271</f>
        <v>1.8021644675</v>
      </c>
    </row>
    <row r="273" customFormat="false" ht="17.15" hidden="false" customHeight="false" outlineLevel="0" collapsed="false">
      <c r="A273" s="4" t="s">
        <v>505</v>
      </c>
      <c r="B273" s="0" t="s">
        <v>53</v>
      </c>
      <c r="D273" s="22" t="n">
        <f aca="false">1</f>
        <v>1</v>
      </c>
      <c r="E273" s="22" t="n">
        <f aca="false">cap_27</f>
        <v>1.3</v>
      </c>
      <c r="F273" s="22" t="n">
        <f aca="false">cap_28</f>
        <v>1.55</v>
      </c>
      <c r="G273" s="22" t="n">
        <f aca="false">cap_29</f>
        <v>1.8</v>
      </c>
      <c r="K273" s="4" t="s">
        <v>506</v>
      </c>
    </row>
    <row r="274" customFormat="false" ht="17.15" hidden="false" customHeight="false" outlineLevel="0" collapsed="false">
      <c r="A274" s="4" t="s">
        <v>507</v>
      </c>
      <c r="B274" s="0" t="s">
        <v>53</v>
      </c>
      <c r="D274" s="22" t="n">
        <f aca="false">MIN(D272,D273)</f>
        <v>1</v>
      </c>
      <c r="E274" s="22" t="n">
        <f aca="false">MIN(E272,E273)</f>
        <v>1.3</v>
      </c>
      <c r="F274" s="22" t="n">
        <f aca="false">MIN(F272,F273)</f>
        <v>1.51178248684211</v>
      </c>
      <c r="G274" s="22" t="n">
        <f aca="false">MIN(G272,G273)</f>
        <v>1.8</v>
      </c>
    </row>
    <row r="275" customFormat="false" ht="17.15" hidden="false" customHeight="false" outlineLevel="0" collapsed="false">
      <c r="A275" s="4" t="s">
        <v>508</v>
      </c>
      <c r="B275" s="0" t="s">
        <v>78</v>
      </c>
      <c r="D275" s="17" t="n">
        <f aca="false">D274/D272</f>
        <v>1</v>
      </c>
      <c r="E275" s="17" t="n">
        <f aca="false">E274/E272</f>
        <v>0.984426531689965</v>
      </c>
      <c r="F275" s="17" t="n">
        <f aca="false">F274/F272</f>
        <v>1</v>
      </c>
      <c r="G275" s="17" t="n">
        <f aca="false">G274/G272</f>
        <v>0.998798962281727</v>
      </c>
      <c r="K275" s="4" t="s">
        <v>509</v>
      </c>
    </row>
    <row r="276" customFormat="false" ht="17.15" hidden="false" customHeight="false" outlineLevel="0" collapsed="false">
      <c r="A276" s="0" t="s">
        <v>510</v>
      </c>
      <c r="B276" s="0" t="s">
        <v>53</v>
      </c>
      <c r="D276" s="22" t="n">
        <f aca="false">1</f>
        <v>1</v>
      </c>
      <c r="E276" s="22" t="n">
        <f aca="false">pp_27</f>
        <v>1.12</v>
      </c>
      <c r="F276" s="22" t="n">
        <f aca="false">pp_28*sp_A</f>
        <v>1.15</v>
      </c>
      <c r="G276" s="22" t="n">
        <f aca="false">pp_29*sp_A</f>
        <v>1.12</v>
      </c>
      <c r="K276" s="8" t="s">
        <v>511</v>
      </c>
    </row>
    <row r="277" customFormat="false" ht="17.15" hidden="false" customHeight="false" outlineLevel="0" collapsed="false">
      <c r="A277" s="0" t="s">
        <v>452</v>
      </c>
      <c r="B277" s="0" t="s">
        <v>170</v>
      </c>
      <c r="D277" s="16" t="n">
        <f aca="false">q26_fm*ai_sh</f>
        <v>48.24</v>
      </c>
      <c r="E277" s="16" t="n">
        <f aca="false">q26_fm*ai_sh*E270*E275*E276</f>
        <v>93.4190914181521</v>
      </c>
      <c r="F277" s="16" t="n">
        <f aca="false">q26_fm*ai_sh*F270*F275*F276</f>
        <v>121.387380500132</v>
      </c>
      <c r="G277" s="16" t="n">
        <f aca="false">q26_fm*ai_sh*G270*G275*G276</f>
        <v>154.677868803319</v>
      </c>
      <c r="K277" s="8" t="s">
        <v>512</v>
      </c>
    </row>
    <row r="278" customFormat="false" ht="17.15" hidden="false" customHeight="false" outlineLevel="0" collapsed="false">
      <c r="A278" s="0" t="s">
        <v>513</v>
      </c>
      <c r="B278" s="0" t="s">
        <v>170</v>
      </c>
      <c r="D278" s="16" t="n">
        <f aca="false">q26_fm*(1-ai_sh)</f>
        <v>72.36</v>
      </c>
      <c r="E278" s="16" t="n">
        <f aca="false">q26_fm*(1-ai_sh)*E271*E275*E276</f>
        <v>82.1745085818479</v>
      </c>
      <c r="F278" s="16" t="n">
        <f aca="false">q26_fm*(1-ai_sh)*F271*F275*F276</f>
        <v>88.2817326</v>
      </c>
      <c r="G278" s="16" t="n">
        <f aca="false">q26_fm*(1-ai_sh)*G271*G275*G276</f>
        <v>88.4517311966812</v>
      </c>
    </row>
    <row r="279" customFormat="false" ht="17.15" hidden="false" customHeight="false" outlineLevel="0" collapsed="false">
      <c r="A279" s="4" t="s">
        <v>514</v>
      </c>
      <c r="B279" s="0" t="s">
        <v>170</v>
      </c>
      <c r="C279" s="16" t="n">
        <f aca="false">q25_fm</f>
        <v>102.4512</v>
      </c>
      <c r="D279" s="16" t="n">
        <f aca="false">D277+D278</f>
        <v>120.6</v>
      </c>
      <c r="E279" s="16" t="n">
        <f aca="false">E277+E278</f>
        <v>175.5936</v>
      </c>
      <c r="F279" s="16" t="n">
        <f aca="false">F277+F278</f>
        <v>209.669113100132</v>
      </c>
      <c r="G279" s="16" t="n">
        <f aca="false">G277+G278</f>
        <v>243.1296</v>
      </c>
    </row>
    <row r="280" customFormat="false" ht="17.15" hidden="false" customHeight="false" outlineLevel="0" collapsed="false">
      <c r="A280" s="0" t="s">
        <v>515</v>
      </c>
      <c r="B280" s="0" t="s">
        <v>78</v>
      </c>
      <c r="C280" s="17" t="n">
        <f aca="false">q25_fmbp/q25_fm</f>
        <v>0.532936656671664</v>
      </c>
      <c r="D280" s="17" t="n">
        <f aca="false">q26_fmbp/q26_fm</f>
        <v>0.543117744610282</v>
      </c>
      <c r="E280" s="17" t="n">
        <f aca="false">1-(1-$D280)*(1+c_g)^1/E276</f>
        <v>0.579831497275527</v>
      </c>
      <c r="F280" s="17" t="n">
        <f aca="false">1-(1-$D280)*(1+c_g)^2/F276</f>
        <v>0.578516187180042</v>
      </c>
      <c r="G280" s="17" t="n">
        <f aca="false">1-(1-$D280)*(1+c_g)^3/G276</f>
        <v>0.554243235459607</v>
      </c>
      <c r="K280" s="8" t="s">
        <v>516</v>
      </c>
    </row>
    <row r="281" customFormat="false" ht="17.15" hidden="false" customHeight="false" outlineLevel="0" collapsed="false">
      <c r="A281" s="0" t="s">
        <v>478</v>
      </c>
      <c r="B281" s="0" t="s">
        <v>170</v>
      </c>
      <c r="C281" s="16" t="n">
        <f aca="false">q25_fmbp</f>
        <v>54.6</v>
      </c>
      <c r="D281" s="16" t="n">
        <f aca="false">D279*D280</f>
        <v>65.5</v>
      </c>
      <c r="E281" s="16" t="n">
        <f aca="false">E279*E280</f>
        <v>101.8147</v>
      </c>
      <c r="F281" s="16" t="n">
        <f aca="false">F279*F280</f>
        <v>121.296975880109</v>
      </c>
      <c r="G281" s="16" t="n">
        <f aca="false">G279*G280</f>
        <v>134.75293614</v>
      </c>
    </row>
    <row r="282" customFormat="false" ht="17.15" hidden="false" customHeight="false" outlineLevel="0" collapsed="false">
      <c r="A282" s="6" t="s">
        <v>517</v>
      </c>
    </row>
    <row r="283" customFormat="false" ht="15" hidden="false" customHeight="false" outlineLevel="0" collapsed="false">
      <c r="A283" s="4" t="s">
        <v>518</v>
      </c>
      <c r="B283" s="0" t="s">
        <v>170</v>
      </c>
      <c r="C283" s="16" t="n">
        <f aca="false">q25_sf</f>
        <v>936.926</v>
      </c>
      <c r="D283" s="16" t="n">
        <f aca="false">q26_sf</f>
        <v>998.6</v>
      </c>
      <c r="E283" s="16" t="n">
        <f aca="false">D283*(1+g_sf)</f>
        <v>1038.544</v>
      </c>
      <c r="F283" s="16" t="n">
        <f aca="false">E283*(1+g_sf)</f>
        <v>1080.08576</v>
      </c>
      <c r="G283" s="16" t="n">
        <f aca="false">F283*(1+g_sf)</f>
        <v>1123.2891904</v>
      </c>
    </row>
    <row r="284" customFormat="false" ht="15" hidden="false" customHeight="false" outlineLevel="0" collapsed="false">
      <c r="A284" s="4" t="s">
        <v>519</v>
      </c>
      <c r="B284" s="0" t="s">
        <v>170</v>
      </c>
      <c r="C284" s="16" t="n">
        <f aca="false">q25_sfbp</f>
        <v>143.036</v>
      </c>
      <c r="D284" s="16" t="n">
        <f aca="false">q26_sfbp</f>
        <v>145.9</v>
      </c>
      <c r="E284" s="16" t="n">
        <f aca="false">E283*m_sf</f>
        <v>151.736</v>
      </c>
      <c r="F284" s="16" t="n">
        <f aca="false">F283*m_sf</f>
        <v>157.80544</v>
      </c>
      <c r="G284" s="16" t="n">
        <f aca="false">G283*m_sf</f>
        <v>164.1176576</v>
      </c>
    </row>
    <row r="285" customFormat="false" ht="15" hidden="false" customHeight="false" outlineLevel="0" collapsed="false">
      <c r="A285" s="4" t="s">
        <v>520</v>
      </c>
      <c r="B285" s="0" t="s">
        <v>170</v>
      </c>
      <c r="C285" s="16" t="n">
        <f aca="false">q25_ff</f>
        <v>290.308</v>
      </c>
      <c r="D285" s="16" t="n">
        <f aca="false">q26_ff</f>
        <v>310.6</v>
      </c>
      <c r="E285" s="16" t="n">
        <f aca="false">D285*(1+g_ff)</f>
        <v>319.918</v>
      </c>
      <c r="F285" s="16" t="n">
        <f aca="false">E285*(1+g_ff)</f>
        <v>329.51554</v>
      </c>
      <c r="G285" s="16" t="n">
        <f aca="false">F285*(1+g_ff)</f>
        <v>339.4010062</v>
      </c>
    </row>
    <row r="286" customFormat="false" ht="15" hidden="false" customHeight="false" outlineLevel="0" collapsed="false">
      <c r="A286" s="4" t="s">
        <v>521</v>
      </c>
      <c r="B286" s="0" t="s">
        <v>170</v>
      </c>
      <c r="C286" s="16" t="n">
        <f aca="false">q25_ffbp</f>
        <v>8.457</v>
      </c>
      <c r="D286" s="16" t="n">
        <f aca="false">q26_ffbp</f>
        <v>12.1</v>
      </c>
      <c r="E286" s="16" t="n">
        <f aca="false">E285*m_ff</f>
        <v>14.39631</v>
      </c>
      <c r="F286" s="16" t="n">
        <f aca="false">F285*m_ff</f>
        <v>14.8281993</v>
      </c>
      <c r="G286" s="16" t="n">
        <f aca="false">G285*m_ff</f>
        <v>15.273045279</v>
      </c>
    </row>
    <row r="287" customFormat="false" ht="17.15" hidden="false" customHeight="false" outlineLevel="0" collapsed="false">
      <c r="A287" s="4" t="s">
        <v>522</v>
      </c>
      <c r="B287" s="0" t="s">
        <v>170</v>
      </c>
      <c r="C287" s="16" t="n">
        <f aca="false">q25_hox</f>
        <v>239.0528</v>
      </c>
      <c r="D287" s="16" t="n">
        <f aca="false">q26_hox</f>
        <v>286.2</v>
      </c>
      <c r="E287" s="16" t="n">
        <f aca="false">D287*(1+g_ho)</f>
        <v>300.51</v>
      </c>
      <c r="F287" s="16" t="n">
        <f aca="false">E287*(1+g_ho)</f>
        <v>315.5355</v>
      </c>
      <c r="G287" s="16" t="n">
        <f aca="false">F287*(1+g_ho)</f>
        <v>331.312275</v>
      </c>
    </row>
    <row r="288" customFormat="false" ht="17.15" hidden="false" customHeight="false" outlineLevel="0" collapsed="false">
      <c r="A288" s="4" t="s">
        <v>523</v>
      </c>
      <c r="B288" s="0" t="s">
        <v>170</v>
      </c>
      <c r="C288" s="16" t="n">
        <f aca="false">q25_hoxbp</f>
        <v>11.602</v>
      </c>
      <c r="D288" s="16" t="n">
        <f aca="false">q26_hoxbp</f>
        <v>19.5</v>
      </c>
      <c r="E288" s="16" t="n">
        <f aca="false">E287*m_ho</f>
        <v>20.475</v>
      </c>
      <c r="F288" s="16" t="n">
        <f aca="false">F287*m_ho</f>
        <v>21.49875</v>
      </c>
      <c r="G288" s="16" t="n">
        <f aca="false">G287*m_ho</f>
        <v>22.5736875</v>
      </c>
    </row>
    <row r="289" customFormat="false" ht="17.15" hidden="false" customHeight="false" outlineLevel="0" collapsed="false">
      <c r="A289" s="4" t="s">
        <v>524</v>
      </c>
      <c r="B289" s="0" t="s">
        <v>170</v>
      </c>
      <c r="C289" s="16" t="n">
        <f aca="false">q25_oth</f>
        <v>14.979</v>
      </c>
      <c r="D289" s="16" t="n">
        <f aca="false">q26_oth</f>
        <v>15.8</v>
      </c>
      <c r="E289" s="16" t="n">
        <f aca="false">D289</f>
        <v>15.8</v>
      </c>
      <c r="F289" s="16" t="n">
        <f aca="false">E289</f>
        <v>15.8</v>
      </c>
      <c r="G289" s="16" t="n">
        <f aca="false">F289</f>
        <v>15.8</v>
      </c>
      <c r="K289" s="8" t="s">
        <v>525</v>
      </c>
    </row>
    <row r="290" customFormat="false" ht="15" hidden="false" customHeight="false" outlineLevel="0" collapsed="false">
      <c r="A290" s="4" t="s">
        <v>526</v>
      </c>
      <c r="B290" s="0" t="s">
        <v>170</v>
      </c>
      <c r="C290" s="16" t="n">
        <f aca="false">q25_othbp</f>
        <v>6.064</v>
      </c>
      <c r="D290" s="16" t="n">
        <f aca="false">q26_othbp</f>
        <v>5.1</v>
      </c>
      <c r="E290" s="16" t="n">
        <f aca="false">q26_othbp</f>
        <v>5.1</v>
      </c>
      <c r="F290" s="16" t="n">
        <f aca="false">q26_othbp</f>
        <v>5.1</v>
      </c>
      <c r="G290" s="16" t="n">
        <f aca="false">q26_othbp</f>
        <v>5.1</v>
      </c>
    </row>
    <row r="291" customFormat="false" ht="15" hidden="false" customHeight="false" outlineLevel="0" collapsed="false">
      <c r="A291" s="4" t="s">
        <v>527</v>
      </c>
      <c r="B291" s="0" t="s">
        <v>170</v>
      </c>
      <c r="C291" s="16" t="n">
        <f aca="false">q25_cc</f>
        <v>-42.597</v>
      </c>
      <c r="D291" s="16" t="n">
        <f aca="false">q26_cc</f>
        <v>-46.2</v>
      </c>
      <c r="E291" s="16" t="n">
        <f aca="false">D291*(1+g_cc)</f>
        <v>-47.586</v>
      </c>
      <c r="F291" s="16" t="n">
        <f aca="false">E291*(1+g_cc)</f>
        <v>-49.01358</v>
      </c>
      <c r="G291" s="16" t="n">
        <f aca="false">F291*(1+g_cc)</f>
        <v>-50.4839874</v>
      </c>
    </row>
    <row r="292" customFormat="false" ht="17.15" hidden="false" customHeight="false" outlineLevel="0" collapsed="false">
      <c r="A292" s="4" t="s">
        <v>528</v>
      </c>
      <c r="B292" s="0" t="s">
        <v>170</v>
      </c>
      <c r="C292" s="28" t="n">
        <f aca="false">a_rev-(q25_sf+q25_ff+q25_hox+q25_fm+q25_oth)</f>
        <v>0.00200000000018008</v>
      </c>
      <c r="D292" s="28" t="n">
        <f aca="false">f_rev-(q26_sf+q26_ff+q26_hox+q26_fm+q26_oth)</f>
        <v>0.200000000000045</v>
      </c>
      <c r="E292" s="28" t="n">
        <f aca="false">$D292</f>
        <v>0.200000000000045</v>
      </c>
      <c r="F292" s="28" t="n">
        <f aca="false">$D292</f>
        <v>0.200000000000045</v>
      </c>
      <c r="G292" s="28" t="n">
        <f aca="false">$D292</f>
        <v>0.200000000000045</v>
      </c>
      <c r="K292" s="8" t="s">
        <v>529</v>
      </c>
    </row>
    <row r="293" customFormat="false" ht="15" hidden="false" customHeight="false" outlineLevel="0" collapsed="false">
      <c r="A293" s="4" t="s">
        <v>530</v>
      </c>
      <c r="B293" s="0" t="s">
        <v>170</v>
      </c>
      <c r="C293" s="28" t="n">
        <f aca="false">a_bp-(q25_sfbp+q25_ffbp+q25_hoxbp+q25_fmbp+q25_othbp+q25_cc)</f>
        <v>0.0010000000000332</v>
      </c>
      <c r="D293" s="28" t="n">
        <f aca="false">f_bp-(q26_sfbp+q26_ffbp+q26_hoxbp+q26_fmbp+q26_othbp+q26_cc)</f>
        <v>0.100000000000023</v>
      </c>
      <c r="E293" s="28" t="n">
        <f aca="false">$D293</f>
        <v>0.100000000000023</v>
      </c>
      <c r="F293" s="28" t="n">
        <f aca="false">$D293</f>
        <v>0.100000000000023</v>
      </c>
      <c r="G293" s="28" t="n">
        <f aca="false">$D293</f>
        <v>0.100000000000023</v>
      </c>
    </row>
    <row r="294" customFormat="false" ht="17.15" hidden="false" customHeight="false" outlineLevel="0" collapsed="false">
      <c r="A294" s="6" t="s">
        <v>531</v>
      </c>
    </row>
    <row r="295" customFormat="false" ht="17.15" hidden="false" customHeight="false" outlineLevel="0" collapsed="false">
      <c r="A295" s="4" t="s">
        <v>403</v>
      </c>
      <c r="B295" s="0" t="s">
        <v>170</v>
      </c>
      <c r="C295" s="16" t="n">
        <f aca="false">C283+C285+C287+C279+C289+C292</f>
        <v>1583.719</v>
      </c>
      <c r="D295" s="16" t="n">
        <f aca="false">D283+D285+D287+D279+D289+D292</f>
        <v>1732</v>
      </c>
      <c r="E295" s="16" t="n">
        <f aca="false">E283+E285+E287+E279+E289+E292</f>
        <v>1850.5656</v>
      </c>
      <c r="F295" s="16" t="n">
        <f aca="false">F283+F285+F287+F279+F289+F292</f>
        <v>1950.80591310013</v>
      </c>
      <c r="G295" s="16" t="n">
        <f aca="false">G283+G285+G287+G279+G289+G292</f>
        <v>2053.1320716</v>
      </c>
      <c r="H295" s="24" t="n">
        <f aca="false">G295*(1+H299)</f>
        <v>2165.99038010098</v>
      </c>
      <c r="I295" s="24" t="n">
        <f aca="false">H295*(1+I299)</f>
        <v>2290.50109145987</v>
      </c>
      <c r="J295" s="24" t="n">
        <f aca="false">I295*(1+J299)</f>
        <v>2427.93115694746</v>
      </c>
      <c r="K295" s="8" t="s">
        <v>532</v>
      </c>
    </row>
    <row r="296" customFormat="false" ht="17.15" hidden="false" customHeight="false" outlineLevel="0" collapsed="false">
      <c r="A296" s="4" t="s">
        <v>533</v>
      </c>
      <c r="B296" s="0" t="s">
        <v>170</v>
      </c>
      <c r="C296" s="16" t="n">
        <f aca="false">C279+C287</f>
        <v>341.504</v>
      </c>
      <c r="D296" s="16" t="n">
        <f aca="false">D279+D287</f>
        <v>406.8</v>
      </c>
      <c r="E296" s="16" t="n">
        <f aca="false">E279+E287</f>
        <v>476.1036</v>
      </c>
      <c r="F296" s="16" t="n">
        <f aca="false">F279+F287</f>
        <v>525.204613100132</v>
      </c>
      <c r="G296" s="16" t="n">
        <f aca="false">G279+G287</f>
        <v>574.441875</v>
      </c>
      <c r="K296" s="4" t="s">
        <v>534</v>
      </c>
    </row>
    <row r="297" customFormat="false" ht="17.15" hidden="false" customHeight="false" outlineLevel="0" collapsed="false">
      <c r="A297" s="4" t="s">
        <v>535</v>
      </c>
      <c r="B297" s="0" t="s">
        <v>170</v>
      </c>
      <c r="C297" s="16" t="n">
        <f aca="false">C289+C292</f>
        <v>14.9810000000002</v>
      </c>
      <c r="D297" s="16" t="n">
        <f aca="false">D289+D292</f>
        <v>16</v>
      </c>
      <c r="E297" s="16" t="n">
        <f aca="false">E289+E292</f>
        <v>16</v>
      </c>
      <c r="F297" s="16" t="n">
        <f aca="false">F289+F292</f>
        <v>16</v>
      </c>
      <c r="G297" s="16" t="n">
        <f aca="false">G289+G292</f>
        <v>16</v>
      </c>
      <c r="K297" s="8" t="s">
        <v>536</v>
      </c>
    </row>
    <row r="298" customFormat="false" ht="15" hidden="false" customHeight="false" outlineLevel="0" collapsed="false">
      <c r="A298" s="4" t="s">
        <v>537</v>
      </c>
      <c r="B298" s="0" t="s">
        <v>170</v>
      </c>
      <c r="C298" s="22" t="n">
        <f aca="false">C283+C285+C296+C297-C295</f>
        <v>0</v>
      </c>
      <c r="D298" s="22" t="n">
        <f aca="false">D283+D285+D296+D297-D295</f>
        <v>0</v>
      </c>
      <c r="E298" s="22" t="n">
        <f aca="false">E283+E285+E296+E297-E295</f>
        <v>0</v>
      </c>
      <c r="F298" s="22" t="n">
        <f aca="false">F283+F285+F296+F297-F295</f>
        <v>0</v>
      </c>
      <c r="G298" s="22" t="n">
        <f aca="false">G283+G285+G296+G297-G295</f>
        <v>0</v>
      </c>
    </row>
    <row r="299" customFormat="false" ht="15" hidden="false" customHeight="false" outlineLevel="0" collapsed="false">
      <c r="A299" s="4" t="s">
        <v>538</v>
      </c>
      <c r="B299" s="0" t="s">
        <v>78</v>
      </c>
      <c r="D299" s="17" t="n">
        <f aca="false">D295/C295-1</f>
        <v>0.0936283519993131</v>
      </c>
      <c r="E299" s="17" t="n">
        <f aca="false">E295/D295-1</f>
        <v>0.0684558891454965</v>
      </c>
      <c r="F299" s="17" t="n">
        <f aca="false">F295/E295-1</f>
        <v>0.054167392444846</v>
      </c>
      <c r="G299" s="17" t="n">
        <f aca="false">G295/F295-1</f>
        <v>0.0524532747274977</v>
      </c>
      <c r="H299" s="25" t="n">
        <f aca="false">$G299+(fade_gA-$G299)*1/3</f>
        <v>0.0549688498183318</v>
      </c>
      <c r="I299" s="25" t="n">
        <f aca="false">$G299+(fade_gA-$G299)*2/3</f>
        <v>0.0574844249091659</v>
      </c>
      <c r="J299" s="25" t="n">
        <f aca="false">$G299+(fade_gA-$G299)*3/3</f>
        <v>0.06</v>
      </c>
    </row>
    <row r="300" customFormat="false" ht="17.15" hidden="false" customHeight="false" outlineLevel="0" collapsed="false">
      <c r="A300" s="0" t="s">
        <v>539</v>
      </c>
      <c r="B300" s="0" t="s">
        <v>78</v>
      </c>
      <c r="C300" s="17" t="n">
        <f aca="false">C279/C295</f>
        <v>0.0646902638662541</v>
      </c>
      <c r="D300" s="17" t="n">
        <f aca="false">D279/D295</f>
        <v>0.0696304849884527</v>
      </c>
      <c r="E300" s="17" t="n">
        <f aca="false">E279/E295</f>
        <v>0.0948864498507916</v>
      </c>
      <c r="F300" s="17" t="n">
        <f aca="false">F279/F295</f>
        <v>0.107478202568566</v>
      </c>
      <c r="G300" s="17" t="n">
        <f aca="false">G279/G295</f>
        <v>0.118418879799842</v>
      </c>
    </row>
    <row r="301" customFormat="false" ht="15" hidden="false" customHeight="false" outlineLevel="0" collapsed="false">
      <c r="A301" s="4" t="s">
        <v>413</v>
      </c>
      <c r="B301" s="0" t="s">
        <v>170</v>
      </c>
      <c r="C301" s="16" t="n">
        <f aca="false">C284+C286+C288+C281+C290+C291+C293</f>
        <v>181.163</v>
      </c>
      <c r="D301" s="16" t="n">
        <f aca="false">D284+D286+D288+D281+D290+D291+D293</f>
        <v>202</v>
      </c>
      <c r="E301" s="16" t="n">
        <f aca="false">E284+E286+E288+E281+E290+E291+E293</f>
        <v>246.03601</v>
      </c>
      <c r="F301" s="16" t="n">
        <f aca="false">F284+F286+F288+F281+F290+F291+F293</f>
        <v>271.615785180109</v>
      </c>
      <c r="G301" s="16" t="n">
        <f aca="false">G284+G286+G288+G281+G290+G291+G293</f>
        <v>291.433339119</v>
      </c>
    </row>
    <row r="302" customFormat="false" ht="15" hidden="false" customHeight="false" outlineLevel="0" collapsed="false">
      <c r="A302" s="4" t="s">
        <v>429</v>
      </c>
      <c r="B302" s="0" t="s">
        <v>78</v>
      </c>
      <c r="C302" s="17" t="n">
        <f aca="false">C301/C295</f>
        <v>0.114390873633517</v>
      </c>
      <c r="D302" s="17" t="n">
        <f aca="false">D301/D295</f>
        <v>0.11662817551963</v>
      </c>
      <c r="E302" s="17" t="n">
        <f aca="false">E301/E295</f>
        <v>0.132951790522854</v>
      </c>
      <c r="F302" s="17" t="n">
        <f aca="false">F301/F295</f>
        <v>0.13923260297508</v>
      </c>
      <c r="G302" s="17" t="n">
        <f aca="false">G301/G295</f>
        <v>0.141945734105594</v>
      </c>
    </row>
    <row r="303" customFormat="false" ht="17.15" hidden="false" customHeight="false" outlineLevel="0" collapsed="false">
      <c r="A303" s="0" t="s">
        <v>540</v>
      </c>
      <c r="B303" s="0" t="s">
        <v>78</v>
      </c>
      <c r="C303" s="17" t="n">
        <f aca="false">C281/C301</f>
        <v>0.301386044611758</v>
      </c>
      <c r="D303" s="17" t="n">
        <f aca="false">D281/D301</f>
        <v>0.324257425742574</v>
      </c>
      <c r="E303" s="17" t="n">
        <f aca="false">E281/E301</f>
        <v>0.413820318415991</v>
      </c>
      <c r="F303" s="17" t="n">
        <f aca="false">F281/F301</f>
        <v>0.446575576598675</v>
      </c>
      <c r="G303" s="17" t="n">
        <f aca="false">G281/G301</f>
        <v>0.462379961562931</v>
      </c>
    </row>
    <row r="304" customFormat="false" ht="17.15" hidden="false" customHeight="false" outlineLevel="0" collapsed="false">
      <c r="A304" s="4" t="s">
        <v>430</v>
      </c>
      <c r="B304" s="0" t="s">
        <v>53</v>
      </c>
      <c r="C304" s="22" t="n">
        <f aca="false">q25_ni/q25_bp</f>
        <v>0.743391310587703</v>
      </c>
      <c r="D304" s="22" t="n">
        <f aca="false">q26_ni/q26_bp</f>
        <v>0.611386138613861</v>
      </c>
      <c r="E304" s="22" t="n">
        <f aca="false">ni_bp</f>
        <v>0.62</v>
      </c>
      <c r="F304" s="22" t="n">
        <f aca="false">ni_bp</f>
        <v>0.62</v>
      </c>
      <c r="G304" s="22" t="n">
        <f aca="false">ni_bp</f>
        <v>0.62</v>
      </c>
    </row>
    <row r="305" customFormat="false" ht="15" hidden="false" customHeight="false" outlineLevel="0" collapsed="false">
      <c r="A305" s="4" t="s">
        <v>420</v>
      </c>
      <c r="B305" s="0" t="s">
        <v>170</v>
      </c>
      <c r="C305" s="16" t="n">
        <f aca="false">q25_ni</f>
        <v>134.675</v>
      </c>
      <c r="D305" s="16" t="n">
        <f aca="false">q26_ni</f>
        <v>123.5</v>
      </c>
      <c r="E305" s="16" t="n">
        <f aca="false">E301*E304</f>
        <v>152.5423262</v>
      </c>
      <c r="F305" s="16" t="n">
        <f aca="false">F301*F304</f>
        <v>168.401786811668</v>
      </c>
      <c r="G305" s="16" t="n">
        <f aca="false">G301*G304</f>
        <v>180.68867025378</v>
      </c>
      <c r="H305" s="24" t="n">
        <f aca="false">H295*H309</f>
        <v>190.620918632834</v>
      </c>
      <c r="I305" s="24" t="n">
        <f aca="false">I295*I309</f>
        <v>201.5786525161</v>
      </c>
      <c r="J305" s="24" t="n">
        <f aca="false">J295*J309</f>
        <v>213.673371667066</v>
      </c>
    </row>
    <row r="306" customFormat="false" ht="15" hidden="false" customHeight="false" outlineLevel="0" collapsed="false">
      <c r="A306" s="4" t="s">
        <v>541</v>
      </c>
      <c r="B306" s="4" t="s">
        <v>317</v>
      </c>
      <c r="C306" s="20" t="n">
        <f aca="false">q25_sh</f>
        <v>0.973366579936398</v>
      </c>
      <c r="D306" s="20" t="n">
        <f aca="false">q26_sh</f>
        <v>0.95117067159581</v>
      </c>
      <c r="E306" s="20" t="n">
        <f aca="false">D306*(1+sh_g)</f>
        <v>0.936903111521873</v>
      </c>
      <c r="F306" s="20" t="n">
        <f aca="false">E306*(1+sh_g)</f>
        <v>0.922849564849045</v>
      </c>
      <c r="G306" s="20" t="n">
        <f aca="false">F306*(1+sh_g)</f>
        <v>0.909006821376309</v>
      </c>
      <c r="H306" s="29" t="n">
        <f aca="false">G306*(1+sh_g)</f>
        <v>0.895371719055665</v>
      </c>
      <c r="I306" s="29" t="n">
        <f aca="false">H306*(1+sh_g)</f>
        <v>0.88194114326983</v>
      </c>
      <c r="J306" s="29" t="n">
        <f aca="false">I306*(1+sh_g)</f>
        <v>0.868712026120782</v>
      </c>
    </row>
    <row r="307" customFormat="false" ht="17.15" hidden="false" customHeight="false" outlineLevel="0" collapsed="false">
      <c r="A307" s="0" t="s">
        <v>542</v>
      </c>
      <c r="B307" s="0" t="s">
        <v>208</v>
      </c>
      <c r="C307" s="21" t="n">
        <f aca="false">C305/C306</f>
        <v>138.36</v>
      </c>
      <c r="D307" s="21" t="n">
        <f aca="false">D305/D306</f>
        <v>129.84</v>
      </c>
      <c r="E307" s="21" t="n">
        <f aca="false">E305/E306</f>
        <v>162.815476140554</v>
      </c>
      <c r="F307" s="21" t="n">
        <f aca="false">F305/F306</f>
        <v>182.480214789085</v>
      </c>
      <c r="G307" s="21" t="n">
        <f aca="false">G305/G306</f>
        <v>198.775923353582</v>
      </c>
      <c r="H307" s="27" t="n">
        <f aca="false">H305/H306</f>
        <v>212.895844905487</v>
      </c>
      <c r="I307" s="27" t="n">
        <f aca="false">I305/I306</f>
        <v>228.562477274548</v>
      </c>
      <c r="J307" s="27" t="n">
        <f aca="false">J305/J306</f>
        <v>245.965711584793</v>
      </c>
    </row>
    <row r="308" customFormat="false" ht="17.15" hidden="false" customHeight="false" outlineLevel="0" collapsed="false">
      <c r="A308" s="0" t="s">
        <v>543</v>
      </c>
      <c r="B308" s="0" t="s">
        <v>78</v>
      </c>
      <c r="D308" s="17" t="n">
        <f aca="false">D307/C307-1</f>
        <v>-0.0615784908933218</v>
      </c>
      <c r="E308" s="17" t="n">
        <f aca="false">E307/D307-1</f>
        <v>0.253970087342527</v>
      </c>
      <c r="F308" s="17" t="n">
        <f aca="false">F307/E307-1</f>
        <v>0.120779296383077</v>
      </c>
      <c r="G308" s="17" t="n">
        <f aca="false">G307/F307-1</f>
        <v>0.089301235113797</v>
      </c>
      <c r="H308" s="25" t="n">
        <f aca="false">H307/G307-1</f>
        <v>0.0710343652977989</v>
      </c>
      <c r="I308" s="25" t="n">
        <f aca="false">I307/H307-1</f>
        <v>0.0735882486387471</v>
      </c>
      <c r="J308" s="25" t="n">
        <f aca="false">J307/I307-1</f>
        <v>0.0761421319796956</v>
      </c>
    </row>
    <row r="309" customFormat="false" ht="15" hidden="false" customHeight="false" outlineLevel="0" collapsed="false">
      <c r="A309" s="4" t="s">
        <v>544</v>
      </c>
      <c r="B309" s="0" t="s">
        <v>78</v>
      </c>
      <c r="C309" s="14" t="n">
        <f aca="false">C305/C295</f>
        <v>0.0850371814696925</v>
      </c>
      <c r="D309" s="14" t="n">
        <f aca="false">D305/D295</f>
        <v>0.0713048498845266</v>
      </c>
      <c r="E309" s="14" t="n">
        <f aca="false">E305/E295</f>
        <v>0.0824301101241696</v>
      </c>
      <c r="F309" s="14" t="n">
        <f aca="false">F305/F295</f>
        <v>0.0863242138445496</v>
      </c>
      <c r="G309" s="14" t="n">
        <f aca="false">G305/G295</f>
        <v>0.088006355145468</v>
      </c>
      <c r="H309" s="26" t="n">
        <f aca="false">$G309+(fade_mA-$G309)*1/3</f>
        <v>0.088006355145468</v>
      </c>
      <c r="I309" s="26" t="n">
        <f aca="false">$G309+(fade_mA-$G309)*2/3</f>
        <v>0.088006355145468</v>
      </c>
      <c r="J309" s="26" t="n">
        <f aca="false">$G309+(fade_mA-$G309)*3/3</f>
        <v>0.088006355145468</v>
      </c>
    </row>
    <row r="310" customFormat="false" ht="17.15" hidden="false" customHeight="false" outlineLevel="0" collapsed="false">
      <c r="A310" s="0" t="s">
        <v>545</v>
      </c>
      <c r="B310" s="0" t="s">
        <v>208</v>
      </c>
      <c r="D310" s="21" t="n">
        <f aca="false">D281*D304/D306</f>
        <v>42.1015841584158</v>
      </c>
      <c r="E310" s="21" t="n">
        <f aca="false">E281*E304/E306</f>
        <v>67.3763521795351</v>
      </c>
      <c r="F310" s="21" t="n">
        <f aca="false">F281*F304/F306</f>
        <v>81.4912071372858</v>
      </c>
      <c r="G310" s="21" t="n">
        <f aca="false">G281*G304/G306</f>
        <v>91.9100037998653</v>
      </c>
      <c r="K310" s="8" t="s">
        <v>546</v>
      </c>
    </row>
    <row r="311" customFormat="false" ht="17.15" hidden="false" customHeight="false" outlineLevel="0" collapsed="false">
      <c r="A311" s="0" t="s">
        <v>547</v>
      </c>
      <c r="B311" s="0" t="s">
        <v>208</v>
      </c>
      <c r="D311" s="21" t="n">
        <f aca="false">D307-D310</f>
        <v>87.7384158415842</v>
      </c>
      <c r="E311" s="21" t="n">
        <f aca="false">E307-E310</f>
        <v>95.4391239610185</v>
      </c>
      <c r="F311" s="21" t="n">
        <f aca="false">F307-F310</f>
        <v>100.9890076518</v>
      </c>
      <c r="G311" s="21" t="n">
        <f aca="false">G307-G310</f>
        <v>106.865919553716</v>
      </c>
    </row>
    <row r="312" customFormat="false" ht="17.15" hidden="false" customHeight="false" outlineLevel="0" collapsed="false">
      <c r="A312" s="0" t="s">
        <v>548</v>
      </c>
      <c r="B312" s="0" t="s">
        <v>455</v>
      </c>
      <c r="D312" s="16" t="n">
        <f aca="false">D277/D267*1000/150</f>
        <v>26.4473684210526</v>
      </c>
      <c r="E312" s="16" t="n">
        <f aca="false">E277/E267*1000/150</f>
        <v>34.4085051263912</v>
      </c>
      <c r="F312" s="16" t="n">
        <f aca="false">F277/F267*1000/150</f>
        <v>41.0786397631579</v>
      </c>
      <c r="G312" s="16" t="n">
        <f aca="false">G277/G267*1000/150</f>
        <v>46.1793905966022</v>
      </c>
      <c r="K312" s="8" t="s">
        <v>549</v>
      </c>
    </row>
    <row r="315" customFormat="false" ht="17.15" hidden="false" customHeight="false" outlineLevel="0" collapsed="false">
      <c r="A315" s="1" t="s">
        <v>942</v>
      </c>
    </row>
    <row r="316" customFormat="false" ht="17.15" hidden="false" customHeight="false" outlineLevel="0" collapsed="false">
      <c r="A316" s="5" t="s">
        <v>20</v>
      </c>
      <c r="B316" s="5" t="s">
        <v>21</v>
      </c>
      <c r="C316" s="15" t="s">
        <v>398</v>
      </c>
      <c r="D316" s="15" t="s">
        <v>470</v>
      </c>
      <c r="E316" s="15" t="s">
        <v>435</v>
      </c>
      <c r="F316" s="15" t="s">
        <v>436</v>
      </c>
      <c r="G316" s="15" t="s">
        <v>437</v>
      </c>
      <c r="H316" s="15" t="s">
        <v>471</v>
      </c>
      <c r="I316" s="15" t="s">
        <v>472</v>
      </c>
      <c r="J316" s="15" t="s">
        <v>473</v>
      </c>
      <c r="K316" s="5" t="s">
        <v>377</v>
      </c>
    </row>
    <row r="317" customFormat="false" ht="17.15" hidden="false" customHeight="false" outlineLevel="0" collapsed="false">
      <c r="A317" s="6" t="s">
        <v>493</v>
      </c>
    </row>
    <row r="318" customFormat="false" ht="17.15" hidden="false" customHeight="false" outlineLevel="0" collapsed="false">
      <c r="A318" s="0" t="s">
        <v>494</v>
      </c>
      <c r="B318" s="4" t="s">
        <v>31</v>
      </c>
      <c r="D318" s="21" t="n">
        <f aca="false">unv_26</f>
        <v>7.6</v>
      </c>
      <c r="E318" s="21" t="n">
        <f aca="false">unv_27</f>
        <v>9.7</v>
      </c>
      <c r="F318" s="21" t="n">
        <f aca="false">unv_28*um28_A</f>
        <v>9.5</v>
      </c>
      <c r="G318" s="21" t="n">
        <f aca="false">unv_29*um29_A</f>
        <v>10.6</v>
      </c>
      <c r="K318" s="8" t="s">
        <v>495</v>
      </c>
    </row>
    <row r="319" customFormat="false" ht="17.15" hidden="false" customHeight="false" outlineLevel="0" collapsed="false">
      <c r="A319" s="4" t="s">
        <v>496</v>
      </c>
      <c r="B319" s="4" t="s">
        <v>31</v>
      </c>
      <c r="D319" s="21" t="n">
        <f aca="false">uot_26</f>
        <v>7.6</v>
      </c>
      <c r="E319" s="21" t="n">
        <f aca="false">uot_27</f>
        <v>14</v>
      </c>
      <c r="F319" s="21" t="n">
        <f aca="false">uot_28*um28_A</f>
        <v>17</v>
      </c>
      <c r="G319" s="21" t="n">
        <f aca="false">uot_29*um29_A</f>
        <v>19.55</v>
      </c>
      <c r="K319" s="8" t="s">
        <v>497</v>
      </c>
    </row>
    <row r="320" customFormat="false" ht="17.15" hidden="false" customHeight="false" outlineLevel="0" collapsed="false">
      <c r="A320" s="4" t="s">
        <v>498</v>
      </c>
      <c r="B320" s="4" t="s">
        <v>31</v>
      </c>
      <c r="D320" s="21" t="n">
        <f aca="false">D318+v_ot_hi*D319</f>
        <v>15.2</v>
      </c>
      <c r="E320" s="21" t="n">
        <f aca="false">E318+v_ot_hi*E319</f>
        <v>23.7</v>
      </c>
      <c r="F320" s="21" t="n">
        <f aca="false">F318+v_ot_hi*F319</f>
        <v>26.5</v>
      </c>
      <c r="G320" s="21" t="n">
        <f aca="false">G318+v_ot_hi*G319</f>
        <v>30.15</v>
      </c>
    </row>
    <row r="321" customFormat="false" ht="17.15" hidden="false" customHeight="false" outlineLevel="0" collapsed="false">
      <c r="A321" s="4" t="s">
        <v>499</v>
      </c>
      <c r="B321" s="0" t="s">
        <v>53</v>
      </c>
      <c r="D321" s="22" t="n">
        <f aca="false">1</f>
        <v>1</v>
      </c>
      <c r="E321" s="22" t="n">
        <f aca="false">D321*(1+g_asp)</f>
        <v>1.18</v>
      </c>
      <c r="F321" s="22" t="n">
        <f aca="false">E321*(1+g_asp)</f>
        <v>1.3924</v>
      </c>
      <c r="G321" s="22" t="n">
        <f aca="false">F321*(1+g_asp)</f>
        <v>1.643032</v>
      </c>
    </row>
    <row r="322" customFormat="false" ht="17.15" hidden="false" customHeight="false" outlineLevel="0" collapsed="false">
      <c r="A322" s="4" t="s">
        <v>500</v>
      </c>
      <c r="B322" s="0" t="s">
        <v>53</v>
      </c>
      <c r="D322" s="19" t="n">
        <f aca="false">1</f>
        <v>1</v>
      </c>
      <c r="E322" s="19" t="n">
        <f aca="false">rel_27</f>
        <v>1</v>
      </c>
      <c r="F322" s="19" t="n">
        <f aca="false">rel_28</f>
        <v>0.97</v>
      </c>
      <c r="G322" s="19" t="n">
        <f aca="false">rel_29</f>
        <v>0.95</v>
      </c>
    </row>
    <row r="323" customFormat="false" ht="17.15" hidden="false" customHeight="false" outlineLevel="0" collapsed="false">
      <c r="A323" s="0" t="s">
        <v>501</v>
      </c>
      <c r="B323" s="0" t="s">
        <v>53</v>
      </c>
      <c r="D323" s="22" t="n">
        <f aca="false">D320/$D320*D321*D322</f>
        <v>1</v>
      </c>
      <c r="E323" s="22" t="n">
        <f aca="false">E320/$D320*E321*E322</f>
        <v>1.83986842105263</v>
      </c>
      <c r="F323" s="22" t="n">
        <f aca="false">F320/$D320*F321*F322</f>
        <v>2.35471328947368</v>
      </c>
      <c r="G323" s="22" t="n">
        <f aca="false">G320/$D320*G321*G322</f>
        <v>3.096088425</v>
      </c>
      <c r="K323" s="4" t="s">
        <v>502</v>
      </c>
    </row>
    <row r="324" customFormat="false" ht="17.15" hidden="false" customHeight="false" outlineLevel="0" collapsed="false">
      <c r="A324" s="4" t="s">
        <v>503</v>
      </c>
      <c r="B324" s="0" t="s">
        <v>53</v>
      </c>
      <c r="D324" s="22" t="n">
        <f aca="false">1</f>
        <v>1</v>
      </c>
      <c r="E324" s="22" t="n">
        <f aca="false">D324*(1+g_nai)</f>
        <v>1.03</v>
      </c>
      <c r="F324" s="22" t="n">
        <f aca="false">E324*(1+g_nai)</f>
        <v>1.0609</v>
      </c>
      <c r="G324" s="22" t="n">
        <f aca="false">F324*(1+g_nai)</f>
        <v>1.092727</v>
      </c>
    </row>
    <row r="325" customFormat="false" ht="17.15" hidden="false" customHeight="false" outlineLevel="0" collapsed="false">
      <c r="A325" s="0" t="s">
        <v>504</v>
      </c>
      <c r="B325" s="0" t="s">
        <v>53</v>
      </c>
      <c r="D325" s="22" t="n">
        <f aca="false">ai_sh*D323+(1-ai_sh)*D324</f>
        <v>1</v>
      </c>
      <c r="E325" s="22" t="n">
        <f aca="false">ai_sh*E323+(1-ai_sh)*E324</f>
        <v>1.35394736842105</v>
      </c>
      <c r="F325" s="22" t="n">
        <f aca="false">ai_sh*F323+(1-ai_sh)*F324</f>
        <v>1.57842531578947</v>
      </c>
      <c r="G325" s="22" t="n">
        <f aca="false">ai_sh*G323+(1-ai_sh)*G324</f>
        <v>1.89407157</v>
      </c>
    </row>
    <row r="326" customFormat="false" ht="17.15" hidden="false" customHeight="false" outlineLevel="0" collapsed="false">
      <c r="A326" s="4" t="s">
        <v>505</v>
      </c>
      <c r="B326" s="0" t="s">
        <v>53</v>
      </c>
      <c r="D326" s="22" t="n">
        <f aca="false">1</f>
        <v>1</v>
      </c>
      <c r="E326" s="22" t="n">
        <f aca="false">cap_27</f>
        <v>1.3</v>
      </c>
      <c r="F326" s="22" t="n">
        <f aca="false">cap_28</f>
        <v>1.55</v>
      </c>
      <c r="G326" s="22" t="n">
        <f aca="false">cap_29</f>
        <v>1.8</v>
      </c>
      <c r="K326" s="4" t="s">
        <v>506</v>
      </c>
    </row>
    <row r="327" customFormat="false" ht="17.15" hidden="false" customHeight="false" outlineLevel="0" collapsed="false">
      <c r="A327" s="4" t="s">
        <v>507</v>
      </c>
      <c r="B327" s="0" t="s">
        <v>53</v>
      </c>
      <c r="D327" s="22" t="n">
        <f aca="false">MIN(D325,D326)</f>
        <v>1</v>
      </c>
      <c r="E327" s="22" t="n">
        <f aca="false">MIN(E325,E326)</f>
        <v>1.3</v>
      </c>
      <c r="F327" s="22" t="n">
        <f aca="false">MIN(F325,F326)</f>
        <v>1.55</v>
      </c>
      <c r="G327" s="22" t="n">
        <f aca="false">MIN(G325,G326)</f>
        <v>1.8</v>
      </c>
    </row>
    <row r="328" customFormat="false" ht="17.15" hidden="false" customHeight="false" outlineLevel="0" collapsed="false">
      <c r="A328" s="4" t="s">
        <v>508</v>
      </c>
      <c r="B328" s="0" t="s">
        <v>78</v>
      </c>
      <c r="D328" s="17" t="n">
        <f aca="false">D327/D325</f>
        <v>1</v>
      </c>
      <c r="E328" s="17" t="n">
        <f aca="false">E327/E325</f>
        <v>0.960155490767736</v>
      </c>
      <c r="F328" s="17" t="n">
        <f aca="false">F327/F325</f>
        <v>0.981991345738613</v>
      </c>
      <c r="G328" s="17" t="n">
        <f aca="false">G327/G325</f>
        <v>0.950333677201015</v>
      </c>
      <c r="K328" s="4" t="s">
        <v>509</v>
      </c>
    </row>
    <row r="329" customFormat="false" ht="17.15" hidden="false" customHeight="false" outlineLevel="0" collapsed="false">
      <c r="A329" s="0" t="s">
        <v>510</v>
      </c>
      <c r="B329" s="0" t="s">
        <v>53</v>
      </c>
      <c r="D329" s="22" t="n">
        <f aca="false">1</f>
        <v>1</v>
      </c>
      <c r="E329" s="22" t="n">
        <f aca="false">pp_27</f>
        <v>1.12</v>
      </c>
      <c r="F329" s="22" t="n">
        <f aca="false">pp_28*sp_A</f>
        <v>1.15</v>
      </c>
      <c r="G329" s="22" t="n">
        <f aca="false">pp_29*sp_A</f>
        <v>1.12</v>
      </c>
      <c r="K329" s="8" t="s">
        <v>511</v>
      </c>
    </row>
    <row r="330" customFormat="false" ht="17.15" hidden="false" customHeight="false" outlineLevel="0" collapsed="false">
      <c r="A330" s="0" t="s">
        <v>452</v>
      </c>
      <c r="B330" s="0" t="s">
        <v>170</v>
      </c>
      <c r="D330" s="16" t="n">
        <f aca="false">q26_fm*ai_sh</f>
        <v>48.24</v>
      </c>
      <c r="E330" s="16" t="n">
        <f aca="false">q26_fm*ai_sh*E323*E328*E329</f>
        <v>95.4451043265306</v>
      </c>
      <c r="F330" s="16" t="n">
        <f aca="false">q26_fm*ai_sh*F323*F328*F329</f>
        <v>128.27760259999</v>
      </c>
      <c r="G330" s="16" t="n">
        <f aca="false">q26_fm*ai_sh*G323*G328*G329</f>
        <v>158.969862017385</v>
      </c>
      <c r="K330" s="8" t="s">
        <v>512</v>
      </c>
    </row>
    <row r="331" customFormat="false" ht="17.15" hidden="false" customHeight="false" outlineLevel="0" collapsed="false">
      <c r="A331" s="0" t="s">
        <v>513</v>
      </c>
      <c r="B331" s="0" t="s">
        <v>170</v>
      </c>
      <c r="D331" s="16" t="n">
        <f aca="false">q26_fm*(1-ai_sh)</f>
        <v>72.36</v>
      </c>
      <c r="E331" s="16" t="n">
        <f aca="false">q26_fm*(1-ai_sh)*E324*E328*E329</f>
        <v>80.1484956734694</v>
      </c>
      <c r="F331" s="16" t="n">
        <f aca="false">q26_fm*(1-ai_sh)*F324*F328*F329</f>
        <v>86.6918974000104</v>
      </c>
      <c r="G331" s="16" t="n">
        <f aca="false">q26_fm*(1-ai_sh)*G324*G328*G329</f>
        <v>84.1597379826149</v>
      </c>
    </row>
    <row r="332" customFormat="false" ht="17.15" hidden="false" customHeight="false" outlineLevel="0" collapsed="false">
      <c r="A332" s="4" t="s">
        <v>514</v>
      </c>
      <c r="B332" s="0" t="s">
        <v>170</v>
      </c>
      <c r="C332" s="16" t="n">
        <f aca="false">q25_fm</f>
        <v>102.4512</v>
      </c>
      <c r="D332" s="16" t="n">
        <f aca="false">D330+D331</f>
        <v>120.6</v>
      </c>
      <c r="E332" s="16" t="n">
        <f aca="false">E330+E331</f>
        <v>175.5936</v>
      </c>
      <c r="F332" s="16" t="n">
        <f aca="false">F330+F331</f>
        <v>214.9695</v>
      </c>
      <c r="G332" s="16" t="n">
        <f aca="false">G330+G331</f>
        <v>243.1296</v>
      </c>
    </row>
    <row r="333" customFormat="false" ht="17.15" hidden="false" customHeight="false" outlineLevel="0" collapsed="false">
      <c r="A333" s="0" t="s">
        <v>515</v>
      </c>
      <c r="B333" s="0" t="s">
        <v>78</v>
      </c>
      <c r="C333" s="17" t="n">
        <f aca="false">q25_fmbp/q25_fm</f>
        <v>0.532936656671664</v>
      </c>
      <c r="D333" s="17" t="n">
        <f aca="false">q26_fmbp/q26_fm</f>
        <v>0.543117744610282</v>
      </c>
      <c r="E333" s="17" t="n">
        <f aca="false">1-(1-$D333)*(1+c_g)^1/E329</f>
        <v>0.579831497275527</v>
      </c>
      <c r="F333" s="17" t="n">
        <f aca="false">1-(1-$D333)*(1+c_g)^2/F329</f>
        <v>0.578516187180042</v>
      </c>
      <c r="G333" s="17" t="n">
        <f aca="false">1-(1-$D333)*(1+c_g)^3/G329</f>
        <v>0.554243235459607</v>
      </c>
      <c r="K333" s="8" t="s">
        <v>516</v>
      </c>
    </row>
    <row r="334" customFormat="false" ht="17.15" hidden="false" customHeight="false" outlineLevel="0" collapsed="false">
      <c r="A334" s="0" t="s">
        <v>478</v>
      </c>
      <c r="B334" s="0" t="s">
        <v>170</v>
      </c>
      <c r="C334" s="16" t="n">
        <f aca="false">q25_fmbp</f>
        <v>54.6</v>
      </c>
      <c r="D334" s="16" t="n">
        <f aca="false">D332*D333</f>
        <v>65.5</v>
      </c>
      <c r="E334" s="16" t="n">
        <f aca="false">E332*E333</f>
        <v>101.8147</v>
      </c>
      <c r="F334" s="16" t="n">
        <f aca="false">F332*F333</f>
        <v>124.3633355</v>
      </c>
      <c r="G334" s="16" t="n">
        <f aca="false">G332*G333</f>
        <v>134.75293614</v>
      </c>
    </row>
    <row r="335" customFormat="false" ht="17.15" hidden="false" customHeight="false" outlineLevel="0" collapsed="false">
      <c r="A335" s="6" t="s">
        <v>517</v>
      </c>
    </row>
    <row r="336" customFormat="false" ht="15" hidden="false" customHeight="false" outlineLevel="0" collapsed="false">
      <c r="A336" s="4" t="s">
        <v>518</v>
      </c>
      <c r="B336" s="0" t="s">
        <v>170</v>
      </c>
      <c r="C336" s="16" t="n">
        <f aca="false">q25_sf</f>
        <v>936.926</v>
      </c>
      <c r="D336" s="16" t="n">
        <f aca="false">q26_sf</f>
        <v>998.6</v>
      </c>
      <c r="E336" s="16" t="n">
        <f aca="false">D336*(1+g_sf)</f>
        <v>1038.544</v>
      </c>
      <c r="F336" s="16" t="n">
        <f aca="false">E336*(1+g_sf)</f>
        <v>1080.08576</v>
      </c>
      <c r="G336" s="16" t="n">
        <f aca="false">F336*(1+g_sf)</f>
        <v>1123.2891904</v>
      </c>
    </row>
    <row r="337" customFormat="false" ht="15" hidden="false" customHeight="false" outlineLevel="0" collapsed="false">
      <c r="A337" s="4" t="s">
        <v>519</v>
      </c>
      <c r="B337" s="0" t="s">
        <v>170</v>
      </c>
      <c r="C337" s="16" t="n">
        <f aca="false">q25_sfbp</f>
        <v>143.036</v>
      </c>
      <c r="D337" s="16" t="n">
        <f aca="false">q26_sfbp</f>
        <v>145.9</v>
      </c>
      <c r="E337" s="16" t="n">
        <f aca="false">E336*m_sf</f>
        <v>151.736</v>
      </c>
      <c r="F337" s="16" t="n">
        <f aca="false">F336*m_sf</f>
        <v>157.80544</v>
      </c>
      <c r="G337" s="16" t="n">
        <f aca="false">G336*m_sf</f>
        <v>164.1176576</v>
      </c>
    </row>
    <row r="338" customFormat="false" ht="15" hidden="false" customHeight="false" outlineLevel="0" collapsed="false">
      <c r="A338" s="4" t="s">
        <v>520</v>
      </c>
      <c r="B338" s="0" t="s">
        <v>170</v>
      </c>
      <c r="C338" s="16" t="n">
        <f aca="false">q25_ff</f>
        <v>290.308</v>
      </c>
      <c r="D338" s="16" t="n">
        <f aca="false">q26_ff</f>
        <v>310.6</v>
      </c>
      <c r="E338" s="16" t="n">
        <f aca="false">D338*(1+g_ff)</f>
        <v>319.918</v>
      </c>
      <c r="F338" s="16" t="n">
        <f aca="false">E338*(1+g_ff)</f>
        <v>329.51554</v>
      </c>
      <c r="G338" s="16" t="n">
        <f aca="false">F338*(1+g_ff)</f>
        <v>339.4010062</v>
      </c>
    </row>
    <row r="339" customFormat="false" ht="15" hidden="false" customHeight="false" outlineLevel="0" collapsed="false">
      <c r="A339" s="4" t="s">
        <v>521</v>
      </c>
      <c r="B339" s="0" t="s">
        <v>170</v>
      </c>
      <c r="C339" s="16" t="n">
        <f aca="false">q25_ffbp</f>
        <v>8.457</v>
      </c>
      <c r="D339" s="16" t="n">
        <f aca="false">q26_ffbp</f>
        <v>12.1</v>
      </c>
      <c r="E339" s="16" t="n">
        <f aca="false">E338*m_ff</f>
        <v>14.39631</v>
      </c>
      <c r="F339" s="16" t="n">
        <f aca="false">F338*m_ff</f>
        <v>14.8281993</v>
      </c>
      <c r="G339" s="16" t="n">
        <f aca="false">G338*m_ff</f>
        <v>15.273045279</v>
      </c>
    </row>
    <row r="340" customFormat="false" ht="17.15" hidden="false" customHeight="false" outlineLevel="0" collapsed="false">
      <c r="A340" s="4" t="s">
        <v>522</v>
      </c>
      <c r="B340" s="0" t="s">
        <v>170</v>
      </c>
      <c r="C340" s="16" t="n">
        <f aca="false">q25_hox</f>
        <v>239.0528</v>
      </c>
      <c r="D340" s="16" t="n">
        <f aca="false">q26_hox</f>
        <v>286.2</v>
      </c>
      <c r="E340" s="16" t="n">
        <f aca="false">D340*(1+g_ho)</f>
        <v>300.51</v>
      </c>
      <c r="F340" s="16" t="n">
        <f aca="false">E340*(1+g_ho)</f>
        <v>315.5355</v>
      </c>
      <c r="G340" s="16" t="n">
        <f aca="false">F340*(1+g_ho)</f>
        <v>331.312275</v>
      </c>
    </row>
    <row r="341" customFormat="false" ht="17.15" hidden="false" customHeight="false" outlineLevel="0" collapsed="false">
      <c r="A341" s="4" t="s">
        <v>523</v>
      </c>
      <c r="B341" s="0" t="s">
        <v>170</v>
      </c>
      <c r="C341" s="16" t="n">
        <f aca="false">q25_hoxbp</f>
        <v>11.602</v>
      </c>
      <c r="D341" s="16" t="n">
        <f aca="false">q26_hoxbp</f>
        <v>19.5</v>
      </c>
      <c r="E341" s="16" t="n">
        <f aca="false">E340*m_ho</f>
        <v>20.475</v>
      </c>
      <c r="F341" s="16" t="n">
        <f aca="false">F340*m_ho</f>
        <v>21.49875</v>
      </c>
      <c r="G341" s="16" t="n">
        <f aca="false">G340*m_ho</f>
        <v>22.5736875</v>
      </c>
    </row>
    <row r="342" customFormat="false" ht="17.15" hidden="false" customHeight="false" outlineLevel="0" collapsed="false">
      <c r="A342" s="4" t="s">
        <v>524</v>
      </c>
      <c r="B342" s="0" t="s">
        <v>170</v>
      </c>
      <c r="C342" s="16" t="n">
        <f aca="false">q25_oth</f>
        <v>14.979</v>
      </c>
      <c r="D342" s="16" t="n">
        <f aca="false">q26_oth</f>
        <v>15.8</v>
      </c>
      <c r="E342" s="16" t="n">
        <f aca="false">D342</f>
        <v>15.8</v>
      </c>
      <c r="F342" s="16" t="n">
        <f aca="false">E342</f>
        <v>15.8</v>
      </c>
      <c r="G342" s="16" t="n">
        <f aca="false">F342</f>
        <v>15.8</v>
      </c>
      <c r="K342" s="8" t="s">
        <v>525</v>
      </c>
    </row>
    <row r="343" customFormat="false" ht="15" hidden="false" customHeight="false" outlineLevel="0" collapsed="false">
      <c r="A343" s="4" t="s">
        <v>526</v>
      </c>
      <c r="B343" s="0" t="s">
        <v>170</v>
      </c>
      <c r="C343" s="16" t="n">
        <f aca="false">q25_othbp</f>
        <v>6.064</v>
      </c>
      <c r="D343" s="16" t="n">
        <f aca="false">q26_othbp</f>
        <v>5.1</v>
      </c>
      <c r="E343" s="16" t="n">
        <f aca="false">q26_othbp</f>
        <v>5.1</v>
      </c>
      <c r="F343" s="16" t="n">
        <f aca="false">q26_othbp</f>
        <v>5.1</v>
      </c>
      <c r="G343" s="16" t="n">
        <f aca="false">q26_othbp</f>
        <v>5.1</v>
      </c>
    </row>
    <row r="344" customFormat="false" ht="15" hidden="false" customHeight="false" outlineLevel="0" collapsed="false">
      <c r="A344" s="4" t="s">
        <v>527</v>
      </c>
      <c r="B344" s="0" t="s">
        <v>170</v>
      </c>
      <c r="C344" s="16" t="n">
        <f aca="false">q25_cc</f>
        <v>-42.597</v>
      </c>
      <c r="D344" s="16" t="n">
        <f aca="false">q26_cc</f>
        <v>-46.2</v>
      </c>
      <c r="E344" s="16" t="n">
        <f aca="false">D344*(1+g_cc)</f>
        <v>-47.586</v>
      </c>
      <c r="F344" s="16" t="n">
        <f aca="false">E344*(1+g_cc)</f>
        <v>-49.01358</v>
      </c>
      <c r="G344" s="16" t="n">
        <f aca="false">F344*(1+g_cc)</f>
        <v>-50.4839874</v>
      </c>
    </row>
    <row r="345" customFormat="false" ht="17.15" hidden="false" customHeight="false" outlineLevel="0" collapsed="false">
      <c r="A345" s="4" t="s">
        <v>528</v>
      </c>
      <c r="B345" s="0" t="s">
        <v>170</v>
      </c>
      <c r="C345" s="28" t="n">
        <f aca="false">a_rev-(q25_sf+q25_ff+q25_hox+q25_fm+q25_oth)</f>
        <v>0.00200000000018008</v>
      </c>
      <c r="D345" s="28" t="n">
        <f aca="false">f_rev-(q26_sf+q26_ff+q26_hox+q26_fm+q26_oth)</f>
        <v>0.200000000000045</v>
      </c>
      <c r="E345" s="28" t="n">
        <f aca="false">$D345</f>
        <v>0.200000000000045</v>
      </c>
      <c r="F345" s="28" t="n">
        <f aca="false">$D345</f>
        <v>0.200000000000045</v>
      </c>
      <c r="G345" s="28" t="n">
        <f aca="false">$D345</f>
        <v>0.200000000000045</v>
      </c>
      <c r="K345" s="8" t="s">
        <v>529</v>
      </c>
    </row>
    <row r="346" customFormat="false" ht="15" hidden="false" customHeight="false" outlineLevel="0" collapsed="false">
      <c r="A346" s="4" t="s">
        <v>530</v>
      </c>
      <c r="B346" s="0" t="s">
        <v>170</v>
      </c>
      <c r="C346" s="28" t="n">
        <f aca="false">a_bp-(q25_sfbp+q25_ffbp+q25_hoxbp+q25_fmbp+q25_othbp+q25_cc)</f>
        <v>0.0010000000000332</v>
      </c>
      <c r="D346" s="28" t="n">
        <f aca="false">f_bp-(q26_sfbp+q26_ffbp+q26_hoxbp+q26_fmbp+q26_othbp+q26_cc)</f>
        <v>0.100000000000023</v>
      </c>
      <c r="E346" s="28" t="n">
        <f aca="false">$D346</f>
        <v>0.100000000000023</v>
      </c>
      <c r="F346" s="28" t="n">
        <f aca="false">$D346</f>
        <v>0.100000000000023</v>
      </c>
      <c r="G346" s="28" t="n">
        <f aca="false">$D346</f>
        <v>0.100000000000023</v>
      </c>
    </row>
    <row r="347" customFormat="false" ht="17.15" hidden="false" customHeight="false" outlineLevel="0" collapsed="false">
      <c r="A347" s="6" t="s">
        <v>531</v>
      </c>
    </row>
    <row r="348" customFormat="false" ht="17.15" hidden="false" customHeight="false" outlineLevel="0" collapsed="false">
      <c r="A348" s="4" t="s">
        <v>403</v>
      </c>
      <c r="B348" s="0" t="s">
        <v>170</v>
      </c>
      <c r="C348" s="16" t="n">
        <f aca="false">C336+C338+C340+C332+C342+C345</f>
        <v>1583.719</v>
      </c>
      <c r="D348" s="16" t="n">
        <f aca="false">D336+D338+D340+D332+D342+D345</f>
        <v>1732</v>
      </c>
      <c r="E348" s="16" t="n">
        <f aca="false">E336+E338+E340+E332+E342+E345</f>
        <v>1850.5656</v>
      </c>
      <c r="F348" s="16" t="n">
        <f aca="false">F336+F338+F340+F332+F342+F345</f>
        <v>1956.1063</v>
      </c>
      <c r="G348" s="16" t="n">
        <f aca="false">G336+G338+G340+G332+G342+G345</f>
        <v>2053.1320716</v>
      </c>
      <c r="H348" s="24" t="n">
        <f aca="false">G348*(1+H352)</f>
        <v>2162.08697548001</v>
      </c>
      <c r="I348" s="24" t="n">
        <f aca="false">H348*(1+I352)</f>
        <v>2284.31802729425</v>
      </c>
      <c r="J348" s="24" t="n">
        <f aca="false">I348*(1+J352)</f>
        <v>2421.3771089319</v>
      </c>
      <c r="K348" s="8" t="s">
        <v>532</v>
      </c>
    </row>
    <row r="349" customFormat="false" ht="17.15" hidden="false" customHeight="false" outlineLevel="0" collapsed="false">
      <c r="A349" s="4" t="s">
        <v>533</v>
      </c>
      <c r="B349" s="0" t="s">
        <v>170</v>
      </c>
      <c r="C349" s="16" t="n">
        <f aca="false">C332+C340</f>
        <v>341.504</v>
      </c>
      <c r="D349" s="16" t="n">
        <f aca="false">D332+D340</f>
        <v>406.8</v>
      </c>
      <c r="E349" s="16" t="n">
        <f aca="false">E332+E340</f>
        <v>476.1036</v>
      </c>
      <c r="F349" s="16" t="n">
        <f aca="false">F332+F340</f>
        <v>530.505</v>
      </c>
      <c r="G349" s="16" t="n">
        <f aca="false">G332+G340</f>
        <v>574.441875</v>
      </c>
      <c r="K349" s="4" t="s">
        <v>534</v>
      </c>
    </row>
    <row r="350" customFormat="false" ht="17.15" hidden="false" customHeight="false" outlineLevel="0" collapsed="false">
      <c r="A350" s="4" t="s">
        <v>535</v>
      </c>
      <c r="B350" s="0" t="s">
        <v>170</v>
      </c>
      <c r="C350" s="16" t="n">
        <f aca="false">C342+C345</f>
        <v>14.9810000000002</v>
      </c>
      <c r="D350" s="16" t="n">
        <f aca="false">D342+D345</f>
        <v>16</v>
      </c>
      <c r="E350" s="16" t="n">
        <f aca="false">E342+E345</f>
        <v>16</v>
      </c>
      <c r="F350" s="16" t="n">
        <f aca="false">F342+F345</f>
        <v>16</v>
      </c>
      <c r="G350" s="16" t="n">
        <f aca="false">G342+G345</f>
        <v>16</v>
      </c>
      <c r="K350" s="8" t="s">
        <v>536</v>
      </c>
    </row>
    <row r="351" customFormat="false" ht="15" hidden="false" customHeight="false" outlineLevel="0" collapsed="false">
      <c r="A351" s="4" t="s">
        <v>537</v>
      </c>
      <c r="B351" s="0" t="s">
        <v>170</v>
      </c>
      <c r="C351" s="22" t="n">
        <f aca="false">C336+C338+C349+C350-C348</f>
        <v>0</v>
      </c>
      <c r="D351" s="22" t="n">
        <f aca="false">D336+D338+D349+D350-D348</f>
        <v>0</v>
      </c>
      <c r="E351" s="22" t="n">
        <f aca="false">E336+E338+E349+E350-E348</f>
        <v>0</v>
      </c>
      <c r="F351" s="22" t="n">
        <f aca="false">F336+F338+F349+F350-F348</f>
        <v>0</v>
      </c>
      <c r="G351" s="22" t="n">
        <f aca="false">G336+G338+G349+G350-G348</f>
        <v>0</v>
      </c>
    </row>
    <row r="352" customFormat="false" ht="15" hidden="false" customHeight="false" outlineLevel="0" collapsed="false">
      <c r="A352" s="4" t="s">
        <v>538</v>
      </c>
      <c r="B352" s="0" t="s">
        <v>78</v>
      </c>
      <c r="D352" s="17" t="n">
        <f aca="false">D348/C348-1</f>
        <v>0.0936283519993131</v>
      </c>
      <c r="E352" s="17" t="n">
        <f aca="false">E348/D348-1</f>
        <v>0.0684558891454965</v>
      </c>
      <c r="F352" s="17" t="n">
        <f aca="false">F348/E348-1</f>
        <v>0.0570315907741936</v>
      </c>
      <c r="G352" s="17" t="n">
        <f aca="false">G348/F348-1</f>
        <v>0.0496014820871442</v>
      </c>
      <c r="H352" s="25" t="n">
        <f aca="false">$G352+(fade_gA-$G352)*1/3</f>
        <v>0.0530676547247628</v>
      </c>
      <c r="I352" s="25" t="n">
        <f aca="false">$G352+(fade_gA-$G352)*2/3</f>
        <v>0.0565338273623814</v>
      </c>
      <c r="J352" s="25" t="n">
        <f aca="false">$G352+(fade_gA-$G352)*3/3</f>
        <v>0.06</v>
      </c>
    </row>
    <row r="353" customFormat="false" ht="17.15" hidden="false" customHeight="false" outlineLevel="0" collapsed="false">
      <c r="A353" s="0" t="s">
        <v>539</v>
      </c>
      <c r="B353" s="0" t="s">
        <v>78</v>
      </c>
      <c r="C353" s="17" t="n">
        <f aca="false">C332/C348</f>
        <v>0.0646902638662541</v>
      </c>
      <c r="D353" s="17" t="n">
        <f aca="false">D332/D348</f>
        <v>0.0696304849884527</v>
      </c>
      <c r="E353" s="17" t="n">
        <f aca="false">E332/E348</f>
        <v>0.0948864498507916</v>
      </c>
      <c r="F353" s="17" t="n">
        <f aca="false">F332/F348</f>
        <v>0.109896634963039</v>
      </c>
      <c r="G353" s="17" t="n">
        <f aca="false">G332/G348</f>
        <v>0.118418879799842</v>
      </c>
    </row>
    <row r="354" customFormat="false" ht="15" hidden="false" customHeight="false" outlineLevel="0" collapsed="false">
      <c r="A354" s="4" t="s">
        <v>413</v>
      </c>
      <c r="B354" s="0" t="s">
        <v>170</v>
      </c>
      <c r="C354" s="16" t="n">
        <f aca="false">C337+C339+C341+C334+C343+C344+C346</f>
        <v>181.163</v>
      </c>
      <c r="D354" s="16" t="n">
        <f aca="false">D337+D339+D341+D334+D343+D344+D346</f>
        <v>202</v>
      </c>
      <c r="E354" s="16" t="n">
        <f aca="false">E337+E339+E341+E334+E343+E344+E346</f>
        <v>246.03601</v>
      </c>
      <c r="F354" s="16" t="n">
        <f aca="false">F337+F339+F341+F334+F343+F344+F346</f>
        <v>274.6821448</v>
      </c>
      <c r="G354" s="16" t="n">
        <f aca="false">G337+G339+G341+G334+G343+G344+G346</f>
        <v>291.433339119</v>
      </c>
    </row>
    <row r="355" customFormat="false" ht="15" hidden="false" customHeight="false" outlineLevel="0" collapsed="false">
      <c r="A355" s="4" t="s">
        <v>429</v>
      </c>
      <c r="B355" s="0" t="s">
        <v>78</v>
      </c>
      <c r="C355" s="17" t="n">
        <f aca="false">C354/C348</f>
        <v>0.114390873633517</v>
      </c>
      <c r="D355" s="17" t="n">
        <f aca="false">D354/D348</f>
        <v>0.11662817551963</v>
      </c>
      <c r="E355" s="17" t="n">
        <f aca="false">E354/E348</f>
        <v>0.132951790522854</v>
      </c>
      <c r="F355" s="17" t="n">
        <f aca="false">F354/F348</f>
        <v>0.140422913008358</v>
      </c>
      <c r="G355" s="17" t="n">
        <f aca="false">G354/G348</f>
        <v>0.141945734105594</v>
      </c>
    </row>
    <row r="356" customFormat="false" ht="17.15" hidden="false" customHeight="false" outlineLevel="0" collapsed="false">
      <c r="A356" s="0" t="s">
        <v>540</v>
      </c>
      <c r="B356" s="0" t="s">
        <v>78</v>
      </c>
      <c r="C356" s="17" t="n">
        <f aca="false">C334/C354</f>
        <v>0.301386044611758</v>
      </c>
      <c r="D356" s="17" t="n">
        <f aca="false">D334/D354</f>
        <v>0.324257425742574</v>
      </c>
      <c r="E356" s="17" t="n">
        <f aca="false">E334/E354</f>
        <v>0.413820318415991</v>
      </c>
      <c r="F356" s="17" t="n">
        <f aca="false">F334/F354</f>
        <v>0.452753620336519</v>
      </c>
      <c r="G356" s="17" t="n">
        <f aca="false">G334/G354</f>
        <v>0.462379961562931</v>
      </c>
    </row>
    <row r="357" customFormat="false" ht="17.15" hidden="false" customHeight="false" outlineLevel="0" collapsed="false">
      <c r="A357" s="4" t="s">
        <v>430</v>
      </c>
      <c r="B357" s="0" t="s">
        <v>53</v>
      </c>
      <c r="C357" s="22" t="n">
        <f aca="false">q25_ni/q25_bp</f>
        <v>0.743391310587703</v>
      </c>
      <c r="D357" s="22" t="n">
        <f aca="false">q26_ni/q26_bp</f>
        <v>0.611386138613861</v>
      </c>
      <c r="E357" s="22" t="n">
        <f aca="false">ni_bp</f>
        <v>0.62</v>
      </c>
      <c r="F357" s="22" t="n">
        <f aca="false">ni_bp</f>
        <v>0.62</v>
      </c>
      <c r="G357" s="22" t="n">
        <f aca="false">ni_bp</f>
        <v>0.62</v>
      </c>
    </row>
    <row r="358" customFormat="false" ht="15" hidden="false" customHeight="false" outlineLevel="0" collapsed="false">
      <c r="A358" s="4" t="s">
        <v>420</v>
      </c>
      <c r="B358" s="0" t="s">
        <v>170</v>
      </c>
      <c r="C358" s="16" t="n">
        <f aca="false">q25_ni</f>
        <v>134.675</v>
      </c>
      <c r="D358" s="16" t="n">
        <f aca="false">q26_ni</f>
        <v>123.5</v>
      </c>
      <c r="E358" s="16" t="n">
        <f aca="false">E354*E357</f>
        <v>152.5423262</v>
      </c>
      <c r="F358" s="16" t="n">
        <f aca="false">F354*F357</f>
        <v>170.302929776</v>
      </c>
      <c r="G358" s="16" t="n">
        <f aca="false">G354*G357</f>
        <v>180.68867025378</v>
      </c>
      <c r="H358" s="24" t="n">
        <f aca="false">H348*H362</f>
        <v>190.277394219484</v>
      </c>
      <c r="I358" s="24" t="n">
        <f aca="false">I348*I362</f>
        <v>201.034503575252</v>
      </c>
      <c r="J358" s="24" t="n">
        <f aca="false">J348*J362</f>
        <v>213.096573789767</v>
      </c>
    </row>
    <row r="359" customFormat="false" ht="15" hidden="false" customHeight="false" outlineLevel="0" collapsed="false">
      <c r="A359" s="4" t="s">
        <v>541</v>
      </c>
      <c r="B359" s="4" t="s">
        <v>317</v>
      </c>
      <c r="C359" s="20" t="n">
        <f aca="false">q25_sh</f>
        <v>0.973366579936398</v>
      </c>
      <c r="D359" s="20" t="n">
        <f aca="false">q26_sh</f>
        <v>0.95117067159581</v>
      </c>
      <c r="E359" s="20" t="n">
        <f aca="false">D359*(1+sh_g)</f>
        <v>0.936903111521873</v>
      </c>
      <c r="F359" s="20" t="n">
        <f aca="false">E359*(1+sh_g)</f>
        <v>0.922849564849045</v>
      </c>
      <c r="G359" s="20" t="n">
        <f aca="false">F359*(1+sh_g)</f>
        <v>0.909006821376309</v>
      </c>
      <c r="H359" s="29" t="n">
        <f aca="false">G359*(1+sh_g)</f>
        <v>0.895371719055665</v>
      </c>
      <c r="I359" s="29" t="n">
        <f aca="false">H359*(1+sh_g)</f>
        <v>0.88194114326983</v>
      </c>
      <c r="J359" s="29" t="n">
        <f aca="false">I359*(1+sh_g)</f>
        <v>0.868712026120782</v>
      </c>
    </row>
    <row r="360" customFormat="false" ht="17.15" hidden="false" customHeight="false" outlineLevel="0" collapsed="false">
      <c r="A360" s="0" t="s">
        <v>542</v>
      </c>
      <c r="B360" s="0" t="s">
        <v>208</v>
      </c>
      <c r="C360" s="21" t="n">
        <f aca="false">C358/C359</f>
        <v>138.36</v>
      </c>
      <c r="D360" s="21" t="n">
        <f aca="false">D358/D359</f>
        <v>129.84</v>
      </c>
      <c r="E360" s="21" t="n">
        <f aca="false">E358/E359</f>
        <v>162.815476140554</v>
      </c>
      <c r="F360" s="21" t="n">
        <f aca="false">F358/F359</f>
        <v>184.540293741004</v>
      </c>
      <c r="G360" s="21" t="n">
        <f aca="false">G358/G359</f>
        <v>198.775923353582</v>
      </c>
      <c r="H360" s="27" t="n">
        <f aca="false">H358/H359</f>
        <v>212.512178093102</v>
      </c>
      <c r="I360" s="27" t="n">
        <f aca="false">I358/I359</f>
        <v>227.945487189666</v>
      </c>
      <c r="J360" s="27" t="n">
        <f aca="false">J358/J359</f>
        <v>245.301742559437</v>
      </c>
    </row>
    <row r="361" customFormat="false" ht="17.15" hidden="false" customHeight="false" outlineLevel="0" collapsed="false">
      <c r="A361" s="0" t="s">
        <v>543</v>
      </c>
      <c r="B361" s="0" t="s">
        <v>78</v>
      </c>
      <c r="D361" s="17" t="n">
        <f aca="false">D360/C360-1</f>
        <v>-0.0615784908933218</v>
      </c>
      <c r="E361" s="17" t="n">
        <f aca="false">E360/D360-1</f>
        <v>0.253970087342527</v>
      </c>
      <c r="F361" s="17" t="n">
        <f aca="false">F360/E360-1</f>
        <v>0.133432141190899</v>
      </c>
      <c r="G361" s="17" t="n">
        <f aca="false">G360/F360-1</f>
        <v>0.0771410369193262</v>
      </c>
      <c r="H361" s="25" t="n">
        <f aca="false">H360/G360-1</f>
        <v>0.0691042179946833</v>
      </c>
      <c r="I361" s="25" t="n">
        <f aca="false">I360/H360-1</f>
        <v>0.0726231749871891</v>
      </c>
      <c r="J361" s="25" t="n">
        <f aca="false">J360/I360-1</f>
        <v>0.0761421319796956</v>
      </c>
    </row>
    <row r="362" customFormat="false" ht="15" hidden="false" customHeight="false" outlineLevel="0" collapsed="false">
      <c r="A362" s="4" t="s">
        <v>544</v>
      </c>
      <c r="B362" s="0" t="s">
        <v>78</v>
      </c>
      <c r="C362" s="14" t="n">
        <f aca="false">C358/C348</f>
        <v>0.0850371814696925</v>
      </c>
      <c r="D362" s="14" t="n">
        <f aca="false">D358/D348</f>
        <v>0.0713048498845266</v>
      </c>
      <c r="E362" s="14" t="n">
        <f aca="false">E358/E348</f>
        <v>0.0824301101241696</v>
      </c>
      <c r="F362" s="14" t="n">
        <f aca="false">F358/F348</f>
        <v>0.0870622060651816</v>
      </c>
      <c r="G362" s="14" t="n">
        <f aca="false">G358/G348</f>
        <v>0.088006355145468</v>
      </c>
      <c r="H362" s="26" t="n">
        <f aca="false">$G362+(fade_mA-$G362)*1/3</f>
        <v>0.088006355145468</v>
      </c>
      <c r="I362" s="26" t="n">
        <f aca="false">$G362+(fade_mA-$G362)*2/3</f>
        <v>0.088006355145468</v>
      </c>
      <c r="J362" s="26" t="n">
        <f aca="false">$G362+(fade_mA-$G362)*3/3</f>
        <v>0.088006355145468</v>
      </c>
    </row>
    <row r="363" customFormat="false" ht="17.15" hidden="false" customHeight="false" outlineLevel="0" collapsed="false">
      <c r="A363" s="0" t="s">
        <v>545</v>
      </c>
      <c r="B363" s="0" t="s">
        <v>208</v>
      </c>
      <c r="D363" s="21" t="n">
        <f aca="false">D334*D357/D359</f>
        <v>42.1015841584158</v>
      </c>
      <c r="E363" s="21" t="n">
        <f aca="false">E334*E357/E359</f>
        <v>67.3763521795352</v>
      </c>
      <c r="F363" s="21" t="n">
        <f aca="false">F334*F357/F359</f>
        <v>83.551286089204</v>
      </c>
      <c r="G363" s="21" t="n">
        <f aca="false">G334*G357/G359</f>
        <v>91.9100037998652</v>
      </c>
      <c r="K363" s="8" t="s">
        <v>546</v>
      </c>
    </row>
    <row r="364" customFormat="false" ht="17.15" hidden="false" customHeight="false" outlineLevel="0" collapsed="false">
      <c r="A364" s="0" t="s">
        <v>547</v>
      </c>
      <c r="B364" s="0" t="s">
        <v>208</v>
      </c>
      <c r="D364" s="21" t="n">
        <f aca="false">D360-D363</f>
        <v>87.7384158415842</v>
      </c>
      <c r="E364" s="21" t="n">
        <f aca="false">E360-E363</f>
        <v>95.4391239610186</v>
      </c>
      <c r="F364" s="21" t="n">
        <f aca="false">F360-F363</f>
        <v>100.9890076518</v>
      </c>
      <c r="G364" s="21" t="n">
        <f aca="false">G360-G363</f>
        <v>106.865919553716</v>
      </c>
    </row>
    <row r="365" customFormat="false" ht="17.15" hidden="false" customHeight="false" outlineLevel="0" collapsed="false">
      <c r="A365" s="0" t="s">
        <v>548</v>
      </c>
      <c r="B365" s="0" t="s">
        <v>455</v>
      </c>
      <c r="D365" s="16" t="n">
        <f aca="false">D330/D320*1000/150</f>
        <v>21.1578947368421</v>
      </c>
      <c r="E365" s="16" t="n">
        <f aca="false">E330/E320*1000/150</f>
        <v>26.8481306122449</v>
      </c>
      <c r="F365" s="16" t="n">
        <f aca="false">F330/F320*1000/150</f>
        <v>32.2710949937081</v>
      </c>
      <c r="G365" s="16" t="n">
        <f aca="false">G330/G320*1000/150</f>
        <v>35.1508815958839</v>
      </c>
      <c r="K365" s="8" t="s">
        <v>549</v>
      </c>
    </row>
    <row r="368" customFormat="false" ht="17.15" hidden="false" customHeight="false" outlineLevel="0" collapsed="false">
      <c r="A368" s="1" t="s">
        <v>943</v>
      </c>
    </row>
    <row r="369" customFormat="false" ht="17.15" hidden="false" customHeight="false" outlineLevel="0" collapsed="false">
      <c r="A369" s="5" t="s">
        <v>20</v>
      </c>
      <c r="B369" s="5" t="s">
        <v>21</v>
      </c>
      <c r="C369" s="15" t="s">
        <v>398</v>
      </c>
      <c r="D369" s="15" t="s">
        <v>470</v>
      </c>
      <c r="E369" s="15" t="s">
        <v>435</v>
      </c>
      <c r="F369" s="15" t="s">
        <v>436</v>
      </c>
      <c r="G369" s="15" t="s">
        <v>437</v>
      </c>
      <c r="H369" s="15" t="s">
        <v>471</v>
      </c>
      <c r="I369" s="15" t="s">
        <v>472</v>
      </c>
      <c r="J369" s="15" t="s">
        <v>473</v>
      </c>
      <c r="K369" s="5" t="s">
        <v>377</v>
      </c>
    </row>
    <row r="370" customFormat="false" ht="17.15" hidden="false" customHeight="false" outlineLevel="0" collapsed="false">
      <c r="A370" s="6" t="s">
        <v>493</v>
      </c>
    </row>
    <row r="371" customFormat="false" ht="17.15" hidden="false" customHeight="false" outlineLevel="0" collapsed="false">
      <c r="A371" s="0" t="s">
        <v>494</v>
      </c>
      <c r="B371" s="4" t="s">
        <v>31</v>
      </c>
      <c r="D371" s="21" t="n">
        <f aca="false">unv_26</f>
        <v>7.6</v>
      </c>
      <c r="E371" s="21" t="n">
        <f aca="false">unv_27</f>
        <v>9.7</v>
      </c>
      <c r="F371" s="21" t="n">
        <f aca="false">unv_28*um28_A</f>
        <v>9.5</v>
      </c>
      <c r="G371" s="21" t="n">
        <f aca="false">unv_29*um29_A</f>
        <v>10.6</v>
      </c>
      <c r="K371" s="8" t="s">
        <v>495</v>
      </c>
    </row>
    <row r="372" customFormat="false" ht="17.15" hidden="false" customHeight="false" outlineLevel="0" collapsed="false">
      <c r="A372" s="4" t="s">
        <v>496</v>
      </c>
      <c r="B372" s="4" t="s">
        <v>31</v>
      </c>
      <c r="D372" s="21" t="n">
        <f aca="false">uot_26</f>
        <v>7.6</v>
      </c>
      <c r="E372" s="21" t="n">
        <f aca="false">uot_27</f>
        <v>14</v>
      </c>
      <c r="F372" s="21" t="n">
        <f aca="false">uot_28*um28_A</f>
        <v>17</v>
      </c>
      <c r="G372" s="21" t="n">
        <f aca="false">uot_29*um29_A</f>
        <v>19.55</v>
      </c>
      <c r="K372" s="8" t="s">
        <v>497</v>
      </c>
    </row>
    <row r="373" customFormat="false" ht="17.15" hidden="false" customHeight="false" outlineLevel="0" collapsed="false">
      <c r="A373" s="4" t="s">
        <v>498</v>
      </c>
      <c r="B373" s="4" t="s">
        <v>31</v>
      </c>
      <c r="D373" s="21" t="n">
        <f aca="false">D371+v_ot*D372</f>
        <v>13.68</v>
      </c>
      <c r="E373" s="21" t="n">
        <f aca="false">E371+v_ot*E372</f>
        <v>20.9</v>
      </c>
      <c r="F373" s="21" t="n">
        <f aca="false">F371+v_ot*F372</f>
        <v>23.1</v>
      </c>
      <c r="G373" s="21" t="n">
        <f aca="false">G371+v_ot*G372</f>
        <v>26.24</v>
      </c>
    </row>
    <row r="374" customFormat="false" ht="17.15" hidden="false" customHeight="false" outlineLevel="0" collapsed="false">
      <c r="A374" s="4" t="s">
        <v>499</v>
      </c>
      <c r="B374" s="0" t="s">
        <v>53</v>
      </c>
      <c r="D374" s="22" t="n">
        <f aca="false">1</f>
        <v>1</v>
      </c>
      <c r="E374" s="22" t="n">
        <f aca="false">D374*(1+g_asp)</f>
        <v>1.18</v>
      </c>
      <c r="F374" s="22" t="n">
        <f aca="false">E374*(1+g_asp)</f>
        <v>1.3924</v>
      </c>
      <c r="G374" s="22" t="n">
        <f aca="false">F374*(1+g_asp)</f>
        <v>1.643032</v>
      </c>
    </row>
    <row r="375" customFormat="false" ht="17.15" hidden="false" customHeight="false" outlineLevel="0" collapsed="false">
      <c r="A375" s="4" t="s">
        <v>500</v>
      </c>
      <c r="B375" s="0" t="s">
        <v>53</v>
      </c>
      <c r="D375" s="19" t="n">
        <f aca="false">1</f>
        <v>1</v>
      </c>
      <c r="E375" s="19" t="n">
        <f aca="false">rel_27</f>
        <v>1</v>
      </c>
      <c r="F375" s="19" t="n">
        <f aca="false">rel_28</f>
        <v>0.97</v>
      </c>
      <c r="G375" s="19" t="n">
        <f aca="false">rel_29</f>
        <v>0.95</v>
      </c>
    </row>
    <row r="376" customFormat="false" ht="17.15" hidden="false" customHeight="false" outlineLevel="0" collapsed="false">
      <c r="A376" s="0" t="s">
        <v>501</v>
      </c>
      <c r="B376" s="0" t="s">
        <v>53</v>
      </c>
      <c r="D376" s="22" t="n">
        <f aca="false">D373/$D373*D374*D375</f>
        <v>1</v>
      </c>
      <c r="E376" s="22" t="n">
        <f aca="false">E373/$D373*E374*E375</f>
        <v>1.80277777777778</v>
      </c>
      <c r="F376" s="22" t="n">
        <f aca="false">F373/$D373*F374*F375</f>
        <v>2.28066570175439</v>
      </c>
      <c r="G376" s="22" t="n">
        <f aca="false">G373/$D373*G374*G375</f>
        <v>2.99396942222222</v>
      </c>
      <c r="K376" s="4" t="s">
        <v>502</v>
      </c>
    </row>
    <row r="377" customFormat="false" ht="17.15" hidden="false" customHeight="false" outlineLevel="0" collapsed="false">
      <c r="A377" s="4" t="s">
        <v>503</v>
      </c>
      <c r="B377" s="0" t="s">
        <v>53</v>
      </c>
      <c r="D377" s="22" t="n">
        <f aca="false">1</f>
        <v>1</v>
      </c>
      <c r="E377" s="22" t="n">
        <f aca="false">D377*(1+g_nai)</f>
        <v>1.03</v>
      </c>
      <c r="F377" s="22" t="n">
        <f aca="false">E377*(1+g_nai)</f>
        <v>1.0609</v>
      </c>
      <c r="G377" s="22" t="n">
        <f aca="false">F377*(1+g_nai)</f>
        <v>1.092727</v>
      </c>
    </row>
    <row r="378" customFormat="false" ht="17.15" hidden="false" customHeight="false" outlineLevel="0" collapsed="false">
      <c r="A378" s="0" t="s">
        <v>504</v>
      </c>
      <c r="B378" s="0" t="s">
        <v>53</v>
      </c>
      <c r="D378" s="22" t="n">
        <f aca="false">ai_sh*D376+(1-ai_sh)*D377</f>
        <v>1</v>
      </c>
      <c r="E378" s="22" t="n">
        <f aca="false">ai_sh*E376+(1-ai_sh)*E377</f>
        <v>1.33911111111111</v>
      </c>
      <c r="F378" s="22" t="n">
        <f aca="false">ai_sh*F376+(1-ai_sh)*F377</f>
        <v>1.54880628070175</v>
      </c>
      <c r="G378" s="22" t="n">
        <f aca="false">ai_sh*G376+(1-ai_sh)*G377</f>
        <v>1.85322396888889</v>
      </c>
    </row>
    <row r="379" customFormat="false" ht="17.15" hidden="false" customHeight="false" outlineLevel="0" collapsed="false">
      <c r="A379" s="4" t="s">
        <v>505</v>
      </c>
      <c r="B379" s="0" t="s">
        <v>53</v>
      </c>
      <c r="D379" s="22" t="n">
        <f aca="false">1</f>
        <v>1</v>
      </c>
      <c r="E379" s="22" t="n">
        <f aca="false">cap_27_lo</f>
        <v>1.15</v>
      </c>
      <c r="F379" s="22" t="n">
        <f aca="false">cap_28_lo</f>
        <v>1.3</v>
      </c>
      <c r="G379" s="22" t="n">
        <f aca="false">cap_29_lo</f>
        <v>1.45</v>
      </c>
      <c r="K379" s="4" t="s">
        <v>506</v>
      </c>
    </row>
    <row r="380" customFormat="false" ht="17.15" hidden="false" customHeight="false" outlineLevel="0" collapsed="false">
      <c r="A380" s="4" t="s">
        <v>507</v>
      </c>
      <c r="B380" s="0" t="s">
        <v>53</v>
      </c>
      <c r="D380" s="22" t="n">
        <f aca="false">MIN(D378,D379)</f>
        <v>1</v>
      </c>
      <c r="E380" s="22" t="n">
        <f aca="false">MIN(E378,E379)</f>
        <v>1.15</v>
      </c>
      <c r="F380" s="22" t="n">
        <f aca="false">MIN(F378,F379)</f>
        <v>1.3</v>
      </c>
      <c r="G380" s="22" t="n">
        <f aca="false">MIN(G378,G379)</f>
        <v>1.45</v>
      </c>
    </row>
    <row r="381" customFormat="false" ht="17.15" hidden="false" customHeight="false" outlineLevel="0" collapsed="false">
      <c r="A381" s="4" t="s">
        <v>508</v>
      </c>
      <c r="B381" s="0" t="s">
        <v>78</v>
      </c>
      <c r="D381" s="17" t="n">
        <f aca="false">D380/D378</f>
        <v>1</v>
      </c>
      <c r="E381" s="17" t="n">
        <f aca="false">E380/E378</f>
        <v>0.858778625954199</v>
      </c>
      <c r="F381" s="17" t="n">
        <f aca="false">F380/F378</f>
        <v>0.839356100371041</v>
      </c>
      <c r="G381" s="17" t="n">
        <f aca="false">G380/G378</f>
        <v>0.782420271020645</v>
      </c>
      <c r="K381" s="4" t="s">
        <v>509</v>
      </c>
    </row>
    <row r="382" customFormat="false" ht="17.15" hidden="false" customHeight="false" outlineLevel="0" collapsed="false">
      <c r="A382" s="0" t="s">
        <v>510</v>
      </c>
      <c r="B382" s="0" t="s">
        <v>53</v>
      </c>
      <c r="D382" s="22" t="n">
        <f aca="false">1</f>
        <v>1</v>
      </c>
      <c r="E382" s="22" t="n">
        <f aca="false">pp_27</f>
        <v>1.12</v>
      </c>
      <c r="F382" s="22" t="n">
        <f aca="false">pp_28*sp_A</f>
        <v>1.15</v>
      </c>
      <c r="G382" s="22" t="n">
        <f aca="false">pp_29*sp_A</f>
        <v>1.12</v>
      </c>
      <c r="K382" s="8" t="s">
        <v>511</v>
      </c>
    </row>
    <row r="383" customFormat="false" ht="17.15" hidden="false" customHeight="false" outlineLevel="0" collapsed="false">
      <c r="A383" s="0" t="s">
        <v>452</v>
      </c>
      <c r="B383" s="0" t="s">
        <v>170</v>
      </c>
      <c r="D383" s="16" t="n">
        <f aca="false">q26_fm*ai_sh</f>
        <v>48.24</v>
      </c>
      <c r="E383" s="16" t="n">
        <f aca="false">q26_fm*ai_sh*E376*E381*E382</f>
        <v>83.6466870229008</v>
      </c>
      <c r="F383" s="16" t="n">
        <f aca="false">q26_fm*ai_sh*F376*F381*F382</f>
        <v>106.197189190865</v>
      </c>
      <c r="G383" s="16" t="n">
        <f aca="false">q26_fm*ai_sh*G376*G381*G382</f>
        <v>126.564753025345</v>
      </c>
      <c r="K383" s="8" t="s">
        <v>512</v>
      </c>
    </row>
    <row r="384" customFormat="false" ht="17.15" hidden="false" customHeight="false" outlineLevel="0" collapsed="false">
      <c r="A384" s="0" t="s">
        <v>513</v>
      </c>
      <c r="B384" s="0" t="s">
        <v>170</v>
      </c>
      <c r="D384" s="16" t="n">
        <f aca="false">q26_fm*(1-ai_sh)</f>
        <v>72.36</v>
      </c>
      <c r="E384" s="16" t="n">
        <f aca="false">q26_fm*(1-ai_sh)*E377*E381*E382</f>
        <v>71.6861129770992</v>
      </c>
      <c r="F384" s="16" t="n">
        <f aca="false">q26_fm*(1-ai_sh)*F377*F381*F382</f>
        <v>74.099810809135</v>
      </c>
      <c r="G384" s="16" t="n">
        <f aca="false">q26_fm*(1-ai_sh)*G377*G381*G382</f>
        <v>69.2896469746549</v>
      </c>
    </row>
    <row r="385" customFormat="false" ht="17.15" hidden="false" customHeight="false" outlineLevel="0" collapsed="false">
      <c r="A385" s="4" t="s">
        <v>514</v>
      </c>
      <c r="B385" s="0" t="s">
        <v>170</v>
      </c>
      <c r="C385" s="16" t="n">
        <f aca="false">q25_fm</f>
        <v>102.4512</v>
      </c>
      <c r="D385" s="16" t="n">
        <f aca="false">D383+D384</f>
        <v>120.6</v>
      </c>
      <c r="E385" s="16" t="n">
        <f aca="false">E383+E384</f>
        <v>155.3328</v>
      </c>
      <c r="F385" s="16" t="n">
        <f aca="false">F383+F384</f>
        <v>180.297</v>
      </c>
      <c r="G385" s="16" t="n">
        <f aca="false">G383+G384</f>
        <v>195.8544</v>
      </c>
    </row>
    <row r="386" customFormat="false" ht="17.15" hidden="false" customHeight="false" outlineLevel="0" collapsed="false">
      <c r="A386" s="0" t="s">
        <v>515</v>
      </c>
      <c r="B386" s="0" t="s">
        <v>78</v>
      </c>
      <c r="C386" s="17" t="n">
        <f aca="false">q25_fmbp/q25_fm</f>
        <v>0.532936656671664</v>
      </c>
      <c r="D386" s="17" t="n">
        <f aca="false">q26_fmbp/q26_fm</f>
        <v>0.543117744610282</v>
      </c>
      <c r="E386" s="17" t="n">
        <f aca="false">1-(1-$D386)*(1+c_g)^1/E382</f>
        <v>0.579831497275527</v>
      </c>
      <c r="F386" s="17" t="n">
        <f aca="false">1-(1-$D386)*(1+c_g)^2/F382</f>
        <v>0.578516187180042</v>
      </c>
      <c r="G386" s="17" t="n">
        <f aca="false">1-(1-$D386)*(1+c_g)^3/G382</f>
        <v>0.554243235459607</v>
      </c>
      <c r="K386" s="8" t="s">
        <v>516</v>
      </c>
    </row>
    <row r="387" customFormat="false" ht="17.15" hidden="false" customHeight="false" outlineLevel="0" collapsed="false">
      <c r="A387" s="0" t="s">
        <v>478</v>
      </c>
      <c r="B387" s="0" t="s">
        <v>170</v>
      </c>
      <c r="C387" s="16" t="n">
        <f aca="false">q25_fmbp</f>
        <v>54.6</v>
      </c>
      <c r="D387" s="16" t="n">
        <f aca="false">D385*D386</f>
        <v>65.5</v>
      </c>
      <c r="E387" s="16" t="n">
        <f aca="false">E385*E386</f>
        <v>90.06685</v>
      </c>
      <c r="F387" s="16" t="n">
        <f aca="false">F385*F386</f>
        <v>104.304733</v>
      </c>
      <c r="G387" s="16" t="n">
        <f aca="false">G385*G386</f>
        <v>108.550976335</v>
      </c>
    </row>
    <row r="388" customFormat="false" ht="17.15" hidden="false" customHeight="false" outlineLevel="0" collapsed="false">
      <c r="A388" s="6" t="s">
        <v>517</v>
      </c>
    </row>
    <row r="389" customFormat="false" ht="15" hidden="false" customHeight="false" outlineLevel="0" collapsed="false">
      <c r="A389" s="4" t="s">
        <v>518</v>
      </c>
      <c r="B389" s="0" t="s">
        <v>170</v>
      </c>
      <c r="C389" s="16" t="n">
        <f aca="false">q25_sf</f>
        <v>936.926</v>
      </c>
      <c r="D389" s="16" t="n">
        <f aca="false">q26_sf</f>
        <v>998.6</v>
      </c>
      <c r="E389" s="16" t="n">
        <f aca="false">D389*(1+g_sf)</f>
        <v>1038.544</v>
      </c>
      <c r="F389" s="16" t="n">
        <f aca="false">E389*(1+g_sf)</f>
        <v>1080.08576</v>
      </c>
      <c r="G389" s="16" t="n">
        <f aca="false">F389*(1+g_sf)</f>
        <v>1123.2891904</v>
      </c>
    </row>
    <row r="390" customFormat="false" ht="15" hidden="false" customHeight="false" outlineLevel="0" collapsed="false">
      <c r="A390" s="4" t="s">
        <v>519</v>
      </c>
      <c r="B390" s="0" t="s">
        <v>170</v>
      </c>
      <c r="C390" s="16" t="n">
        <f aca="false">q25_sfbp</f>
        <v>143.036</v>
      </c>
      <c r="D390" s="16" t="n">
        <f aca="false">q26_sfbp</f>
        <v>145.9</v>
      </c>
      <c r="E390" s="16" t="n">
        <f aca="false">E389*m_sf</f>
        <v>151.736</v>
      </c>
      <c r="F390" s="16" t="n">
        <f aca="false">F389*m_sf</f>
        <v>157.80544</v>
      </c>
      <c r="G390" s="16" t="n">
        <f aca="false">G389*m_sf</f>
        <v>164.1176576</v>
      </c>
    </row>
    <row r="391" customFormat="false" ht="15" hidden="false" customHeight="false" outlineLevel="0" collapsed="false">
      <c r="A391" s="4" t="s">
        <v>520</v>
      </c>
      <c r="B391" s="0" t="s">
        <v>170</v>
      </c>
      <c r="C391" s="16" t="n">
        <f aca="false">q25_ff</f>
        <v>290.308</v>
      </c>
      <c r="D391" s="16" t="n">
        <f aca="false">q26_ff</f>
        <v>310.6</v>
      </c>
      <c r="E391" s="16" t="n">
        <f aca="false">D391*(1+g_ff)</f>
        <v>319.918</v>
      </c>
      <c r="F391" s="16" t="n">
        <f aca="false">E391*(1+g_ff)</f>
        <v>329.51554</v>
      </c>
      <c r="G391" s="16" t="n">
        <f aca="false">F391*(1+g_ff)</f>
        <v>339.4010062</v>
      </c>
    </row>
    <row r="392" customFormat="false" ht="15" hidden="false" customHeight="false" outlineLevel="0" collapsed="false">
      <c r="A392" s="4" t="s">
        <v>521</v>
      </c>
      <c r="B392" s="0" t="s">
        <v>170</v>
      </c>
      <c r="C392" s="16" t="n">
        <f aca="false">q25_ffbp</f>
        <v>8.457</v>
      </c>
      <c r="D392" s="16" t="n">
        <f aca="false">q26_ffbp</f>
        <v>12.1</v>
      </c>
      <c r="E392" s="16" t="n">
        <f aca="false">E391*m_ff</f>
        <v>14.39631</v>
      </c>
      <c r="F392" s="16" t="n">
        <f aca="false">F391*m_ff</f>
        <v>14.8281993</v>
      </c>
      <c r="G392" s="16" t="n">
        <f aca="false">G391*m_ff</f>
        <v>15.273045279</v>
      </c>
    </row>
    <row r="393" customFormat="false" ht="17.15" hidden="false" customHeight="false" outlineLevel="0" collapsed="false">
      <c r="A393" s="4" t="s">
        <v>522</v>
      </c>
      <c r="B393" s="0" t="s">
        <v>170</v>
      </c>
      <c r="C393" s="16" t="n">
        <f aca="false">q25_hox</f>
        <v>239.0528</v>
      </c>
      <c r="D393" s="16" t="n">
        <f aca="false">q26_hox</f>
        <v>286.2</v>
      </c>
      <c r="E393" s="16" t="n">
        <f aca="false">D393*(1+g_ho)</f>
        <v>300.51</v>
      </c>
      <c r="F393" s="16" t="n">
        <f aca="false">E393*(1+g_ho)</f>
        <v>315.5355</v>
      </c>
      <c r="G393" s="16" t="n">
        <f aca="false">F393*(1+g_ho)</f>
        <v>331.312275</v>
      </c>
    </row>
    <row r="394" customFormat="false" ht="17.15" hidden="false" customHeight="false" outlineLevel="0" collapsed="false">
      <c r="A394" s="4" t="s">
        <v>523</v>
      </c>
      <c r="B394" s="0" t="s">
        <v>170</v>
      </c>
      <c r="C394" s="16" t="n">
        <f aca="false">q25_hoxbp</f>
        <v>11.602</v>
      </c>
      <c r="D394" s="16" t="n">
        <f aca="false">q26_hoxbp</f>
        <v>19.5</v>
      </c>
      <c r="E394" s="16" t="n">
        <f aca="false">E393*m_ho</f>
        <v>20.475</v>
      </c>
      <c r="F394" s="16" t="n">
        <f aca="false">F393*m_ho</f>
        <v>21.49875</v>
      </c>
      <c r="G394" s="16" t="n">
        <f aca="false">G393*m_ho</f>
        <v>22.5736875</v>
      </c>
    </row>
    <row r="395" customFormat="false" ht="17.15" hidden="false" customHeight="false" outlineLevel="0" collapsed="false">
      <c r="A395" s="4" t="s">
        <v>524</v>
      </c>
      <c r="B395" s="0" t="s">
        <v>170</v>
      </c>
      <c r="C395" s="16" t="n">
        <f aca="false">q25_oth</f>
        <v>14.979</v>
      </c>
      <c r="D395" s="16" t="n">
        <f aca="false">q26_oth</f>
        <v>15.8</v>
      </c>
      <c r="E395" s="16" t="n">
        <f aca="false">D395</f>
        <v>15.8</v>
      </c>
      <c r="F395" s="16" t="n">
        <f aca="false">E395</f>
        <v>15.8</v>
      </c>
      <c r="G395" s="16" t="n">
        <f aca="false">F395</f>
        <v>15.8</v>
      </c>
      <c r="K395" s="8" t="s">
        <v>525</v>
      </c>
    </row>
    <row r="396" customFormat="false" ht="15" hidden="false" customHeight="false" outlineLevel="0" collapsed="false">
      <c r="A396" s="4" t="s">
        <v>526</v>
      </c>
      <c r="B396" s="0" t="s">
        <v>170</v>
      </c>
      <c r="C396" s="16" t="n">
        <f aca="false">q25_othbp</f>
        <v>6.064</v>
      </c>
      <c r="D396" s="16" t="n">
        <f aca="false">q26_othbp</f>
        <v>5.1</v>
      </c>
      <c r="E396" s="16" t="n">
        <f aca="false">q26_othbp</f>
        <v>5.1</v>
      </c>
      <c r="F396" s="16" t="n">
        <f aca="false">q26_othbp</f>
        <v>5.1</v>
      </c>
      <c r="G396" s="16" t="n">
        <f aca="false">q26_othbp</f>
        <v>5.1</v>
      </c>
    </row>
    <row r="397" customFormat="false" ht="15" hidden="false" customHeight="false" outlineLevel="0" collapsed="false">
      <c r="A397" s="4" t="s">
        <v>527</v>
      </c>
      <c r="B397" s="0" t="s">
        <v>170</v>
      </c>
      <c r="C397" s="16" t="n">
        <f aca="false">q25_cc</f>
        <v>-42.597</v>
      </c>
      <c r="D397" s="16" t="n">
        <f aca="false">q26_cc</f>
        <v>-46.2</v>
      </c>
      <c r="E397" s="16" t="n">
        <f aca="false">D397*(1+g_cc)</f>
        <v>-47.586</v>
      </c>
      <c r="F397" s="16" t="n">
        <f aca="false">E397*(1+g_cc)</f>
        <v>-49.01358</v>
      </c>
      <c r="G397" s="16" t="n">
        <f aca="false">F397*(1+g_cc)</f>
        <v>-50.4839874</v>
      </c>
    </row>
    <row r="398" customFormat="false" ht="17.15" hidden="false" customHeight="false" outlineLevel="0" collapsed="false">
      <c r="A398" s="4" t="s">
        <v>528</v>
      </c>
      <c r="B398" s="0" t="s">
        <v>170</v>
      </c>
      <c r="C398" s="28" t="n">
        <f aca="false">a_rev-(q25_sf+q25_ff+q25_hox+q25_fm+q25_oth)</f>
        <v>0.00200000000018008</v>
      </c>
      <c r="D398" s="28" t="n">
        <f aca="false">f_rev-(q26_sf+q26_ff+q26_hox+q26_fm+q26_oth)</f>
        <v>0.200000000000045</v>
      </c>
      <c r="E398" s="28" t="n">
        <f aca="false">$D398</f>
        <v>0.200000000000045</v>
      </c>
      <c r="F398" s="28" t="n">
        <f aca="false">$D398</f>
        <v>0.200000000000045</v>
      </c>
      <c r="G398" s="28" t="n">
        <f aca="false">$D398</f>
        <v>0.200000000000045</v>
      </c>
      <c r="K398" s="8" t="s">
        <v>529</v>
      </c>
    </row>
    <row r="399" customFormat="false" ht="15" hidden="false" customHeight="false" outlineLevel="0" collapsed="false">
      <c r="A399" s="4" t="s">
        <v>530</v>
      </c>
      <c r="B399" s="0" t="s">
        <v>170</v>
      </c>
      <c r="C399" s="28" t="n">
        <f aca="false">a_bp-(q25_sfbp+q25_ffbp+q25_hoxbp+q25_fmbp+q25_othbp+q25_cc)</f>
        <v>0.0010000000000332</v>
      </c>
      <c r="D399" s="28" t="n">
        <f aca="false">f_bp-(q26_sfbp+q26_ffbp+q26_hoxbp+q26_fmbp+q26_othbp+q26_cc)</f>
        <v>0.100000000000023</v>
      </c>
      <c r="E399" s="28" t="n">
        <f aca="false">$D399</f>
        <v>0.100000000000023</v>
      </c>
      <c r="F399" s="28" t="n">
        <f aca="false">$D399</f>
        <v>0.100000000000023</v>
      </c>
      <c r="G399" s="28" t="n">
        <f aca="false">$D399</f>
        <v>0.100000000000023</v>
      </c>
    </row>
    <row r="400" customFormat="false" ht="17.15" hidden="false" customHeight="false" outlineLevel="0" collapsed="false">
      <c r="A400" s="6" t="s">
        <v>531</v>
      </c>
    </row>
    <row r="401" customFormat="false" ht="17.15" hidden="false" customHeight="false" outlineLevel="0" collapsed="false">
      <c r="A401" s="4" t="s">
        <v>403</v>
      </c>
      <c r="B401" s="0" t="s">
        <v>170</v>
      </c>
      <c r="C401" s="16" t="n">
        <f aca="false">C389+C391+C393+C385+C395+C398</f>
        <v>1583.719</v>
      </c>
      <c r="D401" s="16" t="n">
        <f aca="false">D389+D391+D393+D385+D395+D398</f>
        <v>1732</v>
      </c>
      <c r="E401" s="16" t="n">
        <f aca="false">E389+E391+E393+E385+E395+E398</f>
        <v>1830.3048</v>
      </c>
      <c r="F401" s="16" t="n">
        <f aca="false">F389+F391+F393+F385+F395+F398</f>
        <v>1921.4338</v>
      </c>
      <c r="G401" s="16" t="n">
        <f aca="false">G389+G391+G393+G385+G395+G398</f>
        <v>2005.8568716</v>
      </c>
      <c r="H401" s="24" t="n">
        <f aca="false">G401*(1+H405)</f>
        <v>2104.72895140557</v>
      </c>
      <c r="I401" s="24" t="n">
        <f aca="false">H401*(1+I405)</f>
        <v>2219.74364592023</v>
      </c>
      <c r="J401" s="24" t="n">
        <f aca="false">I401*(1+J405)</f>
        <v>2352.92826467544</v>
      </c>
      <c r="K401" s="8" t="s">
        <v>532</v>
      </c>
    </row>
    <row r="402" customFormat="false" ht="17.15" hidden="false" customHeight="false" outlineLevel="0" collapsed="false">
      <c r="A402" s="4" t="s">
        <v>533</v>
      </c>
      <c r="B402" s="0" t="s">
        <v>170</v>
      </c>
      <c r="C402" s="16" t="n">
        <f aca="false">C385+C393</f>
        <v>341.504</v>
      </c>
      <c r="D402" s="16" t="n">
        <f aca="false">D385+D393</f>
        <v>406.8</v>
      </c>
      <c r="E402" s="16" t="n">
        <f aca="false">E385+E393</f>
        <v>455.8428</v>
      </c>
      <c r="F402" s="16" t="n">
        <f aca="false">F385+F393</f>
        <v>495.8325</v>
      </c>
      <c r="G402" s="16" t="n">
        <f aca="false">G385+G393</f>
        <v>527.166675</v>
      </c>
      <c r="K402" s="4" t="s">
        <v>534</v>
      </c>
    </row>
    <row r="403" customFormat="false" ht="17.15" hidden="false" customHeight="false" outlineLevel="0" collapsed="false">
      <c r="A403" s="4" t="s">
        <v>535</v>
      </c>
      <c r="B403" s="0" t="s">
        <v>170</v>
      </c>
      <c r="C403" s="16" t="n">
        <f aca="false">C395+C398</f>
        <v>14.9810000000002</v>
      </c>
      <c r="D403" s="16" t="n">
        <f aca="false">D395+D398</f>
        <v>16</v>
      </c>
      <c r="E403" s="16" t="n">
        <f aca="false">E395+E398</f>
        <v>16</v>
      </c>
      <c r="F403" s="16" t="n">
        <f aca="false">F395+F398</f>
        <v>16</v>
      </c>
      <c r="G403" s="16" t="n">
        <f aca="false">G395+G398</f>
        <v>16</v>
      </c>
      <c r="K403" s="8" t="s">
        <v>536</v>
      </c>
    </row>
    <row r="404" customFormat="false" ht="15" hidden="false" customHeight="false" outlineLevel="0" collapsed="false">
      <c r="A404" s="4" t="s">
        <v>537</v>
      </c>
      <c r="B404" s="0" t="s">
        <v>170</v>
      </c>
      <c r="C404" s="22" t="n">
        <f aca="false">C389+C391+C402+C403-C401</f>
        <v>0</v>
      </c>
      <c r="D404" s="22" t="n">
        <f aca="false">D389+D391+D402+D403-D401</f>
        <v>0</v>
      </c>
      <c r="E404" s="22" t="n">
        <f aca="false">E389+E391+E402+E403-E401</f>
        <v>0</v>
      </c>
      <c r="F404" s="22" t="n">
        <f aca="false">F389+F391+F402+F403-F401</f>
        <v>0</v>
      </c>
      <c r="G404" s="22" t="n">
        <f aca="false">G389+G391+G402+G403-G401</f>
        <v>0</v>
      </c>
    </row>
    <row r="405" customFormat="false" ht="15" hidden="false" customHeight="false" outlineLevel="0" collapsed="false">
      <c r="A405" s="4" t="s">
        <v>538</v>
      </c>
      <c r="B405" s="0" t="s">
        <v>78</v>
      </c>
      <c r="D405" s="17" t="n">
        <f aca="false">D401/C401-1</f>
        <v>0.0936283519993131</v>
      </c>
      <c r="E405" s="17" t="n">
        <f aca="false">E401/D401-1</f>
        <v>0.0567579676674364</v>
      </c>
      <c r="F405" s="17" t="n">
        <f aca="false">F401/E401-1</f>
        <v>0.0497889750384746</v>
      </c>
      <c r="G405" s="17" t="n">
        <f aca="false">G401/F401-1</f>
        <v>0.0439375385194118</v>
      </c>
      <c r="H405" s="25" t="n">
        <f aca="false">$G405+(fade_gA-$G405)*1/3</f>
        <v>0.0492916923462746</v>
      </c>
      <c r="I405" s="25" t="n">
        <f aca="false">$G405+(fade_gA-$G405)*2/3</f>
        <v>0.0546458461731373</v>
      </c>
      <c r="J405" s="25" t="n">
        <f aca="false">$G405+(fade_gA-$G405)*3/3</f>
        <v>0.06</v>
      </c>
    </row>
    <row r="406" customFormat="false" ht="17.15" hidden="false" customHeight="false" outlineLevel="0" collapsed="false">
      <c r="A406" s="0" t="s">
        <v>539</v>
      </c>
      <c r="B406" s="0" t="s">
        <v>78</v>
      </c>
      <c r="C406" s="17" t="n">
        <f aca="false">C385/C401</f>
        <v>0.0646902638662541</v>
      </c>
      <c r="D406" s="17" t="n">
        <f aca="false">D385/D401</f>
        <v>0.0696304849884527</v>
      </c>
      <c r="E406" s="17" t="n">
        <f aca="false">E385/E401</f>
        <v>0.0848671762211409</v>
      </c>
      <c r="F406" s="17" t="n">
        <f aca="false">F385/F401</f>
        <v>0.0938346145466994</v>
      </c>
      <c r="G406" s="17" t="n">
        <f aca="false">G385/G401</f>
        <v>0.0976412638274504</v>
      </c>
    </row>
    <row r="407" customFormat="false" ht="15" hidden="false" customHeight="false" outlineLevel="0" collapsed="false">
      <c r="A407" s="4" t="s">
        <v>413</v>
      </c>
      <c r="B407" s="0" t="s">
        <v>170</v>
      </c>
      <c r="C407" s="16" t="n">
        <f aca="false">C390+C392+C394+C387+C396+C397+C399</f>
        <v>181.163</v>
      </c>
      <c r="D407" s="16" t="n">
        <f aca="false">D390+D392+D394+D387+D396+D397+D399</f>
        <v>202</v>
      </c>
      <c r="E407" s="16" t="n">
        <f aca="false">E390+E392+E394+E387+E396+E397+E399</f>
        <v>234.28816</v>
      </c>
      <c r="F407" s="16" t="n">
        <f aca="false">F390+F392+F394+F387+F396+F397+F399</f>
        <v>254.6235423</v>
      </c>
      <c r="G407" s="16" t="n">
        <f aca="false">G390+G392+G394+G387+G396+G397+G399</f>
        <v>265.231379314</v>
      </c>
    </row>
    <row r="408" customFormat="false" ht="15" hidden="false" customHeight="false" outlineLevel="0" collapsed="false">
      <c r="A408" s="4" t="s">
        <v>429</v>
      </c>
      <c r="B408" s="0" t="s">
        <v>78</v>
      </c>
      <c r="C408" s="17" t="n">
        <f aca="false">C407/C401</f>
        <v>0.114390873633517</v>
      </c>
      <c r="D408" s="17" t="n">
        <f aca="false">D407/D401</f>
        <v>0.11662817551963</v>
      </c>
      <c r="E408" s="17" t="n">
        <f aca="false">E407/E401</f>
        <v>0.128004996763381</v>
      </c>
      <c r="F408" s="17" t="n">
        <f aca="false">F407/F401</f>
        <v>0.132517468101165</v>
      </c>
      <c r="G408" s="17" t="n">
        <f aca="false">G407/G401</f>
        <v>0.132228467080223</v>
      </c>
    </row>
    <row r="409" customFormat="false" ht="17.15" hidden="false" customHeight="false" outlineLevel="0" collapsed="false">
      <c r="A409" s="0" t="s">
        <v>540</v>
      </c>
      <c r="B409" s="0" t="s">
        <v>78</v>
      </c>
      <c r="C409" s="17" t="n">
        <f aca="false">C387/C407</f>
        <v>0.301386044611758</v>
      </c>
      <c r="D409" s="17" t="n">
        <f aca="false">D387/D407</f>
        <v>0.324257425742574</v>
      </c>
      <c r="E409" s="17" t="n">
        <f aca="false">E387/E407</f>
        <v>0.38442766377951</v>
      </c>
      <c r="F409" s="17" t="n">
        <f aca="false">F387/F407</f>
        <v>0.409642926407438</v>
      </c>
      <c r="G409" s="17" t="n">
        <f aca="false">G387/G407</f>
        <v>0.409268980977132</v>
      </c>
    </row>
    <row r="410" customFormat="false" ht="17.15" hidden="false" customHeight="false" outlineLevel="0" collapsed="false">
      <c r="A410" s="4" t="s">
        <v>430</v>
      </c>
      <c r="B410" s="0" t="s">
        <v>53</v>
      </c>
      <c r="C410" s="22" t="n">
        <f aca="false">q25_ni/q25_bp</f>
        <v>0.743391310587703</v>
      </c>
      <c r="D410" s="22" t="n">
        <f aca="false">q26_ni/q26_bp</f>
        <v>0.611386138613861</v>
      </c>
      <c r="E410" s="22" t="n">
        <f aca="false">ni_bp</f>
        <v>0.62</v>
      </c>
      <c r="F410" s="22" t="n">
        <f aca="false">ni_bp</f>
        <v>0.62</v>
      </c>
      <c r="G410" s="22" t="n">
        <f aca="false">ni_bp</f>
        <v>0.62</v>
      </c>
    </row>
    <row r="411" customFormat="false" ht="15" hidden="false" customHeight="false" outlineLevel="0" collapsed="false">
      <c r="A411" s="4" t="s">
        <v>420</v>
      </c>
      <c r="B411" s="0" t="s">
        <v>170</v>
      </c>
      <c r="C411" s="16" t="n">
        <f aca="false">q25_ni</f>
        <v>134.675</v>
      </c>
      <c r="D411" s="16" t="n">
        <f aca="false">q26_ni</f>
        <v>123.5</v>
      </c>
      <c r="E411" s="16" t="n">
        <f aca="false">E407*E410</f>
        <v>145.2586592</v>
      </c>
      <c r="F411" s="16" t="n">
        <f aca="false">F407*F410</f>
        <v>157.866596226</v>
      </c>
      <c r="G411" s="16" t="n">
        <f aca="false">G407*G410</f>
        <v>164.44345517468</v>
      </c>
      <c r="H411" s="24" t="n">
        <f aca="false">H401*H415</f>
        <v>176.775942111121</v>
      </c>
      <c r="I411" s="24" t="n">
        <f aca="false">I401*I415</f>
        <v>190.893780342794</v>
      </c>
      <c r="J411" s="24" t="n">
        <f aca="false">J401*J415</f>
        <v>207.072640492836</v>
      </c>
    </row>
    <row r="412" customFormat="false" ht="15" hidden="false" customHeight="false" outlineLevel="0" collapsed="false">
      <c r="A412" s="4" t="s">
        <v>541</v>
      </c>
      <c r="B412" s="4" t="s">
        <v>317</v>
      </c>
      <c r="C412" s="20" t="n">
        <f aca="false">q25_sh</f>
        <v>0.973366579936398</v>
      </c>
      <c r="D412" s="20" t="n">
        <f aca="false">q26_sh</f>
        <v>0.95117067159581</v>
      </c>
      <c r="E412" s="20" t="n">
        <f aca="false">D412*(1+sh_g)</f>
        <v>0.936903111521873</v>
      </c>
      <c r="F412" s="20" t="n">
        <f aca="false">E412*(1+sh_g)</f>
        <v>0.922849564849045</v>
      </c>
      <c r="G412" s="20" t="n">
        <f aca="false">F412*(1+sh_g)</f>
        <v>0.909006821376309</v>
      </c>
      <c r="H412" s="29" t="n">
        <f aca="false">G412*(1+sh_g)</f>
        <v>0.895371719055665</v>
      </c>
      <c r="I412" s="29" t="n">
        <f aca="false">H412*(1+sh_g)</f>
        <v>0.88194114326983</v>
      </c>
      <c r="J412" s="29" t="n">
        <f aca="false">I412*(1+sh_g)</f>
        <v>0.868712026120782</v>
      </c>
    </row>
    <row r="413" customFormat="false" ht="17.15" hidden="false" customHeight="false" outlineLevel="0" collapsed="false">
      <c r="A413" s="0" t="s">
        <v>542</v>
      </c>
      <c r="B413" s="0" t="s">
        <v>208</v>
      </c>
      <c r="C413" s="21" t="n">
        <f aca="false">C411/C412</f>
        <v>138.36</v>
      </c>
      <c r="D413" s="21" t="n">
        <f aca="false">D411/D412</f>
        <v>129.84</v>
      </c>
      <c r="E413" s="21" t="n">
        <f aca="false">E411/E412</f>
        <v>155.0412816583</v>
      </c>
      <c r="F413" s="21" t="n">
        <f aca="false">F411/F412</f>
        <v>171.064279855648</v>
      </c>
      <c r="G413" s="21" t="n">
        <f aca="false">G411/G412</f>
        <v>180.90453372583</v>
      </c>
      <c r="H413" s="27" t="n">
        <f aca="false">H411/H412</f>
        <v>197.433019548087</v>
      </c>
      <c r="I413" s="27" t="n">
        <f aca="false">I411/I412</f>
        <v>216.447301273471</v>
      </c>
      <c r="J413" s="27" t="n">
        <f aca="false">J411/J412</f>
        <v>238.36741551457</v>
      </c>
    </row>
    <row r="414" customFormat="false" ht="17.15" hidden="false" customHeight="false" outlineLevel="0" collapsed="false">
      <c r="A414" s="0" t="s">
        <v>543</v>
      </c>
      <c r="B414" s="0" t="s">
        <v>78</v>
      </c>
      <c r="D414" s="17" t="n">
        <f aca="false">D413/C413-1</f>
        <v>-0.0615784908933218</v>
      </c>
      <c r="E414" s="17" t="n">
        <f aca="false">E413/D413-1</f>
        <v>0.194094898785425</v>
      </c>
      <c r="F414" s="17" t="n">
        <f aca="false">F413/E413-1</f>
        <v>0.103346657264238</v>
      </c>
      <c r="G414" s="17" t="n">
        <f aca="false">G413/F413-1</f>
        <v>0.0575237207819517</v>
      </c>
      <c r="H414" s="25" t="n">
        <f aca="false">H413/G413-1</f>
        <v>0.0913657910160888</v>
      </c>
      <c r="I414" s="25" t="n">
        <f aca="false">I413/H413-1</f>
        <v>0.0963075060539844</v>
      </c>
      <c r="J414" s="25" t="n">
        <f aca="false">J413/I413-1</f>
        <v>0.101272291740907</v>
      </c>
    </row>
    <row r="415" customFormat="false" ht="15" hidden="false" customHeight="false" outlineLevel="0" collapsed="false">
      <c r="A415" s="4" t="s">
        <v>544</v>
      </c>
      <c r="B415" s="0" t="s">
        <v>78</v>
      </c>
      <c r="C415" s="14" t="n">
        <f aca="false">C411/C401</f>
        <v>0.0850371814696925</v>
      </c>
      <c r="D415" s="14" t="n">
        <f aca="false">D411/D401</f>
        <v>0.0713048498845266</v>
      </c>
      <c r="E415" s="14" t="n">
        <f aca="false">E411/E401</f>
        <v>0.079363097993296</v>
      </c>
      <c r="F415" s="14" t="n">
        <f aca="false">F411/F401</f>
        <v>0.0821608302227222</v>
      </c>
      <c r="G415" s="14" t="n">
        <f aca="false">G411/G401</f>
        <v>0.0819816495897384</v>
      </c>
      <c r="H415" s="26" t="n">
        <f aca="false">$G415+(fade_mA-$G415)*1/3</f>
        <v>0.0839898847749816</v>
      </c>
      <c r="I415" s="26" t="n">
        <f aca="false">$G415+(fade_mA-$G415)*2/3</f>
        <v>0.0859981199602248</v>
      </c>
      <c r="J415" s="26" t="n">
        <f aca="false">$G415+(fade_mA-$G415)*3/3</f>
        <v>0.088006355145468</v>
      </c>
    </row>
    <row r="416" customFormat="false" ht="17.15" hidden="false" customHeight="false" outlineLevel="0" collapsed="false">
      <c r="A416" s="0" t="s">
        <v>545</v>
      </c>
      <c r="B416" s="0" t="s">
        <v>208</v>
      </c>
      <c r="D416" s="21" t="n">
        <f aca="false">D387*D410/D412</f>
        <v>42.1015841584158</v>
      </c>
      <c r="E416" s="21" t="n">
        <f aca="false">E387*E410/E412</f>
        <v>59.6021576972811</v>
      </c>
      <c r="F416" s="21" t="n">
        <f aca="false">F387*F410/F412</f>
        <v>70.0752722038485</v>
      </c>
      <c r="G416" s="21" t="n">
        <f aca="false">G387*G410/G412</f>
        <v>74.0386141721137</v>
      </c>
      <c r="K416" s="8" t="s">
        <v>546</v>
      </c>
    </row>
    <row r="417" customFormat="false" ht="17.15" hidden="false" customHeight="false" outlineLevel="0" collapsed="false">
      <c r="A417" s="0" t="s">
        <v>547</v>
      </c>
      <c r="B417" s="0" t="s">
        <v>208</v>
      </c>
      <c r="D417" s="21" t="n">
        <f aca="false">D413-D416</f>
        <v>87.7384158415842</v>
      </c>
      <c r="E417" s="21" t="n">
        <f aca="false">E413-E416</f>
        <v>95.4391239610185</v>
      </c>
      <c r="F417" s="21" t="n">
        <f aca="false">F413-F416</f>
        <v>100.9890076518</v>
      </c>
      <c r="G417" s="21" t="n">
        <f aca="false">G413-G416</f>
        <v>106.865919553716</v>
      </c>
    </row>
    <row r="418" customFormat="false" ht="17.15" hidden="false" customHeight="false" outlineLevel="0" collapsed="false">
      <c r="A418" s="0" t="s">
        <v>548</v>
      </c>
      <c r="B418" s="0" t="s">
        <v>455</v>
      </c>
      <c r="D418" s="16" t="n">
        <f aca="false">D383/D373*1000/150</f>
        <v>23.5087719298246</v>
      </c>
      <c r="E418" s="16" t="n">
        <f aca="false">E383/E373*1000/150</f>
        <v>26.6815588589795</v>
      </c>
      <c r="F418" s="16" t="n">
        <f aca="false">F383/F373*1000/150</f>
        <v>30.6485394490231</v>
      </c>
      <c r="G418" s="16" t="n">
        <f aca="false">G383/G373*1000/150</f>
        <v>32.155679122293</v>
      </c>
      <c r="K418" s="8" t="s">
        <v>549</v>
      </c>
    </row>
    <row r="421" customFormat="false" ht="17.15" hidden="false" customHeight="false" outlineLevel="0" collapsed="false">
      <c r="A421" s="1" t="s">
        <v>944</v>
      </c>
    </row>
    <row r="422" customFormat="false" ht="17.15" hidden="false" customHeight="false" outlineLevel="0" collapsed="false">
      <c r="A422" s="5" t="s">
        <v>20</v>
      </c>
      <c r="B422" s="5" t="s">
        <v>21</v>
      </c>
      <c r="C422" s="15" t="s">
        <v>398</v>
      </c>
      <c r="D422" s="15" t="s">
        <v>470</v>
      </c>
      <c r="E422" s="15" t="s">
        <v>435</v>
      </c>
      <c r="F422" s="15" t="s">
        <v>436</v>
      </c>
      <c r="G422" s="15" t="s">
        <v>437</v>
      </c>
      <c r="H422" s="15" t="s">
        <v>471</v>
      </c>
      <c r="I422" s="15" t="s">
        <v>472</v>
      </c>
      <c r="J422" s="15" t="s">
        <v>473</v>
      </c>
      <c r="K422" s="5" t="s">
        <v>377</v>
      </c>
    </row>
    <row r="423" customFormat="false" ht="17.15" hidden="false" customHeight="false" outlineLevel="0" collapsed="false">
      <c r="A423" s="6" t="s">
        <v>493</v>
      </c>
    </row>
    <row r="424" customFormat="false" ht="17.15" hidden="false" customHeight="false" outlineLevel="0" collapsed="false">
      <c r="A424" s="0" t="s">
        <v>494</v>
      </c>
      <c r="B424" s="4" t="s">
        <v>31</v>
      </c>
      <c r="D424" s="21" t="n">
        <f aca="false">unv_26</f>
        <v>7.6</v>
      </c>
      <c r="E424" s="21" t="n">
        <f aca="false">unv_27</f>
        <v>9.7</v>
      </c>
      <c r="F424" s="21" t="n">
        <f aca="false">unv_28*um28_A</f>
        <v>9.5</v>
      </c>
      <c r="G424" s="21" t="n">
        <f aca="false">unv_29*um29_A</f>
        <v>10.6</v>
      </c>
      <c r="K424" s="8" t="s">
        <v>495</v>
      </c>
    </row>
    <row r="425" customFormat="false" ht="17.15" hidden="false" customHeight="false" outlineLevel="0" collapsed="false">
      <c r="A425" s="4" t="s">
        <v>496</v>
      </c>
      <c r="B425" s="4" t="s">
        <v>31</v>
      </c>
      <c r="D425" s="21" t="n">
        <f aca="false">uot_26</f>
        <v>7.6</v>
      </c>
      <c r="E425" s="21" t="n">
        <f aca="false">uot_27</f>
        <v>14</v>
      </c>
      <c r="F425" s="21" t="n">
        <f aca="false">uot_28*um28_A</f>
        <v>17</v>
      </c>
      <c r="G425" s="21" t="n">
        <f aca="false">uot_29*um29_A</f>
        <v>19.55</v>
      </c>
      <c r="K425" s="8" t="s">
        <v>497</v>
      </c>
    </row>
    <row r="426" customFormat="false" ht="17.15" hidden="false" customHeight="false" outlineLevel="0" collapsed="false">
      <c r="A426" s="4" t="s">
        <v>498</v>
      </c>
      <c r="B426" s="4" t="s">
        <v>31</v>
      </c>
      <c r="D426" s="21" t="n">
        <f aca="false">D424+v_ot*D425</f>
        <v>13.68</v>
      </c>
      <c r="E426" s="21" t="n">
        <f aca="false">E424+v_ot*E425</f>
        <v>20.9</v>
      </c>
      <c r="F426" s="21" t="n">
        <f aca="false">F424+v_ot*F425</f>
        <v>23.1</v>
      </c>
      <c r="G426" s="21" t="n">
        <f aca="false">G424+v_ot*G425</f>
        <v>26.24</v>
      </c>
    </row>
    <row r="427" customFormat="false" ht="17.15" hidden="false" customHeight="false" outlineLevel="0" collapsed="false">
      <c r="A427" s="4" t="s">
        <v>499</v>
      </c>
      <c r="B427" s="0" t="s">
        <v>53</v>
      </c>
      <c r="D427" s="22" t="n">
        <f aca="false">1</f>
        <v>1</v>
      </c>
      <c r="E427" s="22" t="n">
        <f aca="false">D427*(1+g_asp)</f>
        <v>1.18</v>
      </c>
      <c r="F427" s="22" t="n">
        <f aca="false">E427*(1+g_asp)</f>
        <v>1.3924</v>
      </c>
      <c r="G427" s="22" t="n">
        <f aca="false">F427*(1+g_asp)</f>
        <v>1.643032</v>
      </c>
    </row>
    <row r="428" customFormat="false" ht="17.15" hidden="false" customHeight="false" outlineLevel="0" collapsed="false">
      <c r="A428" s="4" t="s">
        <v>500</v>
      </c>
      <c r="B428" s="0" t="s">
        <v>53</v>
      </c>
      <c r="D428" s="19" t="n">
        <f aca="false">1</f>
        <v>1</v>
      </c>
      <c r="E428" s="19" t="n">
        <f aca="false">rel_27</f>
        <v>1</v>
      </c>
      <c r="F428" s="19" t="n">
        <f aca="false">rel_28</f>
        <v>0.97</v>
      </c>
      <c r="G428" s="19" t="n">
        <f aca="false">rel_29</f>
        <v>0.95</v>
      </c>
    </row>
    <row r="429" customFormat="false" ht="17.15" hidden="false" customHeight="false" outlineLevel="0" collapsed="false">
      <c r="A429" s="0" t="s">
        <v>501</v>
      </c>
      <c r="B429" s="0" t="s">
        <v>53</v>
      </c>
      <c r="D429" s="22" t="n">
        <f aca="false">D426/$D426*D427*D428</f>
        <v>1</v>
      </c>
      <c r="E429" s="22" t="n">
        <f aca="false">E426/$D426*E427*E428</f>
        <v>1.80277777777778</v>
      </c>
      <c r="F429" s="22" t="n">
        <f aca="false">F426/$D426*F427*F428</f>
        <v>2.28066570175439</v>
      </c>
      <c r="G429" s="22" t="n">
        <f aca="false">G426/$D426*G427*G428</f>
        <v>2.99396942222222</v>
      </c>
      <c r="K429" s="4" t="s">
        <v>502</v>
      </c>
    </row>
    <row r="430" customFormat="false" ht="17.15" hidden="false" customHeight="false" outlineLevel="0" collapsed="false">
      <c r="A430" s="4" t="s">
        <v>503</v>
      </c>
      <c r="B430" s="0" t="s">
        <v>53</v>
      </c>
      <c r="D430" s="22" t="n">
        <f aca="false">1</f>
        <v>1</v>
      </c>
      <c r="E430" s="22" t="n">
        <f aca="false">D430*(1+g_nai)</f>
        <v>1.03</v>
      </c>
      <c r="F430" s="22" t="n">
        <f aca="false">E430*(1+g_nai)</f>
        <v>1.0609</v>
      </c>
      <c r="G430" s="22" t="n">
        <f aca="false">F430*(1+g_nai)</f>
        <v>1.092727</v>
      </c>
    </row>
    <row r="431" customFormat="false" ht="17.15" hidden="false" customHeight="false" outlineLevel="0" collapsed="false">
      <c r="A431" s="0" t="s">
        <v>504</v>
      </c>
      <c r="B431" s="0" t="s">
        <v>53</v>
      </c>
      <c r="D431" s="22" t="n">
        <f aca="false">ai_sh*D429+(1-ai_sh)*D430</f>
        <v>1</v>
      </c>
      <c r="E431" s="22" t="n">
        <f aca="false">ai_sh*E429+(1-ai_sh)*E430</f>
        <v>1.33911111111111</v>
      </c>
      <c r="F431" s="22" t="n">
        <f aca="false">ai_sh*F429+(1-ai_sh)*F430</f>
        <v>1.54880628070175</v>
      </c>
      <c r="G431" s="22" t="n">
        <f aca="false">ai_sh*G429+(1-ai_sh)*G430</f>
        <v>1.85322396888889</v>
      </c>
    </row>
    <row r="432" customFormat="false" ht="17.15" hidden="false" customHeight="false" outlineLevel="0" collapsed="false">
      <c r="A432" s="4" t="s">
        <v>505</v>
      </c>
      <c r="B432" s="0" t="s">
        <v>53</v>
      </c>
      <c r="D432" s="22" t="n">
        <f aca="false">1</f>
        <v>1</v>
      </c>
      <c r="E432" s="22" t="n">
        <f aca="false">cap_27_hi</f>
        <v>1.45</v>
      </c>
      <c r="F432" s="22" t="n">
        <f aca="false">cap_28_hi</f>
        <v>1.85</v>
      </c>
      <c r="G432" s="22" t="n">
        <f aca="false">cap_29_hi</f>
        <v>2.25</v>
      </c>
      <c r="K432" s="4" t="s">
        <v>506</v>
      </c>
    </row>
    <row r="433" customFormat="false" ht="17.15" hidden="false" customHeight="false" outlineLevel="0" collapsed="false">
      <c r="A433" s="4" t="s">
        <v>507</v>
      </c>
      <c r="B433" s="0" t="s">
        <v>53</v>
      </c>
      <c r="D433" s="22" t="n">
        <f aca="false">MIN(D431,D432)</f>
        <v>1</v>
      </c>
      <c r="E433" s="22" t="n">
        <f aca="false">MIN(E431,E432)</f>
        <v>1.33911111111111</v>
      </c>
      <c r="F433" s="22" t="n">
        <f aca="false">MIN(F431,F432)</f>
        <v>1.54880628070175</v>
      </c>
      <c r="G433" s="22" t="n">
        <f aca="false">MIN(G431,G432)</f>
        <v>1.85322396888889</v>
      </c>
    </row>
    <row r="434" customFormat="false" ht="17.15" hidden="false" customHeight="false" outlineLevel="0" collapsed="false">
      <c r="A434" s="4" t="s">
        <v>508</v>
      </c>
      <c r="B434" s="0" t="s">
        <v>78</v>
      </c>
      <c r="D434" s="17" t="n">
        <f aca="false">D433/D431</f>
        <v>1</v>
      </c>
      <c r="E434" s="17" t="n">
        <f aca="false">E433/E431</f>
        <v>1</v>
      </c>
      <c r="F434" s="17" t="n">
        <f aca="false">F433/F431</f>
        <v>1</v>
      </c>
      <c r="G434" s="17" t="n">
        <f aca="false">G433/G431</f>
        <v>1</v>
      </c>
      <c r="K434" s="4" t="s">
        <v>509</v>
      </c>
    </row>
    <row r="435" customFormat="false" ht="17.15" hidden="false" customHeight="false" outlineLevel="0" collapsed="false">
      <c r="A435" s="0" t="s">
        <v>510</v>
      </c>
      <c r="B435" s="0" t="s">
        <v>53</v>
      </c>
      <c r="D435" s="22" t="n">
        <f aca="false">1</f>
        <v>1</v>
      </c>
      <c r="E435" s="22" t="n">
        <f aca="false">pp_27</f>
        <v>1.12</v>
      </c>
      <c r="F435" s="22" t="n">
        <f aca="false">pp_28*sp_A</f>
        <v>1.15</v>
      </c>
      <c r="G435" s="22" t="n">
        <f aca="false">pp_29*sp_A</f>
        <v>1.12</v>
      </c>
      <c r="K435" s="8" t="s">
        <v>511</v>
      </c>
    </row>
    <row r="436" customFormat="false" ht="17.15" hidden="false" customHeight="false" outlineLevel="0" collapsed="false">
      <c r="A436" s="0" t="s">
        <v>452</v>
      </c>
      <c r="B436" s="0" t="s">
        <v>170</v>
      </c>
      <c r="D436" s="16" t="n">
        <f aca="false">q26_fm*ai_sh</f>
        <v>48.24</v>
      </c>
      <c r="E436" s="16" t="n">
        <f aca="false">q26_fm*ai_sh*E429*E434*E435</f>
        <v>97.40192</v>
      </c>
      <c r="F436" s="16" t="n">
        <f aca="false">q26_fm*ai_sh*F429*F434*F435</f>
        <v>126.522210470526</v>
      </c>
      <c r="G436" s="16" t="n">
        <f aca="false">q26_fm*ai_sh*G429*G434*G435</f>
        <v>161.76057511936</v>
      </c>
      <c r="K436" s="8" t="s">
        <v>512</v>
      </c>
    </row>
    <row r="437" customFormat="false" ht="17.15" hidden="false" customHeight="false" outlineLevel="0" collapsed="false">
      <c r="A437" s="0" t="s">
        <v>513</v>
      </c>
      <c r="B437" s="0" t="s">
        <v>170</v>
      </c>
      <c r="D437" s="16" t="n">
        <f aca="false">q26_fm*(1-ai_sh)</f>
        <v>72.36</v>
      </c>
      <c r="E437" s="16" t="n">
        <f aca="false">q26_fm*(1-ai_sh)*E430*E434*E435</f>
        <v>83.474496</v>
      </c>
      <c r="F437" s="16" t="n">
        <f aca="false">q26_fm*(1-ai_sh)*F430*F434*F435</f>
        <v>88.2817326</v>
      </c>
      <c r="G437" s="16" t="n">
        <f aca="false">q26_fm*(1-ai_sh)*G430*G434*G435</f>
        <v>88.5580928064</v>
      </c>
    </row>
    <row r="438" customFormat="false" ht="17.15" hidden="false" customHeight="false" outlineLevel="0" collapsed="false">
      <c r="A438" s="4" t="s">
        <v>514</v>
      </c>
      <c r="B438" s="0" t="s">
        <v>170</v>
      </c>
      <c r="C438" s="16" t="n">
        <f aca="false">q25_fm</f>
        <v>102.4512</v>
      </c>
      <c r="D438" s="16" t="n">
        <f aca="false">D436+D437</f>
        <v>120.6</v>
      </c>
      <c r="E438" s="16" t="n">
        <f aca="false">E436+E437</f>
        <v>180.876416</v>
      </c>
      <c r="F438" s="16" t="n">
        <f aca="false">F436+F437</f>
        <v>214.803943070526</v>
      </c>
      <c r="G438" s="16" t="n">
        <f aca="false">G436+G437</f>
        <v>250.31866792576</v>
      </c>
    </row>
    <row r="439" customFormat="false" ht="17.15" hidden="false" customHeight="false" outlineLevel="0" collapsed="false">
      <c r="A439" s="0" t="s">
        <v>515</v>
      </c>
      <c r="B439" s="0" t="s">
        <v>78</v>
      </c>
      <c r="C439" s="17" t="n">
        <f aca="false">q25_fmbp/q25_fm</f>
        <v>0.532936656671664</v>
      </c>
      <c r="D439" s="17" t="n">
        <f aca="false">q26_fmbp/q26_fm</f>
        <v>0.543117744610282</v>
      </c>
      <c r="E439" s="17" t="n">
        <f aca="false">1-(1-$D439)*(1+c_g)^1/E435</f>
        <v>0.579831497275527</v>
      </c>
      <c r="F439" s="17" t="n">
        <f aca="false">1-(1-$D439)*(1+c_g)^2/F435</f>
        <v>0.578516187180042</v>
      </c>
      <c r="G439" s="17" t="n">
        <f aca="false">1-(1-$D439)*(1+c_g)^3/G435</f>
        <v>0.554243235459607</v>
      </c>
      <c r="K439" s="8" t="s">
        <v>516</v>
      </c>
    </row>
    <row r="440" customFormat="false" ht="17.15" hidden="false" customHeight="false" outlineLevel="0" collapsed="false">
      <c r="A440" s="0" t="s">
        <v>478</v>
      </c>
      <c r="B440" s="0" t="s">
        <v>170</v>
      </c>
      <c r="C440" s="16" t="n">
        <f aca="false">q25_fmbp</f>
        <v>54.6</v>
      </c>
      <c r="D440" s="16" t="n">
        <f aca="false">D438*D439</f>
        <v>65.5</v>
      </c>
      <c r="E440" s="16" t="n">
        <f aca="false">E438*E439</f>
        <v>104.877843111111</v>
      </c>
      <c r="F440" s="16" t="n">
        <f aca="false">F438*F439</f>
        <v>124.2675581364</v>
      </c>
      <c r="G440" s="16" t="n">
        <f aca="false">G438*G439</f>
        <v>138.737428407112</v>
      </c>
    </row>
    <row r="441" customFormat="false" ht="17.15" hidden="false" customHeight="false" outlineLevel="0" collapsed="false">
      <c r="A441" s="6" t="s">
        <v>517</v>
      </c>
    </row>
    <row r="442" customFormat="false" ht="15" hidden="false" customHeight="false" outlineLevel="0" collapsed="false">
      <c r="A442" s="4" t="s">
        <v>518</v>
      </c>
      <c r="B442" s="0" t="s">
        <v>170</v>
      </c>
      <c r="C442" s="16" t="n">
        <f aca="false">q25_sf</f>
        <v>936.926</v>
      </c>
      <c r="D442" s="16" t="n">
        <f aca="false">q26_sf</f>
        <v>998.6</v>
      </c>
      <c r="E442" s="16" t="n">
        <f aca="false">D442*(1+g_sf)</f>
        <v>1038.544</v>
      </c>
      <c r="F442" s="16" t="n">
        <f aca="false">E442*(1+g_sf)</f>
        <v>1080.08576</v>
      </c>
      <c r="G442" s="16" t="n">
        <f aca="false">F442*(1+g_sf)</f>
        <v>1123.2891904</v>
      </c>
    </row>
    <row r="443" customFormat="false" ht="15" hidden="false" customHeight="false" outlineLevel="0" collapsed="false">
      <c r="A443" s="4" t="s">
        <v>519</v>
      </c>
      <c r="B443" s="0" t="s">
        <v>170</v>
      </c>
      <c r="C443" s="16" t="n">
        <f aca="false">q25_sfbp</f>
        <v>143.036</v>
      </c>
      <c r="D443" s="16" t="n">
        <f aca="false">q26_sfbp</f>
        <v>145.9</v>
      </c>
      <c r="E443" s="16" t="n">
        <f aca="false">E442*m_sf</f>
        <v>151.736</v>
      </c>
      <c r="F443" s="16" t="n">
        <f aca="false">F442*m_sf</f>
        <v>157.80544</v>
      </c>
      <c r="G443" s="16" t="n">
        <f aca="false">G442*m_sf</f>
        <v>164.1176576</v>
      </c>
    </row>
    <row r="444" customFormat="false" ht="15" hidden="false" customHeight="false" outlineLevel="0" collapsed="false">
      <c r="A444" s="4" t="s">
        <v>520</v>
      </c>
      <c r="B444" s="0" t="s">
        <v>170</v>
      </c>
      <c r="C444" s="16" t="n">
        <f aca="false">q25_ff</f>
        <v>290.308</v>
      </c>
      <c r="D444" s="16" t="n">
        <f aca="false">q26_ff</f>
        <v>310.6</v>
      </c>
      <c r="E444" s="16" t="n">
        <f aca="false">D444*(1+g_ff)</f>
        <v>319.918</v>
      </c>
      <c r="F444" s="16" t="n">
        <f aca="false">E444*(1+g_ff)</f>
        <v>329.51554</v>
      </c>
      <c r="G444" s="16" t="n">
        <f aca="false">F444*(1+g_ff)</f>
        <v>339.4010062</v>
      </c>
    </row>
    <row r="445" customFormat="false" ht="15" hidden="false" customHeight="false" outlineLevel="0" collapsed="false">
      <c r="A445" s="4" t="s">
        <v>521</v>
      </c>
      <c r="B445" s="0" t="s">
        <v>170</v>
      </c>
      <c r="C445" s="16" t="n">
        <f aca="false">q25_ffbp</f>
        <v>8.457</v>
      </c>
      <c r="D445" s="16" t="n">
        <f aca="false">q26_ffbp</f>
        <v>12.1</v>
      </c>
      <c r="E445" s="16" t="n">
        <f aca="false">E444*m_ff</f>
        <v>14.39631</v>
      </c>
      <c r="F445" s="16" t="n">
        <f aca="false">F444*m_ff</f>
        <v>14.8281993</v>
      </c>
      <c r="G445" s="16" t="n">
        <f aca="false">G444*m_ff</f>
        <v>15.273045279</v>
      </c>
    </row>
    <row r="446" customFormat="false" ht="17.15" hidden="false" customHeight="false" outlineLevel="0" collapsed="false">
      <c r="A446" s="4" t="s">
        <v>522</v>
      </c>
      <c r="B446" s="0" t="s">
        <v>170</v>
      </c>
      <c r="C446" s="16" t="n">
        <f aca="false">q25_hox</f>
        <v>239.0528</v>
      </c>
      <c r="D446" s="16" t="n">
        <f aca="false">q26_hox</f>
        <v>286.2</v>
      </c>
      <c r="E446" s="16" t="n">
        <f aca="false">D446*(1+g_ho)</f>
        <v>300.51</v>
      </c>
      <c r="F446" s="16" t="n">
        <f aca="false">E446*(1+g_ho)</f>
        <v>315.5355</v>
      </c>
      <c r="G446" s="16" t="n">
        <f aca="false">F446*(1+g_ho)</f>
        <v>331.312275</v>
      </c>
    </row>
    <row r="447" customFormat="false" ht="17.15" hidden="false" customHeight="false" outlineLevel="0" collapsed="false">
      <c r="A447" s="4" t="s">
        <v>523</v>
      </c>
      <c r="B447" s="0" t="s">
        <v>170</v>
      </c>
      <c r="C447" s="16" t="n">
        <f aca="false">q25_hoxbp</f>
        <v>11.602</v>
      </c>
      <c r="D447" s="16" t="n">
        <f aca="false">q26_hoxbp</f>
        <v>19.5</v>
      </c>
      <c r="E447" s="16" t="n">
        <f aca="false">E446*m_ho</f>
        <v>20.475</v>
      </c>
      <c r="F447" s="16" t="n">
        <f aca="false">F446*m_ho</f>
        <v>21.49875</v>
      </c>
      <c r="G447" s="16" t="n">
        <f aca="false">G446*m_ho</f>
        <v>22.5736875</v>
      </c>
    </row>
    <row r="448" customFormat="false" ht="17.15" hidden="false" customHeight="false" outlineLevel="0" collapsed="false">
      <c r="A448" s="4" t="s">
        <v>524</v>
      </c>
      <c r="B448" s="0" t="s">
        <v>170</v>
      </c>
      <c r="C448" s="16" t="n">
        <f aca="false">q25_oth</f>
        <v>14.979</v>
      </c>
      <c r="D448" s="16" t="n">
        <f aca="false">q26_oth</f>
        <v>15.8</v>
      </c>
      <c r="E448" s="16" t="n">
        <f aca="false">D448</f>
        <v>15.8</v>
      </c>
      <c r="F448" s="16" t="n">
        <f aca="false">E448</f>
        <v>15.8</v>
      </c>
      <c r="G448" s="16" t="n">
        <f aca="false">F448</f>
        <v>15.8</v>
      </c>
      <c r="K448" s="8" t="s">
        <v>525</v>
      </c>
    </row>
    <row r="449" customFormat="false" ht="15" hidden="false" customHeight="false" outlineLevel="0" collapsed="false">
      <c r="A449" s="4" t="s">
        <v>526</v>
      </c>
      <c r="B449" s="0" t="s">
        <v>170</v>
      </c>
      <c r="C449" s="16" t="n">
        <f aca="false">q25_othbp</f>
        <v>6.064</v>
      </c>
      <c r="D449" s="16" t="n">
        <f aca="false">q26_othbp</f>
        <v>5.1</v>
      </c>
      <c r="E449" s="16" t="n">
        <f aca="false">q26_othbp</f>
        <v>5.1</v>
      </c>
      <c r="F449" s="16" t="n">
        <f aca="false">q26_othbp</f>
        <v>5.1</v>
      </c>
      <c r="G449" s="16" t="n">
        <f aca="false">q26_othbp</f>
        <v>5.1</v>
      </c>
    </row>
    <row r="450" customFormat="false" ht="15" hidden="false" customHeight="false" outlineLevel="0" collapsed="false">
      <c r="A450" s="4" t="s">
        <v>527</v>
      </c>
      <c r="B450" s="0" t="s">
        <v>170</v>
      </c>
      <c r="C450" s="16" t="n">
        <f aca="false">q25_cc</f>
        <v>-42.597</v>
      </c>
      <c r="D450" s="16" t="n">
        <f aca="false">q26_cc</f>
        <v>-46.2</v>
      </c>
      <c r="E450" s="16" t="n">
        <f aca="false">D450*(1+g_cc)</f>
        <v>-47.586</v>
      </c>
      <c r="F450" s="16" t="n">
        <f aca="false">E450*(1+g_cc)</f>
        <v>-49.01358</v>
      </c>
      <c r="G450" s="16" t="n">
        <f aca="false">F450*(1+g_cc)</f>
        <v>-50.4839874</v>
      </c>
    </row>
    <row r="451" customFormat="false" ht="17.15" hidden="false" customHeight="false" outlineLevel="0" collapsed="false">
      <c r="A451" s="4" t="s">
        <v>528</v>
      </c>
      <c r="B451" s="0" t="s">
        <v>170</v>
      </c>
      <c r="C451" s="28" t="n">
        <f aca="false">a_rev-(q25_sf+q25_ff+q25_hox+q25_fm+q25_oth)</f>
        <v>0.00200000000018008</v>
      </c>
      <c r="D451" s="28" t="n">
        <f aca="false">f_rev-(q26_sf+q26_ff+q26_hox+q26_fm+q26_oth)</f>
        <v>0.200000000000045</v>
      </c>
      <c r="E451" s="28" t="n">
        <f aca="false">$D451</f>
        <v>0.200000000000045</v>
      </c>
      <c r="F451" s="28" t="n">
        <f aca="false">$D451</f>
        <v>0.200000000000045</v>
      </c>
      <c r="G451" s="28" t="n">
        <f aca="false">$D451</f>
        <v>0.200000000000045</v>
      </c>
      <c r="K451" s="8" t="s">
        <v>529</v>
      </c>
    </row>
    <row r="452" customFormat="false" ht="15" hidden="false" customHeight="false" outlineLevel="0" collapsed="false">
      <c r="A452" s="4" t="s">
        <v>530</v>
      </c>
      <c r="B452" s="0" t="s">
        <v>170</v>
      </c>
      <c r="C452" s="28" t="n">
        <f aca="false">a_bp-(q25_sfbp+q25_ffbp+q25_hoxbp+q25_fmbp+q25_othbp+q25_cc)</f>
        <v>0.0010000000000332</v>
      </c>
      <c r="D452" s="28" t="n">
        <f aca="false">f_bp-(q26_sfbp+q26_ffbp+q26_hoxbp+q26_fmbp+q26_othbp+q26_cc)</f>
        <v>0.100000000000023</v>
      </c>
      <c r="E452" s="28" t="n">
        <f aca="false">$D452</f>
        <v>0.100000000000023</v>
      </c>
      <c r="F452" s="28" t="n">
        <f aca="false">$D452</f>
        <v>0.100000000000023</v>
      </c>
      <c r="G452" s="28" t="n">
        <f aca="false">$D452</f>
        <v>0.100000000000023</v>
      </c>
    </row>
    <row r="453" customFormat="false" ht="17.15" hidden="false" customHeight="false" outlineLevel="0" collapsed="false">
      <c r="A453" s="6" t="s">
        <v>531</v>
      </c>
    </row>
    <row r="454" customFormat="false" ht="17.15" hidden="false" customHeight="false" outlineLevel="0" collapsed="false">
      <c r="A454" s="4" t="s">
        <v>403</v>
      </c>
      <c r="B454" s="0" t="s">
        <v>170</v>
      </c>
      <c r="C454" s="16" t="n">
        <f aca="false">C442+C444+C446+C438+C448+C451</f>
        <v>1583.719</v>
      </c>
      <c r="D454" s="16" t="n">
        <f aca="false">D442+D444+D446+D438+D448+D451</f>
        <v>1732</v>
      </c>
      <c r="E454" s="16" t="n">
        <f aca="false">E442+E444+E446+E438+E448+E451</f>
        <v>1855.848416</v>
      </c>
      <c r="F454" s="16" t="n">
        <f aca="false">F442+F444+F446+F438+F448+F451</f>
        <v>1955.94074307053</v>
      </c>
      <c r="G454" s="16" t="n">
        <f aca="false">G442+G444+G446+G438+G448+G451</f>
        <v>2060.32113952576</v>
      </c>
      <c r="H454" s="24" t="n">
        <f aca="false">G454*(1+H458)</f>
        <v>2174.82805744654</v>
      </c>
      <c r="I454" s="24" t="n">
        <f aca="false">H454*(1+I458)</f>
        <v>2300.50834612244</v>
      </c>
      <c r="J454" s="24" t="n">
        <f aca="false">I454*(1+J458)</f>
        <v>2438.53884688979</v>
      </c>
      <c r="K454" s="8" t="s">
        <v>532</v>
      </c>
    </row>
    <row r="455" customFormat="false" ht="17.15" hidden="false" customHeight="false" outlineLevel="0" collapsed="false">
      <c r="A455" s="4" t="s">
        <v>533</v>
      </c>
      <c r="B455" s="0" t="s">
        <v>170</v>
      </c>
      <c r="C455" s="16" t="n">
        <f aca="false">C438+C446</f>
        <v>341.504</v>
      </c>
      <c r="D455" s="16" t="n">
        <f aca="false">D438+D446</f>
        <v>406.8</v>
      </c>
      <c r="E455" s="16" t="n">
        <f aca="false">E438+E446</f>
        <v>481.386416</v>
      </c>
      <c r="F455" s="16" t="n">
        <f aca="false">F438+F446</f>
        <v>530.339443070526</v>
      </c>
      <c r="G455" s="16" t="n">
        <f aca="false">G438+G446</f>
        <v>581.63094292576</v>
      </c>
      <c r="K455" s="4" t="s">
        <v>534</v>
      </c>
    </row>
    <row r="456" customFormat="false" ht="17.15" hidden="false" customHeight="false" outlineLevel="0" collapsed="false">
      <c r="A456" s="4" t="s">
        <v>535</v>
      </c>
      <c r="B456" s="0" t="s">
        <v>170</v>
      </c>
      <c r="C456" s="16" t="n">
        <f aca="false">C448+C451</f>
        <v>14.9810000000002</v>
      </c>
      <c r="D456" s="16" t="n">
        <f aca="false">D448+D451</f>
        <v>16</v>
      </c>
      <c r="E456" s="16" t="n">
        <f aca="false">E448+E451</f>
        <v>16</v>
      </c>
      <c r="F456" s="16" t="n">
        <f aca="false">F448+F451</f>
        <v>16</v>
      </c>
      <c r="G456" s="16" t="n">
        <f aca="false">G448+G451</f>
        <v>16</v>
      </c>
      <c r="K456" s="8" t="s">
        <v>536</v>
      </c>
    </row>
    <row r="457" customFormat="false" ht="15" hidden="false" customHeight="false" outlineLevel="0" collapsed="false">
      <c r="A457" s="4" t="s">
        <v>537</v>
      </c>
      <c r="B457" s="0" t="s">
        <v>170</v>
      </c>
      <c r="C457" s="22" t="n">
        <f aca="false">C442+C444+C455+C456-C454</f>
        <v>0</v>
      </c>
      <c r="D457" s="22" t="n">
        <f aca="false">D442+D444+D455+D456-D454</f>
        <v>0</v>
      </c>
      <c r="E457" s="22" t="n">
        <f aca="false">E442+E444+E455+E456-E454</f>
        <v>0</v>
      </c>
      <c r="F457" s="22" t="n">
        <f aca="false">F442+F444+F455+F456-F454</f>
        <v>0</v>
      </c>
      <c r="G457" s="22" t="n">
        <f aca="false">G442+G444+G455+G456-G454</f>
        <v>0</v>
      </c>
    </row>
    <row r="458" customFormat="false" ht="15" hidden="false" customHeight="false" outlineLevel="0" collapsed="false">
      <c r="A458" s="4" t="s">
        <v>538</v>
      </c>
      <c r="B458" s="0" t="s">
        <v>78</v>
      </c>
      <c r="D458" s="17" t="n">
        <f aca="false">D454/C454-1</f>
        <v>0.0936283519993131</v>
      </c>
      <c r="E458" s="17" t="n">
        <f aca="false">E454/D454-1</f>
        <v>0.0715060138568129</v>
      </c>
      <c r="F458" s="17" t="n">
        <f aca="false">F454/E454-1</f>
        <v>0.0539334604095847</v>
      </c>
      <c r="G458" s="17" t="n">
        <f aca="false">G454/F454-1</f>
        <v>0.0533658275819608</v>
      </c>
      <c r="H458" s="25" t="n">
        <f aca="false">$G458+(fade_gA-$G458)*1/3</f>
        <v>0.0555772183879739</v>
      </c>
      <c r="I458" s="25" t="n">
        <f aca="false">$G458+(fade_gA-$G458)*2/3</f>
        <v>0.057788609193987</v>
      </c>
      <c r="J458" s="25" t="n">
        <f aca="false">$G458+(fade_gA-$G458)*3/3</f>
        <v>0.06</v>
      </c>
    </row>
    <row r="459" customFormat="false" ht="17.15" hidden="false" customHeight="false" outlineLevel="0" collapsed="false">
      <c r="A459" s="0" t="s">
        <v>539</v>
      </c>
      <c r="B459" s="0" t="s">
        <v>78</v>
      </c>
      <c r="C459" s="17" t="n">
        <f aca="false">C438/C454</f>
        <v>0.0646902638662541</v>
      </c>
      <c r="D459" s="17" t="n">
        <f aca="false">D438/D454</f>
        <v>0.0696304849884527</v>
      </c>
      <c r="E459" s="17" t="n">
        <f aca="false">E438/E454</f>
        <v>0.0974629255496264</v>
      </c>
      <c r="F459" s="17" t="n">
        <f aca="false">F438/F454</f>
        <v>0.109821293835987</v>
      </c>
      <c r="G459" s="17" t="n">
        <f aca="false">G438/G454</f>
        <v>0.121494976255681</v>
      </c>
    </row>
    <row r="460" customFormat="false" ht="15" hidden="false" customHeight="false" outlineLevel="0" collapsed="false">
      <c r="A460" s="4" t="s">
        <v>413</v>
      </c>
      <c r="B460" s="0" t="s">
        <v>170</v>
      </c>
      <c r="C460" s="16" t="n">
        <f aca="false">C443+C445+C447+C440+C449+C450+C452</f>
        <v>181.163</v>
      </c>
      <c r="D460" s="16" t="n">
        <f aca="false">D443+D445+D447+D440+D449+D450+D452</f>
        <v>202</v>
      </c>
      <c r="E460" s="16" t="n">
        <f aca="false">E443+E445+E447+E440+E449+E450+E452</f>
        <v>249.099153111111</v>
      </c>
      <c r="F460" s="16" t="n">
        <f aca="false">F443+F445+F447+F440+F449+F450+F452</f>
        <v>274.5863674364</v>
      </c>
      <c r="G460" s="16" t="n">
        <f aca="false">G443+G445+G447+G440+G449+G450+G452</f>
        <v>295.417831386112</v>
      </c>
    </row>
    <row r="461" customFormat="false" ht="15" hidden="false" customHeight="false" outlineLevel="0" collapsed="false">
      <c r="A461" s="4" t="s">
        <v>429</v>
      </c>
      <c r="B461" s="0" t="s">
        <v>78</v>
      </c>
      <c r="C461" s="17" t="n">
        <f aca="false">C460/C454</f>
        <v>0.114390873633517</v>
      </c>
      <c r="D461" s="17" t="n">
        <f aca="false">D460/D454</f>
        <v>0.11662817551963</v>
      </c>
      <c r="E461" s="17" t="n">
        <f aca="false">E460/E454</f>
        <v>0.134223868158374</v>
      </c>
      <c r="F461" s="17" t="n">
        <f aca="false">F460/F454</f>
        <v>0.140385831426233</v>
      </c>
      <c r="G461" s="17" t="n">
        <f aca="false">G460/G454</f>
        <v>0.143384361650588</v>
      </c>
    </row>
    <row r="462" customFormat="false" ht="17.15" hidden="false" customHeight="false" outlineLevel="0" collapsed="false">
      <c r="A462" s="0" t="s">
        <v>540</v>
      </c>
      <c r="B462" s="0" t="s">
        <v>78</v>
      </c>
      <c r="C462" s="17" t="n">
        <f aca="false">C440/C460</f>
        <v>0.301386044611758</v>
      </c>
      <c r="D462" s="17" t="n">
        <f aca="false">D440/D460</f>
        <v>0.324257425742574</v>
      </c>
      <c r="E462" s="17" t="n">
        <f aca="false">E440/E460</f>
        <v>0.421028501306587</v>
      </c>
      <c r="F462" s="17" t="n">
        <f aca="false">F440/F460</f>
        <v>0.452562737533511</v>
      </c>
      <c r="G462" s="17" t="n">
        <f aca="false">G440/G460</f>
        <v>0.469631192389947</v>
      </c>
    </row>
    <row r="463" customFormat="false" ht="17.15" hidden="false" customHeight="false" outlineLevel="0" collapsed="false">
      <c r="A463" s="4" t="s">
        <v>430</v>
      </c>
      <c r="B463" s="0" t="s">
        <v>53</v>
      </c>
      <c r="C463" s="22" t="n">
        <f aca="false">q25_ni/q25_bp</f>
        <v>0.743391310587703</v>
      </c>
      <c r="D463" s="22" t="n">
        <f aca="false">q26_ni/q26_bp</f>
        <v>0.611386138613861</v>
      </c>
      <c r="E463" s="22" t="n">
        <f aca="false">ni_bp</f>
        <v>0.62</v>
      </c>
      <c r="F463" s="22" t="n">
        <f aca="false">ni_bp</f>
        <v>0.62</v>
      </c>
      <c r="G463" s="22" t="n">
        <f aca="false">ni_bp</f>
        <v>0.62</v>
      </c>
    </row>
    <row r="464" customFormat="false" ht="15" hidden="false" customHeight="false" outlineLevel="0" collapsed="false">
      <c r="A464" s="4" t="s">
        <v>420</v>
      </c>
      <c r="B464" s="0" t="s">
        <v>170</v>
      </c>
      <c r="C464" s="16" t="n">
        <f aca="false">q25_ni</f>
        <v>134.675</v>
      </c>
      <c r="D464" s="16" t="n">
        <f aca="false">q26_ni</f>
        <v>123.5</v>
      </c>
      <c r="E464" s="16" t="n">
        <f aca="false">E460*E463</f>
        <v>154.441474928889</v>
      </c>
      <c r="F464" s="16" t="n">
        <f aca="false">F460*F463</f>
        <v>170.243547810568</v>
      </c>
      <c r="G464" s="16" t="n">
        <f aca="false">G460*G463</f>
        <v>183.15905545939</v>
      </c>
      <c r="H464" s="24" t="n">
        <f aca="false">H454*H468</f>
        <v>192.69191432425</v>
      </c>
      <c r="I464" s="24" t="n">
        <f aca="false">I454*I468</f>
        <v>203.14333328997</v>
      </c>
      <c r="J464" s="24" t="n">
        <f aca="false">J454*J468</f>
        <v>214.606915795403</v>
      </c>
    </row>
    <row r="465" customFormat="false" ht="15" hidden="false" customHeight="false" outlineLevel="0" collapsed="false">
      <c r="A465" s="4" t="s">
        <v>541</v>
      </c>
      <c r="B465" s="4" t="s">
        <v>317</v>
      </c>
      <c r="C465" s="20" t="n">
        <f aca="false">q25_sh</f>
        <v>0.973366579936398</v>
      </c>
      <c r="D465" s="20" t="n">
        <f aca="false">q26_sh</f>
        <v>0.95117067159581</v>
      </c>
      <c r="E465" s="20" t="n">
        <f aca="false">D465*(1+sh_g)</f>
        <v>0.936903111521873</v>
      </c>
      <c r="F465" s="20" t="n">
        <f aca="false">E465*(1+sh_g)</f>
        <v>0.922849564849045</v>
      </c>
      <c r="G465" s="20" t="n">
        <f aca="false">F465*(1+sh_g)</f>
        <v>0.909006821376309</v>
      </c>
      <c r="H465" s="29" t="n">
        <f aca="false">G465*(1+sh_g)</f>
        <v>0.895371719055665</v>
      </c>
      <c r="I465" s="29" t="n">
        <f aca="false">H465*(1+sh_g)</f>
        <v>0.88194114326983</v>
      </c>
      <c r="J465" s="29" t="n">
        <f aca="false">I465*(1+sh_g)</f>
        <v>0.868712026120782</v>
      </c>
    </row>
    <row r="466" customFormat="false" ht="17.15" hidden="false" customHeight="false" outlineLevel="0" collapsed="false">
      <c r="A466" s="0" t="s">
        <v>542</v>
      </c>
      <c r="B466" s="0" t="s">
        <v>208</v>
      </c>
      <c r="C466" s="21" t="n">
        <f aca="false">C464/C465</f>
        <v>138.36</v>
      </c>
      <c r="D466" s="21" t="n">
        <f aca="false">D464/D465</f>
        <v>129.84</v>
      </c>
      <c r="E466" s="21" t="n">
        <f aca="false">E464/E465</f>
        <v>164.842525368519</v>
      </c>
      <c r="F466" s="21" t="n">
        <f aca="false">F464/F465</f>
        <v>184.47594742965</v>
      </c>
      <c r="G466" s="21" t="n">
        <f aca="false">G464/G465</f>
        <v>201.493598455149</v>
      </c>
      <c r="H466" s="27" t="n">
        <f aca="false">H464/H465</f>
        <v>215.208845916509</v>
      </c>
      <c r="I466" s="27" t="n">
        <f aca="false">I464/I465</f>
        <v>230.336610147032</v>
      </c>
      <c r="J466" s="27" t="n">
        <f aca="false">J464/J465</f>
        <v>247.040341727196</v>
      </c>
    </row>
    <row r="467" customFormat="false" ht="17.15" hidden="false" customHeight="false" outlineLevel="0" collapsed="false">
      <c r="A467" s="0" t="s">
        <v>543</v>
      </c>
      <c r="B467" s="0" t="s">
        <v>78</v>
      </c>
      <c r="D467" s="17" t="n">
        <f aca="false">D466/C466-1</f>
        <v>-0.0615784908933218</v>
      </c>
      <c r="E467" s="17" t="n">
        <f aca="false">E466/D466-1</f>
        <v>0.269581988358897</v>
      </c>
      <c r="F467" s="17" t="n">
        <f aca="false">F466/E466-1</f>
        <v>0.119104108707621</v>
      </c>
      <c r="G467" s="17" t="n">
        <f aca="false">G466/F466-1</f>
        <v>0.0922486170289969</v>
      </c>
      <c r="H467" s="25" t="n">
        <f aca="false">H466/G466-1</f>
        <v>0.0680679067052978</v>
      </c>
      <c r="I467" s="25" t="n">
        <f aca="false">I466/H466-1</f>
        <v>0.0702934127363495</v>
      </c>
      <c r="J467" s="25" t="n">
        <f aca="false">J466/I466-1</f>
        <v>0.0725187870460602</v>
      </c>
    </row>
    <row r="468" customFormat="false" ht="15" hidden="false" customHeight="false" outlineLevel="0" collapsed="false">
      <c r="A468" s="4" t="s">
        <v>544</v>
      </c>
      <c r="B468" s="0" t="s">
        <v>78</v>
      </c>
      <c r="C468" s="14" t="n">
        <f aca="false">C464/C454</f>
        <v>0.0850371814696925</v>
      </c>
      <c r="D468" s="14" t="n">
        <f aca="false">D464/D454</f>
        <v>0.0713048498845266</v>
      </c>
      <c r="E468" s="14" t="n">
        <f aca="false">E464/E454</f>
        <v>0.0832187982581919</v>
      </c>
      <c r="F468" s="14" t="n">
        <f aca="false">F464/F454</f>
        <v>0.0870392154842644</v>
      </c>
      <c r="G468" s="14" t="n">
        <f aca="false">G464/G454</f>
        <v>0.0888983042233643</v>
      </c>
      <c r="H468" s="26" t="n">
        <f aca="false">$G468+(fade_mA-$G468)*1/3</f>
        <v>0.0886009878640655</v>
      </c>
      <c r="I468" s="26" t="n">
        <f aca="false">$G468+(fade_mA-$G468)*2/3</f>
        <v>0.0883036715047668</v>
      </c>
      <c r="J468" s="26" t="n">
        <f aca="false">$G468+(fade_mA-$G468)*3/3</f>
        <v>0.088006355145468</v>
      </c>
    </row>
    <row r="469" customFormat="false" ht="17.15" hidden="false" customHeight="false" outlineLevel="0" collapsed="false">
      <c r="A469" s="0" t="s">
        <v>545</v>
      </c>
      <c r="B469" s="0" t="s">
        <v>208</v>
      </c>
      <c r="D469" s="21" t="n">
        <f aca="false">D440*D463/D465</f>
        <v>42.1015841584158</v>
      </c>
      <c r="E469" s="21" t="n">
        <f aca="false">E440*E463/E465</f>
        <v>69.4034014075006</v>
      </c>
      <c r="F469" s="21" t="n">
        <f aca="false">F440*F463/F465</f>
        <v>83.4869397778505</v>
      </c>
      <c r="G469" s="21" t="n">
        <f aca="false">G440*G463/G465</f>
        <v>94.6276789014328</v>
      </c>
      <c r="K469" s="8" t="s">
        <v>546</v>
      </c>
    </row>
    <row r="470" customFormat="false" ht="17.15" hidden="false" customHeight="false" outlineLevel="0" collapsed="false">
      <c r="A470" s="0" t="s">
        <v>547</v>
      </c>
      <c r="B470" s="0" t="s">
        <v>208</v>
      </c>
      <c r="D470" s="21" t="n">
        <f aca="false">D466-D469</f>
        <v>87.7384158415842</v>
      </c>
      <c r="E470" s="21" t="n">
        <f aca="false">E466-E469</f>
        <v>95.4391239610185</v>
      </c>
      <c r="F470" s="21" t="n">
        <f aca="false">F466-F469</f>
        <v>100.9890076518</v>
      </c>
      <c r="G470" s="21" t="n">
        <f aca="false">G466-G469</f>
        <v>106.865919553716</v>
      </c>
    </row>
    <row r="471" customFormat="false" ht="17.15" hidden="false" customHeight="false" outlineLevel="0" collapsed="false">
      <c r="A471" s="0" t="s">
        <v>548</v>
      </c>
      <c r="B471" s="0" t="s">
        <v>455</v>
      </c>
      <c r="D471" s="16" t="n">
        <f aca="false">D436/D426*1000/150</f>
        <v>23.5087719298246</v>
      </c>
      <c r="E471" s="16" t="n">
        <f aca="false">E436/E426*1000/150</f>
        <v>31.0691929824561</v>
      </c>
      <c r="F471" s="16" t="n">
        <f aca="false">F436/F426*1000/150</f>
        <v>36.5143464561404</v>
      </c>
      <c r="G471" s="16" t="n">
        <f aca="false">G436/G426*1000/150</f>
        <v>41.0977070933333</v>
      </c>
      <c r="K471" s="8" t="s">
        <v>549</v>
      </c>
    </row>
    <row r="474" customFormat="false" ht="17.15" hidden="false" customHeight="false" outlineLevel="0" collapsed="false">
      <c r="A474" s="1" t="s">
        <v>945</v>
      </c>
    </row>
    <row r="475" customFormat="false" ht="17.15" hidden="false" customHeight="false" outlineLevel="0" collapsed="false">
      <c r="A475" s="5" t="s">
        <v>20</v>
      </c>
      <c r="B475" s="5" t="s">
        <v>21</v>
      </c>
      <c r="C475" s="15" t="s">
        <v>398</v>
      </c>
      <c r="D475" s="15" t="s">
        <v>470</v>
      </c>
      <c r="E475" s="15" t="s">
        <v>435</v>
      </c>
      <c r="F475" s="15" t="s">
        <v>436</v>
      </c>
      <c r="G475" s="15" t="s">
        <v>437</v>
      </c>
      <c r="H475" s="15" t="s">
        <v>471</v>
      </c>
      <c r="I475" s="15" t="s">
        <v>472</v>
      </c>
      <c r="J475" s="15" t="s">
        <v>473</v>
      </c>
      <c r="K475" s="5" t="s">
        <v>377</v>
      </c>
    </row>
    <row r="476" customFormat="false" ht="17.15" hidden="false" customHeight="false" outlineLevel="0" collapsed="false">
      <c r="A476" s="6" t="s">
        <v>493</v>
      </c>
    </row>
    <row r="477" customFormat="false" ht="17.15" hidden="false" customHeight="false" outlineLevel="0" collapsed="false">
      <c r="A477" s="0" t="s">
        <v>494</v>
      </c>
      <c r="B477" s="4" t="s">
        <v>31</v>
      </c>
      <c r="D477" s="21" t="n">
        <f aca="false">unv_26</f>
        <v>7.6</v>
      </c>
      <c r="E477" s="21" t="n">
        <f aca="false">unv_27</f>
        <v>9.7</v>
      </c>
      <c r="F477" s="21" t="n">
        <f aca="false">unv_28*um28_A</f>
        <v>9.5</v>
      </c>
      <c r="G477" s="21" t="n">
        <f aca="false">unv_29*um29_A</f>
        <v>10.6</v>
      </c>
      <c r="K477" s="8" t="s">
        <v>495</v>
      </c>
    </row>
    <row r="478" customFormat="false" ht="17.15" hidden="false" customHeight="false" outlineLevel="0" collapsed="false">
      <c r="A478" s="4" t="s">
        <v>496</v>
      </c>
      <c r="B478" s="4" t="s">
        <v>31</v>
      </c>
      <c r="D478" s="21" t="n">
        <f aca="false">uot_26</f>
        <v>7.6</v>
      </c>
      <c r="E478" s="21" t="n">
        <f aca="false">uot_27</f>
        <v>14</v>
      </c>
      <c r="F478" s="21" t="n">
        <f aca="false">uot_28*um28_A</f>
        <v>17</v>
      </c>
      <c r="G478" s="21" t="n">
        <f aca="false">uot_29*um29_A</f>
        <v>19.55</v>
      </c>
      <c r="K478" s="8" t="s">
        <v>497</v>
      </c>
    </row>
    <row r="479" customFormat="false" ht="17.15" hidden="false" customHeight="false" outlineLevel="0" collapsed="false">
      <c r="A479" s="4" t="s">
        <v>498</v>
      </c>
      <c r="B479" s="4" t="s">
        <v>31</v>
      </c>
      <c r="D479" s="21" t="n">
        <f aca="false">D477+v_ot*D478</f>
        <v>13.68</v>
      </c>
      <c r="E479" s="21" t="n">
        <f aca="false">E477+v_ot*E478</f>
        <v>20.9</v>
      </c>
      <c r="F479" s="21" t="n">
        <f aca="false">F477+v_ot*F478</f>
        <v>23.1</v>
      </c>
      <c r="G479" s="21" t="n">
        <f aca="false">G477+v_ot*G478</f>
        <v>26.24</v>
      </c>
    </row>
    <row r="480" customFormat="false" ht="17.15" hidden="false" customHeight="false" outlineLevel="0" collapsed="false">
      <c r="A480" s="4" t="s">
        <v>499</v>
      </c>
      <c r="B480" s="0" t="s">
        <v>53</v>
      </c>
      <c r="D480" s="22" t="n">
        <f aca="false">1</f>
        <v>1</v>
      </c>
      <c r="E480" s="22" t="n">
        <f aca="false">D480*(1+g_asp)</f>
        <v>1.18</v>
      </c>
      <c r="F480" s="22" t="n">
        <f aca="false">E480*(1+g_asp)</f>
        <v>1.3924</v>
      </c>
      <c r="G480" s="22" t="n">
        <f aca="false">F480*(1+g_asp)</f>
        <v>1.643032</v>
      </c>
    </row>
    <row r="481" customFormat="false" ht="17.15" hidden="false" customHeight="false" outlineLevel="0" collapsed="false">
      <c r="A481" s="4" t="s">
        <v>500</v>
      </c>
      <c r="B481" s="0" t="s">
        <v>53</v>
      </c>
      <c r="D481" s="19" t="n">
        <f aca="false">1</f>
        <v>1</v>
      </c>
      <c r="E481" s="19" t="n">
        <f aca="false">rel_27</f>
        <v>1</v>
      </c>
      <c r="F481" s="19" t="n">
        <f aca="false">rel_28</f>
        <v>0.97</v>
      </c>
      <c r="G481" s="19" t="n">
        <f aca="false">rel_29</f>
        <v>0.95</v>
      </c>
    </row>
    <row r="482" customFormat="false" ht="17.15" hidden="false" customHeight="false" outlineLevel="0" collapsed="false">
      <c r="A482" s="0" t="s">
        <v>501</v>
      </c>
      <c r="B482" s="0" t="s">
        <v>53</v>
      </c>
      <c r="D482" s="22" t="n">
        <f aca="false">D479/$D479*D480*D481</f>
        <v>1</v>
      </c>
      <c r="E482" s="22" t="n">
        <f aca="false">E479/$D479*E480*E481</f>
        <v>1.80277777777778</v>
      </c>
      <c r="F482" s="22" t="n">
        <f aca="false">F479/$D479*F480*F481</f>
        <v>2.28066570175439</v>
      </c>
      <c r="G482" s="22" t="n">
        <f aca="false">G479/$D479*G480*G481</f>
        <v>2.99396942222222</v>
      </c>
      <c r="K482" s="4" t="s">
        <v>502</v>
      </c>
    </row>
    <row r="483" customFormat="false" ht="17.15" hidden="false" customHeight="false" outlineLevel="0" collapsed="false">
      <c r="A483" s="4" t="s">
        <v>503</v>
      </c>
      <c r="B483" s="0" t="s">
        <v>53</v>
      </c>
      <c r="D483" s="22" t="n">
        <f aca="false">1</f>
        <v>1</v>
      </c>
      <c r="E483" s="22" t="n">
        <f aca="false">D483*(1+g_nai)</f>
        <v>1.03</v>
      </c>
      <c r="F483" s="22" t="n">
        <f aca="false">E483*(1+g_nai)</f>
        <v>1.0609</v>
      </c>
      <c r="G483" s="22" t="n">
        <f aca="false">F483*(1+g_nai)</f>
        <v>1.092727</v>
      </c>
    </row>
    <row r="484" customFormat="false" ht="17.15" hidden="false" customHeight="false" outlineLevel="0" collapsed="false">
      <c r="A484" s="0" t="s">
        <v>504</v>
      </c>
      <c r="B484" s="0" t="s">
        <v>53</v>
      </c>
      <c r="D484" s="22" t="n">
        <f aca="false">ai_sh*D482+(1-ai_sh)*D483</f>
        <v>1</v>
      </c>
      <c r="E484" s="22" t="n">
        <f aca="false">ai_sh*E482+(1-ai_sh)*E483</f>
        <v>1.33911111111111</v>
      </c>
      <c r="F484" s="22" t="n">
        <f aca="false">ai_sh*F482+(1-ai_sh)*F483</f>
        <v>1.54880628070175</v>
      </c>
      <c r="G484" s="22" t="n">
        <f aca="false">ai_sh*G482+(1-ai_sh)*G483</f>
        <v>1.85322396888889</v>
      </c>
    </row>
    <row r="485" customFormat="false" ht="17.15" hidden="false" customHeight="false" outlineLevel="0" collapsed="false">
      <c r="A485" s="4" t="s">
        <v>505</v>
      </c>
      <c r="B485" s="0" t="s">
        <v>53</v>
      </c>
      <c r="D485" s="22" t="n">
        <f aca="false">1</f>
        <v>1</v>
      </c>
      <c r="E485" s="22" t="n">
        <f aca="false">cap_27</f>
        <v>1.3</v>
      </c>
      <c r="F485" s="22" t="n">
        <f aca="false">cap_28</f>
        <v>1.55</v>
      </c>
      <c r="G485" s="22" t="n">
        <f aca="false">cap_29</f>
        <v>1.8</v>
      </c>
      <c r="K485" s="4" t="s">
        <v>506</v>
      </c>
    </row>
    <row r="486" customFormat="false" ht="17.15" hidden="false" customHeight="false" outlineLevel="0" collapsed="false">
      <c r="A486" s="4" t="s">
        <v>507</v>
      </c>
      <c r="B486" s="0" t="s">
        <v>53</v>
      </c>
      <c r="D486" s="22" t="n">
        <f aca="false">MIN(D484,D485)</f>
        <v>1</v>
      </c>
      <c r="E486" s="22" t="n">
        <f aca="false">MIN(E484,E485)</f>
        <v>1.3</v>
      </c>
      <c r="F486" s="22" t="n">
        <f aca="false">MIN(F484,F485)</f>
        <v>1.54880628070175</v>
      </c>
      <c r="G486" s="22" t="n">
        <f aca="false">MIN(G484,G485)</f>
        <v>1.8</v>
      </c>
    </row>
    <row r="487" customFormat="false" ht="17.15" hidden="false" customHeight="false" outlineLevel="0" collapsed="false">
      <c r="A487" s="4" t="s">
        <v>508</v>
      </c>
      <c r="B487" s="0" t="s">
        <v>78</v>
      </c>
      <c r="D487" s="17" t="n">
        <f aca="false">D486/D484</f>
        <v>1</v>
      </c>
      <c r="E487" s="17" t="n">
        <f aca="false">E486/E484</f>
        <v>0.970793229339529</v>
      </c>
      <c r="F487" s="17" t="n">
        <f aca="false">F486/F484</f>
        <v>1</v>
      </c>
      <c r="G487" s="17" t="n">
        <f aca="false">G486/G484</f>
        <v>0.971280336439422</v>
      </c>
      <c r="K487" s="4" t="s">
        <v>509</v>
      </c>
    </row>
    <row r="488" customFormat="false" ht="17.15" hidden="false" customHeight="false" outlineLevel="0" collapsed="false">
      <c r="A488" s="0" t="s">
        <v>510</v>
      </c>
      <c r="B488" s="0" t="s">
        <v>53</v>
      </c>
      <c r="D488" s="22" t="n">
        <f aca="false">1</f>
        <v>1</v>
      </c>
      <c r="E488" s="22" t="n">
        <f aca="false">pp_27_lo</f>
        <v>1</v>
      </c>
      <c r="F488" s="22" t="n">
        <f aca="false">pp_28_lo*sp_A</f>
        <v>0.95</v>
      </c>
      <c r="G488" s="22" t="n">
        <f aca="false">pp_29_lo*sp_A</f>
        <v>0.9</v>
      </c>
      <c r="K488" s="8" t="s">
        <v>511</v>
      </c>
    </row>
    <row r="489" customFormat="false" ht="17.15" hidden="false" customHeight="false" outlineLevel="0" collapsed="false">
      <c r="A489" s="0" t="s">
        <v>452</v>
      </c>
      <c r="B489" s="0" t="s">
        <v>170</v>
      </c>
      <c r="D489" s="16" t="n">
        <f aca="false">q26_fm*ai_sh</f>
        <v>48.24</v>
      </c>
      <c r="E489" s="16" t="n">
        <f aca="false">q26_fm*ai_sh*E482*E487*E488</f>
        <v>84.4260039827415</v>
      </c>
      <c r="F489" s="16" t="n">
        <f aca="false">q26_fm*ai_sh*F482*F487*F488</f>
        <v>104.51834778</v>
      </c>
      <c r="G489" s="16" t="n">
        <f aca="false">q26_fm*ai_sh*G482*G487*G488</f>
        <v>126.253017180455</v>
      </c>
      <c r="K489" s="8" t="s">
        <v>512</v>
      </c>
    </row>
    <row r="490" customFormat="false" ht="17.15" hidden="false" customHeight="false" outlineLevel="0" collapsed="false">
      <c r="A490" s="0" t="s">
        <v>513</v>
      </c>
      <c r="B490" s="0" t="s">
        <v>170</v>
      </c>
      <c r="D490" s="16" t="n">
        <f aca="false">q26_fm*(1-ai_sh)</f>
        <v>72.36</v>
      </c>
      <c r="E490" s="16" t="n">
        <f aca="false">q26_fm*(1-ai_sh)*E483*E487*E488</f>
        <v>72.3539960172586</v>
      </c>
      <c r="F490" s="16" t="n">
        <f aca="false">q26_fm*(1-ai_sh)*F483*F487*F488</f>
        <v>72.9283878</v>
      </c>
      <c r="G490" s="16" t="n">
        <f aca="false">q26_fm*(1-ai_sh)*G483*G487*G488</f>
        <v>69.118982819545</v>
      </c>
    </row>
    <row r="491" customFormat="false" ht="17.15" hidden="false" customHeight="false" outlineLevel="0" collapsed="false">
      <c r="A491" s="4" t="s">
        <v>514</v>
      </c>
      <c r="B491" s="0" t="s">
        <v>170</v>
      </c>
      <c r="C491" s="16" t="n">
        <f aca="false">q25_fm</f>
        <v>102.4512</v>
      </c>
      <c r="D491" s="16" t="n">
        <f aca="false">D489+D490</f>
        <v>120.6</v>
      </c>
      <c r="E491" s="16" t="n">
        <f aca="false">E489+E490</f>
        <v>156.78</v>
      </c>
      <c r="F491" s="16" t="n">
        <f aca="false">F489+F490</f>
        <v>177.44673558</v>
      </c>
      <c r="G491" s="16" t="n">
        <f aca="false">G489+G490</f>
        <v>195.372</v>
      </c>
    </row>
    <row r="492" customFormat="false" ht="17.15" hidden="false" customHeight="false" outlineLevel="0" collapsed="false">
      <c r="A492" s="0" t="s">
        <v>515</v>
      </c>
      <c r="B492" s="0" t="s">
        <v>78</v>
      </c>
      <c r="C492" s="17" t="n">
        <f aca="false">q25_fmbp/q25_fm</f>
        <v>0.532936656671664</v>
      </c>
      <c r="D492" s="17" t="n">
        <f aca="false">q26_fmbp/q26_fm</f>
        <v>0.543117744610282</v>
      </c>
      <c r="E492" s="17" t="n">
        <f aca="false">1-(1-$D492)*(1+c_g)^1/E488</f>
        <v>0.52941127694859</v>
      </c>
      <c r="F492" s="17" t="n">
        <f aca="false">1-(1-$D492)*(1+c_g)^2/F488</f>
        <v>0.489782752902156</v>
      </c>
      <c r="G492" s="17" t="n">
        <f aca="false">1-(1-$D492)*(1+c_g)^3/G488</f>
        <v>0.445280470794177</v>
      </c>
      <c r="K492" s="8" t="s">
        <v>516</v>
      </c>
    </row>
    <row r="493" customFormat="false" ht="17.15" hidden="false" customHeight="false" outlineLevel="0" collapsed="false">
      <c r="A493" s="0" t="s">
        <v>478</v>
      </c>
      <c r="B493" s="0" t="s">
        <v>170</v>
      </c>
      <c r="C493" s="16" t="n">
        <f aca="false">q25_fmbp</f>
        <v>54.6</v>
      </c>
      <c r="D493" s="16" t="n">
        <f aca="false">D491*D492</f>
        <v>65.5</v>
      </c>
      <c r="E493" s="16" t="n">
        <f aca="false">E491*E492</f>
        <v>83.0011</v>
      </c>
      <c r="F493" s="16" t="n">
        <f aca="false">F491*F492</f>
        <v>86.9103506458733</v>
      </c>
      <c r="G493" s="16" t="n">
        <f aca="false">G491*G492</f>
        <v>86.99533614</v>
      </c>
    </row>
    <row r="494" customFormat="false" ht="17.15" hidden="false" customHeight="false" outlineLevel="0" collapsed="false">
      <c r="A494" s="6" t="s">
        <v>517</v>
      </c>
    </row>
    <row r="495" customFormat="false" ht="15" hidden="false" customHeight="false" outlineLevel="0" collapsed="false">
      <c r="A495" s="4" t="s">
        <v>518</v>
      </c>
      <c r="B495" s="0" t="s">
        <v>170</v>
      </c>
      <c r="C495" s="16" t="n">
        <f aca="false">q25_sf</f>
        <v>936.926</v>
      </c>
      <c r="D495" s="16" t="n">
        <f aca="false">q26_sf</f>
        <v>998.6</v>
      </c>
      <c r="E495" s="16" t="n">
        <f aca="false">D495*(1+g_sf)</f>
        <v>1038.544</v>
      </c>
      <c r="F495" s="16" t="n">
        <f aca="false">E495*(1+g_sf)</f>
        <v>1080.08576</v>
      </c>
      <c r="G495" s="16" t="n">
        <f aca="false">F495*(1+g_sf)</f>
        <v>1123.2891904</v>
      </c>
    </row>
    <row r="496" customFormat="false" ht="15" hidden="false" customHeight="false" outlineLevel="0" collapsed="false">
      <c r="A496" s="4" t="s">
        <v>519</v>
      </c>
      <c r="B496" s="0" t="s">
        <v>170</v>
      </c>
      <c r="C496" s="16" t="n">
        <f aca="false">q25_sfbp</f>
        <v>143.036</v>
      </c>
      <c r="D496" s="16" t="n">
        <f aca="false">q26_sfbp</f>
        <v>145.9</v>
      </c>
      <c r="E496" s="16" t="n">
        <f aca="false">E495*m_sf</f>
        <v>151.736</v>
      </c>
      <c r="F496" s="16" t="n">
        <f aca="false">F495*m_sf</f>
        <v>157.80544</v>
      </c>
      <c r="G496" s="16" t="n">
        <f aca="false">G495*m_sf</f>
        <v>164.1176576</v>
      </c>
    </row>
    <row r="497" customFormat="false" ht="15" hidden="false" customHeight="false" outlineLevel="0" collapsed="false">
      <c r="A497" s="4" t="s">
        <v>520</v>
      </c>
      <c r="B497" s="0" t="s">
        <v>170</v>
      </c>
      <c r="C497" s="16" t="n">
        <f aca="false">q25_ff</f>
        <v>290.308</v>
      </c>
      <c r="D497" s="16" t="n">
        <f aca="false">q26_ff</f>
        <v>310.6</v>
      </c>
      <c r="E497" s="16" t="n">
        <f aca="false">D497*(1+g_ff)</f>
        <v>319.918</v>
      </c>
      <c r="F497" s="16" t="n">
        <f aca="false">E497*(1+g_ff)</f>
        <v>329.51554</v>
      </c>
      <c r="G497" s="16" t="n">
        <f aca="false">F497*(1+g_ff)</f>
        <v>339.4010062</v>
      </c>
    </row>
    <row r="498" customFormat="false" ht="15" hidden="false" customHeight="false" outlineLevel="0" collapsed="false">
      <c r="A498" s="4" t="s">
        <v>521</v>
      </c>
      <c r="B498" s="0" t="s">
        <v>170</v>
      </c>
      <c r="C498" s="16" t="n">
        <f aca="false">q25_ffbp</f>
        <v>8.457</v>
      </c>
      <c r="D498" s="16" t="n">
        <f aca="false">q26_ffbp</f>
        <v>12.1</v>
      </c>
      <c r="E498" s="16" t="n">
        <f aca="false">E497*m_ff</f>
        <v>14.39631</v>
      </c>
      <c r="F498" s="16" t="n">
        <f aca="false">F497*m_ff</f>
        <v>14.8281993</v>
      </c>
      <c r="G498" s="16" t="n">
        <f aca="false">G497*m_ff</f>
        <v>15.273045279</v>
      </c>
    </row>
    <row r="499" customFormat="false" ht="17.15" hidden="false" customHeight="false" outlineLevel="0" collapsed="false">
      <c r="A499" s="4" t="s">
        <v>522</v>
      </c>
      <c r="B499" s="0" t="s">
        <v>170</v>
      </c>
      <c r="C499" s="16" t="n">
        <f aca="false">q25_hox</f>
        <v>239.0528</v>
      </c>
      <c r="D499" s="16" t="n">
        <f aca="false">q26_hox</f>
        <v>286.2</v>
      </c>
      <c r="E499" s="16" t="n">
        <f aca="false">D499*(1+g_ho)</f>
        <v>300.51</v>
      </c>
      <c r="F499" s="16" t="n">
        <f aca="false">E499*(1+g_ho)</f>
        <v>315.5355</v>
      </c>
      <c r="G499" s="16" t="n">
        <f aca="false">F499*(1+g_ho)</f>
        <v>331.312275</v>
      </c>
    </row>
    <row r="500" customFormat="false" ht="17.15" hidden="false" customHeight="false" outlineLevel="0" collapsed="false">
      <c r="A500" s="4" t="s">
        <v>523</v>
      </c>
      <c r="B500" s="0" t="s">
        <v>170</v>
      </c>
      <c r="C500" s="16" t="n">
        <f aca="false">q25_hoxbp</f>
        <v>11.602</v>
      </c>
      <c r="D500" s="16" t="n">
        <f aca="false">q26_hoxbp</f>
        <v>19.5</v>
      </c>
      <c r="E500" s="16" t="n">
        <f aca="false">E499*m_ho</f>
        <v>20.475</v>
      </c>
      <c r="F500" s="16" t="n">
        <f aca="false">F499*m_ho</f>
        <v>21.49875</v>
      </c>
      <c r="G500" s="16" t="n">
        <f aca="false">G499*m_ho</f>
        <v>22.5736875</v>
      </c>
    </row>
    <row r="501" customFormat="false" ht="17.15" hidden="false" customHeight="false" outlineLevel="0" collapsed="false">
      <c r="A501" s="4" t="s">
        <v>524</v>
      </c>
      <c r="B501" s="0" t="s">
        <v>170</v>
      </c>
      <c r="C501" s="16" t="n">
        <f aca="false">q25_oth</f>
        <v>14.979</v>
      </c>
      <c r="D501" s="16" t="n">
        <f aca="false">q26_oth</f>
        <v>15.8</v>
      </c>
      <c r="E501" s="16" t="n">
        <f aca="false">D501</f>
        <v>15.8</v>
      </c>
      <c r="F501" s="16" t="n">
        <f aca="false">E501</f>
        <v>15.8</v>
      </c>
      <c r="G501" s="16" t="n">
        <f aca="false">F501</f>
        <v>15.8</v>
      </c>
      <c r="K501" s="8" t="s">
        <v>525</v>
      </c>
    </row>
    <row r="502" customFormat="false" ht="15" hidden="false" customHeight="false" outlineLevel="0" collapsed="false">
      <c r="A502" s="4" t="s">
        <v>526</v>
      </c>
      <c r="B502" s="0" t="s">
        <v>170</v>
      </c>
      <c r="C502" s="16" t="n">
        <f aca="false">q25_othbp</f>
        <v>6.064</v>
      </c>
      <c r="D502" s="16" t="n">
        <f aca="false">q26_othbp</f>
        <v>5.1</v>
      </c>
      <c r="E502" s="16" t="n">
        <f aca="false">q26_othbp</f>
        <v>5.1</v>
      </c>
      <c r="F502" s="16" t="n">
        <f aca="false">q26_othbp</f>
        <v>5.1</v>
      </c>
      <c r="G502" s="16" t="n">
        <f aca="false">q26_othbp</f>
        <v>5.1</v>
      </c>
    </row>
    <row r="503" customFormat="false" ht="15" hidden="false" customHeight="false" outlineLevel="0" collapsed="false">
      <c r="A503" s="4" t="s">
        <v>527</v>
      </c>
      <c r="B503" s="0" t="s">
        <v>170</v>
      </c>
      <c r="C503" s="16" t="n">
        <f aca="false">q25_cc</f>
        <v>-42.597</v>
      </c>
      <c r="D503" s="16" t="n">
        <f aca="false">q26_cc</f>
        <v>-46.2</v>
      </c>
      <c r="E503" s="16" t="n">
        <f aca="false">D503*(1+g_cc)</f>
        <v>-47.586</v>
      </c>
      <c r="F503" s="16" t="n">
        <f aca="false">E503*(1+g_cc)</f>
        <v>-49.01358</v>
      </c>
      <c r="G503" s="16" t="n">
        <f aca="false">F503*(1+g_cc)</f>
        <v>-50.4839874</v>
      </c>
    </row>
    <row r="504" customFormat="false" ht="17.15" hidden="false" customHeight="false" outlineLevel="0" collapsed="false">
      <c r="A504" s="4" t="s">
        <v>528</v>
      </c>
      <c r="B504" s="0" t="s">
        <v>170</v>
      </c>
      <c r="C504" s="28" t="n">
        <f aca="false">a_rev-(q25_sf+q25_ff+q25_hox+q25_fm+q25_oth)</f>
        <v>0.00200000000018008</v>
      </c>
      <c r="D504" s="28" t="n">
        <f aca="false">f_rev-(q26_sf+q26_ff+q26_hox+q26_fm+q26_oth)</f>
        <v>0.200000000000045</v>
      </c>
      <c r="E504" s="28" t="n">
        <f aca="false">$D504</f>
        <v>0.200000000000045</v>
      </c>
      <c r="F504" s="28" t="n">
        <f aca="false">$D504</f>
        <v>0.200000000000045</v>
      </c>
      <c r="G504" s="28" t="n">
        <f aca="false">$D504</f>
        <v>0.200000000000045</v>
      </c>
      <c r="K504" s="8" t="s">
        <v>529</v>
      </c>
    </row>
    <row r="505" customFormat="false" ht="15" hidden="false" customHeight="false" outlineLevel="0" collapsed="false">
      <c r="A505" s="4" t="s">
        <v>530</v>
      </c>
      <c r="B505" s="0" t="s">
        <v>170</v>
      </c>
      <c r="C505" s="28" t="n">
        <f aca="false">a_bp-(q25_sfbp+q25_ffbp+q25_hoxbp+q25_fmbp+q25_othbp+q25_cc)</f>
        <v>0.0010000000000332</v>
      </c>
      <c r="D505" s="28" t="n">
        <f aca="false">f_bp-(q26_sfbp+q26_ffbp+q26_hoxbp+q26_fmbp+q26_othbp+q26_cc)</f>
        <v>0.100000000000023</v>
      </c>
      <c r="E505" s="28" t="n">
        <f aca="false">$D505</f>
        <v>0.100000000000023</v>
      </c>
      <c r="F505" s="28" t="n">
        <f aca="false">$D505</f>
        <v>0.100000000000023</v>
      </c>
      <c r="G505" s="28" t="n">
        <f aca="false">$D505</f>
        <v>0.100000000000023</v>
      </c>
    </row>
    <row r="506" customFormat="false" ht="17.15" hidden="false" customHeight="false" outlineLevel="0" collapsed="false">
      <c r="A506" s="6" t="s">
        <v>531</v>
      </c>
    </row>
    <row r="507" customFormat="false" ht="17.15" hidden="false" customHeight="false" outlineLevel="0" collapsed="false">
      <c r="A507" s="4" t="s">
        <v>403</v>
      </c>
      <c r="B507" s="0" t="s">
        <v>170</v>
      </c>
      <c r="C507" s="16" t="n">
        <f aca="false">C495+C497+C499+C491+C501+C504</f>
        <v>1583.719</v>
      </c>
      <c r="D507" s="16" t="n">
        <f aca="false">D495+D497+D499+D491+D501+D504</f>
        <v>1732</v>
      </c>
      <c r="E507" s="16" t="n">
        <f aca="false">E495+E497+E499+E491+E501+E504</f>
        <v>1831.752</v>
      </c>
      <c r="F507" s="16" t="n">
        <f aca="false">F495+F497+F499+F491+F501+F504</f>
        <v>1918.58353558</v>
      </c>
      <c r="G507" s="16" t="n">
        <f aca="false">G495+G497+G499+G491+G501+G504</f>
        <v>2005.3744716</v>
      </c>
      <c r="H507" s="24" t="n">
        <f aca="false">G507*(1+H511)</f>
        <v>2105.96002526813</v>
      </c>
      <c r="I507" s="24" t="n">
        <f aca="false">H507*(1+I511)</f>
        <v>2221.95418748221</v>
      </c>
      <c r="J507" s="24" t="n">
        <f aca="false">I507*(1+J511)</f>
        <v>2355.27143873115</v>
      </c>
      <c r="K507" s="8" t="s">
        <v>532</v>
      </c>
    </row>
    <row r="508" customFormat="false" ht="17.15" hidden="false" customHeight="false" outlineLevel="0" collapsed="false">
      <c r="A508" s="4" t="s">
        <v>533</v>
      </c>
      <c r="B508" s="0" t="s">
        <v>170</v>
      </c>
      <c r="C508" s="16" t="n">
        <f aca="false">C491+C499</f>
        <v>341.504</v>
      </c>
      <c r="D508" s="16" t="n">
        <f aca="false">D491+D499</f>
        <v>406.8</v>
      </c>
      <c r="E508" s="16" t="n">
        <f aca="false">E491+E499</f>
        <v>457.29</v>
      </c>
      <c r="F508" s="16" t="n">
        <f aca="false">F491+F499</f>
        <v>492.98223558</v>
      </c>
      <c r="G508" s="16" t="n">
        <f aca="false">G491+G499</f>
        <v>526.684275</v>
      </c>
      <c r="K508" s="4" t="s">
        <v>534</v>
      </c>
    </row>
    <row r="509" customFormat="false" ht="17.15" hidden="false" customHeight="false" outlineLevel="0" collapsed="false">
      <c r="A509" s="4" t="s">
        <v>535</v>
      </c>
      <c r="B509" s="0" t="s">
        <v>170</v>
      </c>
      <c r="C509" s="16" t="n">
        <f aca="false">C501+C504</f>
        <v>14.9810000000002</v>
      </c>
      <c r="D509" s="16" t="n">
        <f aca="false">D501+D504</f>
        <v>16</v>
      </c>
      <c r="E509" s="16" t="n">
        <f aca="false">E501+E504</f>
        <v>16</v>
      </c>
      <c r="F509" s="16" t="n">
        <f aca="false">F501+F504</f>
        <v>16</v>
      </c>
      <c r="G509" s="16" t="n">
        <f aca="false">G501+G504</f>
        <v>16</v>
      </c>
      <c r="K509" s="8" t="s">
        <v>536</v>
      </c>
    </row>
    <row r="510" customFormat="false" ht="15" hidden="false" customHeight="false" outlineLevel="0" collapsed="false">
      <c r="A510" s="4" t="s">
        <v>537</v>
      </c>
      <c r="B510" s="0" t="s">
        <v>170</v>
      </c>
      <c r="C510" s="22" t="n">
        <f aca="false">C495+C497+C508+C509-C507</f>
        <v>0</v>
      </c>
      <c r="D510" s="22" t="n">
        <f aca="false">D495+D497+D508+D509-D507</f>
        <v>0</v>
      </c>
      <c r="E510" s="22" t="n">
        <f aca="false">E495+E497+E508+E509-E507</f>
        <v>0</v>
      </c>
      <c r="F510" s="22" t="n">
        <f aca="false">F495+F497+F508+F509-F507</f>
        <v>0</v>
      </c>
      <c r="G510" s="22" t="n">
        <f aca="false">G495+G497+G508+G509-G507</f>
        <v>0</v>
      </c>
    </row>
    <row r="511" customFormat="false" ht="15" hidden="false" customHeight="false" outlineLevel="0" collapsed="false">
      <c r="A511" s="4" t="s">
        <v>538</v>
      </c>
      <c r="B511" s="0" t="s">
        <v>78</v>
      </c>
      <c r="D511" s="17" t="n">
        <f aca="false">D507/C507-1</f>
        <v>0.0936283519993131</v>
      </c>
      <c r="E511" s="17" t="n">
        <f aca="false">E507/D507-1</f>
        <v>0.0575935334872979</v>
      </c>
      <c r="F511" s="17" t="n">
        <f aca="false">F507/E507-1</f>
        <v>0.0474035434818689</v>
      </c>
      <c r="G511" s="17" t="n">
        <f aca="false">G507/F507-1</f>
        <v>0.0452369857295594</v>
      </c>
      <c r="H511" s="25" t="n">
        <f aca="false">$G511+(fade_gA-$G511)*1/3</f>
        <v>0.0501579904863729</v>
      </c>
      <c r="I511" s="25" t="n">
        <f aca="false">$G511+(fade_gA-$G511)*2/3</f>
        <v>0.0550789952431865</v>
      </c>
      <c r="J511" s="25" t="n">
        <f aca="false">$G511+(fade_gA-$G511)*3/3</f>
        <v>0.06</v>
      </c>
    </row>
    <row r="512" customFormat="false" ht="17.15" hidden="false" customHeight="false" outlineLevel="0" collapsed="false">
      <c r="A512" s="0" t="s">
        <v>539</v>
      </c>
      <c r="B512" s="0" t="s">
        <v>78</v>
      </c>
      <c r="C512" s="17" t="n">
        <f aca="false">C491/C507</f>
        <v>0.0646902638662541</v>
      </c>
      <c r="D512" s="17" t="n">
        <f aca="false">D491/D507</f>
        <v>0.0696304849884527</v>
      </c>
      <c r="E512" s="17" t="n">
        <f aca="false">E491/E507</f>
        <v>0.0855901890648953</v>
      </c>
      <c r="F512" s="17" t="n">
        <f aca="false">F491/F507</f>
        <v>0.09248840735327</v>
      </c>
      <c r="G512" s="17" t="n">
        <f aca="false">G491/G507</f>
        <v>0.0974241982067924</v>
      </c>
    </row>
    <row r="513" customFormat="false" ht="15" hidden="false" customHeight="false" outlineLevel="0" collapsed="false">
      <c r="A513" s="4" t="s">
        <v>413</v>
      </c>
      <c r="B513" s="0" t="s">
        <v>170</v>
      </c>
      <c r="C513" s="16" t="n">
        <f aca="false">C496+C498+C500+C493+C502+C503+C505</f>
        <v>181.163</v>
      </c>
      <c r="D513" s="16" t="n">
        <f aca="false">D496+D498+D500+D493+D502+D503+D505</f>
        <v>202</v>
      </c>
      <c r="E513" s="16" t="n">
        <f aca="false">E496+E498+E500+E493+E502+E503+E505</f>
        <v>227.22241</v>
      </c>
      <c r="F513" s="16" t="n">
        <f aca="false">F496+F498+F500+F493+F502+F503+F505</f>
        <v>237.229159945873</v>
      </c>
      <c r="G513" s="16" t="n">
        <f aca="false">G496+G498+G500+G493+G502+G503+G505</f>
        <v>243.675739119</v>
      </c>
    </row>
    <row r="514" customFormat="false" ht="15" hidden="false" customHeight="false" outlineLevel="0" collapsed="false">
      <c r="A514" s="4" t="s">
        <v>429</v>
      </c>
      <c r="B514" s="0" t="s">
        <v>78</v>
      </c>
      <c r="C514" s="17" t="n">
        <f aca="false">C513/C507</f>
        <v>0.114390873633517</v>
      </c>
      <c r="D514" s="17" t="n">
        <f aca="false">D513/D507</f>
        <v>0.11662817551963</v>
      </c>
      <c r="E514" s="17" t="n">
        <f aca="false">E513/E507</f>
        <v>0.124046492101551</v>
      </c>
      <c r="F514" s="17" t="n">
        <f aca="false">F513/F507</f>
        <v>0.123648074502087</v>
      </c>
      <c r="G514" s="17" t="n">
        <f aca="false">G513/G507</f>
        <v>0.121511339936716</v>
      </c>
    </row>
    <row r="515" customFormat="false" ht="17.15" hidden="false" customHeight="false" outlineLevel="0" collapsed="false">
      <c r="A515" s="0" t="s">
        <v>540</v>
      </c>
      <c r="B515" s="0" t="s">
        <v>78</v>
      </c>
      <c r="C515" s="17" t="n">
        <f aca="false">C493/C513</f>
        <v>0.301386044611758</v>
      </c>
      <c r="D515" s="17" t="n">
        <f aca="false">D493/D513</f>
        <v>0.324257425742574</v>
      </c>
      <c r="E515" s="17" t="n">
        <f aca="false">E493/E513</f>
        <v>0.36528571279567</v>
      </c>
      <c r="F515" s="17" t="n">
        <f aca="false">F493/F513</f>
        <v>0.366356103379968</v>
      </c>
      <c r="G515" s="17" t="n">
        <f aca="false">G493/G513</f>
        <v>0.357012710639673</v>
      </c>
    </row>
    <row r="516" customFormat="false" ht="17.15" hidden="false" customHeight="false" outlineLevel="0" collapsed="false">
      <c r="A516" s="4" t="s">
        <v>430</v>
      </c>
      <c r="B516" s="0" t="s">
        <v>53</v>
      </c>
      <c r="C516" s="22" t="n">
        <f aca="false">q25_ni/q25_bp</f>
        <v>0.743391310587703</v>
      </c>
      <c r="D516" s="22" t="n">
        <f aca="false">q26_ni/q26_bp</f>
        <v>0.611386138613861</v>
      </c>
      <c r="E516" s="22" t="n">
        <f aca="false">ni_bp</f>
        <v>0.62</v>
      </c>
      <c r="F516" s="22" t="n">
        <f aca="false">ni_bp</f>
        <v>0.62</v>
      </c>
      <c r="G516" s="22" t="n">
        <f aca="false">ni_bp</f>
        <v>0.62</v>
      </c>
    </row>
    <row r="517" customFormat="false" ht="15" hidden="false" customHeight="false" outlineLevel="0" collapsed="false">
      <c r="A517" s="4" t="s">
        <v>420</v>
      </c>
      <c r="B517" s="0" t="s">
        <v>170</v>
      </c>
      <c r="C517" s="16" t="n">
        <f aca="false">q25_ni</f>
        <v>134.675</v>
      </c>
      <c r="D517" s="16" t="n">
        <f aca="false">q26_ni</f>
        <v>123.5</v>
      </c>
      <c r="E517" s="16" t="n">
        <f aca="false">E513*E516</f>
        <v>140.8778942</v>
      </c>
      <c r="F517" s="16" t="n">
        <f aca="false">F513*F516</f>
        <v>147.082079166442</v>
      </c>
      <c r="G517" s="16" t="n">
        <f aca="false">G513*G516</f>
        <v>151.07895825378</v>
      </c>
      <c r="H517" s="24" t="n">
        <f aca="false">H507*H521</f>
        <v>167.550472105011</v>
      </c>
      <c r="I517" s="24" t="n">
        <f aca="false">I507*I521</f>
        <v>186.162536550798</v>
      </c>
      <c r="J517" s="24" t="n">
        <f aca="false">J507*J521</f>
        <v>207.278854700951</v>
      </c>
    </row>
    <row r="518" customFormat="false" ht="15" hidden="false" customHeight="false" outlineLevel="0" collapsed="false">
      <c r="A518" s="4" t="s">
        <v>541</v>
      </c>
      <c r="B518" s="4" t="s">
        <v>317</v>
      </c>
      <c r="C518" s="20" t="n">
        <f aca="false">q25_sh</f>
        <v>0.973366579936398</v>
      </c>
      <c r="D518" s="20" t="n">
        <f aca="false">q26_sh</f>
        <v>0.95117067159581</v>
      </c>
      <c r="E518" s="20" t="n">
        <f aca="false">D518*(1+sh_g)</f>
        <v>0.936903111521873</v>
      </c>
      <c r="F518" s="20" t="n">
        <f aca="false">E518*(1+sh_g)</f>
        <v>0.922849564849045</v>
      </c>
      <c r="G518" s="20" t="n">
        <f aca="false">F518*(1+sh_g)</f>
        <v>0.909006821376309</v>
      </c>
      <c r="H518" s="29" t="n">
        <f aca="false">G518*(1+sh_g)</f>
        <v>0.895371719055665</v>
      </c>
      <c r="I518" s="29" t="n">
        <f aca="false">H518*(1+sh_g)</f>
        <v>0.88194114326983</v>
      </c>
      <c r="J518" s="29" t="n">
        <f aca="false">I518*(1+sh_g)</f>
        <v>0.868712026120782</v>
      </c>
    </row>
    <row r="519" customFormat="false" ht="17.15" hidden="false" customHeight="false" outlineLevel="0" collapsed="false">
      <c r="A519" s="0" t="s">
        <v>542</v>
      </c>
      <c r="B519" s="0" t="s">
        <v>208</v>
      </c>
      <c r="C519" s="21" t="n">
        <f aca="false">C517/C518</f>
        <v>138.36</v>
      </c>
      <c r="D519" s="21" t="n">
        <f aca="false">D517/D518</f>
        <v>129.84</v>
      </c>
      <c r="E519" s="21" t="n">
        <f aca="false">E517/E518</f>
        <v>150.365488669541</v>
      </c>
      <c r="F519" s="21" t="n">
        <f aca="false">F517/F518</f>
        <v>159.378174697954</v>
      </c>
      <c r="G519" s="21" t="n">
        <f aca="false">G517/G518</f>
        <v>166.20222720115</v>
      </c>
      <c r="H519" s="27" t="n">
        <f aca="false">H517/H518</f>
        <v>187.129511172996</v>
      </c>
      <c r="I519" s="27" t="n">
        <f aca="false">I517/I518</f>
        <v>211.082721303367</v>
      </c>
      <c r="J519" s="27" t="n">
        <f aca="false">J517/J518</f>
        <v>238.604794763289</v>
      </c>
    </row>
    <row r="520" customFormat="false" ht="17.15" hidden="false" customHeight="false" outlineLevel="0" collapsed="false">
      <c r="A520" s="0" t="s">
        <v>543</v>
      </c>
      <c r="B520" s="0" t="s">
        <v>78</v>
      </c>
      <c r="D520" s="17" t="n">
        <f aca="false">D519/C519-1</f>
        <v>-0.0615784908933218</v>
      </c>
      <c r="E520" s="17" t="n">
        <f aca="false">E519/D519-1</f>
        <v>0.158082937997082</v>
      </c>
      <c r="F520" s="17" t="n">
        <f aca="false">F519/E519-1</f>
        <v>0.0599385278374589</v>
      </c>
      <c r="G520" s="17" t="n">
        <f aca="false">G519/F519-1</f>
        <v>0.0428167314384709</v>
      </c>
      <c r="H520" s="25" t="n">
        <f aca="false">H519/G519-1</f>
        <v>0.125914582038173</v>
      </c>
      <c r="I520" s="25" t="n">
        <f aca="false">I519/H519-1</f>
        <v>0.128003381082031</v>
      </c>
      <c r="J520" s="25" t="n">
        <f aca="false">J519/I519-1</f>
        <v>0.130385250341585</v>
      </c>
    </row>
    <row r="521" customFormat="false" ht="15" hidden="false" customHeight="false" outlineLevel="0" collapsed="false">
      <c r="A521" s="4" t="s">
        <v>544</v>
      </c>
      <c r="B521" s="0" t="s">
        <v>78</v>
      </c>
      <c r="C521" s="14" t="n">
        <f aca="false">C517/C507</f>
        <v>0.0850371814696925</v>
      </c>
      <c r="D521" s="14" t="n">
        <f aca="false">D517/D507</f>
        <v>0.0713048498845266</v>
      </c>
      <c r="E521" s="14" t="n">
        <f aca="false">E517/E507</f>
        <v>0.0769088251029616</v>
      </c>
      <c r="F521" s="14" t="n">
        <f aca="false">F517/F507</f>
        <v>0.076661806191294</v>
      </c>
      <c r="G521" s="14" t="n">
        <f aca="false">G517/G507</f>
        <v>0.075337030760764</v>
      </c>
      <c r="H521" s="26" t="n">
        <f aca="false">$G521+(fade_mA-$G521)*1/3</f>
        <v>0.0795601388889987</v>
      </c>
      <c r="I521" s="26" t="n">
        <f aca="false">$G521+(fade_mA-$G521)*2/3</f>
        <v>0.0837832470172333</v>
      </c>
      <c r="J521" s="26" t="n">
        <f aca="false">$G521+(fade_mA-$G521)*3/3</f>
        <v>0.088006355145468</v>
      </c>
    </row>
    <row r="522" customFormat="false" ht="17.15" hidden="false" customHeight="false" outlineLevel="0" collapsed="false">
      <c r="A522" s="0" t="s">
        <v>545</v>
      </c>
      <c r="B522" s="0" t="s">
        <v>208</v>
      </c>
      <c r="D522" s="21" t="n">
        <f aca="false">D493*D516/D518</f>
        <v>42.1015841584158</v>
      </c>
      <c r="E522" s="21" t="n">
        <f aca="false">E493*E516/E518</f>
        <v>54.9263647085226</v>
      </c>
      <c r="F522" s="21" t="n">
        <f aca="false">F493*F516/F518</f>
        <v>58.3891670461541</v>
      </c>
      <c r="G522" s="21" t="n">
        <f aca="false">G493*G516/G518</f>
        <v>59.3363076474332</v>
      </c>
      <c r="K522" s="8" t="s">
        <v>546</v>
      </c>
    </row>
    <row r="523" customFormat="false" ht="17.15" hidden="false" customHeight="false" outlineLevel="0" collapsed="false">
      <c r="A523" s="0" t="s">
        <v>547</v>
      </c>
      <c r="B523" s="0" t="s">
        <v>208</v>
      </c>
      <c r="D523" s="21" t="n">
        <f aca="false">D519-D522</f>
        <v>87.7384158415842</v>
      </c>
      <c r="E523" s="21" t="n">
        <f aca="false">E519-E522</f>
        <v>95.4391239610185</v>
      </c>
      <c r="F523" s="21" t="n">
        <f aca="false">F519-F522</f>
        <v>100.989007651799</v>
      </c>
      <c r="G523" s="21" t="n">
        <f aca="false">G519-G522</f>
        <v>106.865919553716</v>
      </c>
    </row>
    <row r="524" customFormat="false" ht="17.15" hidden="false" customHeight="false" outlineLevel="0" collapsed="false">
      <c r="A524" s="0" t="s">
        <v>548</v>
      </c>
      <c r="B524" s="0" t="s">
        <v>455</v>
      </c>
      <c r="D524" s="16" t="n">
        <f aca="false">D489/D479*1000/150</f>
        <v>23.5087719298246</v>
      </c>
      <c r="E524" s="16" t="n">
        <f aca="false">E489/E479*1000/150</f>
        <v>26.9301448110818</v>
      </c>
      <c r="F524" s="16" t="n">
        <f aca="false">F489/F479*1000/150</f>
        <v>30.1640253333333</v>
      </c>
      <c r="G524" s="16" t="n">
        <f aca="false">G489/G479*1000/150</f>
        <v>32.0764779421888</v>
      </c>
      <c r="K524" s="8" t="s">
        <v>549</v>
      </c>
    </row>
    <row r="527" customFormat="false" ht="17.15" hidden="false" customHeight="false" outlineLevel="0" collapsed="false">
      <c r="A527" s="1" t="s">
        <v>946</v>
      </c>
    </row>
    <row r="528" customFormat="false" ht="17.15" hidden="false" customHeight="false" outlineLevel="0" collapsed="false">
      <c r="A528" s="5" t="s">
        <v>20</v>
      </c>
      <c r="B528" s="5" t="s">
        <v>21</v>
      </c>
      <c r="C528" s="15" t="s">
        <v>398</v>
      </c>
      <c r="D528" s="15" t="s">
        <v>470</v>
      </c>
      <c r="E528" s="15" t="s">
        <v>435</v>
      </c>
      <c r="F528" s="15" t="s">
        <v>436</v>
      </c>
      <c r="G528" s="15" t="s">
        <v>437</v>
      </c>
      <c r="H528" s="15" t="s">
        <v>471</v>
      </c>
      <c r="I528" s="15" t="s">
        <v>472</v>
      </c>
      <c r="J528" s="15" t="s">
        <v>473</v>
      </c>
      <c r="K528" s="5" t="s">
        <v>377</v>
      </c>
    </row>
    <row r="529" customFormat="false" ht="17.15" hidden="false" customHeight="false" outlineLevel="0" collapsed="false">
      <c r="A529" s="6" t="s">
        <v>493</v>
      </c>
    </row>
    <row r="530" customFormat="false" ht="17.15" hidden="false" customHeight="false" outlineLevel="0" collapsed="false">
      <c r="A530" s="0" t="s">
        <v>494</v>
      </c>
      <c r="B530" s="4" t="s">
        <v>31</v>
      </c>
      <c r="D530" s="21" t="n">
        <f aca="false">unv_26</f>
        <v>7.6</v>
      </c>
      <c r="E530" s="21" t="n">
        <f aca="false">unv_27</f>
        <v>9.7</v>
      </c>
      <c r="F530" s="21" t="n">
        <f aca="false">unv_28*um28_A</f>
        <v>9.5</v>
      </c>
      <c r="G530" s="21" t="n">
        <f aca="false">unv_29*um29_A</f>
        <v>10.6</v>
      </c>
      <c r="K530" s="8" t="s">
        <v>495</v>
      </c>
    </row>
    <row r="531" customFormat="false" ht="17.15" hidden="false" customHeight="false" outlineLevel="0" collapsed="false">
      <c r="A531" s="4" t="s">
        <v>496</v>
      </c>
      <c r="B531" s="4" t="s">
        <v>31</v>
      </c>
      <c r="D531" s="21" t="n">
        <f aca="false">uot_26</f>
        <v>7.6</v>
      </c>
      <c r="E531" s="21" t="n">
        <f aca="false">uot_27</f>
        <v>14</v>
      </c>
      <c r="F531" s="21" t="n">
        <f aca="false">uot_28*um28_A</f>
        <v>17</v>
      </c>
      <c r="G531" s="21" t="n">
        <f aca="false">uot_29*um29_A</f>
        <v>19.55</v>
      </c>
      <c r="K531" s="8" t="s">
        <v>497</v>
      </c>
    </row>
    <row r="532" customFormat="false" ht="17.15" hidden="false" customHeight="false" outlineLevel="0" collapsed="false">
      <c r="A532" s="4" t="s">
        <v>498</v>
      </c>
      <c r="B532" s="4" t="s">
        <v>31</v>
      </c>
      <c r="D532" s="21" t="n">
        <f aca="false">D530+v_ot*D531</f>
        <v>13.68</v>
      </c>
      <c r="E532" s="21" t="n">
        <f aca="false">E530+v_ot*E531</f>
        <v>20.9</v>
      </c>
      <c r="F532" s="21" t="n">
        <f aca="false">F530+v_ot*F531</f>
        <v>23.1</v>
      </c>
      <c r="G532" s="21" t="n">
        <f aca="false">G530+v_ot*G531</f>
        <v>26.24</v>
      </c>
    </row>
    <row r="533" customFormat="false" ht="17.15" hidden="false" customHeight="false" outlineLevel="0" collapsed="false">
      <c r="A533" s="4" t="s">
        <v>499</v>
      </c>
      <c r="B533" s="0" t="s">
        <v>53</v>
      </c>
      <c r="D533" s="22" t="n">
        <f aca="false">1</f>
        <v>1</v>
      </c>
      <c r="E533" s="22" t="n">
        <f aca="false">D533*(1+g_asp)</f>
        <v>1.18</v>
      </c>
      <c r="F533" s="22" t="n">
        <f aca="false">E533*(1+g_asp)</f>
        <v>1.3924</v>
      </c>
      <c r="G533" s="22" t="n">
        <f aca="false">F533*(1+g_asp)</f>
        <v>1.643032</v>
      </c>
    </row>
    <row r="534" customFormat="false" ht="17.15" hidden="false" customHeight="false" outlineLevel="0" collapsed="false">
      <c r="A534" s="4" t="s">
        <v>500</v>
      </c>
      <c r="B534" s="0" t="s">
        <v>53</v>
      </c>
      <c r="D534" s="19" t="n">
        <f aca="false">1</f>
        <v>1</v>
      </c>
      <c r="E534" s="19" t="n">
        <f aca="false">rel_27</f>
        <v>1</v>
      </c>
      <c r="F534" s="19" t="n">
        <f aca="false">rel_28</f>
        <v>0.97</v>
      </c>
      <c r="G534" s="19" t="n">
        <f aca="false">rel_29</f>
        <v>0.95</v>
      </c>
    </row>
    <row r="535" customFormat="false" ht="17.15" hidden="false" customHeight="false" outlineLevel="0" collapsed="false">
      <c r="A535" s="0" t="s">
        <v>501</v>
      </c>
      <c r="B535" s="0" t="s">
        <v>53</v>
      </c>
      <c r="D535" s="22" t="n">
        <f aca="false">D532/$D532*D533*D534</f>
        <v>1</v>
      </c>
      <c r="E535" s="22" t="n">
        <f aca="false">E532/$D532*E533*E534</f>
        <v>1.80277777777778</v>
      </c>
      <c r="F535" s="22" t="n">
        <f aca="false">F532/$D532*F533*F534</f>
        <v>2.28066570175439</v>
      </c>
      <c r="G535" s="22" t="n">
        <f aca="false">G532/$D532*G533*G534</f>
        <v>2.99396942222222</v>
      </c>
      <c r="K535" s="4" t="s">
        <v>502</v>
      </c>
    </row>
    <row r="536" customFormat="false" ht="17.15" hidden="false" customHeight="false" outlineLevel="0" collapsed="false">
      <c r="A536" s="4" t="s">
        <v>503</v>
      </c>
      <c r="B536" s="0" t="s">
        <v>53</v>
      </c>
      <c r="D536" s="22" t="n">
        <f aca="false">1</f>
        <v>1</v>
      </c>
      <c r="E536" s="22" t="n">
        <f aca="false">D536*(1+g_nai)</f>
        <v>1.03</v>
      </c>
      <c r="F536" s="22" t="n">
        <f aca="false">E536*(1+g_nai)</f>
        <v>1.0609</v>
      </c>
      <c r="G536" s="22" t="n">
        <f aca="false">F536*(1+g_nai)</f>
        <v>1.092727</v>
      </c>
    </row>
    <row r="537" customFormat="false" ht="17.15" hidden="false" customHeight="false" outlineLevel="0" collapsed="false">
      <c r="A537" s="0" t="s">
        <v>504</v>
      </c>
      <c r="B537" s="0" t="s">
        <v>53</v>
      </c>
      <c r="D537" s="22" t="n">
        <f aca="false">ai_sh*D535+(1-ai_sh)*D536</f>
        <v>1</v>
      </c>
      <c r="E537" s="22" t="n">
        <f aca="false">ai_sh*E535+(1-ai_sh)*E536</f>
        <v>1.33911111111111</v>
      </c>
      <c r="F537" s="22" t="n">
        <f aca="false">ai_sh*F535+(1-ai_sh)*F536</f>
        <v>1.54880628070175</v>
      </c>
      <c r="G537" s="22" t="n">
        <f aca="false">ai_sh*G535+(1-ai_sh)*G536</f>
        <v>1.85322396888889</v>
      </c>
    </row>
    <row r="538" customFormat="false" ht="17.15" hidden="false" customHeight="false" outlineLevel="0" collapsed="false">
      <c r="A538" s="4" t="s">
        <v>505</v>
      </c>
      <c r="B538" s="0" t="s">
        <v>53</v>
      </c>
      <c r="D538" s="22" t="n">
        <f aca="false">1</f>
        <v>1</v>
      </c>
      <c r="E538" s="22" t="n">
        <f aca="false">cap_27</f>
        <v>1.3</v>
      </c>
      <c r="F538" s="22" t="n">
        <f aca="false">cap_28</f>
        <v>1.55</v>
      </c>
      <c r="G538" s="22" t="n">
        <f aca="false">cap_29</f>
        <v>1.8</v>
      </c>
      <c r="K538" s="4" t="s">
        <v>506</v>
      </c>
    </row>
    <row r="539" customFormat="false" ht="17.15" hidden="false" customHeight="false" outlineLevel="0" collapsed="false">
      <c r="A539" s="4" t="s">
        <v>507</v>
      </c>
      <c r="B539" s="0" t="s">
        <v>53</v>
      </c>
      <c r="D539" s="22" t="n">
        <f aca="false">MIN(D537,D538)</f>
        <v>1</v>
      </c>
      <c r="E539" s="22" t="n">
        <f aca="false">MIN(E537,E538)</f>
        <v>1.3</v>
      </c>
      <c r="F539" s="22" t="n">
        <f aca="false">MIN(F537,F538)</f>
        <v>1.54880628070175</v>
      </c>
      <c r="G539" s="22" t="n">
        <f aca="false">MIN(G537,G538)</f>
        <v>1.8</v>
      </c>
    </row>
    <row r="540" customFormat="false" ht="17.15" hidden="false" customHeight="false" outlineLevel="0" collapsed="false">
      <c r="A540" s="4" t="s">
        <v>508</v>
      </c>
      <c r="B540" s="0" t="s">
        <v>78</v>
      </c>
      <c r="D540" s="17" t="n">
        <f aca="false">D539/D537</f>
        <v>1</v>
      </c>
      <c r="E540" s="17" t="n">
        <f aca="false">E539/E537</f>
        <v>0.970793229339529</v>
      </c>
      <c r="F540" s="17" t="n">
        <f aca="false">F539/F537</f>
        <v>1</v>
      </c>
      <c r="G540" s="17" t="n">
        <f aca="false">G539/G537</f>
        <v>0.971280336439422</v>
      </c>
      <c r="K540" s="4" t="s">
        <v>509</v>
      </c>
    </row>
    <row r="541" customFormat="false" ht="17.15" hidden="false" customHeight="false" outlineLevel="0" collapsed="false">
      <c r="A541" s="0" t="s">
        <v>510</v>
      </c>
      <c r="B541" s="0" t="s">
        <v>53</v>
      </c>
      <c r="D541" s="22" t="n">
        <f aca="false">1</f>
        <v>1</v>
      </c>
      <c r="E541" s="22" t="n">
        <f aca="false">pp_27_hi</f>
        <v>1.2</v>
      </c>
      <c r="F541" s="22" t="n">
        <f aca="false">pp_28_hi*sp_A</f>
        <v>1.3</v>
      </c>
      <c r="G541" s="22" t="n">
        <f aca="false">pp_29_hi*sp_A</f>
        <v>1.3</v>
      </c>
      <c r="K541" s="8" t="s">
        <v>511</v>
      </c>
    </row>
    <row r="542" customFormat="false" ht="17.15" hidden="false" customHeight="false" outlineLevel="0" collapsed="false">
      <c r="A542" s="0" t="s">
        <v>452</v>
      </c>
      <c r="B542" s="0" t="s">
        <v>170</v>
      </c>
      <c r="D542" s="16" t="n">
        <f aca="false">q26_fm*ai_sh</f>
        <v>48.24</v>
      </c>
      <c r="E542" s="16" t="n">
        <f aca="false">q26_fm*ai_sh*E535*E540*E541</f>
        <v>101.31120477929</v>
      </c>
      <c r="F542" s="16" t="n">
        <f aca="false">q26_fm*ai_sh*F535*F540*F541</f>
        <v>143.025107488421</v>
      </c>
      <c r="G542" s="16" t="n">
        <f aca="false">q26_fm*ai_sh*G535*G540*G541</f>
        <v>182.365469260657</v>
      </c>
      <c r="K542" s="8" t="s">
        <v>512</v>
      </c>
    </row>
    <row r="543" customFormat="false" ht="17.15" hidden="false" customHeight="false" outlineLevel="0" collapsed="false">
      <c r="A543" s="0" t="s">
        <v>513</v>
      </c>
      <c r="B543" s="0" t="s">
        <v>170</v>
      </c>
      <c r="D543" s="16" t="n">
        <f aca="false">q26_fm*(1-ai_sh)</f>
        <v>72.36</v>
      </c>
      <c r="E543" s="16" t="n">
        <f aca="false">q26_fm*(1-ai_sh)*E536*E540*E541</f>
        <v>86.8247952207103</v>
      </c>
      <c r="F543" s="16" t="n">
        <f aca="false">q26_fm*(1-ai_sh)*F536*F540*F541</f>
        <v>99.7967412</v>
      </c>
      <c r="G543" s="16" t="n">
        <f aca="false">q26_fm*(1-ai_sh)*G536*G540*G541</f>
        <v>99.8385307393427</v>
      </c>
    </row>
    <row r="544" customFormat="false" ht="17.15" hidden="false" customHeight="false" outlineLevel="0" collapsed="false">
      <c r="A544" s="4" t="s">
        <v>514</v>
      </c>
      <c r="B544" s="0" t="s">
        <v>170</v>
      </c>
      <c r="C544" s="16" t="n">
        <f aca="false">q25_fm</f>
        <v>102.4512</v>
      </c>
      <c r="D544" s="16" t="n">
        <f aca="false">D542+D543</f>
        <v>120.6</v>
      </c>
      <c r="E544" s="16" t="n">
        <f aca="false">E542+E543</f>
        <v>188.136</v>
      </c>
      <c r="F544" s="16" t="n">
        <f aca="false">F542+F543</f>
        <v>242.821848688421</v>
      </c>
      <c r="G544" s="16" t="n">
        <f aca="false">G542+G543</f>
        <v>282.204</v>
      </c>
    </row>
    <row r="545" customFormat="false" ht="17.15" hidden="false" customHeight="false" outlineLevel="0" collapsed="false">
      <c r="A545" s="0" t="s">
        <v>515</v>
      </c>
      <c r="B545" s="0" t="s">
        <v>78</v>
      </c>
      <c r="C545" s="17" t="n">
        <f aca="false">q25_fmbp/q25_fm</f>
        <v>0.532936656671664</v>
      </c>
      <c r="D545" s="17" t="n">
        <f aca="false">q26_fmbp/q26_fm</f>
        <v>0.543117744610282</v>
      </c>
      <c r="E545" s="17" t="n">
        <f aca="false">1-(1-$D545)*(1+c_g)^1/E541</f>
        <v>0.607842730790492</v>
      </c>
      <c r="F545" s="17" t="n">
        <f aca="false">1-(1-$D545)*(1+c_g)^2/F541</f>
        <v>0.627148934813114</v>
      </c>
      <c r="G545" s="17" t="n">
        <f aca="false">1-(1-$D545)*(1+c_g)^3/G541</f>
        <v>0.615963402857507</v>
      </c>
      <c r="K545" s="8" t="s">
        <v>516</v>
      </c>
    </row>
    <row r="546" customFormat="false" ht="17.15" hidden="false" customHeight="false" outlineLevel="0" collapsed="false">
      <c r="A546" s="0" t="s">
        <v>478</v>
      </c>
      <c r="B546" s="0" t="s">
        <v>170</v>
      </c>
      <c r="C546" s="16" t="n">
        <f aca="false">q25_fmbp</f>
        <v>54.6</v>
      </c>
      <c r="D546" s="16" t="n">
        <f aca="false">D544*D545</f>
        <v>65.5</v>
      </c>
      <c r="E546" s="16" t="n">
        <f aca="false">E544*E545</f>
        <v>114.3571</v>
      </c>
      <c r="F546" s="16" t="n">
        <f aca="false">F544*F545</f>
        <v>152.285463754294</v>
      </c>
      <c r="G546" s="16" t="n">
        <f aca="false">G544*G545</f>
        <v>173.82733614</v>
      </c>
    </row>
    <row r="547" customFormat="false" ht="17.15" hidden="false" customHeight="false" outlineLevel="0" collapsed="false">
      <c r="A547" s="6" t="s">
        <v>517</v>
      </c>
    </row>
    <row r="548" customFormat="false" ht="15" hidden="false" customHeight="false" outlineLevel="0" collapsed="false">
      <c r="A548" s="4" t="s">
        <v>518</v>
      </c>
      <c r="B548" s="0" t="s">
        <v>170</v>
      </c>
      <c r="C548" s="16" t="n">
        <f aca="false">q25_sf</f>
        <v>936.926</v>
      </c>
      <c r="D548" s="16" t="n">
        <f aca="false">q26_sf</f>
        <v>998.6</v>
      </c>
      <c r="E548" s="16" t="n">
        <f aca="false">D548*(1+g_sf)</f>
        <v>1038.544</v>
      </c>
      <c r="F548" s="16" t="n">
        <f aca="false">E548*(1+g_sf)</f>
        <v>1080.08576</v>
      </c>
      <c r="G548" s="16" t="n">
        <f aca="false">F548*(1+g_sf)</f>
        <v>1123.2891904</v>
      </c>
    </row>
    <row r="549" customFormat="false" ht="15" hidden="false" customHeight="false" outlineLevel="0" collapsed="false">
      <c r="A549" s="4" t="s">
        <v>519</v>
      </c>
      <c r="B549" s="0" t="s">
        <v>170</v>
      </c>
      <c r="C549" s="16" t="n">
        <f aca="false">q25_sfbp</f>
        <v>143.036</v>
      </c>
      <c r="D549" s="16" t="n">
        <f aca="false">q26_sfbp</f>
        <v>145.9</v>
      </c>
      <c r="E549" s="16" t="n">
        <f aca="false">E548*m_sf</f>
        <v>151.736</v>
      </c>
      <c r="F549" s="16" t="n">
        <f aca="false">F548*m_sf</f>
        <v>157.80544</v>
      </c>
      <c r="G549" s="16" t="n">
        <f aca="false">G548*m_sf</f>
        <v>164.1176576</v>
      </c>
    </row>
    <row r="550" customFormat="false" ht="15" hidden="false" customHeight="false" outlineLevel="0" collapsed="false">
      <c r="A550" s="4" t="s">
        <v>520</v>
      </c>
      <c r="B550" s="0" t="s">
        <v>170</v>
      </c>
      <c r="C550" s="16" t="n">
        <f aca="false">q25_ff</f>
        <v>290.308</v>
      </c>
      <c r="D550" s="16" t="n">
        <f aca="false">q26_ff</f>
        <v>310.6</v>
      </c>
      <c r="E550" s="16" t="n">
        <f aca="false">D550*(1+g_ff)</f>
        <v>319.918</v>
      </c>
      <c r="F550" s="16" t="n">
        <f aca="false">E550*(1+g_ff)</f>
        <v>329.51554</v>
      </c>
      <c r="G550" s="16" t="n">
        <f aca="false">F550*(1+g_ff)</f>
        <v>339.4010062</v>
      </c>
    </row>
    <row r="551" customFormat="false" ht="15" hidden="false" customHeight="false" outlineLevel="0" collapsed="false">
      <c r="A551" s="4" t="s">
        <v>521</v>
      </c>
      <c r="B551" s="0" t="s">
        <v>170</v>
      </c>
      <c r="C551" s="16" t="n">
        <f aca="false">q25_ffbp</f>
        <v>8.457</v>
      </c>
      <c r="D551" s="16" t="n">
        <f aca="false">q26_ffbp</f>
        <v>12.1</v>
      </c>
      <c r="E551" s="16" t="n">
        <f aca="false">E550*m_ff</f>
        <v>14.39631</v>
      </c>
      <c r="F551" s="16" t="n">
        <f aca="false">F550*m_ff</f>
        <v>14.8281993</v>
      </c>
      <c r="G551" s="16" t="n">
        <f aca="false">G550*m_ff</f>
        <v>15.273045279</v>
      </c>
    </row>
    <row r="552" customFormat="false" ht="17.15" hidden="false" customHeight="false" outlineLevel="0" collapsed="false">
      <c r="A552" s="4" t="s">
        <v>522</v>
      </c>
      <c r="B552" s="0" t="s">
        <v>170</v>
      </c>
      <c r="C552" s="16" t="n">
        <f aca="false">q25_hox</f>
        <v>239.0528</v>
      </c>
      <c r="D552" s="16" t="n">
        <f aca="false">q26_hox</f>
        <v>286.2</v>
      </c>
      <c r="E552" s="16" t="n">
        <f aca="false">D552*(1+g_ho)</f>
        <v>300.51</v>
      </c>
      <c r="F552" s="16" t="n">
        <f aca="false">E552*(1+g_ho)</f>
        <v>315.5355</v>
      </c>
      <c r="G552" s="16" t="n">
        <f aca="false">F552*(1+g_ho)</f>
        <v>331.312275</v>
      </c>
    </row>
    <row r="553" customFormat="false" ht="17.15" hidden="false" customHeight="false" outlineLevel="0" collapsed="false">
      <c r="A553" s="4" t="s">
        <v>523</v>
      </c>
      <c r="B553" s="0" t="s">
        <v>170</v>
      </c>
      <c r="C553" s="16" t="n">
        <f aca="false">q25_hoxbp</f>
        <v>11.602</v>
      </c>
      <c r="D553" s="16" t="n">
        <f aca="false">q26_hoxbp</f>
        <v>19.5</v>
      </c>
      <c r="E553" s="16" t="n">
        <f aca="false">E552*m_ho</f>
        <v>20.475</v>
      </c>
      <c r="F553" s="16" t="n">
        <f aca="false">F552*m_ho</f>
        <v>21.49875</v>
      </c>
      <c r="G553" s="16" t="n">
        <f aca="false">G552*m_ho</f>
        <v>22.5736875</v>
      </c>
    </row>
    <row r="554" customFormat="false" ht="17.15" hidden="false" customHeight="false" outlineLevel="0" collapsed="false">
      <c r="A554" s="4" t="s">
        <v>524</v>
      </c>
      <c r="B554" s="0" t="s">
        <v>170</v>
      </c>
      <c r="C554" s="16" t="n">
        <f aca="false">q25_oth</f>
        <v>14.979</v>
      </c>
      <c r="D554" s="16" t="n">
        <f aca="false">q26_oth</f>
        <v>15.8</v>
      </c>
      <c r="E554" s="16" t="n">
        <f aca="false">D554</f>
        <v>15.8</v>
      </c>
      <c r="F554" s="16" t="n">
        <f aca="false">E554</f>
        <v>15.8</v>
      </c>
      <c r="G554" s="16" t="n">
        <f aca="false">F554</f>
        <v>15.8</v>
      </c>
      <c r="K554" s="8" t="s">
        <v>525</v>
      </c>
    </row>
    <row r="555" customFormat="false" ht="15" hidden="false" customHeight="false" outlineLevel="0" collapsed="false">
      <c r="A555" s="4" t="s">
        <v>526</v>
      </c>
      <c r="B555" s="0" t="s">
        <v>170</v>
      </c>
      <c r="C555" s="16" t="n">
        <f aca="false">q25_othbp</f>
        <v>6.064</v>
      </c>
      <c r="D555" s="16" t="n">
        <f aca="false">q26_othbp</f>
        <v>5.1</v>
      </c>
      <c r="E555" s="16" t="n">
        <f aca="false">q26_othbp</f>
        <v>5.1</v>
      </c>
      <c r="F555" s="16" t="n">
        <f aca="false">q26_othbp</f>
        <v>5.1</v>
      </c>
      <c r="G555" s="16" t="n">
        <f aca="false">q26_othbp</f>
        <v>5.1</v>
      </c>
    </row>
    <row r="556" customFormat="false" ht="15" hidden="false" customHeight="false" outlineLevel="0" collapsed="false">
      <c r="A556" s="4" t="s">
        <v>527</v>
      </c>
      <c r="B556" s="0" t="s">
        <v>170</v>
      </c>
      <c r="C556" s="16" t="n">
        <f aca="false">q25_cc</f>
        <v>-42.597</v>
      </c>
      <c r="D556" s="16" t="n">
        <f aca="false">q26_cc</f>
        <v>-46.2</v>
      </c>
      <c r="E556" s="16" t="n">
        <f aca="false">D556*(1+g_cc)</f>
        <v>-47.586</v>
      </c>
      <c r="F556" s="16" t="n">
        <f aca="false">E556*(1+g_cc)</f>
        <v>-49.01358</v>
      </c>
      <c r="G556" s="16" t="n">
        <f aca="false">F556*(1+g_cc)</f>
        <v>-50.4839874</v>
      </c>
    </row>
    <row r="557" customFormat="false" ht="17.15" hidden="false" customHeight="false" outlineLevel="0" collapsed="false">
      <c r="A557" s="4" t="s">
        <v>528</v>
      </c>
      <c r="B557" s="0" t="s">
        <v>170</v>
      </c>
      <c r="C557" s="28" t="n">
        <f aca="false">a_rev-(q25_sf+q25_ff+q25_hox+q25_fm+q25_oth)</f>
        <v>0.00200000000018008</v>
      </c>
      <c r="D557" s="28" t="n">
        <f aca="false">f_rev-(q26_sf+q26_ff+q26_hox+q26_fm+q26_oth)</f>
        <v>0.200000000000045</v>
      </c>
      <c r="E557" s="28" t="n">
        <f aca="false">$D557</f>
        <v>0.200000000000045</v>
      </c>
      <c r="F557" s="28" t="n">
        <f aca="false">$D557</f>
        <v>0.200000000000045</v>
      </c>
      <c r="G557" s="28" t="n">
        <f aca="false">$D557</f>
        <v>0.200000000000045</v>
      </c>
      <c r="K557" s="8" t="s">
        <v>529</v>
      </c>
    </row>
    <row r="558" customFormat="false" ht="15" hidden="false" customHeight="false" outlineLevel="0" collapsed="false">
      <c r="A558" s="4" t="s">
        <v>530</v>
      </c>
      <c r="B558" s="0" t="s">
        <v>170</v>
      </c>
      <c r="C558" s="28" t="n">
        <f aca="false">a_bp-(q25_sfbp+q25_ffbp+q25_hoxbp+q25_fmbp+q25_othbp+q25_cc)</f>
        <v>0.0010000000000332</v>
      </c>
      <c r="D558" s="28" t="n">
        <f aca="false">f_bp-(q26_sfbp+q26_ffbp+q26_hoxbp+q26_fmbp+q26_othbp+q26_cc)</f>
        <v>0.100000000000023</v>
      </c>
      <c r="E558" s="28" t="n">
        <f aca="false">$D558</f>
        <v>0.100000000000023</v>
      </c>
      <c r="F558" s="28" t="n">
        <f aca="false">$D558</f>
        <v>0.100000000000023</v>
      </c>
      <c r="G558" s="28" t="n">
        <f aca="false">$D558</f>
        <v>0.100000000000023</v>
      </c>
    </row>
    <row r="559" customFormat="false" ht="17.15" hidden="false" customHeight="false" outlineLevel="0" collapsed="false">
      <c r="A559" s="6" t="s">
        <v>531</v>
      </c>
    </row>
    <row r="560" customFormat="false" ht="17.15" hidden="false" customHeight="false" outlineLevel="0" collapsed="false">
      <c r="A560" s="4" t="s">
        <v>403</v>
      </c>
      <c r="B560" s="0" t="s">
        <v>170</v>
      </c>
      <c r="C560" s="16" t="n">
        <f aca="false">C548+C550+C552+C544+C554+C557</f>
        <v>1583.719</v>
      </c>
      <c r="D560" s="16" t="n">
        <f aca="false">D548+D550+D552+D544+D554+D557</f>
        <v>1732</v>
      </c>
      <c r="E560" s="16" t="n">
        <f aca="false">E548+E550+E552+E544+E554+E557</f>
        <v>1863.108</v>
      </c>
      <c r="F560" s="16" t="n">
        <f aca="false">F548+F550+F552+F544+F554+F557</f>
        <v>1983.95864868842</v>
      </c>
      <c r="G560" s="16" t="n">
        <f aca="false">G548+G550+G552+G544+G554+G557</f>
        <v>2092.2064716</v>
      </c>
      <c r="H560" s="24" t="n">
        <f aca="false">G560*(1+H564)</f>
        <v>2210.15326099484</v>
      </c>
      <c r="I560" s="24" t="n">
        <f aca="false">H560*(1+I564)</f>
        <v>2338.75584058304</v>
      </c>
      <c r="J560" s="24" t="n">
        <f aca="false">I560*(1+J564)</f>
        <v>2479.08119101802</v>
      </c>
      <c r="K560" s="8" t="s">
        <v>532</v>
      </c>
    </row>
    <row r="561" customFormat="false" ht="17.15" hidden="false" customHeight="false" outlineLevel="0" collapsed="false">
      <c r="A561" s="4" t="s">
        <v>533</v>
      </c>
      <c r="B561" s="0" t="s">
        <v>170</v>
      </c>
      <c r="C561" s="16" t="n">
        <f aca="false">C544+C552</f>
        <v>341.504</v>
      </c>
      <c r="D561" s="16" t="n">
        <f aca="false">D544+D552</f>
        <v>406.8</v>
      </c>
      <c r="E561" s="16" t="n">
        <f aca="false">E544+E552</f>
        <v>488.646</v>
      </c>
      <c r="F561" s="16" t="n">
        <f aca="false">F544+F552</f>
        <v>558.357348688421</v>
      </c>
      <c r="G561" s="16" t="n">
        <f aca="false">G544+G552</f>
        <v>613.516275</v>
      </c>
      <c r="K561" s="4" t="s">
        <v>534</v>
      </c>
    </row>
    <row r="562" customFormat="false" ht="17.15" hidden="false" customHeight="false" outlineLevel="0" collapsed="false">
      <c r="A562" s="4" t="s">
        <v>535</v>
      </c>
      <c r="B562" s="0" t="s">
        <v>170</v>
      </c>
      <c r="C562" s="16" t="n">
        <f aca="false">C554+C557</f>
        <v>14.9810000000002</v>
      </c>
      <c r="D562" s="16" t="n">
        <f aca="false">D554+D557</f>
        <v>16</v>
      </c>
      <c r="E562" s="16" t="n">
        <f aca="false">E554+E557</f>
        <v>16</v>
      </c>
      <c r="F562" s="16" t="n">
        <f aca="false">F554+F557</f>
        <v>16</v>
      </c>
      <c r="G562" s="16" t="n">
        <f aca="false">G554+G557</f>
        <v>16</v>
      </c>
      <c r="K562" s="8" t="s">
        <v>536</v>
      </c>
    </row>
    <row r="563" customFormat="false" ht="15" hidden="false" customHeight="false" outlineLevel="0" collapsed="false">
      <c r="A563" s="4" t="s">
        <v>537</v>
      </c>
      <c r="B563" s="0" t="s">
        <v>170</v>
      </c>
      <c r="C563" s="22" t="n">
        <f aca="false">C548+C550+C561+C562-C560</f>
        <v>0</v>
      </c>
      <c r="D563" s="22" t="n">
        <f aca="false">D548+D550+D561+D562-D560</f>
        <v>0</v>
      </c>
      <c r="E563" s="22" t="n">
        <f aca="false">E548+E550+E561+E562-E560</f>
        <v>0</v>
      </c>
      <c r="F563" s="22" t="n">
        <f aca="false">F548+F550+F561+F562-F560</f>
        <v>0</v>
      </c>
      <c r="G563" s="22" t="n">
        <f aca="false">G548+G550+G561+G562-G560</f>
        <v>0</v>
      </c>
    </row>
    <row r="564" customFormat="false" ht="15" hidden="false" customHeight="false" outlineLevel="0" collapsed="false">
      <c r="A564" s="4" t="s">
        <v>538</v>
      </c>
      <c r="B564" s="0" t="s">
        <v>78</v>
      </c>
      <c r="D564" s="17" t="n">
        <f aca="false">D560/C560-1</f>
        <v>0.0936283519993131</v>
      </c>
      <c r="E564" s="17" t="n">
        <f aca="false">E560/D560-1</f>
        <v>0.0756974595842956</v>
      </c>
      <c r="F564" s="17" t="n">
        <f aca="false">F560/E560-1</f>
        <v>0.0648650795812273</v>
      </c>
      <c r="G564" s="17" t="n">
        <f aca="false">G560/F560-1</f>
        <v>0.054561531805686</v>
      </c>
      <c r="H564" s="25" t="n">
        <f aca="false">$G564+(fade_gA-$G564)*1/3</f>
        <v>0.056374354537124</v>
      </c>
      <c r="I564" s="25" t="n">
        <f aca="false">$G564+(fade_gA-$G564)*2/3</f>
        <v>0.058187177268562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539</v>
      </c>
      <c r="B565" s="0" t="s">
        <v>78</v>
      </c>
      <c r="C565" s="17" t="n">
        <f aca="false">C544/C560</f>
        <v>0.0646902638662541</v>
      </c>
      <c r="D565" s="17" t="n">
        <f aca="false">D544/D560</f>
        <v>0.0696304849884527</v>
      </c>
      <c r="E565" s="17" t="n">
        <f aca="false">E544/E560</f>
        <v>0.100979653353429</v>
      </c>
      <c r="F565" s="17" t="n">
        <f aca="false">F544/F560</f>
        <v>0.122392595656643</v>
      </c>
      <c r="G565" s="17" t="n">
        <f aca="false">G544/G560</f>
        <v>0.134883437094135</v>
      </c>
    </row>
    <row r="566" customFormat="false" ht="15" hidden="false" customHeight="false" outlineLevel="0" collapsed="false">
      <c r="A566" s="4" t="s">
        <v>413</v>
      </c>
      <c r="B566" s="0" t="s">
        <v>170</v>
      </c>
      <c r="C566" s="16" t="n">
        <f aca="false">C549+C551+C553+C546+C555+C556+C558</f>
        <v>181.163</v>
      </c>
      <c r="D566" s="16" t="n">
        <f aca="false">D549+D551+D553+D546+D555+D556+D558</f>
        <v>202</v>
      </c>
      <c r="E566" s="16" t="n">
        <f aca="false">E549+E551+E553+E546+E555+E556+E558</f>
        <v>258.57841</v>
      </c>
      <c r="F566" s="16" t="n">
        <f aca="false">F549+F551+F553+F546+F555+F556+F558</f>
        <v>302.604273054295</v>
      </c>
      <c r="G566" s="16" t="n">
        <f aca="false">G549+G551+G553+G546+G555+G556+G558</f>
        <v>330.507739119</v>
      </c>
    </row>
    <row r="567" customFormat="false" ht="15" hidden="false" customHeight="false" outlineLevel="0" collapsed="false">
      <c r="A567" s="4" t="s">
        <v>429</v>
      </c>
      <c r="B567" s="0" t="s">
        <v>78</v>
      </c>
      <c r="C567" s="17" t="n">
        <f aca="false">C566/C560</f>
        <v>0.114390873633517</v>
      </c>
      <c r="D567" s="17" t="n">
        <f aca="false">D566/D560</f>
        <v>0.11662817551963</v>
      </c>
      <c r="E567" s="17" t="n">
        <f aca="false">E566/E560</f>
        <v>0.138788739031768</v>
      </c>
      <c r="F567" s="17" t="n">
        <f aca="false">F566/F560</f>
        <v>0.152525494044114</v>
      </c>
      <c r="G567" s="17" t="n">
        <f aca="false">G566/G560</f>
        <v>0.157970899911349</v>
      </c>
    </row>
    <row r="568" customFormat="false" ht="17.15" hidden="false" customHeight="false" outlineLevel="0" collapsed="false">
      <c r="A568" s="0" t="s">
        <v>540</v>
      </c>
      <c r="B568" s="0" t="s">
        <v>78</v>
      </c>
      <c r="C568" s="17" t="n">
        <f aca="false">C546/C566</f>
        <v>0.301386044611758</v>
      </c>
      <c r="D568" s="17" t="n">
        <f aca="false">D546/D566</f>
        <v>0.324257425742574</v>
      </c>
      <c r="E568" s="17" t="n">
        <f aca="false">E546/E566</f>
        <v>0.442253086790966</v>
      </c>
      <c r="F568" s="17" t="n">
        <f aca="false">F546/F566</f>
        <v>0.503249548386155</v>
      </c>
      <c r="G568" s="17" t="n">
        <f aca="false">G546/G566</f>
        <v>0.525940289941026</v>
      </c>
    </row>
    <row r="569" customFormat="false" ht="17.15" hidden="false" customHeight="false" outlineLevel="0" collapsed="false">
      <c r="A569" s="4" t="s">
        <v>430</v>
      </c>
      <c r="B569" s="0" t="s">
        <v>53</v>
      </c>
      <c r="C569" s="22" t="n">
        <f aca="false">q25_ni/q25_bp</f>
        <v>0.743391310587703</v>
      </c>
      <c r="D569" s="22" t="n">
        <f aca="false">q26_ni/q26_bp</f>
        <v>0.611386138613861</v>
      </c>
      <c r="E569" s="22" t="n">
        <f aca="false">ni_bp</f>
        <v>0.62</v>
      </c>
      <c r="F569" s="22" t="n">
        <f aca="false">ni_bp</f>
        <v>0.62</v>
      </c>
      <c r="G569" s="22" t="n">
        <f aca="false">ni_bp</f>
        <v>0.62</v>
      </c>
    </row>
    <row r="570" customFormat="false" ht="15" hidden="false" customHeight="false" outlineLevel="0" collapsed="false">
      <c r="A570" s="4" t="s">
        <v>420</v>
      </c>
      <c r="B570" s="0" t="s">
        <v>170</v>
      </c>
      <c r="C570" s="16" t="n">
        <f aca="false">q25_ni</f>
        <v>134.675</v>
      </c>
      <c r="D570" s="16" t="n">
        <f aca="false">q26_ni</f>
        <v>123.5</v>
      </c>
      <c r="E570" s="16" t="n">
        <f aca="false">E566*E569</f>
        <v>160.3186142</v>
      </c>
      <c r="F570" s="16" t="n">
        <f aca="false">F566*F569</f>
        <v>187.614649293663</v>
      </c>
      <c r="G570" s="16" t="n">
        <f aca="false">G566*G569</f>
        <v>204.91479825378</v>
      </c>
      <c r="H570" s="24" t="n">
        <f aca="false">H560*H574</f>
        <v>209.147002764637</v>
      </c>
      <c r="I570" s="24" t="n">
        <f aca="false">I560*I574</f>
        <v>213.57102679729</v>
      </c>
      <c r="J570" s="24" t="n">
        <f aca="false">J560*J574</f>
        <v>218.174899731182</v>
      </c>
    </row>
    <row r="571" customFormat="false" ht="15" hidden="false" customHeight="false" outlineLevel="0" collapsed="false">
      <c r="A571" s="4" t="s">
        <v>541</v>
      </c>
      <c r="B571" s="4" t="s">
        <v>317</v>
      </c>
      <c r="C571" s="20" t="n">
        <f aca="false">q25_sh</f>
        <v>0.973366579936398</v>
      </c>
      <c r="D571" s="20" t="n">
        <f aca="false">q26_sh</f>
        <v>0.95117067159581</v>
      </c>
      <c r="E571" s="20" t="n">
        <f aca="false">D571*(1+sh_g)</f>
        <v>0.936903111521873</v>
      </c>
      <c r="F571" s="20" t="n">
        <f aca="false">E571*(1+sh_g)</f>
        <v>0.922849564849045</v>
      </c>
      <c r="G571" s="20" t="n">
        <f aca="false">F571*(1+sh_g)</f>
        <v>0.909006821376309</v>
      </c>
      <c r="H571" s="29" t="n">
        <f aca="false">G571*(1+sh_g)</f>
        <v>0.895371719055665</v>
      </c>
      <c r="I571" s="29" t="n">
        <f aca="false">H571*(1+sh_g)</f>
        <v>0.88194114326983</v>
      </c>
      <c r="J571" s="29" t="n">
        <f aca="false">I571*(1+sh_g)</f>
        <v>0.868712026120782</v>
      </c>
    </row>
    <row r="572" customFormat="false" ht="17.15" hidden="false" customHeight="false" outlineLevel="0" collapsed="false">
      <c r="A572" s="0" t="s">
        <v>542</v>
      </c>
      <c r="B572" s="0" t="s">
        <v>208</v>
      </c>
      <c r="C572" s="21" t="n">
        <f aca="false">C570/C571</f>
        <v>138.36</v>
      </c>
      <c r="D572" s="21" t="n">
        <f aca="false">D570/D571</f>
        <v>129.84</v>
      </c>
      <c r="E572" s="21" t="n">
        <f aca="false">E570/E571</f>
        <v>171.115467787895</v>
      </c>
      <c r="F572" s="21" t="n">
        <f aca="false">F570/F571</f>
        <v>203.299276978422</v>
      </c>
      <c r="G572" s="21" t="n">
        <f aca="false">G570/G571</f>
        <v>225.427129296481</v>
      </c>
      <c r="H572" s="27" t="n">
        <f aca="false">H570/H571</f>
        <v>233.586786709347</v>
      </c>
      <c r="I572" s="27" t="n">
        <f aca="false">I570/I571</f>
        <v>242.160180899904</v>
      </c>
      <c r="J572" s="27" t="n">
        <f aca="false">J570/J571</f>
        <v>251.14755312579</v>
      </c>
    </row>
    <row r="573" customFormat="false" ht="17.15" hidden="false" customHeight="false" outlineLevel="0" collapsed="false">
      <c r="A573" s="0" t="s">
        <v>543</v>
      </c>
      <c r="B573" s="0" t="s">
        <v>78</v>
      </c>
      <c r="D573" s="17" t="n">
        <f aca="false">D572/C572-1</f>
        <v>-0.0615784908933218</v>
      </c>
      <c r="E573" s="17" t="n">
        <f aca="false">E572/D572-1</f>
        <v>0.317894853572823</v>
      </c>
      <c r="F573" s="17" t="n">
        <f aca="false">F572/E572-1</f>
        <v>0.188082407783382</v>
      </c>
      <c r="G573" s="17" t="n">
        <f aca="false">G572/F572-1</f>
        <v>0.108843733469877</v>
      </c>
      <c r="H573" s="25" t="n">
        <f aca="false">H572/G572-1</f>
        <v>0.0361964304754765</v>
      </c>
      <c r="I573" s="25" t="n">
        <f aca="false">I572/H572-1</f>
        <v>0.0367032498341819</v>
      </c>
      <c r="J573" s="25" t="n">
        <f aca="false">J572/I572-1</f>
        <v>0.0371133362738996</v>
      </c>
    </row>
    <row r="574" customFormat="false" ht="15" hidden="false" customHeight="false" outlineLevel="0" collapsed="false">
      <c r="A574" s="4" t="s">
        <v>544</v>
      </c>
      <c r="B574" s="0" t="s">
        <v>78</v>
      </c>
      <c r="C574" s="14" t="n">
        <f aca="false">C570/C560</f>
        <v>0.0850371814696925</v>
      </c>
      <c r="D574" s="14" t="n">
        <f aca="false">D570/D560</f>
        <v>0.0713048498845266</v>
      </c>
      <c r="E574" s="14" t="n">
        <f aca="false">E570/E560</f>
        <v>0.0860490181996964</v>
      </c>
      <c r="F574" s="14" t="n">
        <f aca="false">F570/F560</f>
        <v>0.0945658063073508</v>
      </c>
      <c r="G574" s="14" t="n">
        <f aca="false">G570/G560</f>
        <v>0.0979419579450363</v>
      </c>
      <c r="H574" s="26" t="n">
        <f aca="false">$G574+(fade_mA-$G574)*1/3</f>
        <v>0.0946300903451802</v>
      </c>
      <c r="I574" s="26" t="n">
        <f aca="false">$G574+(fade_mA-$G574)*2/3</f>
        <v>0.0913182227453241</v>
      </c>
      <c r="J574" s="26" t="n">
        <f aca="false">$G574+(fade_mA-$G574)*3/3</f>
        <v>0.088006355145468</v>
      </c>
    </row>
    <row r="575" customFormat="false" ht="17.15" hidden="false" customHeight="false" outlineLevel="0" collapsed="false">
      <c r="A575" s="0" t="s">
        <v>545</v>
      </c>
      <c r="B575" s="0" t="s">
        <v>208</v>
      </c>
      <c r="D575" s="21" t="n">
        <f aca="false">D546*D569/D571</f>
        <v>42.1015841584158</v>
      </c>
      <c r="E575" s="21" t="n">
        <f aca="false">E546*E569/E571</f>
        <v>75.6763438268769</v>
      </c>
      <c r="F575" s="21" t="n">
        <f aca="false">F546*F569/F571</f>
        <v>102.310269326623</v>
      </c>
      <c r="G575" s="21" t="n">
        <f aca="false">G546*G569/G571</f>
        <v>118.561209742764</v>
      </c>
      <c r="K575" s="8" t="s">
        <v>546</v>
      </c>
    </row>
    <row r="576" customFormat="false" ht="17.15" hidden="false" customHeight="false" outlineLevel="0" collapsed="false">
      <c r="A576" s="0" t="s">
        <v>547</v>
      </c>
      <c r="B576" s="0" t="s">
        <v>208</v>
      </c>
      <c r="D576" s="21" t="n">
        <f aca="false">D572-D575</f>
        <v>87.7384158415842</v>
      </c>
      <c r="E576" s="21" t="n">
        <f aca="false">E572-E575</f>
        <v>95.4391239610186</v>
      </c>
      <c r="F576" s="21" t="n">
        <f aca="false">F572-F575</f>
        <v>100.9890076518</v>
      </c>
      <c r="G576" s="21" t="n">
        <f aca="false">G572-G575</f>
        <v>106.865919553716</v>
      </c>
    </row>
    <row r="577" customFormat="false" ht="17.15" hidden="false" customHeight="false" outlineLevel="0" collapsed="false">
      <c r="A577" s="0" t="s">
        <v>548</v>
      </c>
      <c r="B577" s="0" t="s">
        <v>455</v>
      </c>
      <c r="D577" s="16" t="n">
        <f aca="false">D542/D532*1000/150</f>
        <v>23.5087719298246</v>
      </c>
      <c r="E577" s="16" t="n">
        <f aca="false">E542/E532*1000/150</f>
        <v>32.3161737732982</v>
      </c>
      <c r="F577" s="16" t="n">
        <f aca="false">F542/F532*1000/150</f>
        <v>41.2770872982456</v>
      </c>
      <c r="G577" s="16" t="n">
        <f aca="false">G542/G532*1000/150</f>
        <v>46.3326903609393</v>
      </c>
      <c r="K577" s="8" t="s">
        <v>549</v>
      </c>
    </row>
    <row r="580" customFormat="false" ht="17.15" hidden="false" customHeight="false" outlineLevel="0" collapsed="false">
      <c r="A580" s="1" t="s">
        <v>947</v>
      </c>
    </row>
    <row r="581" customFormat="false" ht="17.15" hidden="false" customHeight="false" outlineLevel="0" collapsed="false">
      <c r="A581" s="5" t="s">
        <v>20</v>
      </c>
      <c r="B581" s="5" t="s">
        <v>21</v>
      </c>
      <c r="C581" s="15" t="s">
        <v>398</v>
      </c>
      <c r="D581" s="15" t="s">
        <v>470</v>
      </c>
      <c r="E581" s="15" t="s">
        <v>435</v>
      </c>
      <c r="F581" s="15" t="s">
        <v>436</v>
      </c>
      <c r="G581" s="15" t="s">
        <v>437</v>
      </c>
      <c r="H581" s="15" t="s">
        <v>471</v>
      </c>
      <c r="I581" s="15" t="s">
        <v>472</v>
      </c>
      <c r="J581" s="15" t="s">
        <v>473</v>
      </c>
      <c r="K581" s="5" t="s">
        <v>377</v>
      </c>
    </row>
    <row r="582" customFormat="false" ht="17.15" hidden="false" customHeight="false" outlineLevel="0" collapsed="false">
      <c r="A582" s="6" t="s">
        <v>493</v>
      </c>
    </row>
    <row r="583" customFormat="false" ht="17.15" hidden="false" customHeight="false" outlineLevel="0" collapsed="false">
      <c r="A583" s="0" t="s">
        <v>494</v>
      </c>
      <c r="B583" s="4" t="s">
        <v>31</v>
      </c>
      <c r="D583" s="21" t="n">
        <f aca="false">unv_26</f>
        <v>7.6</v>
      </c>
      <c r="E583" s="21" t="n">
        <f aca="false">unv_27</f>
        <v>9.7</v>
      </c>
      <c r="F583" s="21" t="n">
        <f aca="false">unv_28*um28_A</f>
        <v>9.5</v>
      </c>
      <c r="G583" s="21" t="n">
        <f aca="false">unv_29*um29_A</f>
        <v>10.6</v>
      </c>
      <c r="K583" s="8" t="s">
        <v>495</v>
      </c>
    </row>
    <row r="584" customFormat="false" ht="17.15" hidden="false" customHeight="false" outlineLevel="0" collapsed="false">
      <c r="A584" s="4" t="s">
        <v>496</v>
      </c>
      <c r="B584" s="4" t="s">
        <v>31</v>
      </c>
      <c r="D584" s="21" t="n">
        <f aca="false">uot_26</f>
        <v>7.6</v>
      </c>
      <c r="E584" s="21" t="n">
        <f aca="false">uot_27</f>
        <v>14</v>
      </c>
      <c r="F584" s="21" t="n">
        <f aca="false">uot_28*um28_A</f>
        <v>17</v>
      </c>
      <c r="G584" s="21" t="n">
        <f aca="false">uot_29*um29_A</f>
        <v>19.55</v>
      </c>
      <c r="K584" s="8" t="s">
        <v>497</v>
      </c>
    </row>
    <row r="585" customFormat="false" ht="17.15" hidden="false" customHeight="false" outlineLevel="0" collapsed="false">
      <c r="A585" s="4" t="s">
        <v>498</v>
      </c>
      <c r="B585" s="4" t="s">
        <v>31</v>
      </c>
      <c r="D585" s="21" t="n">
        <f aca="false">D583+v_ot*D584</f>
        <v>13.68</v>
      </c>
      <c r="E585" s="21" t="n">
        <f aca="false">E583+v_ot*E584</f>
        <v>20.9</v>
      </c>
      <c r="F585" s="21" t="n">
        <f aca="false">F583+v_ot*F584</f>
        <v>23.1</v>
      </c>
      <c r="G585" s="21" t="n">
        <f aca="false">G583+v_ot*G584</f>
        <v>26.24</v>
      </c>
    </row>
    <row r="586" customFormat="false" ht="17.15" hidden="false" customHeight="false" outlineLevel="0" collapsed="false">
      <c r="A586" s="4" t="s">
        <v>499</v>
      </c>
      <c r="B586" s="0" t="s">
        <v>53</v>
      </c>
      <c r="D586" s="22" t="n">
        <f aca="false">1</f>
        <v>1</v>
      </c>
      <c r="E586" s="22" t="n">
        <f aca="false">D586*(1+g_asp)</f>
        <v>1.18</v>
      </c>
      <c r="F586" s="22" t="n">
        <f aca="false">E586*(1+g_asp)</f>
        <v>1.3924</v>
      </c>
      <c r="G586" s="22" t="n">
        <f aca="false">F586*(1+g_asp)</f>
        <v>1.643032</v>
      </c>
    </row>
    <row r="587" customFormat="false" ht="17.15" hidden="false" customHeight="false" outlineLevel="0" collapsed="false">
      <c r="A587" s="4" t="s">
        <v>500</v>
      </c>
      <c r="B587" s="0" t="s">
        <v>53</v>
      </c>
      <c r="D587" s="19" t="n">
        <f aca="false">1</f>
        <v>1</v>
      </c>
      <c r="E587" s="19" t="n">
        <f aca="false">rel_27_lo</f>
        <v>0.95</v>
      </c>
      <c r="F587" s="19" t="n">
        <f aca="false">rel_28_lo</f>
        <v>0.88</v>
      </c>
      <c r="G587" s="19" t="n">
        <f aca="false">rel_29_lo</f>
        <v>0.8</v>
      </c>
    </row>
    <row r="588" customFormat="false" ht="17.15" hidden="false" customHeight="false" outlineLevel="0" collapsed="false">
      <c r="A588" s="0" t="s">
        <v>501</v>
      </c>
      <c r="B588" s="0" t="s">
        <v>53</v>
      </c>
      <c r="D588" s="22" t="n">
        <f aca="false">D585/$D585*D586*D587</f>
        <v>1</v>
      </c>
      <c r="E588" s="22" t="n">
        <f aca="false">E585/$D585*E586*E587</f>
        <v>1.71263888888889</v>
      </c>
      <c r="F588" s="22" t="n">
        <f aca="false">F585/$D585*F586*F587</f>
        <v>2.06905754385965</v>
      </c>
      <c r="G588" s="22" t="n">
        <f aca="false">G585/$D585*G586*G587</f>
        <v>2.52123740818713</v>
      </c>
      <c r="K588" s="4" t="s">
        <v>502</v>
      </c>
    </row>
    <row r="589" customFormat="false" ht="17.15" hidden="false" customHeight="false" outlineLevel="0" collapsed="false">
      <c r="A589" s="4" t="s">
        <v>503</v>
      </c>
      <c r="B589" s="0" t="s">
        <v>53</v>
      </c>
      <c r="D589" s="22" t="n">
        <f aca="false">1</f>
        <v>1</v>
      </c>
      <c r="E589" s="22" t="n">
        <f aca="false">D589*(1+g_nai)</f>
        <v>1.03</v>
      </c>
      <c r="F589" s="22" t="n">
        <f aca="false">E589*(1+g_nai)</f>
        <v>1.0609</v>
      </c>
      <c r="G589" s="22" t="n">
        <f aca="false">F589*(1+g_nai)</f>
        <v>1.092727</v>
      </c>
    </row>
    <row r="590" customFormat="false" ht="17.15" hidden="false" customHeight="false" outlineLevel="0" collapsed="false">
      <c r="A590" s="0" t="s">
        <v>504</v>
      </c>
      <c r="B590" s="0" t="s">
        <v>53</v>
      </c>
      <c r="D590" s="22" t="n">
        <f aca="false">ai_sh*D588+(1-ai_sh)*D589</f>
        <v>1</v>
      </c>
      <c r="E590" s="22" t="n">
        <f aca="false">ai_sh*E588+(1-ai_sh)*E589</f>
        <v>1.30305555555556</v>
      </c>
      <c r="F590" s="22" t="n">
        <f aca="false">ai_sh*F588+(1-ai_sh)*F589</f>
        <v>1.46416301754386</v>
      </c>
      <c r="G590" s="22" t="n">
        <f aca="false">ai_sh*G588+(1-ai_sh)*G589</f>
        <v>1.66413116327485</v>
      </c>
    </row>
    <row r="591" customFormat="false" ht="17.15" hidden="false" customHeight="false" outlineLevel="0" collapsed="false">
      <c r="A591" s="4" t="s">
        <v>505</v>
      </c>
      <c r="B591" s="0" t="s">
        <v>53</v>
      </c>
      <c r="D591" s="22" t="n">
        <f aca="false">1</f>
        <v>1</v>
      </c>
      <c r="E591" s="22" t="n">
        <f aca="false">cap_27</f>
        <v>1.3</v>
      </c>
      <c r="F591" s="22" t="n">
        <f aca="false">cap_28</f>
        <v>1.55</v>
      </c>
      <c r="G591" s="22" t="n">
        <f aca="false">cap_29</f>
        <v>1.8</v>
      </c>
      <c r="K591" s="4" t="s">
        <v>506</v>
      </c>
    </row>
    <row r="592" customFormat="false" ht="17.15" hidden="false" customHeight="false" outlineLevel="0" collapsed="false">
      <c r="A592" s="4" t="s">
        <v>507</v>
      </c>
      <c r="B592" s="0" t="s">
        <v>53</v>
      </c>
      <c r="D592" s="22" t="n">
        <f aca="false">MIN(D590,D591)</f>
        <v>1</v>
      </c>
      <c r="E592" s="22" t="n">
        <f aca="false">MIN(E590,E591)</f>
        <v>1.3</v>
      </c>
      <c r="F592" s="22" t="n">
        <f aca="false">MIN(F590,F591)</f>
        <v>1.46416301754386</v>
      </c>
      <c r="G592" s="22" t="n">
        <f aca="false">MIN(G590,G591)</f>
        <v>1.66413116327485</v>
      </c>
    </row>
    <row r="593" customFormat="false" ht="17.15" hidden="false" customHeight="false" outlineLevel="0" collapsed="false">
      <c r="A593" s="4" t="s">
        <v>508</v>
      </c>
      <c r="B593" s="0" t="s">
        <v>78</v>
      </c>
      <c r="D593" s="17" t="n">
        <f aca="false">D592/D590</f>
        <v>1</v>
      </c>
      <c r="E593" s="17" t="n">
        <f aca="false">E592/E590</f>
        <v>0.997655084203795</v>
      </c>
      <c r="F593" s="17" t="n">
        <f aca="false">F592/F590</f>
        <v>1</v>
      </c>
      <c r="G593" s="17" t="n">
        <f aca="false">G592/G590</f>
        <v>1</v>
      </c>
      <c r="K593" s="4" t="s">
        <v>509</v>
      </c>
    </row>
    <row r="594" customFormat="false" ht="17.15" hidden="false" customHeight="false" outlineLevel="0" collapsed="false">
      <c r="A594" s="0" t="s">
        <v>510</v>
      </c>
      <c r="B594" s="0" t="s">
        <v>53</v>
      </c>
      <c r="D594" s="22" t="n">
        <f aca="false">1</f>
        <v>1</v>
      </c>
      <c r="E594" s="22" t="n">
        <f aca="false">pp_27</f>
        <v>1.12</v>
      </c>
      <c r="F594" s="22" t="n">
        <f aca="false">pp_28*sp_A</f>
        <v>1.15</v>
      </c>
      <c r="G594" s="22" t="n">
        <f aca="false">pp_29*sp_A</f>
        <v>1.12</v>
      </c>
      <c r="K594" s="8" t="s">
        <v>511</v>
      </c>
    </row>
    <row r="595" customFormat="false" ht="17.15" hidden="false" customHeight="false" outlineLevel="0" collapsed="false">
      <c r="A595" s="0" t="s">
        <v>452</v>
      </c>
      <c r="B595" s="0" t="s">
        <v>170</v>
      </c>
      <c r="D595" s="16" t="n">
        <f aca="false">q26_fm*ai_sh</f>
        <v>48.24</v>
      </c>
      <c r="E595" s="16" t="n">
        <f aca="false">q26_fm*ai_sh*E588*E593*E594</f>
        <v>92.3148446642507</v>
      </c>
      <c r="F595" s="16" t="n">
        <f aca="false">q26_fm*ai_sh*F588*F593*F594</f>
        <v>114.783036303158</v>
      </c>
      <c r="G595" s="16" t="n">
        <f aca="false">q26_fm*ai_sh*G588*G593*G594</f>
        <v>136.219431679461</v>
      </c>
      <c r="K595" s="8" t="s">
        <v>512</v>
      </c>
    </row>
    <row r="596" customFormat="false" ht="17.15" hidden="false" customHeight="false" outlineLevel="0" collapsed="false">
      <c r="A596" s="0" t="s">
        <v>513</v>
      </c>
      <c r="B596" s="0" t="s">
        <v>170</v>
      </c>
      <c r="D596" s="16" t="n">
        <f aca="false">q26_fm*(1-ai_sh)</f>
        <v>72.36</v>
      </c>
      <c r="E596" s="16" t="n">
        <f aca="false">q26_fm*(1-ai_sh)*E589*E593*E594</f>
        <v>83.2787553357493</v>
      </c>
      <c r="F596" s="16" t="n">
        <f aca="false">q26_fm*(1-ai_sh)*F589*F593*F594</f>
        <v>88.2817326</v>
      </c>
      <c r="G596" s="16" t="n">
        <f aca="false">q26_fm*(1-ai_sh)*G589*G593*G594</f>
        <v>88.5580928064</v>
      </c>
    </row>
    <row r="597" customFormat="false" ht="17.15" hidden="false" customHeight="false" outlineLevel="0" collapsed="false">
      <c r="A597" s="4" t="s">
        <v>514</v>
      </c>
      <c r="B597" s="0" t="s">
        <v>170</v>
      </c>
      <c r="C597" s="16" t="n">
        <f aca="false">q25_fm</f>
        <v>102.4512</v>
      </c>
      <c r="D597" s="16" t="n">
        <f aca="false">D595+D596</f>
        <v>120.6</v>
      </c>
      <c r="E597" s="16" t="n">
        <f aca="false">E595+E596</f>
        <v>175.5936</v>
      </c>
      <c r="F597" s="16" t="n">
        <f aca="false">F595+F596</f>
        <v>203.064768903158</v>
      </c>
      <c r="G597" s="16" t="n">
        <f aca="false">G595+G596</f>
        <v>224.777524485861</v>
      </c>
    </row>
    <row r="598" customFormat="false" ht="17.15" hidden="false" customHeight="false" outlineLevel="0" collapsed="false">
      <c r="A598" s="0" t="s">
        <v>515</v>
      </c>
      <c r="B598" s="0" t="s">
        <v>78</v>
      </c>
      <c r="C598" s="17" t="n">
        <f aca="false">q25_fmbp/q25_fm</f>
        <v>0.532936656671664</v>
      </c>
      <c r="D598" s="17" t="n">
        <f aca="false">q26_fmbp/q26_fm</f>
        <v>0.543117744610282</v>
      </c>
      <c r="E598" s="17" t="n">
        <f aca="false">1-(1-$D598)*(1+c_g)^1/E594</f>
        <v>0.579831497275527</v>
      </c>
      <c r="F598" s="17" t="n">
        <f aca="false">1-(1-$D598)*(1+c_g)^2/F594</f>
        <v>0.578516187180042</v>
      </c>
      <c r="G598" s="17" t="n">
        <f aca="false">1-(1-$D598)*(1+c_g)^3/G594</f>
        <v>0.554243235459607</v>
      </c>
      <c r="K598" s="8" t="s">
        <v>516</v>
      </c>
    </row>
    <row r="599" customFormat="false" ht="17.15" hidden="false" customHeight="false" outlineLevel="0" collapsed="false">
      <c r="A599" s="0" t="s">
        <v>478</v>
      </c>
      <c r="B599" s="0" t="s">
        <v>170</v>
      </c>
      <c r="C599" s="16" t="n">
        <f aca="false">q25_fmbp</f>
        <v>54.6</v>
      </c>
      <c r="D599" s="16" t="n">
        <f aca="false">D597*D598</f>
        <v>65.5</v>
      </c>
      <c r="E599" s="16" t="n">
        <f aca="false">E597*E598</f>
        <v>101.8147</v>
      </c>
      <c r="F599" s="16" t="n">
        <f aca="false">F597*F598</f>
        <v>117.476255856451</v>
      </c>
      <c r="G599" s="16" t="n">
        <f aca="false">G597*G598</f>
        <v>124.581422429645</v>
      </c>
    </row>
    <row r="600" customFormat="false" ht="17.15" hidden="false" customHeight="false" outlineLevel="0" collapsed="false">
      <c r="A600" s="6" t="s">
        <v>517</v>
      </c>
    </row>
    <row r="601" customFormat="false" ht="15" hidden="false" customHeight="false" outlineLevel="0" collapsed="false">
      <c r="A601" s="4" t="s">
        <v>518</v>
      </c>
      <c r="B601" s="0" t="s">
        <v>170</v>
      </c>
      <c r="C601" s="16" t="n">
        <f aca="false">q25_sf</f>
        <v>936.926</v>
      </c>
      <c r="D601" s="16" t="n">
        <f aca="false">q26_sf</f>
        <v>998.6</v>
      </c>
      <c r="E601" s="16" t="n">
        <f aca="false">D601*(1+g_sf)</f>
        <v>1038.544</v>
      </c>
      <c r="F601" s="16" t="n">
        <f aca="false">E601*(1+g_sf)</f>
        <v>1080.08576</v>
      </c>
      <c r="G601" s="16" t="n">
        <f aca="false">F601*(1+g_sf)</f>
        <v>1123.2891904</v>
      </c>
    </row>
    <row r="602" customFormat="false" ht="15" hidden="false" customHeight="false" outlineLevel="0" collapsed="false">
      <c r="A602" s="4" t="s">
        <v>519</v>
      </c>
      <c r="B602" s="0" t="s">
        <v>170</v>
      </c>
      <c r="C602" s="16" t="n">
        <f aca="false">q25_sfbp</f>
        <v>143.036</v>
      </c>
      <c r="D602" s="16" t="n">
        <f aca="false">q26_sfbp</f>
        <v>145.9</v>
      </c>
      <c r="E602" s="16" t="n">
        <f aca="false">E601*m_sf</f>
        <v>151.736</v>
      </c>
      <c r="F602" s="16" t="n">
        <f aca="false">F601*m_sf</f>
        <v>157.80544</v>
      </c>
      <c r="G602" s="16" t="n">
        <f aca="false">G601*m_sf</f>
        <v>164.1176576</v>
      </c>
    </row>
    <row r="603" customFormat="false" ht="15" hidden="false" customHeight="false" outlineLevel="0" collapsed="false">
      <c r="A603" s="4" t="s">
        <v>520</v>
      </c>
      <c r="B603" s="0" t="s">
        <v>170</v>
      </c>
      <c r="C603" s="16" t="n">
        <f aca="false">q25_ff</f>
        <v>290.308</v>
      </c>
      <c r="D603" s="16" t="n">
        <f aca="false">q26_ff</f>
        <v>310.6</v>
      </c>
      <c r="E603" s="16" t="n">
        <f aca="false">D603*(1+g_ff)</f>
        <v>319.918</v>
      </c>
      <c r="F603" s="16" t="n">
        <f aca="false">E603*(1+g_ff)</f>
        <v>329.51554</v>
      </c>
      <c r="G603" s="16" t="n">
        <f aca="false">F603*(1+g_ff)</f>
        <v>339.4010062</v>
      </c>
    </row>
    <row r="604" customFormat="false" ht="15" hidden="false" customHeight="false" outlineLevel="0" collapsed="false">
      <c r="A604" s="4" t="s">
        <v>521</v>
      </c>
      <c r="B604" s="0" t="s">
        <v>170</v>
      </c>
      <c r="C604" s="16" t="n">
        <f aca="false">q25_ffbp</f>
        <v>8.457</v>
      </c>
      <c r="D604" s="16" t="n">
        <f aca="false">q26_ffbp</f>
        <v>12.1</v>
      </c>
      <c r="E604" s="16" t="n">
        <f aca="false">E603*m_ff</f>
        <v>14.39631</v>
      </c>
      <c r="F604" s="16" t="n">
        <f aca="false">F603*m_ff</f>
        <v>14.8281993</v>
      </c>
      <c r="G604" s="16" t="n">
        <f aca="false">G603*m_ff</f>
        <v>15.273045279</v>
      </c>
    </row>
    <row r="605" customFormat="false" ht="17.15" hidden="false" customHeight="false" outlineLevel="0" collapsed="false">
      <c r="A605" s="4" t="s">
        <v>522</v>
      </c>
      <c r="B605" s="0" t="s">
        <v>170</v>
      </c>
      <c r="C605" s="16" t="n">
        <f aca="false">q25_hox</f>
        <v>239.0528</v>
      </c>
      <c r="D605" s="16" t="n">
        <f aca="false">q26_hox</f>
        <v>286.2</v>
      </c>
      <c r="E605" s="16" t="n">
        <f aca="false">D605*(1+g_ho)</f>
        <v>300.51</v>
      </c>
      <c r="F605" s="16" t="n">
        <f aca="false">E605*(1+g_ho)</f>
        <v>315.5355</v>
      </c>
      <c r="G605" s="16" t="n">
        <f aca="false">F605*(1+g_ho)</f>
        <v>331.312275</v>
      </c>
    </row>
    <row r="606" customFormat="false" ht="17.15" hidden="false" customHeight="false" outlineLevel="0" collapsed="false">
      <c r="A606" s="4" t="s">
        <v>523</v>
      </c>
      <c r="B606" s="0" t="s">
        <v>170</v>
      </c>
      <c r="C606" s="16" t="n">
        <f aca="false">q25_hoxbp</f>
        <v>11.602</v>
      </c>
      <c r="D606" s="16" t="n">
        <f aca="false">q26_hoxbp</f>
        <v>19.5</v>
      </c>
      <c r="E606" s="16" t="n">
        <f aca="false">E605*m_ho</f>
        <v>20.475</v>
      </c>
      <c r="F606" s="16" t="n">
        <f aca="false">F605*m_ho</f>
        <v>21.49875</v>
      </c>
      <c r="G606" s="16" t="n">
        <f aca="false">G605*m_ho</f>
        <v>22.5736875</v>
      </c>
    </row>
    <row r="607" customFormat="false" ht="17.15" hidden="false" customHeight="false" outlineLevel="0" collapsed="false">
      <c r="A607" s="4" t="s">
        <v>524</v>
      </c>
      <c r="B607" s="0" t="s">
        <v>170</v>
      </c>
      <c r="C607" s="16" t="n">
        <f aca="false">q25_oth</f>
        <v>14.979</v>
      </c>
      <c r="D607" s="16" t="n">
        <f aca="false">q26_oth</f>
        <v>15.8</v>
      </c>
      <c r="E607" s="16" t="n">
        <f aca="false">D607</f>
        <v>15.8</v>
      </c>
      <c r="F607" s="16" t="n">
        <f aca="false">E607</f>
        <v>15.8</v>
      </c>
      <c r="G607" s="16" t="n">
        <f aca="false">F607</f>
        <v>15.8</v>
      </c>
      <c r="K607" s="8" t="s">
        <v>525</v>
      </c>
    </row>
    <row r="608" customFormat="false" ht="15" hidden="false" customHeight="false" outlineLevel="0" collapsed="false">
      <c r="A608" s="4" t="s">
        <v>526</v>
      </c>
      <c r="B608" s="0" t="s">
        <v>170</v>
      </c>
      <c r="C608" s="16" t="n">
        <f aca="false">q25_othbp</f>
        <v>6.064</v>
      </c>
      <c r="D608" s="16" t="n">
        <f aca="false">q26_othbp</f>
        <v>5.1</v>
      </c>
      <c r="E608" s="16" t="n">
        <f aca="false">q26_othbp</f>
        <v>5.1</v>
      </c>
      <c r="F608" s="16" t="n">
        <f aca="false">q26_othbp</f>
        <v>5.1</v>
      </c>
      <c r="G608" s="16" t="n">
        <f aca="false">q26_othbp</f>
        <v>5.1</v>
      </c>
    </row>
    <row r="609" customFormat="false" ht="15" hidden="false" customHeight="false" outlineLevel="0" collapsed="false">
      <c r="A609" s="4" t="s">
        <v>527</v>
      </c>
      <c r="B609" s="0" t="s">
        <v>170</v>
      </c>
      <c r="C609" s="16" t="n">
        <f aca="false">q25_cc</f>
        <v>-42.597</v>
      </c>
      <c r="D609" s="16" t="n">
        <f aca="false">q26_cc</f>
        <v>-46.2</v>
      </c>
      <c r="E609" s="16" t="n">
        <f aca="false">D609*(1+g_cc)</f>
        <v>-47.586</v>
      </c>
      <c r="F609" s="16" t="n">
        <f aca="false">E609*(1+g_cc)</f>
        <v>-49.01358</v>
      </c>
      <c r="G609" s="16" t="n">
        <f aca="false">F609*(1+g_cc)</f>
        <v>-50.4839874</v>
      </c>
    </row>
    <row r="610" customFormat="false" ht="17.15" hidden="false" customHeight="false" outlineLevel="0" collapsed="false">
      <c r="A610" s="4" t="s">
        <v>528</v>
      </c>
      <c r="B610" s="0" t="s">
        <v>170</v>
      </c>
      <c r="C610" s="28" t="n">
        <f aca="false">a_rev-(q25_sf+q25_ff+q25_hox+q25_fm+q25_oth)</f>
        <v>0.00200000000018008</v>
      </c>
      <c r="D610" s="28" t="n">
        <f aca="false">f_rev-(q26_sf+q26_ff+q26_hox+q26_fm+q26_oth)</f>
        <v>0.200000000000045</v>
      </c>
      <c r="E610" s="28" t="n">
        <f aca="false">$D610</f>
        <v>0.200000000000045</v>
      </c>
      <c r="F610" s="28" t="n">
        <f aca="false">$D610</f>
        <v>0.200000000000045</v>
      </c>
      <c r="G610" s="28" t="n">
        <f aca="false">$D610</f>
        <v>0.200000000000045</v>
      </c>
      <c r="K610" s="8" t="s">
        <v>529</v>
      </c>
    </row>
    <row r="611" customFormat="false" ht="15" hidden="false" customHeight="false" outlineLevel="0" collapsed="false">
      <c r="A611" s="4" t="s">
        <v>530</v>
      </c>
      <c r="B611" s="0" t="s">
        <v>170</v>
      </c>
      <c r="C611" s="28" t="n">
        <f aca="false">a_bp-(q25_sfbp+q25_ffbp+q25_hoxbp+q25_fmbp+q25_othbp+q25_cc)</f>
        <v>0.0010000000000332</v>
      </c>
      <c r="D611" s="28" t="n">
        <f aca="false">f_bp-(q26_sfbp+q26_ffbp+q26_hoxbp+q26_fmbp+q26_othbp+q26_cc)</f>
        <v>0.100000000000023</v>
      </c>
      <c r="E611" s="28" t="n">
        <f aca="false">$D611</f>
        <v>0.100000000000023</v>
      </c>
      <c r="F611" s="28" t="n">
        <f aca="false">$D611</f>
        <v>0.100000000000023</v>
      </c>
      <c r="G611" s="28" t="n">
        <f aca="false">$D611</f>
        <v>0.100000000000023</v>
      </c>
    </row>
    <row r="612" customFormat="false" ht="17.15" hidden="false" customHeight="false" outlineLevel="0" collapsed="false">
      <c r="A612" s="6" t="s">
        <v>531</v>
      </c>
    </row>
    <row r="613" customFormat="false" ht="17.15" hidden="false" customHeight="false" outlineLevel="0" collapsed="false">
      <c r="A613" s="4" t="s">
        <v>403</v>
      </c>
      <c r="B613" s="0" t="s">
        <v>170</v>
      </c>
      <c r="C613" s="16" t="n">
        <f aca="false">C601+C603+C605+C597+C607+C610</f>
        <v>1583.719</v>
      </c>
      <c r="D613" s="16" t="n">
        <f aca="false">D601+D603+D605+D597+D607+D610</f>
        <v>1732</v>
      </c>
      <c r="E613" s="16" t="n">
        <f aca="false">E601+E603+E605+E597+E607+E610</f>
        <v>1850.5656</v>
      </c>
      <c r="F613" s="16" t="n">
        <f aca="false">F601+F603+F605+F597+F607+F610</f>
        <v>1944.20156890316</v>
      </c>
      <c r="G613" s="16" t="n">
        <f aca="false">G601+G603+G605+G597+G607+G610</f>
        <v>2034.77999608586</v>
      </c>
      <c r="H613" s="24" t="n">
        <f aca="false">G613*(1+H617)</f>
        <v>2138.67452032222</v>
      </c>
      <c r="I613" s="24" t="n">
        <f aca="false">H613*(1+I617)</f>
        <v>2257.43441098372</v>
      </c>
      <c r="J613" s="24" t="n">
        <f aca="false">I613*(1+J617)</f>
        <v>2392.88047564274</v>
      </c>
      <c r="K613" s="8" t="s">
        <v>532</v>
      </c>
    </row>
    <row r="614" customFormat="false" ht="17.15" hidden="false" customHeight="false" outlineLevel="0" collapsed="false">
      <c r="A614" s="4" t="s">
        <v>533</v>
      </c>
      <c r="B614" s="0" t="s">
        <v>170</v>
      </c>
      <c r="C614" s="16" t="n">
        <f aca="false">C597+C605</f>
        <v>341.504</v>
      </c>
      <c r="D614" s="16" t="n">
        <f aca="false">D597+D605</f>
        <v>406.8</v>
      </c>
      <c r="E614" s="16" t="n">
        <f aca="false">E597+E605</f>
        <v>476.1036</v>
      </c>
      <c r="F614" s="16" t="n">
        <f aca="false">F597+F605</f>
        <v>518.600268903158</v>
      </c>
      <c r="G614" s="16" t="n">
        <f aca="false">G597+G605</f>
        <v>556.089799485861</v>
      </c>
      <c r="K614" s="4" t="s">
        <v>534</v>
      </c>
    </row>
    <row r="615" customFormat="false" ht="17.15" hidden="false" customHeight="false" outlineLevel="0" collapsed="false">
      <c r="A615" s="4" t="s">
        <v>535</v>
      </c>
      <c r="B615" s="0" t="s">
        <v>170</v>
      </c>
      <c r="C615" s="16" t="n">
        <f aca="false">C607+C610</f>
        <v>14.9810000000002</v>
      </c>
      <c r="D615" s="16" t="n">
        <f aca="false">D607+D610</f>
        <v>16</v>
      </c>
      <c r="E615" s="16" t="n">
        <f aca="false">E607+E610</f>
        <v>16</v>
      </c>
      <c r="F615" s="16" t="n">
        <f aca="false">F607+F610</f>
        <v>16</v>
      </c>
      <c r="G615" s="16" t="n">
        <f aca="false">G607+G610</f>
        <v>16</v>
      </c>
      <c r="K615" s="8" t="s">
        <v>536</v>
      </c>
    </row>
    <row r="616" customFormat="false" ht="15" hidden="false" customHeight="false" outlineLevel="0" collapsed="false">
      <c r="A616" s="4" t="s">
        <v>537</v>
      </c>
      <c r="B616" s="0" t="s">
        <v>170</v>
      </c>
      <c r="C616" s="22" t="n">
        <f aca="false">C601+C603+C614+C615-C613</f>
        <v>0</v>
      </c>
      <c r="D616" s="22" t="n">
        <f aca="false">D601+D603+D614+D615-D613</f>
        <v>0</v>
      </c>
      <c r="E616" s="22" t="n">
        <f aca="false">E601+E603+E614+E615-E613</f>
        <v>0</v>
      </c>
      <c r="F616" s="22" t="n">
        <f aca="false">F601+F603+F614+F615-F613</f>
        <v>0</v>
      </c>
      <c r="G616" s="22" t="n">
        <f aca="false">G601+G603+G614+G615-G613</f>
        <v>0</v>
      </c>
    </row>
    <row r="617" customFormat="false" ht="15" hidden="false" customHeight="false" outlineLevel="0" collapsed="false">
      <c r="A617" s="4" t="s">
        <v>538</v>
      </c>
      <c r="B617" s="0" t="s">
        <v>78</v>
      </c>
      <c r="D617" s="17" t="n">
        <f aca="false">D613/C613-1</f>
        <v>0.0936283519993131</v>
      </c>
      <c r="E617" s="17" t="n">
        <f aca="false">E613/D613-1</f>
        <v>0.0684558891454965</v>
      </c>
      <c r="F617" s="17" t="n">
        <f aca="false">F613/E613-1</f>
        <v>0.050598567758505</v>
      </c>
      <c r="G617" s="17" t="n">
        <f aca="false">G613/F613-1</f>
        <v>0.0465890104356843</v>
      </c>
      <c r="H617" s="25" t="n">
        <f aca="false">$G617+(fade_gA-$G617)*1/3</f>
        <v>0.0510593402904562</v>
      </c>
      <c r="I617" s="25" t="n">
        <f aca="false">$G617+(fade_gA-$G617)*2/3</f>
        <v>0.0555296701452281</v>
      </c>
      <c r="J617" s="25" t="n">
        <f aca="false">$G617+(fade_gA-$G617)*3/3</f>
        <v>0.06</v>
      </c>
    </row>
    <row r="618" customFormat="false" ht="17.15" hidden="false" customHeight="false" outlineLevel="0" collapsed="false">
      <c r="A618" s="0" t="s">
        <v>539</v>
      </c>
      <c r="B618" s="0" t="s">
        <v>78</v>
      </c>
      <c r="C618" s="17" t="n">
        <f aca="false">C597/C613</f>
        <v>0.0646902638662541</v>
      </c>
      <c r="D618" s="17" t="n">
        <f aca="false">D597/D613</f>
        <v>0.0696304849884527</v>
      </c>
      <c r="E618" s="17" t="n">
        <f aca="false">E597/E613</f>
        <v>0.0948864498507916</v>
      </c>
      <c r="F618" s="17" t="n">
        <f aca="false">F597/F613</f>
        <v>0.10444635584659</v>
      </c>
      <c r="G618" s="17" t="n">
        <f aca="false">G597/G613</f>
        <v>0.110467728657765</v>
      </c>
    </row>
    <row r="619" customFormat="false" ht="15" hidden="false" customHeight="false" outlineLevel="0" collapsed="false">
      <c r="A619" s="4" t="s">
        <v>413</v>
      </c>
      <c r="B619" s="0" t="s">
        <v>170</v>
      </c>
      <c r="C619" s="16" t="n">
        <f aca="false">C602+C604+C606+C599+C608+C609+C611</f>
        <v>181.163</v>
      </c>
      <c r="D619" s="16" t="n">
        <f aca="false">D602+D604+D606+D599+D608+D609+D611</f>
        <v>202</v>
      </c>
      <c r="E619" s="16" t="n">
        <f aca="false">E602+E604+E606+E599+E608+E609+E611</f>
        <v>246.03601</v>
      </c>
      <c r="F619" s="16" t="n">
        <f aca="false">F602+F604+F606+F599+F608+F609+F611</f>
        <v>267.795065156451</v>
      </c>
      <c r="G619" s="16" t="n">
        <f aca="false">G602+G604+G606+G599+G608+G609+G611</f>
        <v>281.261825408645</v>
      </c>
    </row>
    <row r="620" customFormat="false" ht="15" hidden="false" customHeight="false" outlineLevel="0" collapsed="false">
      <c r="A620" s="4" t="s">
        <v>429</v>
      </c>
      <c r="B620" s="0" t="s">
        <v>78</v>
      </c>
      <c r="C620" s="17" t="n">
        <f aca="false">C619/C613</f>
        <v>0.114390873633517</v>
      </c>
      <c r="D620" s="17" t="n">
        <f aca="false">D619/D613</f>
        <v>0.11662817551963</v>
      </c>
      <c r="E620" s="17" t="n">
        <f aca="false">E619/E613</f>
        <v>0.132951790522854</v>
      </c>
      <c r="F620" s="17" t="n">
        <f aca="false">F619/F613</f>
        <v>0.137740381161986</v>
      </c>
      <c r="G620" s="17" t="n">
        <f aca="false">G619/G613</f>
        <v>0.138227142958789</v>
      </c>
    </row>
    <row r="621" customFormat="false" ht="17.15" hidden="false" customHeight="false" outlineLevel="0" collapsed="false">
      <c r="A621" s="0" t="s">
        <v>540</v>
      </c>
      <c r="B621" s="0" t="s">
        <v>78</v>
      </c>
      <c r="C621" s="17" t="n">
        <f aca="false">C599/C619</f>
        <v>0.301386044611758</v>
      </c>
      <c r="D621" s="17" t="n">
        <f aca="false">D599/D619</f>
        <v>0.324257425742574</v>
      </c>
      <c r="E621" s="17" t="n">
        <f aca="false">E599/E619</f>
        <v>0.413820318415991</v>
      </c>
      <c r="F621" s="17" t="n">
        <f aca="false">F599/F619</f>
        <v>0.438679688842732</v>
      </c>
      <c r="G621" s="17" t="n">
        <f aca="false">G599/G619</f>
        <v>0.442937544932166</v>
      </c>
    </row>
    <row r="622" customFormat="false" ht="17.15" hidden="false" customHeight="false" outlineLevel="0" collapsed="false">
      <c r="A622" s="4" t="s">
        <v>430</v>
      </c>
      <c r="B622" s="0" t="s">
        <v>53</v>
      </c>
      <c r="C622" s="22" t="n">
        <f aca="false">q25_ni/q25_bp</f>
        <v>0.743391310587703</v>
      </c>
      <c r="D622" s="22" t="n">
        <f aca="false">q26_ni/q26_bp</f>
        <v>0.611386138613861</v>
      </c>
      <c r="E622" s="22" t="n">
        <f aca="false">ni_bp</f>
        <v>0.62</v>
      </c>
      <c r="F622" s="22" t="n">
        <f aca="false">ni_bp</f>
        <v>0.62</v>
      </c>
      <c r="G622" s="22" t="n">
        <f aca="false">ni_bp</f>
        <v>0.62</v>
      </c>
    </row>
    <row r="623" customFormat="false" ht="15" hidden="false" customHeight="false" outlineLevel="0" collapsed="false">
      <c r="A623" s="4" t="s">
        <v>420</v>
      </c>
      <c r="B623" s="0" t="s">
        <v>170</v>
      </c>
      <c r="C623" s="16" t="n">
        <f aca="false">q25_ni</f>
        <v>134.675</v>
      </c>
      <c r="D623" s="16" t="n">
        <f aca="false">q26_ni</f>
        <v>123.5</v>
      </c>
      <c r="E623" s="16" t="n">
        <f aca="false">E619*E622</f>
        <v>152.5423262</v>
      </c>
      <c r="F623" s="16" t="n">
        <f aca="false">F619*F622</f>
        <v>166.032940397</v>
      </c>
      <c r="G623" s="16" t="n">
        <f aca="false">G619*G622</f>
        <v>174.38233175336</v>
      </c>
      <c r="H623" s="24" t="n">
        <f aca="false">H613*H627</f>
        <v>184.929768839345</v>
      </c>
      <c r="I623" s="24" t="n">
        <f aca="false">I613*I627</f>
        <v>196.933716196831</v>
      </c>
      <c r="J623" s="24" t="n">
        <f aca="false">J613*J627</f>
        <v>210.588688960072</v>
      </c>
    </row>
    <row r="624" customFormat="false" ht="15" hidden="false" customHeight="false" outlineLevel="0" collapsed="false">
      <c r="A624" s="4" t="s">
        <v>541</v>
      </c>
      <c r="B624" s="4" t="s">
        <v>317</v>
      </c>
      <c r="C624" s="20" t="n">
        <f aca="false">q25_sh</f>
        <v>0.973366579936398</v>
      </c>
      <c r="D624" s="20" t="n">
        <f aca="false">q26_sh</f>
        <v>0.95117067159581</v>
      </c>
      <c r="E624" s="20" t="n">
        <f aca="false">D624*(1+sh_g)</f>
        <v>0.936903111521873</v>
      </c>
      <c r="F624" s="20" t="n">
        <f aca="false">E624*(1+sh_g)</f>
        <v>0.922849564849045</v>
      </c>
      <c r="G624" s="20" t="n">
        <f aca="false">F624*(1+sh_g)</f>
        <v>0.909006821376309</v>
      </c>
      <c r="H624" s="29" t="n">
        <f aca="false">G624*(1+sh_g)</f>
        <v>0.895371719055665</v>
      </c>
      <c r="I624" s="29" t="n">
        <f aca="false">H624*(1+sh_g)</f>
        <v>0.88194114326983</v>
      </c>
      <c r="J624" s="29" t="n">
        <f aca="false">I624*(1+sh_g)</f>
        <v>0.868712026120782</v>
      </c>
    </row>
    <row r="625" customFormat="false" ht="17.15" hidden="false" customHeight="false" outlineLevel="0" collapsed="false">
      <c r="A625" s="0" t="s">
        <v>542</v>
      </c>
      <c r="B625" s="0" t="s">
        <v>208</v>
      </c>
      <c r="C625" s="21" t="n">
        <f aca="false">C623/C624</f>
        <v>138.36</v>
      </c>
      <c r="D625" s="21" t="n">
        <f aca="false">D623/D624</f>
        <v>129.84</v>
      </c>
      <c r="E625" s="21" t="n">
        <f aca="false">E623/E624</f>
        <v>162.815476140554</v>
      </c>
      <c r="F625" s="21" t="n">
        <f aca="false">F623/F624</f>
        <v>179.91333227118</v>
      </c>
      <c r="G625" s="21" t="n">
        <f aca="false">G623/G624</f>
        <v>191.838309298197</v>
      </c>
      <c r="H625" s="27" t="n">
        <f aca="false">H623/H624</f>
        <v>206.539658226405</v>
      </c>
      <c r="I625" s="27" t="n">
        <f aca="false">I623/I624</f>
        <v>223.295758112261</v>
      </c>
      <c r="J625" s="27" t="n">
        <f aca="false">J623/J624</f>
        <v>242.414842465635</v>
      </c>
    </row>
    <row r="626" customFormat="false" ht="17.15" hidden="false" customHeight="false" outlineLevel="0" collapsed="false">
      <c r="A626" s="0" t="s">
        <v>543</v>
      </c>
      <c r="B626" s="0" t="s">
        <v>78</v>
      </c>
      <c r="D626" s="17" t="n">
        <f aca="false">D625/C625-1</f>
        <v>-0.0615784908933218</v>
      </c>
      <c r="E626" s="17" t="n">
        <f aca="false">E625/D625-1</f>
        <v>0.253970087342527</v>
      </c>
      <c r="F626" s="17" t="n">
        <f aca="false">F625/E625-1</f>
        <v>0.10501370346309</v>
      </c>
      <c r="G626" s="17" t="n">
        <f aca="false">G625/F625-1</f>
        <v>0.0662817862160625</v>
      </c>
      <c r="H626" s="25" t="n">
        <f aca="false">H625/G625-1</f>
        <v>0.0766340622057675</v>
      </c>
      <c r="I626" s="25" t="n">
        <f aca="false">I625/H625-1</f>
        <v>0.0811277603039717</v>
      </c>
      <c r="J626" s="25" t="n">
        <f aca="false">J625/I625-1</f>
        <v>0.085622246096416</v>
      </c>
    </row>
    <row r="627" customFormat="false" ht="15" hidden="false" customHeight="false" outlineLevel="0" collapsed="false">
      <c r="A627" s="4" t="s">
        <v>544</v>
      </c>
      <c r="B627" s="0" t="s">
        <v>78</v>
      </c>
      <c r="C627" s="14" t="n">
        <f aca="false">C623/C613</f>
        <v>0.0850371814696925</v>
      </c>
      <c r="D627" s="14" t="n">
        <f aca="false">D623/D613</f>
        <v>0.0713048498845266</v>
      </c>
      <c r="E627" s="14" t="n">
        <f aca="false">E623/E613</f>
        <v>0.0824301101241696</v>
      </c>
      <c r="F627" s="14" t="n">
        <f aca="false">F623/F613</f>
        <v>0.085399036320431</v>
      </c>
      <c r="G627" s="14" t="n">
        <f aca="false">G623/G613</f>
        <v>0.0857008286344493</v>
      </c>
      <c r="H627" s="26" t="n">
        <f aca="false">$G627+(fade_mA-$G627)*1/3</f>
        <v>0.0864693374714555</v>
      </c>
      <c r="I627" s="26" t="n">
        <f aca="false">$G627+(fade_mA-$G627)*2/3</f>
        <v>0.0872378463084618</v>
      </c>
      <c r="J627" s="26" t="n">
        <f aca="false">$G627+(fade_mA-$G627)*3/3</f>
        <v>0.088006355145468</v>
      </c>
    </row>
    <row r="628" customFormat="false" ht="17.15" hidden="false" customHeight="false" outlineLevel="0" collapsed="false">
      <c r="A628" s="0" t="s">
        <v>545</v>
      </c>
      <c r="B628" s="0" t="s">
        <v>208</v>
      </c>
      <c r="D628" s="21" t="n">
        <f aca="false">D599*D622/D624</f>
        <v>42.1015841584158</v>
      </c>
      <c r="E628" s="21" t="n">
        <f aca="false">E599*E622/E624</f>
        <v>67.3763521795352</v>
      </c>
      <c r="F628" s="21" t="n">
        <f aca="false">F599*F622/F624</f>
        <v>78.9243246193802</v>
      </c>
      <c r="G628" s="21" t="n">
        <f aca="false">G599*G622/G624</f>
        <v>84.9723897444811</v>
      </c>
      <c r="K628" s="8" t="s">
        <v>546</v>
      </c>
    </row>
    <row r="629" customFormat="false" ht="17.15" hidden="false" customHeight="false" outlineLevel="0" collapsed="false">
      <c r="A629" s="0" t="s">
        <v>547</v>
      </c>
      <c r="B629" s="0" t="s">
        <v>208</v>
      </c>
      <c r="D629" s="21" t="n">
        <f aca="false">D625-D628</f>
        <v>87.7384158415842</v>
      </c>
      <c r="E629" s="21" t="n">
        <f aca="false">E625-E628</f>
        <v>95.4391239610186</v>
      </c>
      <c r="F629" s="21" t="n">
        <f aca="false">F625-F628</f>
        <v>100.9890076518</v>
      </c>
      <c r="G629" s="21" t="n">
        <f aca="false">G625-G628</f>
        <v>106.865919553716</v>
      </c>
    </row>
    <row r="630" customFormat="false" ht="17.15" hidden="false" customHeight="false" outlineLevel="0" collapsed="false">
      <c r="A630" s="0" t="s">
        <v>548</v>
      </c>
      <c r="B630" s="0" t="s">
        <v>455</v>
      </c>
      <c r="D630" s="16" t="n">
        <f aca="false">D595/D585*1000/150</f>
        <v>23.5087719298246</v>
      </c>
      <c r="E630" s="16" t="n">
        <f aca="false">E595/E585*1000/150</f>
        <v>29.4465214240034</v>
      </c>
      <c r="F630" s="16" t="n">
        <f aca="false">F595/F585*1000/150</f>
        <v>33.1264174035088</v>
      </c>
      <c r="G630" s="16" t="n">
        <f aca="false">G595/G585*1000/150</f>
        <v>34.6085954470175</v>
      </c>
      <c r="K630" s="8" t="s">
        <v>549</v>
      </c>
    </row>
    <row r="633" customFormat="false" ht="17.15" hidden="false" customHeight="false" outlineLevel="0" collapsed="false">
      <c r="A633" s="1" t="s">
        <v>948</v>
      </c>
    </row>
    <row r="634" customFormat="false" ht="17.15" hidden="false" customHeight="false" outlineLevel="0" collapsed="false">
      <c r="A634" s="5" t="s">
        <v>20</v>
      </c>
      <c r="B634" s="5" t="s">
        <v>21</v>
      </c>
      <c r="C634" s="15" t="s">
        <v>398</v>
      </c>
      <c r="D634" s="15" t="s">
        <v>470</v>
      </c>
      <c r="E634" s="15" t="s">
        <v>435</v>
      </c>
      <c r="F634" s="15" t="s">
        <v>436</v>
      </c>
      <c r="G634" s="15" t="s">
        <v>437</v>
      </c>
      <c r="H634" s="15" t="s">
        <v>471</v>
      </c>
      <c r="I634" s="15" t="s">
        <v>472</v>
      </c>
      <c r="J634" s="15" t="s">
        <v>473</v>
      </c>
      <c r="K634" s="5" t="s">
        <v>377</v>
      </c>
    </row>
    <row r="635" customFormat="false" ht="17.15" hidden="false" customHeight="false" outlineLevel="0" collapsed="false">
      <c r="A635" s="6" t="s">
        <v>493</v>
      </c>
    </row>
    <row r="636" customFormat="false" ht="17.15" hidden="false" customHeight="false" outlineLevel="0" collapsed="false">
      <c r="A636" s="0" t="s">
        <v>494</v>
      </c>
      <c r="B636" s="4" t="s">
        <v>31</v>
      </c>
      <c r="D636" s="21" t="n">
        <f aca="false">unv_26</f>
        <v>7.6</v>
      </c>
      <c r="E636" s="21" t="n">
        <f aca="false">unv_27</f>
        <v>9.7</v>
      </c>
      <c r="F636" s="21" t="n">
        <f aca="false">unv_28*um28_A</f>
        <v>9.5</v>
      </c>
      <c r="G636" s="21" t="n">
        <f aca="false">unv_29*um29_A</f>
        <v>10.6</v>
      </c>
      <c r="K636" s="8" t="s">
        <v>495</v>
      </c>
    </row>
    <row r="637" customFormat="false" ht="17.15" hidden="false" customHeight="false" outlineLevel="0" collapsed="false">
      <c r="A637" s="4" t="s">
        <v>496</v>
      </c>
      <c r="B637" s="4" t="s">
        <v>31</v>
      </c>
      <c r="D637" s="21" t="n">
        <f aca="false">uot_26</f>
        <v>7.6</v>
      </c>
      <c r="E637" s="21" t="n">
        <f aca="false">uot_27</f>
        <v>14</v>
      </c>
      <c r="F637" s="21" t="n">
        <f aca="false">uot_28*um28_A</f>
        <v>17</v>
      </c>
      <c r="G637" s="21" t="n">
        <f aca="false">uot_29*um29_A</f>
        <v>19.55</v>
      </c>
      <c r="K637" s="8" t="s">
        <v>497</v>
      </c>
    </row>
    <row r="638" customFormat="false" ht="17.15" hidden="false" customHeight="false" outlineLevel="0" collapsed="false">
      <c r="A638" s="4" t="s">
        <v>498</v>
      </c>
      <c r="B638" s="4" t="s">
        <v>31</v>
      </c>
      <c r="D638" s="21" t="n">
        <f aca="false">D636+v_ot*D637</f>
        <v>13.68</v>
      </c>
      <c r="E638" s="21" t="n">
        <f aca="false">E636+v_ot*E637</f>
        <v>20.9</v>
      </c>
      <c r="F638" s="21" t="n">
        <f aca="false">F636+v_ot*F637</f>
        <v>23.1</v>
      </c>
      <c r="G638" s="21" t="n">
        <f aca="false">G636+v_ot*G637</f>
        <v>26.24</v>
      </c>
    </row>
    <row r="639" customFormat="false" ht="17.15" hidden="false" customHeight="false" outlineLevel="0" collapsed="false">
      <c r="A639" s="4" t="s">
        <v>499</v>
      </c>
      <c r="B639" s="0" t="s">
        <v>53</v>
      </c>
      <c r="D639" s="22" t="n">
        <f aca="false">1</f>
        <v>1</v>
      </c>
      <c r="E639" s="22" t="n">
        <f aca="false">D639*(1+g_asp)</f>
        <v>1.18</v>
      </c>
      <c r="F639" s="22" t="n">
        <f aca="false">E639*(1+g_asp)</f>
        <v>1.3924</v>
      </c>
      <c r="G639" s="22" t="n">
        <f aca="false">F639*(1+g_asp)</f>
        <v>1.643032</v>
      </c>
    </row>
    <row r="640" customFormat="false" ht="17.15" hidden="false" customHeight="false" outlineLevel="0" collapsed="false">
      <c r="A640" s="4" t="s">
        <v>500</v>
      </c>
      <c r="B640" s="0" t="s">
        <v>53</v>
      </c>
      <c r="D640" s="19" t="n">
        <f aca="false">1</f>
        <v>1</v>
      </c>
      <c r="E640" s="19" t="n">
        <f aca="false">rel_27</f>
        <v>1</v>
      </c>
      <c r="F640" s="19" t="n">
        <f aca="false">rel_28</f>
        <v>0.97</v>
      </c>
      <c r="G640" s="19" t="n">
        <f aca="false">rel_29</f>
        <v>0.95</v>
      </c>
    </row>
    <row r="641" customFormat="false" ht="17.15" hidden="false" customHeight="false" outlineLevel="0" collapsed="false">
      <c r="A641" s="0" t="s">
        <v>501</v>
      </c>
      <c r="B641" s="0" t="s">
        <v>53</v>
      </c>
      <c r="D641" s="22" t="n">
        <f aca="false">D638/$D638*D639*D640</f>
        <v>1</v>
      </c>
      <c r="E641" s="22" t="n">
        <f aca="false">E638/$D638*E639*E640</f>
        <v>1.80277777777778</v>
      </c>
      <c r="F641" s="22" t="n">
        <f aca="false">F638/$D638*F639*F640</f>
        <v>2.28066570175439</v>
      </c>
      <c r="G641" s="22" t="n">
        <f aca="false">G638/$D638*G639*G640</f>
        <v>2.99396942222222</v>
      </c>
      <c r="K641" s="4" t="s">
        <v>502</v>
      </c>
    </row>
    <row r="642" customFormat="false" ht="17.15" hidden="false" customHeight="false" outlineLevel="0" collapsed="false">
      <c r="A642" s="4" t="s">
        <v>503</v>
      </c>
      <c r="B642" s="0" t="s">
        <v>53</v>
      </c>
      <c r="D642" s="22" t="n">
        <f aca="false">1</f>
        <v>1</v>
      </c>
      <c r="E642" s="22" t="n">
        <f aca="false">D642*(1+g_nai)</f>
        <v>1.03</v>
      </c>
      <c r="F642" s="22" t="n">
        <f aca="false">E642*(1+g_nai)</f>
        <v>1.0609</v>
      </c>
      <c r="G642" s="22" t="n">
        <f aca="false">F642*(1+g_nai)</f>
        <v>1.092727</v>
      </c>
    </row>
    <row r="643" customFormat="false" ht="17.15" hidden="false" customHeight="false" outlineLevel="0" collapsed="false">
      <c r="A643" s="0" t="s">
        <v>504</v>
      </c>
      <c r="B643" s="0" t="s">
        <v>53</v>
      </c>
      <c r="D643" s="22" t="n">
        <f aca="false">ai_sh*D641+(1-ai_sh)*D642</f>
        <v>1</v>
      </c>
      <c r="E643" s="22" t="n">
        <f aca="false">ai_sh*E641+(1-ai_sh)*E642</f>
        <v>1.33911111111111</v>
      </c>
      <c r="F643" s="22" t="n">
        <f aca="false">ai_sh*F641+(1-ai_sh)*F642</f>
        <v>1.54880628070175</v>
      </c>
      <c r="G643" s="22" t="n">
        <f aca="false">ai_sh*G641+(1-ai_sh)*G642</f>
        <v>1.85322396888889</v>
      </c>
    </row>
    <row r="644" customFormat="false" ht="17.15" hidden="false" customHeight="false" outlineLevel="0" collapsed="false">
      <c r="A644" s="4" t="s">
        <v>505</v>
      </c>
      <c r="B644" s="0" t="s">
        <v>53</v>
      </c>
      <c r="D644" s="22" t="n">
        <f aca="false">1</f>
        <v>1</v>
      </c>
      <c r="E644" s="22" t="n">
        <f aca="false">cap_27</f>
        <v>1.3</v>
      </c>
      <c r="F644" s="22" t="n">
        <f aca="false">cap_28</f>
        <v>1.55</v>
      </c>
      <c r="G644" s="22" t="n">
        <f aca="false">cap_29</f>
        <v>1.8</v>
      </c>
      <c r="K644" s="4" t="s">
        <v>506</v>
      </c>
    </row>
    <row r="645" customFormat="false" ht="17.15" hidden="false" customHeight="false" outlineLevel="0" collapsed="false">
      <c r="A645" s="4" t="s">
        <v>507</v>
      </c>
      <c r="B645" s="0" t="s">
        <v>53</v>
      </c>
      <c r="D645" s="22" t="n">
        <f aca="false">MIN(D643,D644)</f>
        <v>1</v>
      </c>
      <c r="E645" s="22" t="n">
        <f aca="false">MIN(E643,E644)</f>
        <v>1.3</v>
      </c>
      <c r="F645" s="22" t="n">
        <f aca="false">MIN(F643,F644)</f>
        <v>1.54880628070175</v>
      </c>
      <c r="G645" s="22" t="n">
        <f aca="false">MIN(G643,G644)</f>
        <v>1.8</v>
      </c>
    </row>
    <row r="646" customFormat="false" ht="17.15" hidden="false" customHeight="false" outlineLevel="0" collapsed="false">
      <c r="A646" s="4" t="s">
        <v>508</v>
      </c>
      <c r="B646" s="0" t="s">
        <v>78</v>
      </c>
      <c r="D646" s="17" t="n">
        <f aca="false">D645/D643</f>
        <v>1</v>
      </c>
      <c r="E646" s="17" t="n">
        <f aca="false">E645/E643</f>
        <v>0.970793229339529</v>
      </c>
      <c r="F646" s="17" t="n">
        <f aca="false">F645/F643</f>
        <v>1</v>
      </c>
      <c r="G646" s="17" t="n">
        <f aca="false">G645/G643</f>
        <v>0.971280336439422</v>
      </c>
      <c r="K646" s="4" t="s">
        <v>509</v>
      </c>
    </row>
    <row r="647" customFormat="false" ht="17.15" hidden="false" customHeight="false" outlineLevel="0" collapsed="false">
      <c r="A647" s="0" t="s">
        <v>510</v>
      </c>
      <c r="B647" s="0" t="s">
        <v>53</v>
      </c>
      <c r="D647" s="22" t="n">
        <f aca="false">1</f>
        <v>1</v>
      </c>
      <c r="E647" s="22" t="n">
        <f aca="false">pp_27</f>
        <v>1.12</v>
      </c>
      <c r="F647" s="22" t="n">
        <f aca="false">pp_28*sp_A</f>
        <v>1.15</v>
      </c>
      <c r="G647" s="22" t="n">
        <f aca="false">pp_29*sp_A</f>
        <v>1.12</v>
      </c>
      <c r="K647" s="8" t="s">
        <v>511</v>
      </c>
    </row>
    <row r="648" customFormat="false" ht="17.15" hidden="false" customHeight="false" outlineLevel="0" collapsed="false">
      <c r="A648" s="0" t="s">
        <v>452</v>
      </c>
      <c r="B648" s="0" t="s">
        <v>170</v>
      </c>
      <c r="D648" s="16" t="n">
        <f aca="false">q26_fm*ai_sh</f>
        <v>48.24</v>
      </c>
      <c r="E648" s="16" t="n">
        <f aca="false">q26_fm*ai_sh*E641*E646*E647</f>
        <v>94.5571244606705</v>
      </c>
      <c r="F648" s="16" t="n">
        <f aca="false">q26_fm*ai_sh*F641*F646*F647</f>
        <v>126.522210470526</v>
      </c>
      <c r="G648" s="16" t="n">
        <f aca="false">q26_fm*ai_sh*G641*G646*G647</f>
        <v>157.114865824566</v>
      </c>
      <c r="K648" s="8" t="s">
        <v>512</v>
      </c>
    </row>
    <row r="649" customFormat="false" ht="17.15" hidden="false" customHeight="false" outlineLevel="0" collapsed="false">
      <c r="A649" s="0" t="s">
        <v>513</v>
      </c>
      <c r="B649" s="0" t="s">
        <v>170</v>
      </c>
      <c r="D649" s="16" t="n">
        <f aca="false">q26_fm*(1-ai_sh)</f>
        <v>72.36</v>
      </c>
      <c r="E649" s="16" t="n">
        <f aca="false">q26_fm*(1-ai_sh)*E642*E646*E647</f>
        <v>81.0364755393296</v>
      </c>
      <c r="F649" s="16" t="n">
        <f aca="false">q26_fm*(1-ai_sh)*F642*F646*F647</f>
        <v>88.2817326</v>
      </c>
      <c r="G649" s="16" t="n">
        <f aca="false">q26_fm*(1-ai_sh)*G642*G646*G647</f>
        <v>86.0147341754337</v>
      </c>
    </row>
    <row r="650" customFormat="false" ht="17.15" hidden="false" customHeight="false" outlineLevel="0" collapsed="false">
      <c r="A650" s="4" t="s">
        <v>514</v>
      </c>
      <c r="B650" s="0" t="s">
        <v>170</v>
      </c>
      <c r="C650" s="16" t="n">
        <f aca="false">q25_fm</f>
        <v>102.4512</v>
      </c>
      <c r="D650" s="16" t="n">
        <f aca="false">D648+D649</f>
        <v>120.6</v>
      </c>
      <c r="E650" s="16" t="n">
        <f aca="false">E648+E649</f>
        <v>175.5936</v>
      </c>
      <c r="F650" s="16" t="n">
        <f aca="false">F648+F649</f>
        <v>214.803943070526</v>
      </c>
      <c r="G650" s="16" t="n">
        <f aca="false">G648+G649</f>
        <v>243.1296</v>
      </c>
    </row>
    <row r="651" customFormat="false" ht="17.15" hidden="false" customHeight="false" outlineLevel="0" collapsed="false">
      <c r="A651" s="0" t="s">
        <v>515</v>
      </c>
      <c r="B651" s="0" t="s">
        <v>78</v>
      </c>
      <c r="C651" s="17" t="n">
        <f aca="false">q25_fmbp/q25_fm</f>
        <v>0.532936656671664</v>
      </c>
      <c r="D651" s="17" t="n">
        <f aca="false">q26_fmbp/q26_fm</f>
        <v>0.543117744610282</v>
      </c>
      <c r="E651" s="17" t="n">
        <f aca="false">1-(1-$D651)*(1+c_g_hi)^1/E647</f>
        <v>0.567593579720445</v>
      </c>
      <c r="F651" s="17" t="n">
        <f aca="false">1-(1-$D651)*(1+c_g_hi)^2/F647</f>
        <v>0.553606172038359</v>
      </c>
      <c r="G651" s="17" t="n">
        <f aca="false">1-(1-$D651)*(1+c_g_hi)^3/G647</f>
        <v>0.514148146173893</v>
      </c>
      <c r="K651" s="8" t="s">
        <v>516</v>
      </c>
    </row>
    <row r="652" customFormat="false" ht="17.15" hidden="false" customHeight="false" outlineLevel="0" collapsed="false">
      <c r="A652" s="0" t="s">
        <v>478</v>
      </c>
      <c r="B652" s="0" t="s">
        <v>170</v>
      </c>
      <c r="C652" s="16" t="n">
        <f aca="false">q25_fmbp</f>
        <v>54.6</v>
      </c>
      <c r="D652" s="16" t="n">
        <f aca="false">D650*D651</f>
        <v>65.5</v>
      </c>
      <c r="E652" s="16" t="n">
        <f aca="false">E650*E651</f>
        <v>99.6658</v>
      </c>
      <c r="F652" s="16" t="n">
        <f aca="false">F650*F651</f>
        <v>118.91678866202</v>
      </c>
      <c r="G652" s="16" t="n">
        <f aca="false">G650*G651</f>
        <v>125.00463312</v>
      </c>
    </row>
    <row r="653" customFormat="false" ht="17.15" hidden="false" customHeight="false" outlineLevel="0" collapsed="false">
      <c r="A653" s="6" t="s">
        <v>517</v>
      </c>
    </row>
    <row r="654" customFormat="false" ht="15" hidden="false" customHeight="false" outlineLevel="0" collapsed="false">
      <c r="A654" s="4" t="s">
        <v>518</v>
      </c>
      <c r="B654" s="0" t="s">
        <v>170</v>
      </c>
      <c r="C654" s="16" t="n">
        <f aca="false">q25_sf</f>
        <v>936.926</v>
      </c>
      <c r="D654" s="16" t="n">
        <f aca="false">q26_sf</f>
        <v>998.6</v>
      </c>
      <c r="E654" s="16" t="n">
        <f aca="false">D654*(1+g_sf)</f>
        <v>1038.544</v>
      </c>
      <c r="F654" s="16" t="n">
        <f aca="false">E654*(1+g_sf)</f>
        <v>1080.08576</v>
      </c>
      <c r="G654" s="16" t="n">
        <f aca="false">F654*(1+g_sf)</f>
        <v>1123.2891904</v>
      </c>
    </row>
    <row r="655" customFormat="false" ht="15" hidden="false" customHeight="false" outlineLevel="0" collapsed="false">
      <c r="A655" s="4" t="s">
        <v>519</v>
      </c>
      <c r="B655" s="0" t="s">
        <v>170</v>
      </c>
      <c r="C655" s="16" t="n">
        <f aca="false">q25_sfbp</f>
        <v>143.036</v>
      </c>
      <c r="D655" s="16" t="n">
        <f aca="false">q26_sfbp</f>
        <v>145.9</v>
      </c>
      <c r="E655" s="16" t="n">
        <f aca="false">E654*m_sf</f>
        <v>151.736</v>
      </c>
      <c r="F655" s="16" t="n">
        <f aca="false">F654*m_sf</f>
        <v>157.80544</v>
      </c>
      <c r="G655" s="16" t="n">
        <f aca="false">G654*m_sf</f>
        <v>164.1176576</v>
      </c>
    </row>
    <row r="656" customFormat="false" ht="15" hidden="false" customHeight="false" outlineLevel="0" collapsed="false">
      <c r="A656" s="4" t="s">
        <v>520</v>
      </c>
      <c r="B656" s="0" t="s">
        <v>170</v>
      </c>
      <c r="C656" s="16" t="n">
        <f aca="false">q25_ff</f>
        <v>290.308</v>
      </c>
      <c r="D656" s="16" t="n">
        <f aca="false">q26_ff</f>
        <v>310.6</v>
      </c>
      <c r="E656" s="16" t="n">
        <f aca="false">D656*(1+g_ff)</f>
        <v>319.918</v>
      </c>
      <c r="F656" s="16" t="n">
        <f aca="false">E656*(1+g_ff)</f>
        <v>329.51554</v>
      </c>
      <c r="G656" s="16" t="n">
        <f aca="false">F656*(1+g_ff)</f>
        <v>339.4010062</v>
      </c>
    </row>
    <row r="657" customFormat="false" ht="15" hidden="false" customHeight="false" outlineLevel="0" collapsed="false">
      <c r="A657" s="4" t="s">
        <v>521</v>
      </c>
      <c r="B657" s="0" t="s">
        <v>170</v>
      </c>
      <c r="C657" s="16" t="n">
        <f aca="false">q25_ffbp</f>
        <v>8.457</v>
      </c>
      <c r="D657" s="16" t="n">
        <f aca="false">q26_ffbp</f>
        <v>12.1</v>
      </c>
      <c r="E657" s="16" t="n">
        <f aca="false">E656*m_ff</f>
        <v>14.39631</v>
      </c>
      <c r="F657" s="16" t="n">
        <f aca="false">F656*m_ff</f>
        <v>14.8281993</v>
      </c>
      <c r="G657" s="16" t="n">
        <f aca="false">G656*m_ff</f>
        <v>15.273045279</v>
      </c>
    </row>
    <row r="658" customFormat="false" ht="17.15" hidden="false" customHeight="false" outlineLevel="0" collapsed="false">
      <c r="A658" s="4" t="s">
        <v>522</v>
      </c>
      <c r="B658" s="0" t="s">
        <v>170</v>
      </c>
      <c r="C658" s="16" t="n">
        <f aca="false">q25_hox</f>
        <v>239.0528</v>
      </c>
      <c r="D658" s="16" t="n">
        <f aca="false">q26_hox</f>
        <v>286.2</v>
      </c>
      <c r="E658" s="16" t="n">
        <f aca="false">D658*(1+g_ho)</f>
        <v>300.51</v>
      </c>
      <c r="F658" s="16" t="n">
        <f aca="false">E658*(1+g_ho)</f>
        <v>315.5355</v>
      </c>
      <c r="G658" s="16" t="n">
        <f aca="false">F658*(1+g_ho)</f>
        <v>331.312275</v>
      </c>
    </row>
    <row r="659" customFormat="false" ht="17.15" hidden="false" customHeight="false" outlineLevel="0" collapsed="false">
      <c r="A659" s="4" t="s">
        <v>523</v>
      </c>
      <c r="B659" s="0" t="s">
        <v>170</v>
      </c>
      <c r="C659" s="16" t="n">
        <f aca="false">q25_hoxbp</f>
        <v>11.602</v>
      </c>
      <c r="D659" s="16" t="n">
        <f aca="false">q26_hoxbp</f>
        <v>19.5</v>
      </c>
      <c r="E659" s="16" t="n">
        <f aca="false">E658*m_ho</f>
        <v>20.475</v>
      </c>
      <c r="F659" s="16" t="n">
        <f aca="false">F658*m_ho</f>
        <v>21.49875</v>
      </c>
      <c r="G659" s="16" t="n">
        <f aca="false">G658*m_ho</f>
        <v>22.5736875</v>
      </c>
    </row>
    <row r="660" customFormat="false" ht="17.15" hidden="false" customHeight="false" outlineLevel="0" collapsed="false">
      <c r="A660" s="4" t="s">
        <v>524</v>
      </c>
      <c r="B660" s="0" t="s">
        <v>170</v>
      </c>
      <c r="C660" s="16" t="n">
        <f aca="false">q25_oth</f>
        <v>14.979</v>
      </c>
      <c r="D660" s="16" t="n">
        <f aca="false">q26_oth</f>
        <v>15.8</v>
      </c>
      <c r="E660" s="16" t="n">
        <f aca="false">D660</f>
        <v>15.8</v>
      </c>
      <c r="F660" s="16" t="n">
        <f aca="false">E660</f>
        <v>15.8</v>
      </c>
      <c r="G660" s="16" t="n">
        <f aca="false">F660</f>
        <v>15.8</v>
      </c>
      <c r="K660" s="8" t="s">
        <v>525</v>
      </c>
    </row>
    <row r="661" customFormat="false" ht="15" hidden="false" customHeight="false" outlineLevel="0" collapsed="false">
      <c r="A661" s="4" t="s">
        <v>526</v>
      </c>
      <c r="B661" s="0" t="s">
        <v>170</v>
      </c>
      <c r="C661" s="16" t="n">
        <f aca="false">q25_othbp</f>
        <v>6.064</v>
      </c>
      <c r="D661" s="16" t="n">
        <f aca="false">q26_othbp</f>
        <v>5.1</v>
      </c>
      <c r="E661" s="16" t="n">
        <f aca="false">q26_othbp</f>
        <v>5.1</v>
      </c>
      <c r="F661" s="16" t="n">
        <f aca="false">q26_othbp</f>
        <v>5.1</v>
      </c>
      <c r="G661" s="16" t="n">
        <f aca="false">q26_othbp</f>
        <v>5.1</v>
      </c>
    </row>
    <row r="662" customFormat="false" ht="15" hidden="false" customHeight="false" outlineLevel="0" collapsed="false">
      <c r="A662" s="4" t="s">
        <v>527</v>
      </c>
      <c r="B662" s="0" t="s">
        <v>170</v>
      </c>
      <c r="C662" s="16" t="n">
        <f aca="false">q25_cc</f>
        <v>-42.597</v>
      </c>
      <c r="D662" s="16" t="n">
        <f aca="false">q26_cc</f>
        <v>-46.2</v>
      </c>
      <c r="E662" s="16" t="n">
        <f aca="false">D662*(1+g_cc)</f>
        <v>-47.586</v>
      </c>
      <c r="F662" s="16" t="n">
        <f aca="false">E662*(1+g_cc)</f>
        <v>-49.01358</v>
      </c>
      <c r="G662" s="16" t="n">
        <f aca="false">F662*(1+g_cc)</f>
        <v>-50.4839874</v>
      </c>
    </row>
    <row r="663" customFormat="false" ht="17.15" hidden="false" customHeight="false" outlineLevel="0" collapsed="false">
      <c r="A663" s="4" t="s">
        <v>528</v>
      </c>
      <c r="B663" s="0" t="s">
        <v>170</v>
      </c>
      <c r="C663" s="28" t="n">
        <f aca="false">a_rev-(q25_sf+q25_ff+q25_hox+q25_fm+q25_oth)</f>
        <v>0.00200000000018008</v>
      </c>
      <c r="D663" s="28" t="n">
        <f aca="false">f_rev-(q26_sf+q26_ff+q26_hox+q26_fm+q26_oth)</f>
        <v>0.200000000000045</v>
      </c>
      <c r="E663" s="28" t="n">
        <f aca="false">$D663</f>
        <v>0.200000000000045</v>
      </c>
      <c r="F663" s="28" t="n">
        <f aca="false">$D663</f>
        <v>0.200000000000045</v>
      </c>
      <c r="G663" s="28" t="n">
        <f aca="false">$D663</f>
        <v>0.200000000000045</v>
      </c>
      <c r="K663" s="8" t="s">
        <v>529</v>
      </c>
    </row>
    <row r="664" customFormat="false" ht="15" hidden="false" customHeight="false" outlineLevel="0" collapsed="false">
      <c r="A664" s="4" t="s">
        <v>530</v>
      </c>
      <c r="B664" s="0" t="s">
        <v>170</v>
      </c>
      <c r="C664" s="28" t="n">
        <f aca="false">a_bp-(q25_sfbp+q25_ffbp+q25_hoxbp+q25_fmbp+q25_othbp+q25_cc)</f>
        <v>0.0010000000000332</v>
      </c>
      <c r="D664" s="28" t="n">
        <f aca="false">f_bp-(q26_sfbp+q26_ffbp+q26_hoxbp+q26_fmbp+q26_othbp+q26_cc)</f>
        <v>0.100000000000023</v>
      </c>
      <c r="E664" s="28" t="n">
        <f aca="false">$D664</f>
        <v>0.100000000000023</v>
      </c>
      <c r="F664" s="28" t="n">
        <f aca="false">$D664</f>
        <v>0.100000000000023</v>
      </c>
      <c r="G664" s="28" t="n">
        <f aca="false">$D664</f>
        <v>0.100000000000023</v>
      </c>
    </row>
    <row r="665" customFormat="false" ht="17.15" hidden="false" customHeight="false" outlineLevel="0" collapsed="false">
      <c r="A665" s="6" t="s">
        <v>531</v>
      </c>
    </row>
    <row r="666" customFormat="false" ht="17.15" hidden="false" customHeight="false" outlineLevel="0" collapsed="false">
      <c r="A666" s="4" t="s">
        <v>403</v>
      </c>
      <c r="B666" s="0" t="s">
        <v>170</v>
      </c>
      <c r="C666" s="16" t="n">
        <f aca="false">C654+C656+C658+C650+C660+C663</f>
        <v>1583.719</v>
      </c>
      <c r="D666" s="16" t="n">
        <f aca="false">D654+D656+D658+D650+D660+D663</f>
        <v>1732</v>
      </c>
      <c r="E666" s="16" t="n">
        <f aca="false">E654+E656+E658+E650+E660+E663</f>
        <v>1850.5656</v>
      </c>
      <c r="F666" s="16" t="n">
        <f aca="false">F654+F656+F658+F650+F660+F663</f>
        <v>1955.94074307053</v>
      </c>
      <c r="G666" s="16" t="n">
        <f aca="false">G654+G656+G658+G650+G660+G663</f>
        <v>2053.1320716</v>
      </c>
      <c r="H666" s="24" t="n">
        <f aca="false">G666*(1+H670)</f>
        <v>2162.20857776426</v>
      </c>
      <c r="I666" s="24" t="n">
        <f aca="false">H666*(1+I670)</f>
        <v>2284.5105355383</v>
      </c>
      <c r="J666" s="24" t="n">
        <f aca="false">I666*(1+J670)</f>
        <v>2421.5811676706</v>
      </c>
      <c r="K666" s="8" t="s">
        <v>532</v>
      </c>
    </row>
    <row r="667" customFormat="false" ht="17.15" hidden="false" customHeight="false" outlineLevel="0" collapsed="false">
      <c r="A667" s="4" t="s">
        <v>533</v>
      </c>
      <c r="B667" s="0" t="s">
        <v>170</v>
      </c>
      <c r="C667" s="16" t="n">
        <f aca="false">C650+C658</f>
        <v>341.504</v>
      </c>
      <c r="D667" s="16" t="n">
        <f aca="false">D650+D658</f>
        <v>406.8</v>
      </c>
      <c r="E667" s="16" t="n">
        <f aca="false">E650+E658</f>
        <v>476.1036</v>
      </c>
      <c r="F667" s="16" t="n">
        <f aca="false">F650+F658</f>
        <v>530.339443070526</v>
      </c>
      <c r="G667" s="16" t="n">
        <f aca="false">G650+G658</f>
        <v>574.441875</v>
      </c>
      <c r="K667" s="4" t="s">
        <v>534</v>
      </c>
    </row>
    <row r="668" customFormat="false" ht="17.15" hidden="false" customHeight="false" outlineLevel="0" collapsed="false">
      <c r="A668" s="4" t="s">
        <v>535</v>
      </c>
      <c r="B668" s="0" t="s">
        <v>170</v>
      </c>
      <c r="C668" s="16" t="n">
        <f aca="false">C660+C663</f>
        <v>14.9810000000002</v>
      </c>
      <c r="D668" s="16" t="n">
        <f aca="false">D660+D663</f>
        <v>16</v>
      </c>
      <c r="E668" s="16" t="n">
        <f aca="false">E660+E663</f>
        <v>16</v>
      </c>
      <c r="F668" s="16" t="n">
        <f aca="false">F660+F663</f>
        <v>16</v>
      </c>
      <c r="G668" s="16" t="n">
        <f aca="false">G660+G663</f>
        <v>16</v>
      </c>
      <c r="K668" s="8" t="s">
        <v>536</v>
      </c>
    </row>
    <row r="669" customFormat="false" ht="15" hidden="false" customHeight="false" outlineLevel="0" collapsed="false">
      <c r="A669" s="4" t="s">
        <v>537</v>
      </c>
      <c r="B669" s="0" t="s">
        <v>170</v>
      </c>
      <c r="C669" s="22" t="n">
        <f aca="false">C654+C656+C667+C668-C666</f>
        <v>0</v>
      </c>
      <c r="D669" s="22" t="n">
        <f aca="false">D654+D656+D667+D668-D666</f>
        <v>0</v>
      </c>
      <c r="E669" s="22" t="n">
        <f aca="false">E654+E656+E667+E668-E666</f>
        <v>0</v>
      </c>
      <c r="F669" s="22" t="n">
        <f aca="false">F654+F656+F667+F668-F666</f>
        <v>0</v>
      </c>
      <c r="G669" s="22" t="n">
        <f aca="false">G654+G656+G667+G668-G666</f>
        <v>0</v>
      </c>
    </row>
    <row r="670" customFormat="false" ht="15" hidden="false" customHeight="false" outlineLevel="0" collapsed="false">
      <c r="A670" s="4" t="s">
        <v>538</v>
      </c>
      <c r="B670" s="0" t="s">
        <v>78</v>
      </c>
      <c r="D670" s="17" t="n">
        <f aca="false">D666/C666-1</f>
        <v>0.0936283519993131</v>
      </c>
      <c r="E670" s="17" t="n">
        <f aca="false">E666/D666-1</f>
        <v>0.0684558891454965</v>
      </c>
      <c r="F670" s="17" t="n">
        <f aca="false">F666/E666-1</f>
        <v>0.0569421278935081</v>
      </c>
      <c r="G670" s="17" t="n">
        <f aca="false">G666/F666-1</f>
        <v>0.0496903236326567</v>
      </c>
      <c r="H670" s="25" t="n">
        <f aca="false">$G670+(fade_gA-$G670)*1/3</f>
        <v>0.0531268824217711</v>
      </c>
      <c r="I670" s="25" t="n">
        <f aca="false">$G670+(fade_gA-$G670)*2/3</f>
        <v>0.0565634412108856</v>
      </c>
      <c r="J670" s="25" t="n">
        <f aca="false">$G670+(fade_gA-$G670)*3/3</f>
        <v>0.06</v>
      </c>
    </row>
    <row r="671" customFormat="false" ht="17.15" hidden="false" customHeight="false" outlineLevel="0" collapsed="false">
      <c r="A671" s="0" t="s">
        <v>539</v>
      </c>
      <c r="B671" s="0" t="s">
        <v>78</v>
      </c>
      <c r="C671" s="17" t="n">
        <f aca="false">C650/C666</f>
        <v>0.0646902638662541</v>
      </c>
      <c r="D671" s="17" t="n">
        <f aca="false">D650/D666</f>
        <v>0.0696304849884527</v>
      </c>
      <c r="E671" s="17" t="n">
        <f aca="false">E650/E666</f>
        <v>0.0948864498507916</v>
      </c>
      <c r="F671" s="17" t="n">
        <f aca="false">F650/F666</f>
        <v>0.109821293835987</v>
      </c>
      <c r="G671" s="17" t="n">
        <f aca="false">G650/G666</f>
        <v>0.118418879799842</v>
      </c>
    </row>
    <row r="672" customFormat="false" ht="15" hidden="false" customHeight="false" outlineLevel="0" collapsed="false">
      <c r="A672" s="4" t="s">
        <v>413</v>
      </c>
      <c r="B672" s="0" t="s">
        <v>170</v>
      </c>
      <c r="C672" s="16" t="n">
        <f aca="false">C655+C657+C659+C652+C661+C662+C664</f>
        <v>181.163</v>
      </c>
      <c r="D672" s="16" t="n">
        <f aca="false">D655+D657+D659+D652+D661+D662+D664</f>
        <v>202</v>
      </c>
      <c r="E672" s="16" t="n">
        <f aca="false">E655+E657+E659+E652+E661+E662+E664</f>
        <v>243.88711</v>
      </c>
      <c r="F672" s="16" t="n">
        <f aca="false">F655+F657+F659+F652+F661+F662+F664</f>
        <v>269.23559796202</v>
      </c>
      <c r="G672" s="16" t="n">
        <f aca="false">G655+G657+G659+G652+G661+G662+G664</f>
        <v>281.685036099</v>
      </c>
    </row>
    <row r="673" customFormat="false" ht="15" hidden="false" customHeight="false" outlineLevel="0" collapsed="false">
      <c r="A673" s="4" t="s">
        <v>429</v>
      </c>
      <c r="B673" s="0" t="s">
        <v>78</v>
      </c>
      <c r="C673" s="17" t="n">
        <f aca="false">C672/C666</f>
        <v>0.114390873633517</v>
      </c>
      <c r="D673" s="17" t="n">
        <f aca="false">D672/D666</f>
        <v>0.11662817551963</v>
      </c>
      <c r="E673" s="17" t="n">
        <f aca="false">E672/E666</f>
        <v>0.131790577972486</v>
      </c>
      <c r="F673" s="17" t="n">
        <f aca="false">F672/F666</f>
        <v>0.137650181333899</v>
      </c>
      <c r="G673" s="17" t="n">
        <f aca="false">G672/G666</f>
        <v>0.137197718546905</v>
      </c>
    </row>
    <row r="674" customFormat="false" ht="17.15" hidden="false" customHeight="false" outlineLevel="0" collapsed="false">
      <c r="A674" s="0" t="s">
        <v>540</v>
      </c>
      <c r="B674" s="0" t="s">
        <v>78</v>
      </c>
      <c r="C674" s="17" t="n">
        <f aca="false">C652/C672</f>
        <v>0.301386044611758</v>
      </c>
      <c r="D674" s="17" t="n">
        <f aca="false">D652/D672</f>
        <v>0.324257425742574</v>
      </c>
      <c r="E674" s="17" t="n">
        <f aca="false">E652/E672</f>
        <v>0.408655463587231</v>
      </c>
      <c r="F674" s="17" t="n">
        <f aca="false">F652/F672</f>
        <v>0.441683007604347</v>
      </c>
      <c r="G674" s="17" t="n">
        <f aca="false">G652/G672</f>
        <v>0.443774489590091</v>
      </c>
    </row>
    <row r="675" customFormat="false" ht="17.15" hidden="false" customHeight="false" outlineLevel="0" collapsed="false">
      <c r="A675" s="4" t="s">
        <v>430</v>
      </c>
      <c r="B675" s="0" t="s">
        <v>53</v>
      </c>
      <c r="C675" s="22" t="n">
        <f aca="false">q25_ni/q25_bp</f>
        <v>0.743391310587703</v>
      </c>
      <c r="D675" s="22" t="n">
        <f aca="false">q26_ni/q26_bp</f>
        <v>0.611386138613861</v>
      </c>
      <c r="E675" s="22" t="n">
        <f aca="false">ni_bp</f>
        <v>0.62</v>
      </c>
      <c r="F675" s="22" t="n">
        <f aca="false">ni_bp</f>
        <v>0.62</v>
      </c>
      <c r="G675" s="22" t="n">
        <f aca="false">ni_bp</f>
        <v>0.62</v>
      </c>
    </row>
    <row r="676" customFormat="false" ht="15" hidden="false" customHeight="false" outlineLevel="0" collapsed="false">
      <c r="A676" s="4" t="s">
        <v>420</v>
      </c>
      <c r="B676" s="0" t="s">
        <v>170</v>
      </c>
      <c r="C676" s="16" t="n">
        <f aca="false">q25_ni</f>
        <v>134.675</v>
      </c>
      <c r="D676" s="16" t="n">
        <f aca="false">q26_ni</f>
        <v>123.5</v>
      </c>
      <c r="E676" s="16" t="n">
        <f aca="false">E672*E675</f>
        <v>151.2100082</v>
      </c>
      <c r="F676" s="16" t="n">
        <f aca="false">F672*F675</f>
        <v>166.926070736452</v>
      </c>
      <c r="G676" s="16" t="n">
        <f aca="false">G672*G675</f>
        <v>174.64472238138</v>
      </c>
      <c r="H676" s="24" t="n">
        <f aca="false">H666*H680</f>
        <v>186.044733339712</v>
      </c>
      <c r="I676" s="24" t="n">
        <f aca="false">I666*I680</f>
        <v>198.809754600357</v>
      </c>
      <c r="J676" s="24" t="n">
        <f aca="false">J666*J680</f>
        <v>213.114532255596</v>
      </c>
    </row>
    <row r="677" customFormat="false" ht="15" hidden="false" customHeight="false" outlineLevel="0" collapsed="false">
      <c r="A677" s="4" t="s">
        <v>541</v>
      </c>
      <c r="B677" s="4" t="s">
        <v>317</v>
      </c>
      <c r="C677" s="20" t="n">
        <f aca="false">q25_sh</f>
        <v>0.973366579936398</v>
      </c>
      <c r="D677" s="20" t="n">
        <f aca="false">q26_sh</f>
        <v>0.95117067159581</v>
      </c>
      <c r="E677" s="20" t="n">
        <f aca="false">D677*(1+sh_g)</f>
        <v>0.936903111521873</v>
      </c>
      <c r="F677" s="20" t="n">
        <f aca="false">E677*(1+sh_g)</f>
        <v>0.922849564849045</v>
      </c>
      <c r="G677" s="20" t="n">
        <f aca="false">F677*(1+sh_g)</f>
        <v>0.909006821376309</v>
      </c>
      <c r="H677" s="29" t="n">
        <f aca="false">G677*(1+sh_g)</f>
        <v>0.895371719055665</v>
      </c>
      <c r="I677" s="29" t="n">
        <f aca="false">H677*(1+sh_g)</f>
        <v>0.88194114326983</v>
      </c>
      <c r="J677" s="29" t="n">
        <f aca="false">I677*(1+sh_g)</f>
        <v>0.868712026120782</v>
      </c>
    </row>
    <row r="678" customFormat="false" ht="17.15" hidden="false" customHeight="false" outlineLevel="0" collapsed="false">
      <c r="A678" s="0" t="s">
        <v>542</v>
      </c>
      <c r="B678" s="0" t="s">
        <v>208</v>
      </c>
      <c r="C678" s="21" t="n">
        <f aca="false">C676/C677</f>
        <v>138.36</v>
      </c>
      <c r="D678" s="21" t="n">
        <f aca="false">D676/D677</f>
        <v>129.84</v>
      </c>
      <c r="E678" s="21" t="n">
        <f aca="false">E676/E677</f>
        <v>161.393431551721</v>
      </c>
      <c r="F678" s="21" t="n">
        <f aca="false">F676/F677</f>
        <v>180.881128511728</v>
      </c>
      <c r="G678" s="21" t="n">
        <f aca="false">G676/G677</f>
        <v>192.126965688722</v>
      </c>
      <c r="H678" s="27" t="n">
        <f aca="false">H676/H677</f>
        <v>207.784911428664</v>
      </c>
      <c r="I678" s="27" t="n">
        <f aca="false">I676/I677</f>
        <v>225.422927728786</v>
      </c>
      <c r="J678" s="27" t="n">
        <f aca="false">J676/J677</f>
        <v>245.322415078395</v>
      </c>
    </row>
    <row r="679" customFormat="false" ht="17.15" hidden="false" customHeight="false" outlineLevel="0" collapsed="false">
      <c r="A679" s="0" t="s">
        <v>543</v>
      </c>
      <c r="B679" s="0" t="s">
        <v>78</v>
      </c>
      <c r="D679" s="17" t="n">
        <f aca="false">D678/C678-1</f>
        <v>-0.0615784908933218</v>
      </c>
      <c r="E679" s="17" t="n">
        <f aca="false">E678/D678-1</f>
        <v>0.243017803078567</v>
      </c>
      <c r="F679" s="17" t="n">
        <f aca="false">F678/E678-1</f>
        <v>0.120746530838596</v>
      </c>
      <c r="G679" s="17" t="n">
        <f aca="false">G678/F678-1</f>
        <v>0.062172528828869</v>
      </c>
      <c r="H679" s="25" t="n">
        <f aca="false">H678/G678-1</f>
        <v>0.0814979078226372</v>
      </c>
      <c r="I679" s="25" t="n">
        <f aca="false">I678/H678-1</f>
        <v>0.0848859341077659</v>
      </c>
      <c r="J679" s="25" t="n">
        <f aca="false">J678/I678-1</f>
        <v>0.0882762350312079</v>
      </c>
    </row>
    <row r="680" customFormat="false" ht="15" hidden="false" customHeight="false" outlineLevel="0" collapsed="false">
      <c r="A680" s="4" t="s">
        <v>544</v>
      </c>
      <c r="B680" s="0" t="s">
        <v>78</v>
      </c>
      <c r="C680" s="14" t="n">
        <f aca="false">C676/C666</f>
        <v>0.0850371814696925</v>
      </c>
      <c r="D680" s="14" t="n">
        <f aca="false">D676/D666</f>
        <v>0.0713048498845266</v>
      </c>
      <c r="E680" s="14" t="n">
        <f aca="false">E676/E666</f>
        <v>0.0817101583429412</v>
      </c>
      <c r="F680" s="14" t="n">
        <f aca="false">F676/F666</f>
        <v>0.0853431124270176</v>
      </c>
      <c r="G680" s="14" t="n">
        <f aca="false">G676/G666</f>
        <v>0.0850625854990809</v>
      </c>
      <c r="H680" s="26" t="n">
        <f aca="false">$G680+(fade_mA-$G680)*1/3</f>
        <v>0.0860438420478766</v>
      </c>
      <c r="I680" s="26" t="n">
        <f aca="false">$G680+(fade_mA-$G680)*2/3</f>
        <v>0.0870250985966723</v>
      </c>
      <c r="J680" s="26" t="n">
        <f aca="false">$G680+(fade_mA-$G680)*3/3</f>
        <v>0.088006355145468</v>
      </c>
    </row>
    <row r="681" customFormat="false" ht="17.15" hidden="false" customHeight="false" outlineLevel="0" collapsed="false">
      <c r="A681" s="0" t="s">
        <v>545</v>
      </c>
      <c r="B681" s="0" t="s">
        <v>208</v>
      </c>
      <c r="D681" s="21" t="n">
        <f aca="false">D652*D675/D677</f>
        <v>42.1015841584158</v>
      </c>
      <c r="E681" s="21" t="n">
        <f aca="false">E652*E675/E677</f>
        <v>65.9543075907027</v>
      </c>
      <c r="F681" s="21" t="n">
        <f aca="false">F652*F675/F677</f>
        <v>79.8921208599283</v>
      </c>
      <c r="G681" s="21" t="n">
        <f aca="false">G652*G675/G677</f>
        <v>85.2610461350053</v>
      </c>
      <c r="K681" s="8" t="s">
        <v>546</v>
      </c>
    </row>
    <row r="682" customFormat="false" ht="17.15" hidden="false" customHeight="false" outlineLevel="0" collapsed="false">
      <c r="A682" s="0" t="s">
        <v>547</v>
      </c>
      <c r="B682" s="0" t="s">
        <v>208</v>
      </c>
      <c r="D682" s="21" t="n">
        <f aca="false">D678-D681</f>
        <v>87.7384158415842</v>
      </c>
      <c r="E682" s="21" t="n">
        <f aca="false">E678-E681</f>
        <v>95.4391239610185</v>
      </c>
      <c r="F682" s="21" t="n">
        <f aca="false">F678-F681</f>
        <v>100.9890076518</v>
      </c>
      <c r="G682" s="21" t="n">
        <f aca="false">G678-G681</f>
        <v>106.865919553716</v>
      </c>
    </row>
    <row r="683" customFormat="false" ht="17.15" hidden="false" customHeight="false" outlineLevel="0" collapsed="false">
      <c r="A683" s="0" t="s">
        <v>548</v>
      </c>
      <c r="B683" s="0" t="s">
        <v>455</v>
      </c>
      <c r="D683" s="16" t="n">
        <f aca="false">D648/D638*1000/150</f>
        <v>23.5087719298246</v>
      </c>
      <c r="E683" s="16" t="n">
        <f aca="false">E648/E638*1000/150</f>
        <v>30.1617621884116</v>
      </c>
      <c r="F683" s="16" t="n">
        <f aca="false">F648/F638*1000/150</f>
        <v>36.5143464561404</v>
      </c>
      <c r="G683" s="16" t="n">
        <f aca="false">G648/G638*1000/150</f>
        <v>39.9173947725016</v>
      </c>
      <c r="K683" s="8" t="s">
        <v>549</v>
      </c>
    </row>
    <row r="686" customFormat="false" ht="17.15" hidden="false" customHeight="false" outlineLevel="0" collapsed="false">
      <c r="A686" s="1" t="s">
        <v>949</v>
      </c>
    </row>
    <row r="687" customFormat="false" ht="17.15" hidden="false" customHeight="false" outlineLevel="0" collapsed="false">
      <c r="A687" s="5" t="s">
        <v>20</v>
      </c>
      <c r="B687" s="5" t="s">
        <v>21</v>
      </c>
      <c r="C687" s="15" t="s">
        <v>398</v>
      </c>
      <c r="D687" s="15" t="s">
        <v>470</v>
      </c>
      <c r="E687" s="15" t="s">
        <v>435</v>
      </c>
      <c r="F687" s="15" t="s">
        <v>436</v>
      </c>
      <c r="G687" s="15" t="s">
        <v>437</v>
      </c>
      <c r="H687" s="15" t="s">
        <v>471</v>
      </c>
      <c r="I687" s="15" t="s">
        <v>472</v>
      </c>
      <c r="J687" s="15" t="s">
        <v>473</v>
      </c>
      <c r="K687" s="5" t="s">
        <v>377</v>
      </c>
    </row>
    <row r="688" customFormat="false" ht="17.15" hidden="false" customHeight="false" outlineLevel="0" collapsed="false">
      <c r="A688" s="6" t="s">
        <v>493</v>
      </c>
    </row>
    <row r="689" customFormat="false" ht="17.15" hidden="false" customHeight="false" outlineLevel="0" collapsed="false">
      <c r="A689" s="0" t="s">
        <v>494</v>
      </c>
      <c r="B689" s="4" t="s">
        <v>31</v>
      </c>
      <c r="D689" s="21" t="n">
        <f aca="false">unv_26</f>
        <v>7.6</v>
      </c>
      <c r="E689" s="21" t="n">
        <f aca="false">unv_27</f>
        <v>9.7</v>
      </c>
      <c r="F689" s="21" t="n">
        <f aca="false">unv_28*um28_A</f>
        <v>9.5</v>
      </c>
      <c r="G689" s="21" t="n">
        <f aca="false">unv_29*um29_A</f>
        <v>10.6</v>
      </c>
      <c r="K689" s="8" t="s">
        <v>495</v>
      </c>
    </row>
    <row r="690" customFormat="false" ht="17.15" hidden="false" customHeight="false" outlineLevel="0" collapsed="false">
      <c r="A690" s="4" t="s">
        <v>496</v>
      </c>
      <c r="B690" s="4" t="s">
        <v>31</v>
      </c>
      <c r="D690" s="21" t="n">
        <f aca="false">uot_26</f>
        <v>7.6</v>
      </c>
      <c r="E690" s="21" t="n">
        <f aca="false">uot_27</f>
        <v>14</v>
      </c>
      <c r="F690" s="21" t="n">
        <f aca="false">uot_28*um28_A</f>
        <v>17</v>
      </c>
      <c r="G690" s="21" t="n">
        <f aca="false">uot_29*um29_A</f>
        <v>19.55</v>
      </c>
      <c r="K690" s="8" t="s">
        <v>497</v>
      </c>
    </row>
    <row r="691" customFormat="false" ht="17.15" hidden="false" customHeight="false" outlineLevel="0" collapsed="false">
      <c r="A691" s="4" t="s">
        <v>498</v>
      </c>
      <c r="B691" s="4" t="s">
        <v>31</v>
      </c>
      <c r="D691" s="21" t="n">
        <f aca="false">D689+v_ot*D690</f>
        <v>13.68</v>
      </c>
      <c r="E691" s="21" t="n">
        <f aca="false">E689+v_ot*E690</f>
        <v>20.9</v>
      </c>
      <c r="F691" s="21" t="n">
        <f aca="false">F689+v_ot*F690</f>
        <v>23.1</v>
      </c>
      <c r="G691" s="21" t="n">
        <f aca="false">G689+v_ot*G690</f>
        <v>26.24</v>
      </c>
    </row>
    <row r="692" customFormat="false" ht="17.15" hidden="false" customHeight="false" outlineLevel="0" collapsed="false">
      <c r="A692" s="4" t="s">
        <v>499</v>
      </c>
      <c r="B692" s="0" t="s">
        <v>53</v>
      </c>
      <c r="D692" s="22" t="n">
        <f aca="false">1</f>
        <v>1</v>
      </c>
      <c r="E692" s="22" t="n">
        <f aca="false">D692*(1+g_asp)</f>
        <v>1.18</v>
      </c>
      <c r="F692" s="22" t="n">
        <f aca="false">E692*(1+g_asp)</f>
        <v>1.3924</v>
      </c>
      <c r="G692" s="22" t="n">
        <f aca="false">F692*(1+g_asp)</f>
        <v>1.643032</v>
      </c>
    </row>
    <row r="693" customFormat="false" ht="17.15" hidden="false" customHeight="false" outlineLevel="0" collapsed="false">
      <c r="A693" s="4" t="s">
        <v>500</v>
      </c>
      <c r="B693" s="0" t="s">
        <v>53</v>
      </c>
      <c r="D693" s="19" t="n">
        <f aca="false">1</f>
        <v>1</v>
      </c>
      <c r="E693" s="19" t="n">
        <f aca="false">rel_27</f>
        <v>1</v>
      </c>
      <c r="F693" s="19" t="n">
        <f aca="false">rel_28</f>
        <v>0.97</v>
      </c>
      <c r="G693" s="19" t="n">
        <f aca="false">rel_29</f>
        <v>0.95</v>
      </c>
    </row>
    <row r="694" customFormat="false" ht="17.15" hidden="false" customHeight="false" outlineLevel="0" collapsed="false">
      <c r="A694" s="0" t="s">
        <v>501</v>
      </c>
      <c r="B694" s="0" t="s">
        <v>53</v>
      </c>
      <c r="D694" s="22" t="n">
        <f aca="false">D691/$D691*D692*D693</f>
        <v>1</v>
      </c>
      <c r="E694" s="22" t="n">
        <f aca="false">E691/$D691*E692*E693</f>
        <v>1.80277777777778</v>
      </c>
      <c r="F694" s="22" t="n">
        <f aca="false">F691/$D691*F692*F693</f>
        <v>2.28066570175439</v>
      </c>
      <c r="G694" s="22" t="n">
        <f aca="false">G691/$D691*G692*G693</f>
        <v>2.99396942222222</v>
      </c>
      <c r="K694" s="4" t="s">
        <v>502</v>
      </c>
    </row>
    <row r="695" customFormat="false" ht="17.15" hidden="false" customHeight="false" outlineLevel="0" collapsed="false">
      <c r="A695" s="4" t="s">
        <v>503</v>
      </c>
      <c r="B695" s="0" t="s">
        <v>53</v>
      </c>
      <c r="D695" s="22" t="n">
        <f aca="false">1</f>
        <v>1</v>
      </c>
      <c r="E695" s="22" t="n">
        <f aca="false">D695*(1+g_nai_lo)</f>
        <v>0.98</v>
      </c>
      <c r="F695" s="22" t="n">
        <f aca="false">E695*(1+g_nai_lo)</f>
        <v>0.9604</v>
      </c>
      <c r="G695" s="22" t="n">
        <f aca="false">F695*(1+g_nai_lo)</f>
        <v>0.941192</v>
      </c>
    </row>
    <row r="696" customFormat="false" ht="17.15" hidden="false" customHeight="false" outlineLevel="0" collapsed="false">
      <c r="A696" s="0" t="s">
        <v>504</v>
      </c>
      <c r="B696" s="0" t="s">
        <v>53</v>
      </c>
      <c r="D696" s="22" t="n">
        <f aca="false">ai_sh*D694+(1-ai_sh)*D695</f>
        <v>1</v>
      </c>
      <c r="E696" s="22" t="n">
        <f aca="false">ai_sh*E694+(1-ai_sh)*E695</f>
        <v>1.30911111111111</v>
      </c>
      <c r="F696" s="22" t="n">
        <f aca="false">ai_sh*F694+(1-ai_sh)*F695</f>
        <v>1.48850628070175</v>
      </c>
      <c r="G696" s="22" t="n">
        <f aca="false">ai_sh*G694+(1-ai_sh)*G695</f>
        <v>1.76230296888889</v>
      </c>
    </row>
    <row r="697" customFormat="false" ht="17.15" hidden="false" customHeight="false" outlineLevel="0" collapsed="false">
      <c r="A697" s="4" t="s">
        <v>505</v>
      </c>
      <c r="B697" s="0" t="s">
        <v>53</v>
      </c>
      <c r="D697" s="22" t="n">
        <f aca="false">1</f>
        <v>1</v>
      </c>
      <c r="E697" s="22" t="n">
        <f aca="false">cap_27</f>
        <v>1.3</v>
      </c>
      <c r="F697" s="22" t="n">
        <f aca="false">cap_28</f>
        <v>1.55</v>
      </c>
      <c r="G697" s="22" t="n">
        <f aca="false">cap_29</f>
        <v>1.8</v>
      </c>
      <c r="K697" s="4" t="s">
        <v>506</v>
      </c>
    </row>
    <row r="698" customFormat="false" ht="17.15" hidden="false" customHeight="false" outlineLevel="0" collapsed="false">
      <c r="A698" s="4" t="s">
        <v>507</v>
      </c>
      <c r="B698" s="0" t="s">
        <v>53</v>
      </c>
      <c r="D698" s="22" t="n">
        <f aca="false">MIN(D696,D697)</f>
        <v>1</v>
      </c>
      <c r="E698" s="22" t="n">
        <f aca="false">MIN(E696,E697)</f>
        <v>1.3</v>
      </c>
      <c r="F698" s="22" t="n">
        <f aca="false">MIN(F696,F697)</f>
        <v>1.48850628070175</v>
      </c>
      <c r="G698" s="22" t="n">
        <f aca="false">MIN(G696,G697)</f>
        <v>1.76230296888889</v>
      </c>
    </row>
    <row r="699" customFormat="false" ht="17.15" hidden="false" customHeight="false" outlineLevel="0" collapsed="false">
      <c r="A699" s="4" t="s">
        <v>508</v>
      </c>
      <c r="B699" s="0" t="s">
        <v>78</v>
      </c>
      <c r="D699" s="17" t="n">
        <f aca="false">D698/D696</f>
        <v>1</v>
      </c>
      <c r="E699" s="17" t="n">
        <f aca="false">E698/E696</f>
        <v>0.993040230860635</v>
      </c>
      <c r="F699" s="17" t="n">
        <f aca="false">F698/F696</f>
        <v>1</v>
      </c>
      <c r="G699" s="17" t="n">
        <f aca="false">G698/G696</f>
        <v>1</v>
      </c>
      <c r="K699" s="4" t="s">
        <v>509</v>
      </c>
    </row>
    <row r="700" customFormat="false" ht="17.15" hidden="false" customHeight="false" outlineLevel="0" collapsed="false">
      <c r="A700" s="0" t="s">
        <v>510</v>
      </c>
      <c r="B700" s="0" t="s">
        <v>53</v>
      </c>
      <c r="D700" s="22" t="n">
        <f aca="false">1</f>
        <v>1</v>
      </c>
      <c r="E700" s="22" t="n">
        <f aca="false">pp_27</f>
        <v>1.12</v>
      </c>
      <c r="F700" s="22" t="n">
        <f aca="false">pp_28*sp_A</f>
        <v>1.15</v>
      </c>
      <c r="G700" s="22" t="n">
        <f aca="false">pp_29*sp_A</f>
        <v>1.12</v>
      </c>
      <c r="K700" s="8" t="s">
        <v>511</v>
      </c>
    </row>
    <row r="701" customFormat="false" ht="17.15" hidden="false" customHeight="false" outlineLevel="0" collapsed="false">
      <c r="A701" s="0" t="s">
        <v>452</v>
      </c>
      <c r="B701" s="0" t="s">
        <v>170</v>
      </c>
      <c r="D701" s="16" t="n">
        <f aca="false">q26_fm*ai_sh</f>
        <v>48.24</v>
      </c>
      <c r="E701" s="16" t="n">
        <f aca="false">q26_fm*ai_sh*E694*E699*E700</f>
        <v>96.7240251230691</v>
      </c>
      <c r="F701" s="16" t="n">
        <f aca="false">q26_fm*ai_sh*F694*F699*F700</f>
        <v>126.522210470526</v>
      </c>
      <c r="G701" s="16" t="n">
        <f aca="false">q26_fm*ai_sh*G694*G699*G700</f>
        <v>161.76057511936</v>
      </c>
      <c r="K701" s="8" t="s">
        <v>512</v>
      </c>
    </row>
    <row r="702" customFormat="false" ht="17.15" hidden="false" customHeight="false" outlineLevel="0" collapsed="false">
      <c r="A702" s="0" t="s">
        <v>513</v>
      </c>
      <c r="B702" s="0" t="s">
        <v>170</v>
      </c>
      <c r="D702" s="16" t="n">
        <f aca="false">q26_fm*(1-ai_sh)</f>
        <v>72.36</v>
      </c>
      <c r="E702" s="16" t="n">
        <f aca="false">q26_fm*(1-ai_sh)*E695*E699*E700</f>
        <v>78.8695748769309</v>
      </c>
      <c r="F702" s="16" t="n">
        <f aca="false">q26_fm*(1-ai_sh)*F695*F699*F700</f>
        <v>79.9187256</v>
      </c>
      <c r="G702" s="16" t="n">
        <f aca="false">q26_fm*(1-ai_sh)*G695*G699*G700</f>
        <v>76.2772114944</v>
      </c>
    </row>
    <row r="703" customFormat="false" ht="17.15" hidden="false" customHeight="false" outlineLevel="0" collapsed="false">
      <c r="A703" s="4" t="s">
        <v>514</v>
      </c>
      <c r="B703" s="0" t="s">
        <v>170</v>
      </c>
      <c r="C703" s="16" t="n">
        <f aca="false">q25_fm</f>
        <v>102.4512</v>
      </c>
      <c r="D703" s="16" t="n">
        <f aca="false">D701+D702</f>
        <v>120.6</v>
      </c>
      <c r="E703" s="16" t="n">
        <f aca="false">E701+E702</f>
        <v>175.5936</v>
      </c>
      <c r="F703" s="16" t="n">
        <f aca="false">F701+F702</f>
        <v>206.440936070526</v>
      </c>
      <c r="G703" s="16" t="n">
        <f aca="false">G701+G702</f>
        <v>238.03778661376</v>
      </c>
    </row>
    <row r="704" customFormat="false" ht="17.15" hidden="false" customHeight="false" outlineLevel="0" collapsed="false">
      <c r="A704" s="0" t="s">
        <v>515</v>
      </c>
      <c r="B704" s="0" t="s">
        <v>78</v>
      </c>
      <c r="C704" s="17" t="n">
        <f aca="false">q25_fmbp/q25_fm</f>
        <v>0.532936656671664</v>
      </c>
      <c r="D704" s="17" t="n">
        <f aca="false">q26_fmbp/q26_fm</f>
        <v>0.543117744610282</v>
      </c>
      <c r="E704" s="17" t="n">
        <f aca="false">1-(1-$D704)*(1+c_g)^1/E700</f>
        <v>0.579831497275527</v>
      </c>
      <c r="F704" s="17" t="n">
        <f aca="false">1-(1-$D704)*(1+c_g)^2/F700</f>
        <v>0.578516187180042</v>
      </c>
      <c r="G704" s="17" t="n">
        <f aca="false">1-(1-$D704)*(1+c_g)^3/G700</f>
        <v>0.554243235459607</v>
      </c>
      <c r="K704" s="8" t="s">
        <v>516</v>
      </c>
    </row>
    <row r="705" customFormat="false" ht="17.15" hidden="false" customHeight="false" outlineLevel="0" collapsed="false">
      <c r="A705" s="0" t="s">
        <v>478</v>
      </c>
      <c r="B705" s="0" t="s">
        <v>170</v>
      </c>
      <c r="C705" s="16" t="n">
        <f aca="false">q25_fmbp</f>
        <v>54.6</v>
      </c>
      <c r="D705" s="16" t="n">
        <f aca="false">D703*D704</f>
        <v>65.5</v>
      </c>
      <c r="E705" s="16" t="n">
        <f aca="false">E703*E704</f>
        <v>101.8147</v>
      </c>
      <c r="F705" s="16" t="n">
        <f aca="false">F703*F704</f>
        <v>119.4294232134</v>
      </c>
      <c r="G705" s="16" t="n">
        <f aca="false">G703*G704</f>
        <v>131.930833014454</v>
      </c>
    </row>
    <row r="706" customFormat="false" ht="17.15" hidden="false" customHeight="false" outlineLevel="0" collapsed="false">
      <c r="A706" s="6" t="s">
        <v>517</v>
      </c>
    </row>
    <row r="707" customFormat="false" ht="15" hidden="false" customHeight="false" outlineLevel="0" collapsed="false">
      <c r="A707" s="4" t="s">
        <v>518</v>
      </c>
      <c r="B707" s="0" t="s">
        <v>170</v>
      </c>
      <c r="C707" s="16" t="n">
        <f aca="false">q25_sf</f>
        <v>936.926</v>
      </c>
      <c r="D707" s="16" t="n">
        <f aca="false">q26_sf</f>
        <v>998.6</v>
      </c>
      <c r="E707" s="16" t="n">
        <f aca="false">D707*(1+g_sf)</f>
        <v>1038.544</v>
      </c>
      <c r="F707" s="16" t="n">
        <f aca="false">E707*(1+g_sf)</f>
        <v>1080.08576</v>
      </c>
      <c r="G707" s="16" t="n">
        <f aca="false">F707*(1+g_sf)</f>
        <v>1123.2891904</v>
      </c>
    </row>
    <row r="708" customFormat="false" ht="15" hidden="false" customHeight="false" outlineLevel="0" collapsed="false">
      <c r="A708" s="4" t="s">
        <v>519</v>
      </c>
      <c r="B708" s="0" t="s">
        <v>170</v>
      </c>
      <c r="C708" s="16" t="n">
        <f aca="false">q25_sfbp</f>
        <v>143.036</v>
      </c>
      <c r="D708" s="16" t="n">
        <f aca="false">q26_sfbp</f>
        <v>145.9</v>
      </c>
      <c r="E708" s="16" t="n">
        <f aca="false">E707*m_sf</f>
        <v>151.736</v>
      </c>
      <c r="F708" s="16" t="n">
        <f aca="false">F707*m_sf</f>
        <v>157.80544</v>
      </c>
      <c r="G708" s="16" t="n">
        <f aca="false">G707*m_sf</f>
        <v>164.1176576</v>
      </c>
    </row>
    <row r="709" customFormat="false" ht="15" hidden="false" customHeight="false" outlineLevel="0" collapsed="false">
      <c r="A709" s="4" t="s">
        <v>520</v>
      </c>
      <c r="B709" s="0" t="s">
        <v>170</v>
      </c>
      <c r="C709" s="16" t="n">
        <f aca="false">q25_ff</f>
        <v>290.308</v>
      </c>
      <c r="D709" s="16" t="n">
        <f aca="false">q26_ff</f>
        <v>310.6</v>
      </c>
      <c r="E709" s="16" t="n">
        <f aca="false">D709*(1+g_ff)</f>
        <v>319.918</v>
      </c>
      <c r="F709" s="16" t="n">
        <f aca="false">E709*(1+g_ff)</f>
        <v>329.51554</v>
      </c>
      <c r="G709" s="16" t="n">
        <f aca="false">F709*(1+g_ff)</f>
        <v>339.4010062</v>
      </c>
    </row>
    <row r="710" customFormat="false" ht="15" hidden="false" customHeight="false" outlineLevel="0" collapsed="false">
      <c r="A710" s="4" t="s">
        <v>521</v>
      </c>
      <c r="B710" s="0" t="s">
        <v>170</v>
      </c>
      <c r="C710" s="16" t="n">
        <f aca="false">q25_ffbp</f>
        <v>8.457</v>
      </c>
      <c r="D710" s="16" t="n">
        <f aca="false">q26_ffbp</f>
        <v>12.1</v>
      </c>
      <c r="E710" s="16" t="n">
        <f aca="false">E709*m_ff</f>
        <v>14.39631</v>
      </c>
      <c r="F710" s="16" t="n">
        <f aca="false">F709*m_ff</f>
        <v>14.8281993</v>
      </c>
      <c r="G710" s="16" t="n">
        <f aca="false">G709*m_ff</f>
        <v>15.273045279</v>
      </c>
    </row>
    <row r="711" customFormat="false" ht="17.15" hidden="false" customHeight="false" outlineLevel="0" collapsed="false">
      <c r="A711" s="4" t="s">
        <v>522</v>
      </c>
      <c r="B711" s="0" t="s">
        <v>170</v>
      </c>
      <c r="C711" s="16" t="n">
        <f aca="false">q25_hox</f>
        <v>239.0528</v>
      </c>
      <c r="D711" s="16" t="n">
        <f aca="false">q26_hox</f>
        <v>286.2</v>
      </c>
      <c r="E711" s="16" t="n">
        <f aca="false">D711*(1+g_ho)</f>
        <v>300.51</v>
      </c>
      <c r="F711" s="16" t="n">
        <f aca="false">E711*(1+g_ho)</f>
        <v>315.5355</v>
      </c>
      <c r="G711" s="16" t="n">
        <f aca="false">F711*(1+g_ho)</f>
        <v>331.312275</v>
      </c>
    </row>
    <row r="712" customFormat="false" ht="17.15" hidden="false" customHeight="false" outlineLevel="0" collapsed="false">
      <c r="A712" s="4" t="s">
        <v>523</v>
      </c>
      <c r="B712" s="0" t="s">
        <v>170</v>
      </c>
      <c r="C712" s="16" t="n">
        <f aca="false">q25_hoxbp</f>
        <v>11.602</v>
      </c>
      <c r="D712" s="16" t="n">
        <f aca="false">q26_hoxbp</f>
        <v>19.5</v>
      </c>
      <c r="E712" s="16" t="n">
        <f aca="false">E711*m_ho</f>
        <v>20.475</v>
      </c>
      <c r="F712" s="16" t="n">
        <f aca="false">F711*m_ho</f>
        <v>21.49875</v>
      </c>
      <c r="G712" s="16" t="n">
        <f aca="false">G711*m_ho</f>
        <v>22.5736875</v>
      </c>
    </row>
    <row r="713" customFormat="false" ht="17.15" hidden="false" customHeight="false" outlineLevel="0" collapsed="false">
      <c r="A713" s="4" t="s">
        <v>524</v>
      </c>
      <c r="B713" s="0" t="s">
        <v>170</v>
      </c>
      <c r="C713" s="16" t="n">
        <f aca="false">q25_oth</f>
        <v>14.979</v>
      </c>
      <c r="D713" s="16" t="n">
        <f aca="false">q26_oth</f>
        <v>15.8</v>
      </c>
      <c r="E713" s="16" t="n">
        <f aca="false">D713</f>
        <v>15.8</v>
      </c>
      <c r="F713" s="16" t="n">
        <f aca="false">E713</f>
        <v>15.8</v>
      </c>
      <c r="G713" s="16" t="n">
        <f aca="false">F713</f>
        <v>15.8</v>
      </c>
      <c r="K713" s="8" t="s">
        <v>525</v>
      </c>
    </row>
    <row r="714" customFormat="false" ht="15" hidden="false" customHeight="false" outlineLevel="0" collapsed="false">
      <c r="A714" s="4" t="s">
        <v>526</v>
      </c>
      <c r="B714" s="0" t="s">
        <v>170</v>
      </c>
      <c r="C714" s="16" t="n">
        <f aca="false">q25_othbp</f>
        <v>6.064</v>
      </c>
      <c r="D714" s="16" t="n">
        <f aca="false">q26_othbp</f>
        <v>5.1</v>
      </c>
      <c r="E714" s="16" t="n">
        <f aca="false">q26_othbp</f>
        <v>5.1</v>
      </c>
      <c r="F714" s="16" t="n">
        <f aca="false">q26_othbp</f>
        <v>5.1</v>
      </c>
      <c r="G714" s="16" t="n">
        <f aca="false">q26_othbp</f>
        <v>5.1</v>
      </c>
    </row>
    <row r="715" customFormat="false" ht="15" hidden="false" customHeight="false" outlineLevel="0" collapsed="false">
      <c r="A715" s="4" t="s">
        <v>527</v>
      </c>
      <c r="B715" s="0" t="s">
        <v>170</v>
      </c>
      <c r="C715" s="16" t="n">
        <f aca="false">q25_cc</f>
        <v>-42.597</v>
      </c>
      <c r="D715" s="16" t="n">
        <f aca="false">q26_cc</f>
        <v>-46.2</v>
      </c>
      <c r="E715" s="16" t="n">
        <f aca="false">D715*(1+g_cc)</f>
        <v>-47.586</v>
      </c>
      <c r="F715" s="16" t="n">
        <f aca="false">E715*(1+g_cc)</f>
        <v>-49.01358</v>
      </c>
      <c r="G715" s="16" t="n">
        <f aca="false">F715*(1+g_cc)</f>
        <v>-50.4839874</v>
      </c>
    </row>
    <row r="716" customFormat="false" ht="17.15" hidden="false" customHeight="false" outlineLevel="0" collapsed="false">
      <c r="A716" s="4" t="s">
        <v>528</v>
      </c>
      <c r="B716" s="0" t="s">
        <v>170</v>
      </c>
      <c r="C716" s="28" t="n">
        <f aca="false">a_rev-(q25_sf+q25_ff+q25_hox+q25_fm+q25_oth)</f>
        <v>0.00200000000018008</v>
      </c>
      <c r="D716" s="28" t="n">
        <f aca="false">f_rev-(q26_sf+q26_ff+q26_hox+q26_fm+q26_oth)</f>
        <v>0.200000000000045</v>
      </c>
      <c r="E716" s="28" t="n">
        <f aca="false">$D716</f>
        <v>0.200000000000045</v>
      </c>
      <c r="F716" s="28" t="n">
        <f aca="false">$D716</f>
        <v>0.200000000000045</v>
      </c>
      <c r="G716" s="28" t="n">
        <f aca="false">$D716</f>
        <v>0.200000000000045</v>
      </c>
      <c r="K716" s="8" t="s">
        <v>529</v>
      </c>
    </row>
    <row r="717" customFormat="false" ht="15" hidden="false" customHeight="false" outlineLevel="0" collapsed="false">
      <c r="A717" s="4" t="s">
        <v>530</v>
      </c>
      <c r="B717" s="0" t="s">
        <v>170</v>
      </c>
      <c r="C717" s="28" t="n">
        <f aca="false">a_bp-(q25_sfbp+q25_ffbp+q25_hoxbp+q25_fmbp+q25_othbp+q25_cc)</f>
        <v>0.0010000000000332</v>
      </c>
      <c r="D717" s="28" t="n">
        <f aca="false">f_bp-(q26_sfbp+q26_ffbp+q26_hoxbp+q26_fmbp+q26_othbp+q26_cc)</f>
        <v>0.100000000000023</v>
      </c>
      <c r="E717" s="28" t="n">
        <f aca="false">$D717</f>
        <v>0.100000000000023</v>
      </c>
      <c r="F717" s="28" t="n">
        <f aca="false">$D717</f>
        <v>0.100000000000023</v>
      </c>
      <c r="G717" s="28" t="n">
        <f aca="false">$D717</f>
        <v>0.100000000000023</v>
      </c>
    </row>
    <row r="718" customFormat="false" ht="17.15" hidden="false" customHeight="false" outlineLevel="0" collapsed="false">
      <c r="A718" s="6" t="s">
        <v>531</v>
      </c>
    </row>
    <row r="719" customFormat="false" ht="17.15" hidden="false" customHeight="false" outlineLevel="0" collapsed="false">
      <c r="A719" s="4" t="s">
        <v>403</v>
      </c>
      <c r="B719" s="0" t="s">
        <v>170</v>
      </c>
      <c r="C719" s="16" t="n">
        <f aca="false">C707+C709+C711+C703+C713+C716</f>
        <v>1583.719</v>
      </c>
      <c r="D719" s="16" t="n">
        <f aca="false">D707+D709+D711+D703+D713+D716</f>
        <v>1732</v>
      </c>
      <c r="E719" s="16" t="n">
        <f aca="false">E707+E709+E711+E703+E713+E716</f>
        <v>1850.5656</v>
      </c>
      <c r="F719" s="16" t="n">
        <f aca="false">F707+F709+F711+F703+F713+F716</f>
        <v>1947.57773607053</v>
      </c>
      <c r="G719" s="16" t="n">
        <f aca="false">G707+G709+G711+G703+G713+G716</f>
        <v>2048.04025821376</v>
      </c>
      <c r="H719" s="24" t="n">
        <f aca="false">G719*(1+H723)</f>
        <v>2159.43087164033</v>
      </c>
      <c r="I719" s="24" t="n">
        <f aca="false">H719*(1+I723)</f>
        <v>2282.9383097906</v>
      </c>
      <c r="J719" s="24" t="n">
        <f aca="false">I719*(1+J723)</f>
        <v>2419.91460837804</v>
      </c>
      <c r="K719" s="8" t="s">
        <v>532</v>
      </c>
    </row>
    <row r="720" customFormat="false" ht="17.15" hidden="false" customHeight="false" outlineLevel="0" collapsed="false">
      <c r="A720" s="4" t="s">
        <v>533</v>
      </c>
      <c r="B720" s="0" t="s">
        <v>170</v>
      </c>
      <c r="C720" s="16" t="n">
        <f aca="false">C703+C711</f>
        <v>341.504</v>
      </c>
      <c r="D720" s="16" t="n">
        <f aca="false">D703+D711</f>
        <v>406.8</v>
      </c>
      <c r="E720" s="16" t="n">
        <f aca="false">E703+E711</f>
        <v>476.1036</v>
      </c>
      <c r="F720" s="16" t="n">
        <f aca="false">F703+F711</f>
        <v>521.976436070526</v>
      </c>
      <c r="G720" s="16" t="n">
        <f aca="false">G703+G711</f>
        <v>569.35006161376</v>
      </c>
      <c r="K720" s="4" t="s">
        <v>534</v>
      </c>
    </row>
    <row r="721" customFormat="false" ht="17.15" hidden="false" customHeight="false" outlineLevel="0" collapsed="false">
      <c r="A721" s="4" t="s">
        <v>535</v>
      </c>
      <c r="B721" s="0" t="s">
        <v>170</v>
      </c>
      <c r="C721" s="16" t="n">
        <f aca="false">C713+C716</f>
        <v>14.9810000000002</v>
      </c>
      <c r="D721" s="16" t="n">
        <f aca="false">D713+D716</f>
        <v>16</v>
      </c>
      <c r="E721" s="16" t="n">
        <f aca="false">E713+E716</f>
        <v>16</v>
      </c>
      <c r="F721" s="16" t="n">
        <f aca="false">F713+F716</f>
        <v>16</v>
      </c>
      <c r="G721" s="16" t="n">
        <f aca="false">G713+G716</f>
        <v>16</v>
      </c>
      <c r="K721" s="8" t="s">
        <v>536</v>
      </c>
    </row>
    <row r="722" customFormat="false" ht="15" hidden="false" customHeight="false" outlineLevel="0" collapsed="false">
      <c r="A722" s="4" t="s">
        <v>537</v>
      </c>
      <c r="B722" s="0" t="s">
        <v>170</v>
      </c>
      <c r="C722" s="22" t="n">
        <f aca="false">C707+C709+C720+C721-C719</f>
        <v>0</v>
      </c>
      <c r="D722" s="22" t="n">
        <f aca="false">D707+D709+D720+D721-D719</f>
        <v>0</v>
      </c>
      <c r="E722" s="22" t="n">
        <f aca="false">E707+E709+E720+E721-E719</f>
        <v>0</v>
      </c>
      <c r="F722" s="22" t="n">
        <f aca="false">F707+F709+F720+F721-F719</f>
        <v>0</v>
      </c>
      <c r="G722" s="22" t="n">
        <f aca="false">G707+G709+G720+G721-G719</f>
        <v>0</v>
      </c>
    </row>
    <row r="723" customFormat="false" ht="15" hidden="false" customHeight="false" outlineLevel="0" collapsed="false">
      <c r="A723" s="4" t="s">
        <v>538</v>
      </c>
      <c r="B723" s="0" t="s">
        <v>78</v>
      </c>
      <c r="D723" s="17" t="n">
        <f aca="false">D719/C719-1</f>
        <v>0.0936283519993131</v>
      </c>
      <c r="E723" s="17" t="n">
        <f aca="false">E719/D719-1</f>
        <v>0.0684558891454965</v>
      </c>
      <c r="F723" s="17" t="n">
        <f aca="false">F719/E719-1</f>
        <v>0.0524229652115691</v>
      </c>
      <c r="G723" s="17" t="n">
        <f aca="false">G719/F719-1</f>
        <v>0.0515833182330012</v>
      </c>
      <c r="H723" s="25" t="n">
        <f aca="false">$G723+(fade_gA-$G723)*1/3</f>
        <v>0.0543888788220008</v>
      </c>
      <c r="I723" s="25" t="n">
        <f aca="false">$G723+(fade_gA-$G723)*2/3</f>
        <v>0.0571944394110004</v>
      </c>
      <c r="J723" s="25" t="n">
        <f aca="false">$G723+(fade_gA-$G723)*3/3</f>
        <v>0.06</v>
      </c>
    </row>
    <row r="724" customFormat="false" ht="17.15" hidden="false" customHeight="false" outlineLevel="0" collapsed="false">
      <c r="A724" s="0" t="s">
        <v>539</v>
      </c>
      <c r="B724" s="0" t="s">
        <v>78</v>
      </c>
      <c r="C724" s="17" t="n">
        <f aca="false">C703/C719</f>
        <v>0.0646902638662541</v>
      </c>
      <c r="D724" s="17" t="n">
        <f aca="false">D703/D719</f>
        <v>0.0696304849884527</v>
      </c>
      <c r="E724" s="17" t="n">
        <f aca="false">E703/E719</f>
        <v>0.0948864498507916</v>
      </c>
      <c r="F724" s="17" t="n">
        <f aca="false">F703/F719</f>
        <v>0.10599881701618</v>
      </c>
      <c r="G724" s="17" t="n">
        <f aca="false">G703/G719</f>
        <v>0.116227103280367</v>
      </c>
    </row>
    <row r="725" customFormat="false" ht="15" hidden="false" customHeight="false" outlineLevel="0" collapsed="false">
      <c r="A725" s="4" t="s">
        <v>413</v>
      </c>
      <c r="B725" s="0" t="s">
        <v>170</v>
      </c>
      <c r="C725" s="16" t="n">
        <f aca="false">C708+C710+C712+C705+C714+C715+C717</f>
        <v>181.163</v>
      </c>
      <c r="D725" s="16" t="n">
        <f aca="false">D708+D710+D712+D705+D714+D715+D717</f>
        <v>202</v>
      </c>
      <c r="E725" s="16" t="n">
        <f aca="false">E708+E710+E712+E705+E714+E715+E717</f>
        <v>246.03601</v>
      </c>
      <c r="F725" s="16" t="n">
        <f aca="false">F708+F710+F712+F705+F714+F715+F717</f>
        <v>269.7482325134</v>
      </c>
      <c r="G725" s="16" t="n">
        <f aca="false">G708+G710+G712+G705+G714+G715+G717</f>
        <v>288.611235993454</v>
      </c>
    </row>
    <row r="726" customFormat="false" ht="15" hidden="false" customHeight="false" outlineLevel="0" collapsed="false">
      <c r="A726" s="4" t="s">
        <v>429</v>
      </c>
      <c r="B726" s="0" t="s">
        <v>78</v>
      </c>
      <c r="C726" s="17" t="n">
        <f aca="false">C725/C719</f>
        <v>0.114390873633517</v>
      </c>
      <c r="D726" s="17" t="n">
        <f aca="false">D725/D719</f>
        <v>0.11662817551963</v>
      </c>
      <c r="E726" s="17" t="n">
        <f aca="false">E725/E719</f>
        <v>0.132951790522854</v>
      </c>
      <c r="F726" s="17" t="n">
        <f aca="false">F725/F719</f>
        <v>0.138504475337477</v>
      </c>
      <c r="G726" s="17" t="n">
        <f aca="false">G725/G719</f>
        <v>0.140920684950389</v>
      </c>
    </row>
    <row r="727" customFormat="false" ht="17.15" hidden="false" customHeight="false" outlineLevel="0" collapsed="false">
      <c r="A727" s="0" t="s">
        <v>540</v>
      </c>
      <c r="B727" s="0" t="s">
        <v>78</v>
      </c>
      <c r="C727" s="17" t="n">
        <f aca="false">C705/C725</f>
        <v>0.301386044611758</v>
      </c>
      <c r="D727" s="17" t="n">
        <f aca="false">D705/D725</f>
        <v>0.324257425742574</v>
      </c>
      <c r="E727" s="17" t="n">
        <f aca="false">E705/E725</f>
        <v>0.413820318415991</v>
      </c>
      <c r="F727" s="17" t="n">
        <f aca="false">F705/F725</f>
        <v>0.442744043586892</v>
      </c>
      <c r="G727" s="17" t="n">
        <f aca="false">G705/G725</f>
        <v>0.457122996477678</v>
      </c>
    </row>
    <row r="728" customFormat="false" ht="17.15" hidden="false" customHeight="false" outlineLevel="0" collapsed="false">
      <c r="A728" s="4" t="s">
        <v>430</v>
      </c>
      <c r="B728" s="0" t="s">
        <v>53</v>
      </c>
      <c r="C728" s="22" t="n">
        <f aca="false">q25_ni/q25_bp</f>
        <v>0.743391310587703</v>
      </c>
      <c r="D728" s="22" t="n">
        <f aca="false">q26_ni/q26_bp</f>
        <v>0.611386138613861</v>
      </c>
      <c r="E728" s="22" t="n">
        <f aca="false">ni_bp</f>
        <v>0.62</v>
      </c>
      <c r="F728" s="22" t="n">
        <f aca="false">ni_bp</f>
        <v>0.62</v>
      </c>
      <c r="G728" s="22" t="n">
        <f aca="false">ni_bp</f>
        <v>0.62</v>
      </c>
    </row>
    <row r="729" customFormat="false" ht="15" hidden="false" customHeight="false" outlineLevel="0" collapsed="false">
      <c r="A729" s="4" t="s">
        <v>420</v>
      </c>
      <c r="B729" s="0" t="s">
        <v>170</v>
      </c>
      <c r="C729" s="16" t="n">
        <f aca="false">q25_ni</f>
        <v>134.675</v>
      </c>
      <c r="D729" s="16" t="n">
        <f aca="false">q26_ni</f>
        <v>123.5</v>
      </c>
      <c r="E729" s="16" t="n">
        <f aca="false">E725*E728</f>
        <v>152.5423262</v>
      </c>
      <c r="F729" s="16" t="n">
        <f aca="false">F725*F728</f>
        <v>167.243904158308</v>
      </c>
      <c r="G729" s="16" t="n">
        <f aca="false">G725*G728</f>
        <v>178.938966315941</v>
      </c>
      <c r="H729" s="24" t="n">
        <f aca="false">H719*H733</f>
        <v>189.128717448178</v>
      </c>
      <c r="I729" s="24" t="n">
        <f aca="false">I719*I733</f>
        <v>200.429454042887</v>
      </c>
      <c r="J729" s="24" t="n">
        <f aca="false">J719*J733</f>
        <v>212.967864446624</v>
      </c>
    </row>
    <row r="730" customFormat="false" ht="15" hidden="false" customHeight="false" outlineLevel="0" collapsed="false">
      <c r="A730" s="4" t="s">
        <v>541</v>
      </c>
      <c r="B730" s="4" t="s">
        <v>317</v>
      </c>
      <c r="C730" s="20" t="n">
        <f aca="false">q25_sh</f>
        <v>0.973366579936398</v>
      </c>
      <c r="D730" s="20" t="n">
        <f aca="false">q26_sh</f>
        <v>0.95117067159581</v>
      </c>
      <c r="E730" s="20" t="n">
        <f aca="false">D730*(1+sh_g)</f>
        <v>0.936903111521873</v>
      </c>
      <c r="F730" s="20" t="n">
        <f aca="false">E730*(1+sh_g)</f>
        <v>0.922849564849045</v>
      </c>
      <c r="G730" s="20" t="n">
        <f aca="false">F730*(1+sh_g)</f>
        <v>0.909006821376309</v>
      </c>
      <c r="H730" s="29" t="n">
        <f aca="false">G730*(1+sh_g)</f>
        <v>0.895371719055665</v>
      </c>
      <c r="I730" s="29" t="n">
        <f aca="false">H730*(1+sh_g)</f>
        <v>0.88194114326983</v>
      </c>
      <c r="J730" s="29" t="n">
        <f aca="false">I730*(1+sh_g)</f>
        <v>0.868712026120782</v>
      </c>
    </row>
    <row r="731" customFormat="false" ht="17.15" hidden="false" customHeight="false" outlineLevel="0" collapsed="false">
      <c r="A731" s="0" t="s">
        <v>542</v>
      </c>
      <c r="B731" s="0" t="s">
        <v>208</v>
      </c>
      <c r="C731" s="21" t="n">
        <f aca="false">C729/C730</f>
        <v>138.36</v>
      </c>
      <c r="D731" s="21" t="n">
        <f aca="false">D729/D730</f>
        <v>129.84</v>
      </c>
      <c r="E731" s="21" t="n">
        <f aca="false">E729/E730</f>
        <v>162.815476140554</v>
      </c>
      <c r="F731" s="21" t="n">
        <f aca="false">F729/F730</f>
        <v>181.225532880502</v>
      </c>
      <c r="G731" s="21" t="n">
        <f aca="false">G729/G730</f>
        <v>196.851070979878</v>
      </c>
      <c r="H731" s="27" t="n">
        <f aca="false">H729/H730</f>
        <v>211.229273186838</v>
      </c>
      <c r="I731" s="27" t="n">
        <f aca="false">I729/I730</f>
        <v>227.259444207113</v>
      </c>
      <c r="J731" s="27" t="n">
        <f aca="false">J729/J730</f>
        <v>245.153581443586</v>
      </c>
    </row>
    <row r="732" customFormat="false" ht="17.15" hidden="false" customHeight="false" outlineLevel="0" collapsed="false">
      <c r="A732" s="0" t="s">
        <v>543</v>
      </c>
      <c r="B732" s="0" t="s">
        <v>78</v>
      </c>
      <c r="D732" s="17" t="n">
        <f aca="false">D731/C731-1</f>
        <v>-0.0615784908933218</v>
      </c>
      <c r="E732" s="17" t="n">
        <f aca="false">E731/D731-1</f>
        <v>0.253970087342527</v>
      </c>
      <c r="F732" s="17" t="n">
        <f aca="false">F731/E731-1</f>
        <v>0.113073137617801</v>
      </c>
      <c r="G732" s="17" t="n">
        <f aca="false">G731/F731-1</f>
        <v>0.0862215045033381</v>
      </c>
      <c r="H732" s="25" t="n">
        <f aca="false">H731/G731-1</f>
        <v>0.0730410159080579</v>
      </c>
      <c r="I732" s="25" t="n">
        <f aca="false">I731/H731-1</f>
        <v>0.0758899123138852</v>
      </c>
      <c r="J732" s="25" t="n">
        <f aca="false">J731/I731-1</f>
        <v>0.078738805768467</v>
      </c>
    </row>
    <row r="733" customFormat="false" ht="15" hidden="false" customHeight="false" outlineLevel="0" collapsed="false">
      <c r="A733" s="4" t="s">
        <v>544</v>
      </c>
      <c r="B733" s="0" t="s">
        <v>78</v>
      </c>
      <c r="C733" s="14" t="n">
        <f aca="false">C729/C719</f>
        <v>0.0850371814696925</v>
      </c>
      <c r="D733" s="14" t="n">
        <f aca="false">D729/D719</f>
        <v>0.0713048498845266</v>
      </c>
      <c r="E733" s="14" t="n">
        <f aca="false">E729/E719</f>
        <v>0.0824301101241696</v>
      </c>
      <c r="F733" s="14" t="n">
        <f aca="false">F729/F719</f>
        <v>0.0858727747092358</v>
      </c>
      <c r="G733" s="14" t="n">
        <f aca="false">G729/G719</f>
        <v>0.087370824669241</v>
      </c>
      <c r="H733" s="26" t="n">
        <f aca="false">$G733+(fade_mA-$G733)*1/3</f>
        <v>0.0875826681613166</v>
      </c>
      <c r="I733" s="26" t="n">
        <f aca="false">$G733+(fade_mA-$G733)*2/3</f>
        <v>0.0877945116533923</v>
      </c>
      <c r="J733" s="26" t="n">
        <f aca="false">$G733+(fade_mA-$G733)*3/3</f>
        <v>0.088006355145468</v>
      </c>
    </row>
    <row r="734" customFormat="false" ht="17.15" hidden="false" customHeight="false" outlineLevel="0" collapsed="false">
      <c r="A734" s="0" t="s">
        <v>545</v>
      </c>
      <c r="B734" s="0" t="s">
        <v>208</v>
      </c>
      <c r="D734" s="21" t="n">
        <f aca="false">D705*D728/D730</f>
        <v>42.1015841584158</v>
      </c>
      <c r="E734" s="21" t="n">
        <f aca="false">E705*E728/E730</f>
        <v>67.3763521795352</v>
      </c>
      <c r="F734" s="21" t="n">
        <f aca="false">F705*F728/F730</f>
        <v>80.2365252287028</v>
      </c>
      <c r="G734" s="21" t="n">
        <f aca="false">G705*G728/G730</f>
        <v>89.985151426162</v>
      </c>
      <c r="K734" s="8" t="s">
        <v>546</v>
      </c>
    </row>
    <row r="735" customFormat="false" ht="17.15" hidden="false" customHeight="false" outlineLevel="0" collapsed="false">
      <c r="A735" s="0" t="s">
        <v>547</v>
      </c>
      <c r="B735" s="0" t="s">
        <v>208</v>
      </c>
      <c r="D735" s="21" t="n">
        <f aca="false">D731-D734</f>
        <v>87.7384158415842</v>
      </c>
      <c r="E735" s="21" t="n">
        <f aca="false">E731-E734</f>
        <v>95.4391239610186</v>
      </c>
      <c r="F735" s="21" t="n">
        <f aca="false">F731-F734</f>
        <v>100.9890076518</v>
      </c>
      <c r="G735" s="21" t="n">
        <f aca="false">G731-G734</f>
        <v>106.865919553716</v>
      </c>
    </row>
    <row r="736" customFormat="false" ht="17.15" hidden="false" customHeight="false" outlineLevel="0" collapsed="false">
      <c r="A736" s="0" t="s">
        <v>548</v>
      </c>
      <c r="B736" s="0" t="s">
        <v>455</v>
      </c>
      <c r="D736" s="16" t="n">
        <f aca="false">D701/D691*1000/150</f>
        <v>23.5087719298246</v>
      </c>
      <c r="E736" s="16" t="n">
        <f aca="false">E701/E691*1000/150</f>
        <v>30.8529585719519</v>
      </c>
      <c r="F736" s="16" t="n">
        <f aca="false">F701/F691*1000/150</f>
        <v>36.5143464561404</v>
      </c>
      <c r="G736" s="16" t="n">
        <f aca="false">G701/G691*1000/150</f>
        <v>41.0977070933333</v>
      </c>
      <c r="K736" s="8" t="s">
        <v>549</v>
      </c>
    </row>
    <row r="739" customFormat="false" ht="17.15" hidden="false" customHeight="false" outlineLevel="0" collapsed="false">
      <c r="A739" s="1" t="s">
        <v>950</v>
      </c>
    </row>
    <row r="740" customFormat="false" ht="17.15" hidden="false" customHeight="false" outlineLevel="0" collapsed="false">
      <c r="A740" s="5" t="s">
        <v>20</v>
      </c>
      <c r="B740" s="5" t="s">
        <v>21</v>
      </c>
      <c r="C740" s="15" t="s">
        <v>398</v>
      </c>
      <c r="D740" s="15" t="s">
        <v>470</v>
      </c>
      <c r="E740" s="15" t="s">
        <v>435</v>
      </c>
      <c r="F740" s="15" t="s">
        <v>436</v>
      </c>
      <c r="G740" s="15" t="s">
        <v>437</v>
      </c>
      <c r="H740" s="15" t="s">
        <v>471</v>
      </c>
      <c r="I740" s="15" t="s">
        <v>472</v>
      </c>
      <c r="J740" s="15" t="s">
        <v>473</v>
      </c>
      <c r="K740" s="5" t="s">
        <v>377</v>
      </c>
    </row>
    <row r="741" customFormat="false" ht="17.15" hidden="false" customHeight="false" outlineLevel="0" collapsed="false">
      <c r="A741" s="6" t="s">
        <v>493</v>
      </c>
    </row>
    <row r="742" customFormat="false" ht="17.15" hidden="false" customHeight="false" outlineLevel="0" collapsed="false">
      <c r="A742" s="0" t="s">
        <v>494</v>
      </c>
      <c r="B742" s="4" t="s">
        <v>31</v>
      </c>
      <c r="D742" s="21" t="n">
        <f aca="false">unv_26</f>
        <v>7.6</v>
      </c>
      <c r="E742" s="21" t="n">
        <f aca="false">unv_27</f>
        <v>9.7</v>
      </c>
      <c r="F742" s="21" t="n">
        <f aca="false">unv_28*um28_A</f>
        <v>9.5</v>
      </c>
      <c r="G742" s="21" t="n">
        <f aca="false">unv_29*um29_A</f>
        <v>10.6</v>
      </c>
      <c r="K742" s="8" t="s">
        <v>495</v>
      </c>
    </row>
    <row r="743" customFormat="false" ht="17.15" hidden="false" customHeight="false" outlineLevel="0" collapsed="false">
      <c r="A743" s="4" t="s">
        <v>496</v>
      </c>
      <c r="B743" s="4" t="s">
        <v>31</v>
      </c>
      <c r="D743" s="21" t="n">
        <f aca="false">uot_26</f>
        <v>7.6</v>
      </c>
      <c r="E743" s="21" t="n">
        <f aca="false">uot_27</f>
        <v>14</v>
      </c>
      <c r="F743" s="21" t="n">
        <f aca="false">uot_28*um28_A</f>
        <v>17</v>
      </c>
      <c r="G743" s="21" t="n">
        <f aca="false">uot_29*um29_A</f>
        <v>19.55</v>
      </c>
      <c r="K743" s="8" t="s">
        <v>497</v>
      </c>
    </row>
    <row r="744" customFormat="false" ht="17.15" hidden="false" customHeight="false" outlineLevel="0" collapsed="false">
      <c r="A744" s="4" t="s">
        <v>498</v>
      </c>
      <c r="B744" s="4" t="s">
        <v>31</v>
      </c>
      <c r="D744" s="21" t="n">
        <f aca="false">D742+v_ot*D743</f>
        <v>13.68</v>
      </c>
      <c r="E744" s="21" t="n">
        <f aca="false">E742+v_ot*E743</f>
        <v>20.9</v>
      </c>
      <c r="F744" s="21" t="n">
        <f aca="false">F742+v_ot*F743</f>
        <v>23.1</v>
      </c>
      <c r="G744" s="21" t="n">
        <f aca="false">G742+v_ot*G743</f>
        <v>26.24</v>
      </c>
    </row>
    <row r="745" customFormat="false" ht="17.15" hidden="false" customHeight="false" outlineLevel="0" collapsed="false">
      <c r="A745" s="4" t="s">
        <v>499</v>
      </c>
      <c r="B745" s="0" t="s">
        <v>53</v>
      </c>
      <c r="D745" s="22" t="n">
        <f aca="false">1</f>
        <v>1</v>
      </c>
      <c r="E745" s="22" t="n">
        <f aca="false">D745*(1+g_asp)</f>
        <v>1.18</v>
      </c>
      <c r="F745" s="22" t="n">
        <f aca="false">E745*(1+g_asp)</f>
        <v>1.3924</v>
      </c>
      <c r="G745" s="22" t="n">
        <f aca="false">F745*(1+g_asp)</f>
        <v>1.643032</v>
      </c>
    </row>
    <row r="746" customFormat="false" ht="17.15" hidden="false" customHeight="false" outlineLevel="0" collapsed="false">
      <c r="A746" s="4" t="s">
        <v>500</v>
      </c>
      <c r="B746" s="0" t="s">
        <v>53</v>
      </c>
      <c r="D746" s="19" t="n">
        <f aca="false">1</f>
        <v>1</v>
      </c>
      <c r="E746" s="19" t="n">
        <f aca="false">rel_27</f>
        <v>1</v>
      </c>
      <c r="F746" s="19" t="n">
        <f aca="false">rel_28</f>
        <v>0.97</v>
      </c>
      <c r="G746" s="19" t="n">
        <f aca="false">rel_29</f>
        <v>0.95</v>
      </c>
    </row>
    <row r="747" customFormat="false" ht="17.15" hidden="false" customHeight="false" outlineLevel="0" collapsed="false">
      <c r="A747" s="0" t="s">
        <v>501</v>
      </c>
      <c r="B747" s="0" t="s">
        <v>53</v>
      </c>
      <c r="D747" s="22" t="n">
        <f aca="false">D744/$D744*D745*D746</f>
        <v>1</v>
      </c>
      <c r="E747" s="22" t="n">
        <f aca="false">E744/$D744*E745*E746</f>
        <v>1.80277777777778</v>
      </c>
      <c r="F747" s="22" t="n">
        <f aca="false">F744/$D744*F745*F746</f>
        <v>2.28066570175439</v>
      </c>
      <c r="G747" s="22" t="n">
        <f aca="false">G744/$D744*G745*G746</f>
        <v>2.99396942222222</v>
      </c>
      <c r="K747" s="4" t="s">
        <v>502</v>
      </c>
    </row>
    <row r="748" customFormat="false" ht="17.15" hidden="false" customHeight="false" outlineLevel="0" collapsed="false">
      <c r="A748" s="4" t="s">
        <v>503</v>
      </c>
      <c r="B748" s="0" t="s">
        <v>53</v>
      </c>
      <c r="D748" s="22" t="n">
        <f aca="false">1</f>
        <v>1</v>
      </c>
      <c r="E748" s="22" t="n">
        <f aca="false">D748*(1+g_nai)</f>
        <v>1.03</v>
      </c>
      <c r="F748" s="22" t="n">
        <f aca="false">E748*(1+g_nai)</f>
        <v>1.0609</v>
      </c>
      <c r="G748" s="22" t="n">
        <f aca="false">F748*(1+g_nai)</f>
        <v>1.092727</v>
      </c>
    </row>
    <row r="749" customFormat="false" ht="17.15" hidden="false" customHeight="false" outlineLevel="0" collapsed="false">
      <c r="A749" s="0" t="s">
        <v>504</v>
      </c>
      <c r="B749" s="0" t="s">
        <v>53</v>
      </c>
      <c r="D749" s="22" t="n">
        <f aca="false">ai_sh*D747+(1-ai_sh)*D748</f>
        <v>1</v>
      </c>
      <c r="E749" s="22" t="n">
        <f aca="false">ai_sh*E747+(1-ai_sh)*E748</f>
        <v>1.33911111111111</v>
      </c>
      <c r="F749" s="22" t="n">
        <f aca="false">ai_sh*F747+(1-ai_sh)*F748</f>
        <v>1.54880628070175</v>
      </c>
      <c r="G749" s="22" t="n">
        <f aca="false">ai_sh*G747+(1-ai_sh)*G748</f>
        <v>1.85322396888889</v>
      </c>
    </row>
    <row r="750" customFormat="false" ht="17.15" hidden="false" customHeight="false" outlineLevel="0" collapsed="false">
      <c r="A750" s="4" t="s">
        <v>505</v>
      </c>
      <c r="B750" s="0" t="s">
        <v>53</v>
      </c>
      <c r="D750" s="22" t="n">
        <f aca="false">1</f>
        <v>1</v>
      </c>
      <c r="E750" s="22" t="n">
        <f aca="false">cap_27</f>
        <v>1.3</v>
      </c>
      <c r="F750" s="22" t="n">
        <f aca="false">cap_28</f>
        <v>1.55</v>
      </c>
      <c r="G750" s="22" t="n">
        <f aca="false">cap_29</f>
        <v>1.8</v>
      </c>
      <c r="K750" s="4" t="s">
        <v>506</v>
      </c>
    </row>
    <row r="751" customFormat="false" ht="17.15" hidden="false" customHeight="false" outlineLevel="0" collapsed="false">
      <c r="A751" s="4" t="s">
        <v>507</v>
      </c>
      <c r="B751" s="0" t="s">
        <v>53</v>
      </c>
      <c r="D751" s="22" t="n">
        <f aca="false">MIN(D749,D750)</f>
        <v>1</v>
      </c>
      <c r="E751" s="22" t="n">
        <f aca="false">MIN(E749,E750)</f>
        <v>1.3</v>
      </c>
      <c r="F751" s="22" t="n">
        <f aca="false">MIN(F749,F750)</f>
        <v>1.54880628070175</v>
      </c>
      <c r="G751" s="22" t="n">
        <f aca="false">MIN(G749,G750)</f>
        <v>1.8</v>
      </c>
    </row>
    <row r="752" customFormat="false" ht="17.15" hidden="false" customHeight="false" outlineLevel="0" collapsed="false">
      <c r="A752" s="4" t="s">
        <v>508</v>
      </c>
      <c r="B752" s="0" t="s">
        <v>78</v>
      </c>
      <c r="D752" s="17" t="n">
        <f aca="false">D751/D749</f>
        <v>1</v>
      </c>
      <c r="E752" s="17" t="n">
        <f aca="false">E751/E749</f>
        <v>0.970793229339529</v>
      </c>
      <c r="F752" s="17" t="n">
        <f aca="false">F751/F749</f>
        <v>1</v>
      </c>
      <c r="G752" s="17" t="n">
        <f aca="false">G751/G749</f>
        <v>0.971280336439422</v>
      </c>
      <c r="K752" s="4" t="s">
        <v>509</v>
      </c>
    </row>
    <row r="753" customFormat="false" ht="17.15" hidden="false" customHeight="false" outlineLevel="0" collapsed="false">
      <c r="A753" s="0" t="s">
        <v>510</v>
      </c>
      <c r="B753" s="0" t="s">
        <v>53</v>
      </c>
      <c r="D753" s="22" t="n">
        <f aca="false">1</f>
        <v>1</v>
      </c>
      <c r="E753" s="22" t="n">
        <f aca="false">pp_27</f>
        <v>1.12</v>
      </c>
      <c r="F753" s="22" t="n">
        <f aca="false">pp_28*sp_A</f>
        <v>1.15</v>
      </c>
      <c r="G753" s="22" t="n">
        <f aca="false">pp_29*sp_A</f>
        <v>1.12</v>
      </c>
      <c r="K753" s="8" t="s">
        <v>511</v>
      </c>
    </row>
    <row r="754" customFormat="false" ht="17.15" hidden="false" customHeight="false" outlineLevel="0" collapsed="false">
      <c r="A754" s="0" t="s">
        <v>452</v>
      </c>
      <c r="B754" s="0" t="s">
        <v>170</v>
      </c>
      <c r="D754" s="16" t="n">
        <f aca="false">q26_fm*ai_sh</f>
        <v>48.24</v>
      </c>
      <c r="E754" s="16" t="n">
        <f aca="false">q26_fm*ai_sh*E747*E752*E753</f>
        <v>94.5571244606705</v>
      </c>
      <c r="F754" s="16" t="n">
        <f aca="false">q26_fm*ai_sh*F747*F752*F753</f>
        <v>126.522210470526</v>
      </c>
      <c r="G754" s="16" t="n">
        <f aca="false">q26_fm*ai_sh*G747*G752*G753</f>
        <v>157.114865824566</v>
      </c>
      <c r="K754" s="8" t="s">
        <v>512</v>
      </c>
    </row>
    <row r="755" customFormat="false" ht="17.15" hidden="false" customHeight="false" outlineLevel="0" collapsed="false">
      <c r="A755" s="0" t="s">
        <v>513</v>
      </c>
      <c r="B755" s="0" t="s">
        <v>170</v>
      </c>
      <c r="D755" s="16" t="n">
        <f aca="false">q26_fm*(1-ai_sh)</f>
        <v>72.36</v>
      </c>
      <c r="E755" s="16" t="n">
        <f aca="false">q26_fm*(1-ai_sh)*E748*E752*E753</f>
        <v>81.0364755393296</v>
      </c>
      <c r="F755" s="16" t="n">
        <f aca="false">q26_fm*(1-ai_sh)*F748*F752*F753</f>
        <v>88.2817326</v>
      </c>
      <c r="G755" s="16" t="n">
        <f aca="false">q26_fm*(1-ai_sh)*G748*G752*G753</f>
        <v>86.0147341754337</v>
      </c>
    </row>
    <row r="756" customFormat="false" ht="17.15" hidden="false" customHeight="false" outlineLevel="0" collapsed="false">
      <c r="A756" s="4" t="s">
        <v>514</v>
      </c>
      <c r="B756" s="0" t="s">
        <v>170</v>
      </c>
      <c r="C756" s="16" t="n">
        <f aca="false">q25_fm</f>
        <v>102.4512</v>
      </c>
      <c r="D756" s="16" t="n">
        <f aca="false">D754+D755</f>
        <v>120.6</v>
      </c>
      <c r="E756" s="16" t="n">
        <f aca="false">E754+E755</f>
        <v>175.5936</v>
      </c>
      <c r="F756" s="16" t="n">
        <f aca="false">F754+F755</f>
        <v>214.803943070526</v>
      </c>
      <c r="G756" s="16" t="n">
        <f aca="false">G754+G755</f>
        <v>243.1296</v>
      </c>
    </row>
    <row r="757" customFormat="false" ht="17.15" hidden="false" customHeight="false" outlineLevel="0" collapsed="false">
      <c r="A757" s="0" t="s">
        <v>515</v>
      </c>
      <c r="B757" s="0" t="s">
        <v>78</v>
      </c>
      <c r="C757" s="17" t="n">
        <f aca="false">q25_fmbp/q25_fm</f>
        <v>0.532936656671664</v>
      </c>
      <c r="D757" s="17" t="n">
        <f aca="false">q26_fmbp/q26_fm</f>
        <v>0.543117744610282</v>
      </c>
      <c r="E757" s="17" t="n">
        <f aca="false">1-(1-$D757)*(1+c_g)^1/E753</f>
        <v>0.579831497275527</v>
      </c>
      <c r="F757" s="17" t="n">
        <f aca="false">1-(1-$D757)*(1+c_g)^2/F753</f>
        <v>0.578516187180042</v>
      </c>
      <c r="G757" s="17" t="n">
        <f aca="false">1-(1-$D757)*(1+c_g)^3/G753</f>
        <v>0.554243235459607</v>
      </c>
      <c r="K757" s="8" t="s">
        <v>516</v>
      </c>
    </row>
    <row r="758" customFormat="false" ht="17.15" hidden="false" customHeight="false" outlineLevel="0" collapsed="false">
      <c r="A758" s="0" t="s">
        <v>478</v>
      </c>
      <c r="B758" s="0" t="s">
        <v>170</v>
      </c>
      <c r="C758" s="16" t="n">
        <f aca="false">q25_fmbp</f>
        <v>54.6</v>
      </c>
      <c r="D758" s="16" t="n">
        <f aca="false">D756*D757</f>
        <v>65.5</v>
      </c>
      <c r="E758" s="16" t="n">
        <f aca="false">E756*E757</f>
        <v>101.8147</v>
      </c>
      <c r="F758" s="16" t="n">
        <f aca="false">F756*F757</f>
        <v>124.2675581364</v>
      </c>
      <c r="G758" s="16" t="n">
        <f aca="false">G756*G757</f>
        <v>134.75293614</v>
      </c>
    </row>
    <row r="759" customFormat="false" ht="17.15" hidden="false" customHeight="false" outlineLevel="0" collapsed="false">
      <c r="A759" s="6" t="s">
        <v>517</v>
      </c>
    </row>
    <row r="760" customFormat="false" ht="15" hidden="false" customHeight="false" outlineLevel="0" collapsed="false">
      <c r="A760" s="4" t="s">
        <v>518</v>
      </c>
      <c r="B760" s="0" t="s">
        <v>170</v>
      </c>
      <c r="C760" s="16" t="n">
        <f aca="false">q25_sf</f>
        <v>936.926</v>
      </c>
      <c r="D760" s="16" t="n">
        <f aca="false">q26_sf</f>
        <v>998.6</v>
      </c>
      <c r="E760" s="16" t="n">
        <f aca="false">D760*(1+g_sf)</f>
        <v>1038.544</v>
      </c>
      <c r="F760" s="16" t="n">
        <f aca="false">E760*(1+g_sf)</f>
        <v>1080.08576</v>
      </c>
      <c r="G760" s="16" t="n">
        <f aca="false">F760*(1+g_sf)</f>
        <v>1123.2891904</v>
      </c>
    </row>
    <row r="761" customFormat="false" ht="15" hidden="false" customHeight="false" outlineLevel="0" collapsed="false">
      <c r="A761" s="4" t="s">
        <v>519</v>
      </c>
      <c r="B761" s="0" t="s">
        <v>170</v>
      </c>
      <c r="C761" s="16" t="n">
        <f aca="false">q25_sfbp</f>
        <v>143.036</v>
      </c>
      <c r="D761" s="16" t="n">
        <f aca="false">q26_sfbp</f>
        <v>145.9</v>
      </c>
      <c r="E761" s="16" t="n">
        <f aca="false">E760*m_sf_lo</f>
        <v>140.20344</v>
      </c>
      <c r="F761" s="16" t="n">
        <f aca="false">F760*m_sf_lo</f>
        <v>145.8115776</v>
      </c>
      <c r="G761" s="16" t="n">
        <f aca="false">G760*m_sf_lo</f>
        <v>151.644040704</v>
      </c>
    </row>
    <row r="762" customFormat="false" ht="15" hidden="false" customHeight="false" outlineLevel="0" collapsed="false">
      <c r="A762" s="4" t="s">
        <v>520</v>
      </c>
      <c r="B762" s="0" t="s">
        <v>170</v>
      </c>
      <c r="C762" s="16" t="n">
        <f aca="false">q25_ff</f>
        <v>290.308</v>
      </c>
      <c r="D762" s="16" t="n">
        <f aca="false">q26_ff</f>
        <v>310.6</v>
      </c>
      <c r="E762" s="16" t="n">
        <f aca="false">D762*(1+g_ff)</f>
        <v>319.918</v>
      </c>
      <c r="F762" s="16" t="n">
        <f aca="false">E762*(1+g_ff)</f>
        <v>329.51554</v>
      </c>
      <c r="G762" s="16" t="n">
        <f aca="false">F762*(1+g_ff)</f>
        <v>339.4010062</v>
      </c>
    </row>
    <row r="763" customFormat="false" ht="15" hidden="false" customHeight="false" outlineLevel="0" collapsed="false">
      <c r="A763" s="4" t="s">
        <v>521</v>
      </c>
      <c r="B763" s="0" t="s">
        <v>170</v>
      </c>
      <c r="C763" s="16" t="n">
        <f aca="false">q25_ffbp</f>
        <v>8.457</v>
      </c>
      <c r="D763" s="16" t="n">
        <f aca="false">q26_ffbp</f>
        <v>12.1</v>
      </c>
      <c r="E763" s="16" t="n">
        <f aca="false">E762*m_ff</f>
        <v>14.39631</v>
      </c>
      <c r="F763" s="16" t="n">
        <f aca="false">F762*m_ff</f>
        <v>14.8281993</v>
      </c>
      <c r="G763" s="16" t="n">
        <f aca="false">G762*m_ff</f>
        <v>15.273045279</v>
      </c>
    </row>
    <row r="764" customFormat="false" ht="17.15" hidden="false" customHeight="false" outlineLevel="0" collapsed="false">
      <c r="A764" s="4" t="s">
        <v>522</v>
      </c>
      <c r="B764" s="0" t="s">
        <v>170</v>
      </c>
      <c r="C764" s="16" t="n">
        <f aca="false">q25_hox</f>
        <v>239.0528</v>
      </c>
      <c r="D764" s="16" t="n">
        <f aca="false">q26_hox</f>
        <v>286.2</v>
      </c>
      <c r="E764" s="16" t="n">
        <f aca="false">D764*(1+g_ho)</f>
        <v>300.51</v>
      </c>
      <c r="F764" s="16" t="n">
        <f aca="false">E764*(1+g_ho)</f>
        <v>315.5355</v>
      </c>
      <c r="G764" s="16" t="n">
        <f aca="false">F764*(1+g_ho)</f>
        <v>331.312275</v>
      </c>
    </row>
    <row r="765" customFormat="false" ht="17.15" hidden="false" customHeight="false" outlineLevel="0" collapsed="false">
      <c r="A765" s="4" t="s">
        <v>523</v>
      </c>
      <c r="B765" s="0" t="s">
        <v>170</v>
      </c>
      <c r="C765" s="16" t="n">
        <f aca="false">q25_hoxbp</f>
        <v>11.602</v>
      </c>
      <c r="D765" s="16" t="n">
        <f aca="false">q26_hoxbp</f>
        <v>19.5</v>
      </c>
      <c r="E765" s="16" t="n">
        <f aca="false">E764*m_ho</f>
        <v>20.475</v>
      </c>
      <c r="F765" s="16" t="n">
        <f aca="false">F764*m_ho</f>
        <v>21.49875</v>
      </c>
      <c r="G765" s="16" t="n">
        <f aca="false">G764*m_ho</f>
        <v>22.5736875</v>
      </c>
    </row>
    <row r="766" customFormat="false" ht="17.15" hidden="false" customHeight="false" outlineLevel="0" collapsed="false">
      <c r="A766" s="4" t="s">
        <v>524</v>
      </c>
      <c r="B766" s="0" t="s">
        <v>170</v>
      </c>
      <c r="C766" s="16" t="n">
        <f aca="false">q25_oth</f>
        <v>14.979</v>
      </c>
      <c r="D766" s="16" t="n">
        <f aca="false">q26_oth</f>
        <v>15.8</v>
      </c>
      <c r="E766" s="16" t="n">
        <f aca="false">D766</f>
        <v>15.8</v>
      </c>
      <c r="F766" s="16" t="n">
        <f aca="false">E766</f>
        <v>15.8</v>
      </c>
      <c r="G766" s="16" t="n">
        <f aca="false">F766</f>
        <v>15.8</v>
      </c>
      <c r="K766" s="8" t="s">
        <v>525</v>
      </c>
    </row>
    <row r="767" customFormat="false" ht="15" hidden="false" customHeight="false" outlineLevel="0" collapsed="false">
      <c r="A767" s="4" t="s">
        <v>526</v>
      </c>
      <c r="B767" s="0" t="s">
        <v>170</v>
      </c>
      <c r="C767" s="16" t="n">
        <f aca="false">q25_othbp</f>
        <v>6.064</v>
      </c>
      <c r="D767" s="16" t="n">
        <f aca="false">q26_othbp</f>
        <v>5.1</v>
      </c>
      <c r="E767" s="16" t="n">
        <f aca="false">q26_othbp</f>
        <v>5.1</v>
      </c>
      <c r="F767" s="16" t="n">
        <f aca="false">q26_othbp</f>
        <v>5.1</v>
      </c>
      <c r="G767" s="16" t="n">
        <f aca="false">q26_othbp</f>
        <v>5.1</v>
      </c>
    </row>
    <row r="768" customFormat="false" ht="15" hidden="false" customHeight="false" outlineLevel="0" collapsed="false">
      <c r="A768" s="4" t="s">
        <v>527</v>
      </c>
      <c r="B768" s="0" t="s">
        <v>170</v>
      </c>
      <c r="C768" s="16" t="n">
        <f aca="false">q25_cc</f>
        <v>-42.597</v>
      </c>
      <c r="D768" s="16" t="n">
        <f aca="false">q26_cc</f>
        <v>-46.2</v>
      </c>
      <c r="E768" s="16" t="n">
        <f aca="false">D768*(1+g_cc)</f>
        <v>-47.586</v>
      </c>
      <c r="F768" s="16" t="n">
        <f aca="false">E768*(1+g_cc)</f>
        <v>-49.01358</v>
      </c>
      <c r="G768" s="16" t="n">
        <f aca="false">F768*(1+g_cc)</f>
        <v>-50.4839874</v>
      </c>
    </row>
    <row r="769" customFormat="false" ht="17.15" hidden="false" customHeight="false" outlineLevel="0" collapsed="false">
      <c r="A769" s="4" t="s">
        <v>528</v>
      </c>
      <c r="B769" s="0" t="s">
        <v>170</v>
      </c>
      <c r="C769" s="28" t="n">
        <f aca="false">a_rev-(q25_sf+q25_ff+q25_hox+q25_fm+q25_oth)</f>
        <v>0.00200000000018008</v>
      </c>
      <c r="D769" s="28" t="n">
        <f aca="false">f_rev-(q26_sf+q26_ff+q26_hox+q26_fm+q26_oth)</f>
        <v>0.200000000000045</v>
      </c>
      <c r="E769" s="28" t="n">
        <f aca="false">$D769</f>
        <v>0.200000000000045</v>
      </c>
      <c r="F769" s="28" t="n">
        <f aca="false">$D769</f>
        <v>0.200000000000045</v>
      </c>
      <c r="G769" s="28" t="n">
        <f aca="false">$D769</f>
        <v>0.200000000000045</v>
      </c>
      <c r="K769" s="8" t="s">
        <v>529</v>
      </c>
    </row>
    <row r="770" customFormat="false" ht="15" hidden="false" customHeight="false" outlineLevel="0" collapsed="false">
      <c r="A770" s="4" t="s">
        <v>530</v>
      </c>
      <c r="B770" s="0" t="s">
        <v>170</v>
      </c>
      <c r="C770" s="28" t="n">
        <f aca="false">a_bp-(q25_sfbp+q25_ffbp+q25_hoxbp+q25_fmbp+q25_othbp+q25_cc)</f>
        <v>0.0010000000000332</v>
      </c>
      <c r="D770" s="28" t="n">
        <f aca="false">f_bp-(q26_sfbp+q26_ffbp+q26_hoxbp+q26_fmbp+q26_othbp+q26_cc)</f>
        <v>0.100000000000023</v>
      </c>
      <c r="E770" s="28" t="n">
        <f aca="false">$D770</f>
        <v>0.100000000000023</v>
      </c>
      <c r="F770" s="28" t="n">
        <f aca="false">$D770</f>
        <v>0.100000000000023</v>
      </c>
      <c r="G770" s="28" t="n">
        <f aca="false">$D770</f>
        <v>0.100000000000023</v>
      </c>
    </row>
    <row r="771" customFormat="false" ht="17.15" hidden="false" customHeight="false" outlineLevel="0" collapsed="false">
      <c r="A771" s="6" t="s">
        <v>531</v>
      </c>
    </row>
    <row r="772" customFormat="false" ht="17.15" hidden="false" customHeight="false" outlineLevel="0" collapsed="false">
      <c r="A772" s="4" t="s">
        <v>403</v>
      </c>
      <c r="B772" s="0" t="s">
        <v>170</v>
      </c>
      <c r="C772" s="16" t="n">
        <f aca="false">C760+C762+C764+C756+C766+C769</f>
        <v>1583.719</v>
      </c>
      <c r="D772" s="16" t="n">
        <f aca="false">D760+D762+D764+D756+D766+D769</f>
        <v>1732</v>
      </c>
      <c r="E772" s="16" t="n">
        <f aca="false">E760+E762+E764+E756+E766+E769</f>
        <v>1850.5656</v>
      </c>
      <c r="F772" s="16" t="n">
        <f aca="false">F760+F762+F764+F756+F766+F769</f>
        <v>1955.94074307053</v>
      </c>
      <c r="G772" s="16" t="n">
        <f aca="false">G760+G762+G764+G756+G766+G769</f>
        <v>2053.1320716</v>
      </c>
      <c r="H772" s="24" t="n">
        <f aca="false">G772*(1+H776)</f>
        <v>2162.20857776426</v>
      </c>
      <c r="I772" s="24" t="n">
        <f aca="false">H772*(1+I776)</f>
        <v>2284.5105355383</v>
      </c>
      <c r="J772" s="24" t="n">
        <f aca="false">I772*(1+J776)</f>
        <v>2421.5811676706</v>
      </c>
      <c r="K772" s="8" t="s">
        <v>532</v>
      </c>
    </row>
    <row r="773" customFormat="false" ht="17.15" hidden="false" customHeight="false" outlineLevel="0" collapsed="false">
      <c r="A773" s="4" t="s">
        <v>533</v>
      </c>
      <c r="B773" s="0" t="s">
        <v>170</v>
      </c>
      <c r="C773" s="16" t="n">
        <f aca="false">C756+C764</f>
        <v>341.504</v>
      </c>
      <c r="D773" s="16" t="n">
        <f aca="false">D756+D764</f>
        <v>406.8</v>
      </c>
      <c r="E773" s="16" t="n">
        <f aca="false">E756+E764</f>
        <v>476.1036</v>
      </c>
      <c r="F773" s="16" t="n">
        <f aca="false">F756+F764</f>
        <v>530.339443070526</v>
      </c>
      <c r="G773" s="16" t="n">
        <f aca="false">G756+G764</f>
        <v>574.441875</v>
      </c>
      <c r="K773" s="4" t="s">
        <v>534</v>
      </c>
    </row>
    <row r="774" customFormat="false" ht="17.15" hidden="false" customHeight="false" outlineLevel="0" collapsed="false">
      <c r="A774" s="4" t="s">
        <v>535</v>
      </c>
      <c r="B774" s="0" t="s">
        <v>170</v>
      </c>
      <c r="C774" s="16" t="n">
        <f aca="false">C766+C769</f>
        <v>14.9810000000002</v>
      </c>
      <c r="D774" s="16" t="n">
        <f aca="false">D766+D769</f>
        <v>16</v>
      </c>
      <c r="E774" s="16" t="n">
        <f aca="false">E766+E769</f>
        <v>16</v>
      </c>
      <c r="F774" s="16" t="n">
        <f aca="false">F766+F769</f>
        <v>16</v>
      </c>
      <c r="G774" s="16" t="n">
        <f aca="false">G766+G769</f>
        <v>16</v>
      </c>
      <c r="K774" s="8" t="s">
        <v>536</v>
      </c>
    </row>
    <row r="775" customFormat="false" ht="15" hidden="false" customHeight="false" outlineLevel="0" collapsed="false">
      <c r="A775" s="4" t="s">
        <v>537</v>
      </c>
      <c r="B775" s="0" t="s">
        <v>170</v>
      </c>
      <c r="C775" s="22" t="n">
        <f aca="false">C760+C762+C773+C774-C772</f>
        <v>0</v>
      </c>
      <c r="D775" s="22" t="n">
        <f aca="false">D760+D762+D773+D774-D772</f>
        <v>0</v>
      </c>
      <c r="E775" s="22" t="n">
        <f aca="false">E760+E762+E773+E774-E772</f>
        <v>0</v>
      </c>
      <c r="F775" s="22" t="n">
        <f aca="false">F760+F762+F773+F774-F772</f>
        <v>0</v>
      </c>
      <c r="G775" s="22" t="n">
        <f aca="false">G760+G762+G773+G774-G772</f>
        <v>0</v>
      </c>
    </row>
    <row r="776" customFormat="false" ht="15" hidden="false" customHeight="false" outlineLevel="0" collapsed="false">
      <c r="A776" s="4" t="s">
        <v>538</v>
      </c>
      <c r="B776" s="0" t="s">
        <v>78</v>
      </c>
      <c r="D776" s="17" t="n">
        <f aca="false">D772/C772-1</f>
        <v>0.0936283519993131</v>
      </c>
      <c r="E776" s="17" t="n">
        <f aca="false">E772/D772-1</f>
        <v>0.0684558891454965</v>
      </c>
      <c r="F776" s="17" t="n">
        <f aca="false">F772/E772-1</f>
        <v>0.0569421278935081</v>
      </c>
      <c r="G776" s="17" t="n">
        <f aca="false">G772/F772-1</f>
        <v>0.0496903236326567</v>
      </c>
      <c r="H776" s="25" t="n">
        <f aca="false">$G776+(fade_gA-$G776)*1/3</f>
        <v>0.0531268824217711</v>
      </c>
      <c r="I776" s="25" t="n">
        <f aca="false">$G776+(fade_gA-$G776)*2/3</f>
        <v>0.0565634412108856</v>
      </c>
      <c r="J776" s="25" t="n">
        <f aca="false">$G776+(fade_gA-$G776)*3/3</f>
        <v>0.06</v>
      </c>
    </row>
    <row r="777" customFormat="false" ht="17.15" hidden="false" customHeight="false" outlineLevel="0" collapsed="false">
      <c r="A777" s="0" t="s">
        <v>539</v>
      </c>
      <c r="B777" s="0" t="s">
        <v>78</v>
      </c>
      <c r="C777" s="17" t="n">
        <f aca="false">C756/C772</f>
        <v>0.0646902638662541</v>
      </c>
      <c r="D777" s="17" t="n">
        <f aca="false">D756/D772</f>
        <v>0.0696304849884527</v>
      </c>
      <c r="E777" s="17" t="n">
        <f aca="false">E756/E772</f>
        <v>0.0948864498507916</v>
      </c>
      <c r="F777" s="17" t="n">
        <f aca="false">F756/F772</f>
        <v>0.109821293835987</v>
      </c>
      <c r="G777" s="17" t="n">
        <f aca="false">G756/G772</f>
        <v>0.118418879799842</v>
      </c>
    </row>
    <row r="778" customFormat="false" ht="15" hidden="false" customHeight="false" outlineLevel="0" collapsed="false">
      <c r="A778" s="4" t="s">
        <v>413</v>
      </c>
      <c r="B778" s="0" t="s">
        <v>170</v>
      </c>
      <c r="C778" s="16" t="n">
        <f aca="false">C761+C763+C765+C758+C767+C768+C770</f>
        <v>181.163</v>
      </c>
      <c r="D778" s="16" t="n">
        <f aca="false">D761+D763+D765+D758+D767+D768+D770</f>
        <v>202</v>
      </c>
      <c r="E778" s="16" t="n">
        <f aca="false">E761+E763+E765+E758+E767+E768+E770</f>
        <v>234.50345</v>
      </c>
      <c r="F778" s="16" t="n">
        <f aca="false">F761+F763+F765+F758+F767+F768+F770</f>
        <v>262.5925050364</v>
      </c>
      <c r="G778" s="16" t="n">
        <f aca="false">G761+G763+G765+G758+G767+G768+G770</f>
        <v>278.959722223</v>
      </c>
    </row>
    <row r="779" customFormat="false" ht="15" hidden="false" customHeight="false" outlineLevel="0" collapsed="false">
      <c r="A779" s="4" t="s">
        <v>429</v>
      </c>
      <c r="B779" s="0" t="s">
        <v>78</v>
      </c>
      <c r="C779" s="17" t="n">
        <f aca="false">C778/C772</f>
        <v>0.114390873633517</v>
      </c>
      <c r="D779" s="17" t="n">
        <f aca="false">D778/D772</f>
        <v>0.11662817551963</v>
      </c>
      <c r="E779" s="17" t="n">
        <f aca="false">E778/E772</f>
        <v>0.126719879587084</v>
      </c>
      <c r="F779" s="17" t="n">
        <f aca="false">F778/F772</f>
        <v>0.134253814164211</v>
      </c>
      <c r="G779" s="17" t="n">
        <f aca="false">G778/G772</f>
        <v>0.135870325188388</v>
      </c>
    </row>
    <row r="780" customFormat="false" ht="17.15" hidden="false" customHeight="false" outlineLevel="0" collapsed="false">
      <c r="A780" s="0" t="s">
        <v>540</v>
      </c>
      <c r="B780" s="0" t="s">
        <v>78</v>
      </c>
      <c r="C780" s="17" t="n">
        <f aca="false">C758/C778</f>
        <v>0.301386044611758</v>
      </c>
      <c r="D780" s="17" t="n">
        <f aca="false">D758/D778</f>
        <v>0.324257425742574</v>
      </c>
      <c r="E780" s="17" t="n">
        <f aca="false">E758/E778</f>
        <v>0.434171437563072</v>
      </c>
      <c r="F780" s="17" t="n">
        <f aca="false">F758/F778</f>
        <v>0.47323345393721</v>
      </c>
      <c r="G780" s="17" t="n">
        <f aca="false">G758/G778</f>
        <v>0.483055170352796</v>
      </c>
    </row>
    <row r="781" customFormat="false" ht="17.15" hidden="false" customHeight="false" outlineLevel="0" collapsed="false">
      <c r="A781" s="4" t="s">
        <v>430</v>
      </c>
      <c r="B781" s="0" t="s">
        <v>53</v>
      </c>
      <c r="C781" s="22" t="n">
        <f aca="false">q25_ni/q25_bp</f>
        <v>0.743391310587703</v>
      </c>
      <c r="D781" s="22" t="n">
        <f aca="false">q26_ni/q26_bp</f>
        <v>0.611386138613861</v>
      </c>
      <c r="E781" s="22" t="n">
        <f aca="false">ni_bp</f>
        <v>0.62</v>
      </c>
      <c r="F781" s="22" t="n">
        <f aca="false">ni_bp</f>
        <v>0.62</v>
      </c>
      <c r="G781" s="22" t="n">
        <f aca="false">ni_bp</f>
        <v>0.62</v>
      </c>
    </row>
    <row r="782" customFormat="false" ht="15" hidden="false" customHeight="false" outlineLevel="0" collapsed="false">
      <c r="A782" s="4" t="s">
        <v>420</v>
      </c>
      <c r="B782" s="0" t="s">
        <v>170</v>
      </c>
      <c r="C782" s="16" t="n">
        <f aca="false">q25_ni</f>
        <v>134.675</v>
      </c>
      <c r="D782" s="16" t="n">
        <f aca="false">q26_ni</f>
        <v>123.5</v>
      </c>
      <c r="E782" s="16" t="n">
        <f aca="false">E778*E781</f>
        <v>145.392139</v>
      </c>
      <c r="F782" s="16" t="n">
        <f aca="false">F778*F781</f>
        <v>162.807353122568</v>
      </c>
      <c r="G782" s="16" t="n">
        <f aca="false">G778*G781</f>
        <v>172.95502777826</v>
      </c>
      <c r="H782" s="24" t="n">
        <f aca="false">H772*H786</f>
        <v>184.85842479996</v>
      </c>
      <c r="I782" s="24" t="n">
        <f aca="false">I772*I786</f>
        <v>198.183049483808</v>
      </c>
      <c r="J782" s="24" t="n">
        <f aca="false">J772*J786</f>
        <v>213.114532255596</v>
      </c>
    </row>
    <row r="783" customFormat="false" ht="15" hidden="false" customHeight="false" outlineLevel="0" collapsed="false">
      <c r="A783" s="4" t="s">
        <v>541</v>
      </c>
      <c r="B783" s="4" t="s">
        <v>317</v>
      </c>
      <c r="C783" s="20" t="n">
        <f aca="false">q25_sh</f>
        <v>0.973366579936398</v>
      </c>
      <c r="D783" s="20" t="n">
        <f aca="false">q26_sh</f>
        <v>0.95117067159581</v>
      </c>
      <c r="E783" s="20" t="n">
        <f aca="false">D783*(1+sh_g)</f>
        <v>0.936903111521873</v>
      </c>
      <c r="F783" s="20" t="n">
        <f aca="false">E783*(1+sh_g)</f>
        <v>0.922849564849045</v>
      </c>
      <c r="G783" s="20" t="n">
        <f aca="false">F783*(1+sh_g)</f>
        <v>0.909006821376309</v>
      </c>
      <c r="H783" s="29" t="n">
        <f aca="false">G783*(1+sh_g)</f>
        <v>0.895371719055665</v>
      </c>
      <c r="I783" s="29" t="n">
        <f aca="false">H783*(1+sh_g)</f>
        <v>0.88194114326983</v>
      </c>
      <c r="J783" s="29" t="n">
        <f aca="false">I783*(1+sh_g)</f>
        <v>0.868712026120782</v>
      </c>
    </row>
    <row r="784" customFormat="false" ht="17.15" hidden="false" customHeight="false" outlineLevel="0" collapsed="false">
      <c r="A784" s="0" t="s">
        <v>542</v>
      </c>
      <c r="B784" s="0" t="s">
        <v>208</v>
      </c>
      <c r="C784" s="21" t="n">
        <f aca="false">C782/C783</f>
        <v>138.36</v>
      </c>
      <c r="D784" s="21" t="n">
        <f aca="false">D782/D783</f>
        <v>129.84</v>
      </c>
      <c r="E784" s="21" t="n">
        <f aca="false">E782/E783</f>
        <v>155.183750819047</v>
      </c>
      <c r="F784" s="21" t="n">
        <f aca="false">F782/F783</f>
        <v>176.418085161257</v>
      </c>
      <c r="G784" s="21" t="n">
        <f aca="false">G782/G783</f>
        <v>190.268129689492</v>
      </c>
      <c r="H784" s="27" t="n">
        <f aca="false">H782/H783</f>
        <v>206.459977309678</v>
      </c>
      <c r="I784" s="27" t="n">
        <f aca="false">I782/I783</f>
        <v>224.712330291154</v>
      </c>
      <c r="J784" s="27" t="n">
        <f aca="false">J782/J783</f>
        <v>245.322415078395</v>
      </c>
    </row>
    <row r="785" customFormat="false" ht="17.15" hidden="false" customHeight="false" outlineLevel="0" collapsed="false">
      <c r="A785" s="0" t="s">
        <v>543</v>
      </c>
      <c r="B785" s="0" t="s">
        <v>78</v>
      </c>
      <c r="D785" s="17" t="n">
        <f aca="false">D784/C784-1</f>
        <v>-0.0615784908933218</v>
      </c>
      <c r="E785" s="17" t="n">
        <f aca="false">E784/D784-1</f>
        <v>0.195192165889147</v>
      </c>
      <c r="F785" s="17" t="n">
        <f aca="false">F784/E784-1</f>
        <v>0.136833490814193</v>
      </c>
      <c r="G785" s="17" t="n">
        <f aca="false">G784/F784-1</f>
        <v>0.0785069428430465</v>
      </c>
      <c r="H785" s="25" t="n">
        <f aca="false">H784/G784-1</f>
        <v>0.0851001565349403</v>
      </c>
      <c r="I785" s="25" t="n">
        <f aca="false">I784/H784-1</f>
        <v>0.0884062529663996</v>
      </c>
      <c r="J785" s="25" t="n">
        <f aca="false">J784/I784-1</f>
        <v>0.091717640774482</v>
      </c>
    </row>
    <row r="786" customFormat="false" ht="15" hidden="false" customHeight="false" outlineLevel="0" collapsed="false">
      <c r="A786" s="4" t="s">
        <v>544</v>
      </c>
      <c r="B786" s="0" t="s">
        <v>78</v>
      </c>
      <c r="C786" s="14" t="n">
        <f aca="false">C782/C772</f>
        <v>0.0850371814696925</v>
      </c>
      <c r="D786" s="14" t="n">
        <f aca="false">D782/D772</f>
        <v>0.0713048498845266</v>
      </c>
      <c r="E786" s="14" t="n">
        <f aca="false">E782/E772</f>
        <v>0.0785663253439922</v>
      </c>
      <c r="F786" s="14" t="n">
        <f aca="false">F782/F772</f>
        <v>0.083237364781811</v>
      </c>
      <c r="G786" s="14" t="n">
        <f aca="false">G782/G772</f>
        <v>0.0842396016168004</v>
      </c>
      <c r="H786" s="26" t="n">
        <f aca="false">$G786+(fade_mA-$G786)*1/3</f>
        <v>0.0854951861263563</v>
      </c>
      <c r="I786" s="26" t="n">
        <f aca="false">$G786+(fade_mA-$G786)*2/3</f>
        <v>0.0867507706359121</v>
      </c>
      <c r="J786" s="26" t="n">
        <f aca="false">$G786+(fade_mA-$G786)*3/3</f>
        <v>0.088006355145468</v>
      </c>
    </row>
    <row r="787" customFormat="false" ht="17.15" hidden="false" customHeight="false" outlineLevel="0" collapsed="false">
      <c r="A787" s="0" t="s">
        <v>545</v>
      </c>
      <c r="B787" s="0" t="s">
        <v>208</v>
      </c>
      <c r="D787" s="21" t="n">
        <f aca="false">D758*D781/D783</f>
        <v>42.1015841584158</v>
      </c>
      <c r="E787" s="21" t="n">
        <f aca="false">E758*E781/E783</f>
        <v>67.3763521795352</v>
      </c>
      <c r="F787" s="21" t="n">
        <f aca="false">F758*F781/F783</f>
        <v>83.4869397778505</v>
      </c>
      <c r="G787" s="21" t="n">
        <f aca="false">G758*G781/G783</f>
        <v>91.9100037998652</v>
      </c>
      <c r="K787" s="8" t="s">
        <v>546</v>
      </c>
    </row>
    <row r="788" customFormat="false" ht="17.15" hidden="false" customHeight="false" outlineLevel="0" collapsed="false">
      <c r="A788" s="0" t="s">
        <v>547</v>
      </c>
      <c r="B788" s="0" t="s">
        <v>208</v>
      </c>
      <c r="D788" s="21" t="n">
        <f aca="false">D784-D787</f>
        <v>87.7384158415842</v>
      </c>
      <c r="E788" s="21" t="n">
        <f aca="false">E784-E787</f>
        <v>87.8073986395118</v>
      </c>
      <c r="F788" s="21" t="n">
        <f aca="false">F784-F787</f>
        <v>92.9311453834065</v>
      </c>
      <c r="G788" s="21" t="n">
        <f aca="false">G784-G787</f>
        <v>98.3581258896263</v>
      </c>
    </row>
    <row r="789" customFormat="false" ht="17.15" hidden="false" customHeight="false" outlineLevel="0" collapsed="false">
      <c r="A789" s="0" t="s">
        <v>548</v>
      </c>
      <c r="B789" s="0" t="s">
        <v>455</v>
      </c>
      <c r="D789" s="16" t="n">
        <f aca="false">D754/D744*1000/150</f>
        <v>23.5087719298246</v>
      </c>
      <c r="E789" s="16" t="n">
        <f aca="false">E754/E744*1000/150</f>
        <v>30.1617621884116</v>
      </c>
      <c r="F789" s="16" t="n">
        <f aca="false">F754/F744*1000/150</f>
        <v>36.5143464561404</v>
      </c>
      <c r="G789" s="16" t="n">
        <f aca="false">G754/G744*1000/150</f>
        <v>39.9173947725016</v>
      </c>
      <c r="K789" s="8" t="s">
        <v>549</v>
      </c>
    </row>
    <row r="792" customFormat="false" ht="17.15" hidden="false" customHeight="false" outlineLevel="0" collapsed="false">
      <c r="A792" s="1" t="s">
        <v>951</v>
      </c>
    </row>
    <row r="793" customFormat="false" ht="17.15" hidden="false" customHeight="false" outlineLevel="0" collapsed="false">
      <c r="A793" s="5" t="s">
        <v>20</v>
      </c>
      <c r="B793" s="5" t="s">
        <v>21</v>
      </c>
      <c r="C793" s="15" t="s">
        <v>398</v>
      </c>
      <c r="D793" s="15" t="s">
        <v>470</v>
      </c>
      <c r="E793" s="15" t="s">
        <v>435</v>
      </c>
      <c r="F793" s="15" t="s">
        <v>436</v>
      </c>
      <c r="G793" s="15" t="s">
        <v>437</v>
      </c>
      <c r="H793" s="15" t="s">
        <v>471</v>
      </c>
      <c r="I793" s="15" t="s">
        <v>472</v>
      </c>
      <c r="J793" s="15" t="s">
        <v>473</v>
      </c>
      <c r="K793" s="5" t="s">
        <v>377</v>
      </c>
    </row>
    <row r="794" customFormat="false" ht="17.15" hidden="false" customHeight="false" outlineLevel="0" collapsed="false">
      <c r="A794" s="6" t="s">
        <v>493</v>
      </c>
    </row>
    <row r="795" customFormat="false" ht="17.15" hidden="false" customHeight="false" outlineLevel="0" collapsed="false">
      <c r="A795" s="0" t="s">
        <v>494</v>
      </c>
      <c r="B795" s="4" t="s">
        <v>31</v>
      </c>
      <c r="D795" s="21" t="n">
        <f aca="false">unv_26</f>
        <v>7.6</v>
      </c>
      <c r="E795" s="21" t="n">
        <f aca="false">unv_27</f>
        <v>9.7</v>
      </c>
      <c r="F795" s="21" t="n">
        <f aca="false">unv_28*um28_A</f>
        <v>9.5</v>
      </c>
      <c r="G795" s="21" t="n">
        <f aca="false">unv_29*um29_A</f>
        <v>10.6</v>
      </c>
      <c r="K795" s="8" t="s">
        <v>495</v>
      </c>
    </row>
    <row r="796" customFormat="false" ht="17.15" hidden="false" customHeight="false" outlineLevel="0" collapsed="false">
      <c r="A796" s="4" t="s">
        <v>496</v>
      </c>
      <c r="B796" s="4" t="s">
        <v>31</v>
      </c>
      <c r="D796" s="21" t="n">
        <f aca="false">uot_26</f>
        <v>7.6</v>
      </c>
      <c r="E796" s="21" t="n">
        <f aca="false">uot_27</f>
        <v>14</v>
      </c>
      <c r="F796" s="21" t="n">
        <f aca="false">uot_28*um28_A</f>
        <v>17</v>
      </c>
      <c r="G796" s="21" t="n">
        <f aca="false">uot_29*um29_A</f>
        <v>19.55</v>
      </c>
      <c r="K796" s="8" t="s">
        <v>497</v>
      </c>
    </row>
    <row r="797" customFormat="false" ht="17.15" hidden="false" customHeight="false" outlineLevel="0" collapsed="false">
      <c r="A797" s="4" t="s">
        <v>498</v>
      </c>
      <c r="B797" s="4" t="s">
        <v>31</v>
      </c>
      <c r="D797" s="21" t="n">
        <f aca="false">D795+v_ot*D796</f>
        <v>13.68</v>
      </c>
      <c r="E797" s="21" t="n">
        <f aca="false">E795+v_ot*E796</f>
        <v>20.9</v>
      </c>
      <c r="F797" s="21" t="n">
        <f aca="false">F795+v_ot*F796</f>
        <v>23.1</v>
      </c>
      <c r="G797" s="21" t="n">
        <f aca="false">G795+v_ot*G796</f>
        <v>26.24</v>
      </c>
    </row>
    <row r="798" customFormat="false" ht="17.15" hidden="false" customHeight="false" outlineLevel="0" collapsed="false">
      <c r="A798" s="4" t="s">
        <v>499</v>
      </c>
      <c r="B798" s="0" t="s">
        <v>53</v>
      </c>
      <c r="D798" s="22" t="n">
        <f aca="false">1</f>
        <v>1</v>
      </c>
      <c r="E798" s="22" t="n">
        <f aca="false">D798*(1+g_asp)</f>
        <v>1.18</v>
      </c>
      <c r="F798" s="22" t="n">
        <f aca="false">E798*(1+g_asp)</f>
        <v>1.3924</v>
      </c>
      <c r="G798" s="22" t="n">
        <f aca="false">F798*(1+g_asp)</f>
        <v>1.643032</v>
      </c>
    </row>
    <row r="799" customFormat="false" ht="17.15" hidden="false" customHeight="false" outlineLevel="0" collapsed="false">
      <c r="A799" s="4" t="s">
        <v>500</v>
      </c>
      <c r="B799" s="0" t="s">
        <v>53</v>
      </c>
      <c r="D799" s="19" t="n">
        <f aca="false">1</f>
        <v>1</v>
      </c>
      <c r="E799" s="19" t="n">
        <f aca="false">rel_27</f>
        <v>1</v>
      </c>
      <c r="F799" s="19" t="n">
        <f aca="false">rel_28</f>
        <v>0.97</v>
      </c>
      <c r="G799" s="19" t="n">
        <f aca="false">rel_29</f>
        <v>0.95</v>
      </c>
    </row>
    <row r="800" customFormat="false" ht="17.15" hidden="false" customHeight="false" outlineLevel="0" collapsed="false">
      <c r="A800" s="0" t="s">
        <v>501</v>
      </c>
      <c r="B800" s="0" t="s">
        <v>53</v>
      </c>
      <c r="D800" s="22" t="n">
        <f aca="false">D797/$D797*D798*D799</f>
        <v>1</v>
      </c>
      <c r="E800" s="22" t="n">
        <f aca="false">E797/$D797*E798*E799</f>
        <v>1.80277777777778</v>
      </c>
      <c r="F800" s="22" t="n">
        <f aca="false">F797/$D797*F798*F799</f>
        <v>2.28066570175439</v>
      </c>
      <c r="G800" s="22" t="n">
        <f aca="false">G797/$D797*G798*G799</f>
        <v>2.99396942222222</v>
      </c>
      <c r="K800" s="4" t="s">
        <v>502</v>
      </c>
    </row>
    <row r="801" customFormat="false" ht="17.15" hidden="false" customHeight="false" outlineLevel="0" collapsed="false">
      <c r="A801" s="4" t="s">
        <v>503</v>
      </c>
      <c r="B801" s="0" t="s">
        <v>53</v>
      </c>
      <c r="D801" s="22" t="n">
        <f aca="false">1</f>
        <v>1</v>
      </c>
      <c r="E801" s="22" t="n">
        <f aca="false">D801*(1+g_nai)</f>
        <v>1.03</v>
      </c>
      <c r="F801" s="22" t="n">
        <f aca="false">E801*(1+g_nai)</f>
        <v>1.0609</v>
      </c>
      <c r="G801" s="22" t="n">
        <f aca="false">F801*(1+g_nai)</f>
        <v>1.092727</v>
      </c>
    </row>
    <row r="802" customFormat="false" ht="17.15" hidden="false" customHeight="false" outlineLevel="0" collapsed="false">
      <c r="A802" s="0" t="s">
        <v>504</v>
      </c>
      <c r="B802" s="0" t="s">
        <v>53</v>
      </c>
      <c r="D802" s="22" t="n">
        <f aca="false">ai_sh*D800+(1-ai_sh)*D801</f>
        <v>1</v>
      </c>
      <c r="E802" s="22" t="n">
        <f aca="false">ai_sh*E800+(1-ai_sh)*E801</f>
        <v>1.33911111111111</v>
      </c>
      <c r="F802" s="22" t="n">
        <f aca="false">ai_sh*F800+(1-ai_sh)*F801</f>
        <v>1.54880628070175</v>
      </c>
      <c r="G802" s="22" t="n">
        <f aca="false">ai_sh*G800+(1-ai_sh)*G801</f>
        <v>1.85322396888889</v>
      </c>
    </row>
    <row r="803" customFormat="false" ht="17.15" hidden="false" customHeight="false" outlineLevel="0" collapsed="false">
      <c r="A803" s="4" t="s">
        <v>505</v>
      </c>
      <c r="B803" s="0" t="s">
        <v>53</v>
      </c>
      <c r="D803" s="22" t="n">
        <f aca="false">1</f>
        <v>1</v>
      </c>
      <c r="E803" s="22" t="n">
        <f aca="false">cap_27</f>
        <v>1.3</v>
      </c>
      <c r="F803" s="22" t="n">
        <f aca="false">cap_28</f>
        <v>1.55</v>
      </c>
      <c r="G803" s="22" t="n">
        <f aca="false">cap_29</f>
        <v>1.8</v>
      </c>
      <c r="K803" s="4" t="s">
        <v>506</v>
      </c>
    </row>
    <row r="804" customFormat="false" ht="17.15" hidden="false" customHeight="false" outlineLevel="0" collapsed="false">
      <c r="A804" s="4" t="s">
        <v>507</v>
      </c>
      <c r="B804" s="0" t="s">
        <v>53</v>
      </c>
      <c r="D804" s="22" t="n">
        <f aca="false">MIN(D802,D803)</f>
        <v>1</v>
      </c>
      <c r="E804" s="22" t="n">
        <f aca="false">MIN(E802,E803)</f>
        <v>1.3</v>
      </c>
      <c r="F804" s="22" t="n">
        <f aca="false">MIN(F802,F803)</f>
        <v>1.54880628070175</v>
      </c>
      <c r="G804" s="22" t="n">
        <f aca="false">MIN(G802,G803)</f>
        <v>1.8</v>
      </c>
    </row>
    <row r="805" customFormat="false" ht="17.15" hidden="false" customHeight="false" outlineLevel="0" collapsed="false">
      <c r="A805" s="4" t="s">
        <v>508</v>
      </c>
      <c r="B805" s="0" t="s">
        <v>78</v>
      </c>
      <c r="D805" s="17" t="n">
        <f aca="false">D804/D802</f>
        <v>1</v>
      </c>
      <c r="E805" s="17" t="n">
        <f aca="false">E804/E802</f>
        <v>0.970793229339529</v>
      </c>
      <c r="F805" s="17" t="n">
        <f aca="false">F804/F802</f>
        <v>1</v>
      </c>
      <c r="G805" s="17" t="n">
        <f aca="false">G804/G802</f>
        <v>0.971280336439422</v>
      </c>
      <c r="K805" s="4" t="s">
        <v>509</v>
      </c>
    </row>
    <row r="806" customFormat="false" ht="17.15" hidden="false" customHeight="false" outlineLevel="0" collapsed="false">
      <c r="A806" s="0" t="s">
        <v>510</v>
      </c>
      <c r="B806" s="0" t="s">
        <v>53</v>
      </c>
      <c r="D806" s="22" t="n">
        <f aca="false">1</f>
        <v>1</v>
      </c>
      <c r="E806" s="22" t="n">
        <f aca="false">pp_27</f>
        <v>1.12</v>
      </c>
      <c r="F806" s="22" t="n">
        <f aca="false">pp_28*sp_A</f>
        <v>1.15</v>
      </c>
      <c r="G806" s="22" t="n">
        <f aca="false">pp_29*sp_A</f>
        <v>1.12</v>
      </c>
      <c r="K806" s="8" t="s">
        <v>511</v>
      </c>
    </row>
    <row r="807" customFormat="false" ht="17.15" hidden="false" customHeight="false" outlineLevel="0" collapsed="false">
      <c r="A807" s="0" t="s">
        <v>452</v>
      </c>
      <c r="B807" s="0" t="s">
        <v>170</v>
      </c>
      <c r="D807" s="16" t="n">
        <f aca="false">q26_fm*ai_sh</f>
        <v>48.24</v>
      </c>
      <c r="E807" s="16" t="n">
        <f aca="false">q26_fm*ai_sh*E800*E805*E806</f>
        <v>94.5571244606705</v>
      </c>
      <c r="F807" s="16" t="n">
        <f aca="false">q26_fm*ai_sh*F800*F805*F806</f>
        <v>126.522210470526</v>
      </c>
      <c r="G807" s="16" t="n">
        <f aca="false">q26_fm*ai_sh*G800*G805*G806</f>
        <v>157.114865824566</v>
      </c>
      <c r="K807" s="8" t="s">
        <v>512</v>
      </c>
    </row>
    <row r="808" customFormat="false" ht="17.15" hidden="false" customHeight="false" outlineLevel="0" collapsed="false">
      <c r="A808" s="0" t="s">
        <v>513</v>
      </c>
      <c r="B808" s="0" t="s">
        <v>170</v>
      </c>
      <c r="D808" s="16" t="n">
        <f aca="false">q26_fm*(1-ai_sh)</f>
        <v>72.36</v>
      </c>
      <c r="E808" s="16" t="n">
        <f aca="false">q26_fm*(1-ai_sh)*E801*E805*E806</f>
        <v>81.0364755393296</v>
      </c>
      <c r="F808" s="16" t="n">
        <f aca="false">q26_fm*(1-ai_sh)*F801*F805*F806</f>
        <v>88.2817326</v>
      </c>
      <c r="G808" s="16" t="n">
        <f aca="false">q26_fm*(1-ai_sh)*G801*G805*G806</f>
        <v>86.0147341754337</v>
      </c>
    </row>
    <row r="809" customFormat="false" ht="17.15" hidden="false" customHeight="false" outlineLevel="0" collapsed="false">
      <c r="A809" s="4" t="s">
        <v>514</v>
      </c>
      <c r="B809" s="0" t="s">
        <v>170</v>
      </c>
      <c r="C809" s="16" t="n">
        <f aca="false">q25_fm</f>
        <v>102.4512</v>
      </c>
      <c r="D809" s="16" t="n">
        <f aca="false">D807+D808</f>
        <v>120.6</v>
      </c>
      <c r="E809" s="16" t="n">
        <f aca="false">E807+E808</f>
        <v>175.5936</v>
      </c>
      <c r="F809" s="16" t="n">
        <f aca="false">F807+F808</f>
        <v>214.803943070526</v>
      </c>
      <c r="G809" s="16" t="n">
        <f aca="false">G807+G808</f>
        <v>243.1296</v>
      </c>
    </row>
    <row r="810" customFormat="false" ht="17.15" hidden="false" customHeight="false" outlineLevel="0" collapsed="false">
      <c r="A810" s="0" t="s">
        <v>515</v>
      </c>
      <c r="B810" s="0" t="s">
        <v>78</v>
      </c>
      <c r="C810" s="17" t="n">
        <f aca="false">q25_fmbp/q25_fm</f>
        <v>0.532936656671664</v>
      </c>
      <c r="D810" s="17" t="n">
        <f aca="false">q26_fmbp/q26_fm</f>
        <v>0.543117744610282</v>
      </c>
      <c r="E810" s="17" t="n">
        <f aca="false">1-(1-$D810)*(1+c_g)^1/E806</f>
        <v>0.579831497275527</v>
      </c>
      <c r="F810" s="17" t="n">
        <f aca="false">1-(1-$D810)*(1+c_g)^2/F806</f>
        <v>0.578516187180042</v>
      </c>
      <c r="G810" s="17" t="n">
        <f aca="false">1-(1-$D810)*(1+c_g)^3/G806</f>
        <v>0.554243235459607</v>
      </c>
      <c r="K810" s="8" t="s">
        <v>516</v>
      </c>
    </row>
    <row r="811" customFormat="false" ht="17.15" hidden="false" customHeight="false" outlineLevel="0" collapsed="false">
      <c r="A811" s="0" t="s">
        <v>478</v>
      </c>
      <c r="B811" s="0" t="s">
        <v>170</v>
      </c>
      <c r="C811" s="16" t="n">
        <f aca="false">q25_fmbp</f>
        <v>54.6</v>
      </c>
      <c r="D811" s="16" t="n">
        <f aca="false">D809*D810</f>
        <v>65.5</v>
      </c>
      <c r="E811" s="16" t="n">
        <f aca="false">E809*E810</f>
        <v>101.8147</v>
      </c>
      <c r="F811" s="16" t="n">
        <f aca="false">F809*F810</f>
        <v>124.2675581364</v>
      </c>
      <c r="G811" s="16" t="n">
        <f aca="false">G809*G810</f>
        <v>134.75293614</v>
      </c>
    </row>
    <row r="812" customFormat="false" ht="17.15" hidden="false" customHeight="false" outlineLevel="0" collapsed="false">
      <c r="A812" s="6" t="s">
        <v>517</v>
      </c>
    </row>
    <row r="813" customFormat="false" ht="15" hidden="false" customHeight="false" outlineLevel="0" collapsed="false">
      <c r="A813" s="4" t="s">
        <v>518</v>
      </c>
      <c r="B813" s="0" t="s">
        <v>170</v>
      </c>
      <c r="C813" s="16" t="n">
        <f aca="false">q25_sf</f>
        <v>936.926</v>
      </c>
      <c r="D813" s="16" t="n">
        <f aca="false">q26_sf</f>
        <v>998.6</v>
      </c>
      <c r="E813" s="16" t="n">
        <f aca="false">D813*(1+g_sf)</f>
        <v>1038.544</v>
      </c>
      <c r="F813" s="16" t="n">
        <f aca="false">E813*(1+g_sf)</f>
        <v>1080.08576</v>
      </c>
      <c r="G813" s="16" t="n">
        <f aca="false">F813*(1+g_sf)</f>
        <v>1123.2891904</v>
      </c>
    </row>
    <row r="814" customFormat="false" ht="15" hidden="false" customHeight="false" outlineLevel="0" collapsed="false">
      <c r="A814" s="4" t="s">
        <v>519</v>
      </c>
      <c r="B814" s="0" t="s">
        <v>170</v>
      </c>
      <c r="C814" s="16" t="n">
        <f aca="false">q25_sfbp</f>
        <v>143.036</v>
      </c>
      <c r="D814" s="16" t="n">
        <f aca="false">q26_sfbp</f>
        <v>145.9</v>
      </c>
      <c r="E814" s="16" t="n">
        <f aca="false">E813*m_sf_hi</f>
        <v>160.97432</v>
      </c>
      <c r="F814" s="16" t="n">
        <f aca="false">F813*m_sf_hi</f>
        <v>167.4132928</v>
      </c>
      <c r="G814" s="16" t="n">
        <f aca="false">G813*m_sf_hi</f>
        <v>174.109824512</v>
      </c>
    </row>
    <row r="815" customFormat="false" ht="15" hidden="false" customHeight="false" outlineLevel="0" collapsed="false">
      <c r="A815" s="4" t="s">
        <v>520</v>
      </c>
      <c r="B815" s="0" t="s">
        <v>170</v>
      </c>
      <c r="C815" s="16" t="n">
        <f aca="false">q25_ff</f>
        <v>290.308</v>
      </c>
      <c r="D815" s="16" t="n">
        <f aca="false">q26_ff</f>
        <v>310.6</v>
      </c>
      <c r="E815" s="16" t="n">
        <f aca="false">D815*(1+g_ff)</f>
        <v>319.918</v>
      </c>
      <c r="F815" s="16" t="n">
        <f aca="false">E815*(1+g_ff)</f>
        <v>329.51554</v>
      </c>
      <c r="G815" s="16" t="n">
        <f aca="false">F815*(1+g_ff)</f>
        <v>339.4010062</v>
      </c>
    </row>
    <row r="816" customFormat="false" ht="15" hidden="false" customHeight="false" outlineLevel="0" collapsed="false">
      <c r="A816" s="4" t="s">
        <v>521</v>
      </c>
      <c r="B816" s="0" t="s">
        <v>170</v>
      </c>
      <c r="C816" s="16" t="n">
        <f aca="false">q25_ffbp</f>
        <v>8.457</v>
      </c>
      <c r="D816" s="16" t="n">
        <f aca="false">q26_ffbp</f>
        <v>12.1</v>
      </c>
      <c r="E816" s="16" t="n">
        <f aca="false">E815*m_ff</f>
        <v>14.39631</v>
      </c>
      <c r="F816" s="16" t="n">
        <f aca="false">F815*m_ff</f>
        <v>14.8281993</v>
      </c>
      <c r="G816" s="16" t="n">
        <f aca="false">G815*m_ff</f>
        <v>15.273045279</v>
      </c>
    </row>
    <row r="817" customFormat="false" ht="17.15" hidden="false" customHeight="false" outlineLevel="0" collapsed="false">
      <c r="A817" s="4" t="s">
        <v>522</v>
      </c>
      <c r="B817" s="0" t="s">
        <v>170</v>
      </c>
      <c r="C817" s="16" t="n">
        <f aca="false">q25_hox</f>
        <v>239.0528</v>
      </c>
      <c r="D817" s="16" t="n">
        <f aca="false">q26_hox</f>
        <v>286.2</v>
      </c>
      <c r="E817" s="16" t="n">
        <f aca="false">D817*(1+g_ho)</f>
        <v>300.51</v>
      </c>
      <c r="F817" s="16" t="n">
        <f aca="false">E817*(1+g_ho)</f>
        <v>315.5355</v>
      </c>
      <c r="G817" s="16" t="n">
        <f aca="false">F817*(1+g_ho)</f>
        <v>331.312275</v>
      </c>
    </row>
    <row r="818" customFormat="false" ht="17.15" hidden="false" customHeight="false" outlineLevel="0" collapsed="false">
      <c r="A818" s="4" t="s">
        <v>523</v>
      </c>
      <c r="B818" s="0" t="s">
        <v>170</v>
      </c>
      <c r="C818" s="16" t="n">
        <f aca="false">q25_hoxbp</f>
        <v>11.602</v>
      </c>
      <c r="D818" s="16" t="n">
        <f aca="false">q26_hoxbp</f>
        <v>19.5</v>
      </c>
      <c r="E818" s="16" t="n">
        <f aca="false">E817*m_ho</f>
        <v>20.475</v>
      </c>
      <c r="F818" s="16" t="n">
        <f aca="false">F817*m_ho</f>
        <v>21.49875</v>
      </c>
      <c r="G818" s="16" t="n">
        <f aca="false">G817*m_ho</f>
        <v>22.5736875</v>
      </c>
    </row>
    <row r="819" customFormat="false" ht="17.15" hidden="false" customHeight="false" outlineLevel="0" collapsed="false">
      <c r="A819" s="4" t="s">
        <v>524</v>
      </c>
      <c r="B819" s="0" t="s">
        <v>170</v>
      </c>
      <c r="C819" s="16" t="n">
        <f aca="false">q25_oth</f>
        <v>14.979</v>
      </c>
      <c r="D819" s="16" t="n">
        <f aca="false">q26_oth</f>
        <v>15.8</v>
      </c>
      <c r="E819" s="16" t="n">
        <f aca="false">D819</f>
        <v>15.8</v>
      </c>
      <c r="F819" s="16" t="n">
        <f aca="false">E819</f>
        <v>15.8</v>
      </c>
      <c r="G819" s="16" t="n">
        <f aca="false">F819</f>
        <v>15.8</v>
      </c>
      <c r="K819" s="8" t="s">
        <v>525</v>
      </c>
    </row>
    <row r="820" customFormat="false" ht="15" hidden="false" customHeight="false" outlineLevel="0" collapsed="false">
      <c r="A820" s="4" t="s">
        <v>526</v>
      </c>
      <c r="B820" s="0" t="s">
        <v>170</v>
      </c>
      <c r="C820" s="16" t="n">
        <f aca="false">q25_othbp</f>
        <v>6.064</v>
      </c>
      <c r="D820" s="16" t="n">
        <f aca="false">q26_othbp</f>
        <v>5.1</v>
      </c>
      <c r="E820" s="16" t="n">
        <f aca="false">q26_othbp</f>
        <v>5.1</v>
      </c>
      <c r="F820" s="16" t="n">
        <f aca="false">q26_othbp</f>
        <v>5.1</v>
      </c>
      <c r="G820" s="16" t="n">
        <f aca="false">q26_othbp</f>
        <v>5.1</v>
      </c>
    </row>
    <row r="821" customFormat="false" ht="15" hidden="false" customHeight="false" outlineLevel="0" collapsed="false">
      <c r="A821" s="4" t="s">
        <v>527</v>
      </c>
      <c r="B821" s="0" t="s">
        <v>170</v>
      </c>
      <c r="C821" s="16" t="n">
        <f aca="false">q25_cc</f>
        <v>-42.597</v>
      </c>
      <c r="D821" s="16" t="n">
        <f aca="false">q26_cc</f>
        <v>-46.2</v>
      </c>
      <c r="E821" s="16" t="n">
        <f aca="false">D821*(1+g_cc)</f>
        <v>-47.586</v>
      </c>
      <c r="F821" s="16" t="n">
        <f aca="false">E821*(1+g_cc)</f>
        <v>-49.01358</v>
      </c>
      <c r="G821" s="16" t="n">
        <f aca="false">F821*(1+g_cc)</f>
        <v>-50.4839874</v>
      </c>
    </row>
    <row r="822" customFormat="false" ht="17.15" hidden="false" customHeight="false" outlineLevel="0" collapsed="false">
      <c r="A822" s="4" t="s">
        <v>528</v>
      </c>
      <c r="B822" s="0" t="s">
        <v>170</v>
      </c>
      <c r="C822" s="28" t="n">
        <f aca="false">a_rev-(q25_sf+q25_ff+q25_hox+q25_fm+q25_oth)</f>
        <v>0.00200000000018008</v>
      </c>
      <c r="D822" s="28" t="n">
        <f aca="false">f_rev-(q26_sf+q26_ff+q26_hox+q26_fm+q26_oth)</f>
        <v>0.200000000000045</v>
      </c>
      <c r="E822" s="28" t="n">
        <f aca="false">$D822</f>
        <v>0.200000000000045</v>
      </c>
      <c r="F822" s="28" t="n">
        <f aca="false">$D822</f>
        <v>0.200000000000045</v>
      </c>
      <c r="G822" s="28" t="n">
        <f aca="false">$D822</f>
        <v>0.200000000000045</v>
      </c>
      <c r="K822" s="8" t="s">
        <v>529</v>
      </c>
    </row>
    <row r="823" customFormat="false" ht="15" hidden="false" customHeight="false" outlineLevel="0" collapsed="false">
      <c r="A823" s="4" t="s">
        <v>530</v>
      </c>
      <c r="B823" s="0" t="s">
        <v>170</v>
      </c>
      <c r="C823" s="28" t="n">
        <f aca="false">a_bp-(q25_sfbp+q25_ffbp+q25_hoxbp+q25_fmbp+q25_othbp+q25_cc)</f>
        <v>0.0010000000000332</v>
      </c>
      <c r="D823" s="28" t="n">
        <f aca="false">f_bp-(q26_sfbp+q26_ffbp+q26_hoxbp+q26_fmbp+q26_othbp+q26_cc)</f>
        <v>0.100000000000023</v>
      </c>
      <c r="E823" s="28" t="n">
        <f aca="false">$D823</f>
        <v>0.100000000000023</v>
      </c>
      <c r="F823" s="28" t="n">
        <f aca="false">$D823</f>
        <v>0.100000000000023</v>
      </c>
      <c r="G823" s="28" t="n">
        <f aca="false">$D823</f>
        <v>0.100000000000023</v>
      </c>
    </row>
    <row r="824" customFormat="false" ht="17.15" hidden="false" customHeight="false" outlineLevel="0" collapsed="false">
      <c r="A824" s="6" t="s">
        <v>531</v>
      </c>
    </row>
    <row r="825" customFormat="false" ht="17.15" hidden="false" customHeight="false" outlineLevel="0" collapsed="false">
      <c r="A825" s="4" t="s">
        <v>403</v>
      </c>
      <c r="B825" s="0" t="s">
        <v>170</v>
      </c>
      <c r="C825" s="16" t="n">
        <f aca="false">C813+C815+C817+C809+C819+C822</f>
        <v>1583.719</v>
      </c>
      <c r="D825" s="16" t="n">
        <f aca="false">D813+D815+D817+D809+D819+D822</f>
        <v>1732</v>
      </c>
      <c r="E825" s="16" t="n">
        <f aca="false">E813+E815+E817+E809+E819+E822</f>
        <v>1850.5656</v>
      </c>
      <c r="F825" s="16" t="n">
        <f aca="false">F813+F815+F817+F809+F819+F822</f>
        <v>1955.94074307053</v>
      </c>
      <c r="G825" s="16" t="n">
        <f aca="false">G813+G815+G817+G809+G819+G822</f>
        <v>2053.1320716</v>
      </c>
      <c r="H825" s="24" t="n">
        <f aca="false">G825*(1+H829)</f>
        <v>2162.20857776426</v>
      </c>
      <c r="I825" s="24" t="n">
        <f aca="false">H825*(1+I829)</f>
        <v>2284.5105355383</v>
      </c>
      <c r="J825" s="24" t="n">
        <f aca="false">I825*(1+J829)</f>
        <v>2421.5811676706</v>
      </c>
      <c r="K825" s="8" t="s">
        <v>532</v>
      </c>
    </row>
    <row r="826" customFormat="false" ht="17.15" hidden="false" customHeight="false" outlineLevel="0" collapsed="false">
      <c r="A826" s="4" t="s">
        <v>533</v>
      </c>
      <c r="B826" s="0" t="s">
        <v>170</v>
      </c>
      <c r="C826" s="16" t="n">
        <f aca="false">C809+C817</f>
        <v>341.504</v>
      </c>
      <c r="D826" s="16" t="n">
        <f aca="false">D809+D817</f>
        <v>406.8</v>
      </c>
      <c r="E826" s="16" t="n">
        <f aca="false">E809+E817</f>
        <v>476.1036</v>
      </c>
      <c r="F826" s="16" t="n">
        <f aca="false">F809+F817</f>
        <v>530.339443070526</v>
      </c>
      <c r="G826" s="16" t="n">
        <f aca="false">G809+G817</f>
        <v>574.441875</v>
      </c>
      <c r="K826" s="4" t="s">
        <v>534</v>
      </c>
    </row>
    <row r="827" customFormat="false" ht="17.15" hidden="false" customHeight="false" outlineLevel="0" collapsed="false">
      <c r="A827" s="4" t="s">
        <v>535</v>
      </c>
      <c r="B827" s="0" t="s">
        <v>170</v>
      </c>
      <c r="C827" s="16" t="n">
        <f aca="false">C819+C822</f>
        <v>14.9810000000002</v>
      </c>
      <c r="D827" s="16" t="n">
        <f aca="false">D819+D822</f>
        <v>16</v>
      </c>
      <c r="E827" s="16" t="n">
        <f aca="false">E819+E822</f>
        <v>16</v>
      </c>
      <c r="F827" s="16" t="n">
        <f aca="false">F819+F822</f>
        <v>16</v>
      </c>
      <c r="G827" s="16" t="n">
        <f aca="false">G819+G822</f>
        <v>16</v>
      </c>
      <c r="K827" s="8" t="s">
        <v>536</v>
      </c>
    </row>
    <row r="828" customFormat="false" ht="15" hidden="false" customHeight="false" outlineLevel="0" collapsed="false">
      <c r="A828" s="4" t="s">
        <v>537</v>
      </c>
      <c r="B828" s="0" t="s">
        <v>170</v>
      </c>
      <c r="C828" s="22" t="n">
        <f aca="false">C813+C815+C826+C827-C825</f>
        <v>0</v>
      </c>
      <c r="D828" s="22" t="n">
        <f aca="false">D813+D815+D826+D827-D825</f>
        <v>0</v>
      </c>
      <c r="E828" s="22" t="n">
        <f aca="false">E813+E815+E826+E827-E825</f>
        <v>0</v>
      </c>
      <c r="F828" s="22" t="n">
        <f aca="false">F813+F815+F826+F827-F825</f>
        <v>0</v>
      </c>
      <c r="G828" s="22" t="n">
        <f aca="false">G813+G815+G826+G827-G825</f>
        <v>0</v>
      </c>
    </row>
    <row r="829" customFormat="false" ht="15" hidden="false" customHeight="false" outlineLevel="0" collapsed="false">
      <c r="A829" s="4" t="s">
        <v>538</v>
      </c>
      <c r="B829" s="0" t="s">
        <v>78</v>
      </c>
      <c r="D829" s="17" t="n">
        <f aca="false">D825/C825-1</f>
        <v>0.0936283519993131</v>
      </c>
      <c r="E829" s="17" t="n">
        <f aca="false">E825/D825-1</f>
        <v>0.0684558891454965</v>
      </c>
      <c r="F829" s="17" t="n">
        <f aca="false">F825/E825-1</f>
        <v>0.0569421278935081</v>
      </c>
      <c r="G829" s="17" t="n">
        <f aca="false">G825/F825-1</f>
        <v>0.0496903236326567</v>
      </c>
      <c r="H829" s="25" t="n">
        <f aca="false">$G829+(fade_gA-$G829)*1/3</f>
        <v>0.0531268824217711</v>
      </c>
      <c r="I829" s="25" t="n">
        <f aca="false">$G829+(fade_gA-$G829)*2/3</f>
        <v>0.0565634412108856</v>
      </c>
      <c r="J829" s="25" t="n">
        <f aca="false">$G829+(fade_gA-$G829)*3/3</f>
        <v>0.06</v>
      </c>
    </row>
    <row r="830" customFormat="false" ht="17.15" hidden="false" customHeight="false" outlineLevel="0" collapsed="false">
      <c r="A830" s="0" t="s">
        <v>539</v>
      </c>
      <c r="B830" s="0" t="s">
        <v>78</v>
      </c>
      <c r="C830" s="17" t="n">
        <f aca="false">C809/C825</f>
        <v>0.0646902638662541</v>
      </c>
      <c r="D830" s="17" t="n">
        <f aca="false">D809/D825</f>
        <v>0.0696304849884527</v>
      </c>
      <c r="E830" s="17" t="n">
        <f aca="false">E809/E825</f>
        <v>0.0948864498507916</v>
      </c>
      <c r="F830" s="17" t="n">
        <f aca="false">F809/F825</f>
        <v>0.109821293835987</v>
      </c>
      <c r="G830" s="17" t="n">
        <f aca="false">G809/G825</f>
        <v>0.118418879799842</v>
      </c>
    </row>
    <row r="831" customFormat="false" ht="15" hidden="false" customHeight="false" outlineLevel="0" collapsed="false">
      <c r="A831" s="4" t="s">
        <v>413</v>
      </c>
      <c r="B831" s="0" t="s">
        <v>170</v>
      </c>
      <c r="C831" s="16" t="n">
        <f aca="false">C814+C816+C818+C811+C820+C821+C823</f>
        <v>181.163</v>
      </c>
      <c r="D831" s="16" t="n">
        <f aca="false">D814+D816+D818+D811+D820+D821+D823</f>
        <v>202</v>
      </c>
      <c r="E831" s="16" t="n">
        <f aca="false">E814+E816+E818+E811+E820+E821+E823</f>
        <v>255.27433</v>
      </c>
      <c r="F831" s="16" t="n">
        <f aca="false">F814+F816+F818+F811+F820+F821+F823</f>
        <v>284.1942202364</v>
      </c>
      <c r="G831" s="16" t="n">
        <f aca="false">G814+G816+G818+G811+G820+G821+G823</f>
        <v>301.425506031</v>
      </c>
    </row>
    <row r="832" customFormat="false" ht="15" hidden="false" customHeight="false" outlineLevel="0" collapsed="false">
      <c r="A832" s="4" t="s">
        <v>429</v>
      </c>
      <c r="B832" s="0" t="s">
        <v>78</v>
      </c>
      <c r="C832" s="17" t="n">
        <f aca="false">C831/C825</f>
        <v>0.114390873633517</v>
      </c>
      <c r="D832" s="17" t="n">
        <f aca="false">D831/D825</f>
        <v>0.11662817551963</v>
      </c>
      <c r="E832" s="17" t="n">
        <f aca="false">E831/E825</f>
        <v>0.137943950757541</v>
      </c>
      <c r="F832" s="17" t="n">
        <f aca="false">F831/F825</f>
        <v>0.145297970423306</v>
      </c>
      <c r="G832" s="17" t="n">
        <f aca="false">G831/G825</f>
        <v>0.146812526188878</v>
      </c>
    </row>
    <row r="833" customFormat="false" ht="17.15" hidden="false" customHeight="false" outlineLevel="0" collapsed="false">
      <c r="A833" s="0" t="s">
        <v>540</v>
      </c>
      <c r="B833" s="0" t="s">
        <v>78</v>
      </c>
      <c r="C833" s="17" t="n">
        <f aca="false">C811/C831</f>
        <v>0.301386044611758</v>
      </c>
      <c r="D833" s="17" t="n">
        <f aca="false">D811/D831</f>
        <v>0.324257425742574</v>
      </c>
      <c r="E833" s="17" t="n">
        <f aca="false">E811/E831</f>
        <v>0.398844255119581</v>
      </c>
      <c r="F833" s="17" t="n">
        <f aca="false">F811/F831</f>
        <v>0.437262791738097</v>
      </c>
      <c r="G833" s="17" t="n">
        <f aca="false">G811/G831</f>
        <v>0.447052201767363</v>
      </c>
    </row>
    <row r="834" customFormat="false" ht="17.15" hidden="false" customHeight="false" outlineLevel="0" collapsed="false">
      <c r="A834" s="4" t="s">
        <v>430</v>
      </c>
      <c r="B834" s="0" t="s">
        <v>53</v>
      </c>
      <c r="C834" s="22" t="n">
        <f aca="false">q25_ni/q25_bp</f>
        <v>0.743391310587703</v>
      </c>
      <c r="D834" s="22" t="n">
        <f aca="false">q26_ni/q26_bp</f>
        <v>0.611386138613861</v>
      </c>
      <c r="E834" s="22" t="n">
        <f aca="false">ni_bp</f>
        <v>0.62</v>
      </c>
      <c r="F834" s="22" t="n">
        <f aca="false">ni_bp</f>
        <v>0.62</v>
      </c>
      <c r="G834" s="22" t="n">
        <f aca="false">ni_bp</f>
        <v>0.62</v>
      </c>
    </row>
    <row r="835" customFormat="false" ht="15" hidden="false" customHeight="false" outlineLevel="0" collapsed="false">
      <c r="A835" s="4" t="s">
        <v>420</v>
      </c>
      <c r="B835" s="0" t="s">
        <v>170</v>
      </c>
      <c r="C835" s="16" t="n">
        <f aca="false">q25_ni</f>
        <v>134.675</v>
      </c>
      <c r="D835" s="16" t="n">
        <f aca="false">q26_ni</f>
        <v>123.5</v>
      </c>
      <c r="E835" s="16" t="n">
        <f aca="false">E831*E834</f>
        <v>158.2700846</v>
      </c>
      <c r="F835" s="16" t="n">
        <f aca="false">F831*F834</f>
        <v>176.200416546568</v>
      </c>
      <c r="G835" s="16" t="n">
        <f aca="false">G831*G834</f>
        <v>186.88381373922</v>
      </c>
      <c r="H835" s="24" t="n">
        <f aca="false">H825*H839</f>
        <v>194.637610756617</v>
      </c>
      <c r="I835" s="24" t="n">
        <f aca="false">I825*I839</f>
        <v>203.349214667111</v>
      </c>
      <c r="J835" s="24" t="n">
        <f aca="false">J825*J839</f>
        <v>213.114532255596</v>
      </c>
    </row>
    <row r="836" customFormat="false" ht="15" hidden="false" customHeight="false" outlineLevel="0" collapsed="false">
      <c r="A836" s="4" t="s">
        <v>541</v>
      </c>
      <c r="B836" s="4" t="s">
        <v>317</v>
      </c>
      <c r="C836" s="20" t="n">
        <f aca="false">q25_sh</f>
        <v>0.973366579936398</v>
      </c>
      <c r="D836" s="20" t="n">
        <f aca="false">q26_sh</f>
        <v>0.95117067159581</v>
      </c>
      <c r="E836" s="20" t="n">
        <f aca="false">D836*(1+sh_g)</f>
        <v>0.936903111521873</v>
      </c>
      <c r="F836" s="20" t="n">
        <f aca="false">E836*(1+sh_g)</f>
        <v>0.922849564849045</v>
      </c>
      <c r="G836" s="20" t="n">
        <f aca="false">F836*(1+sh_g)</f>
        <v>0.909006821376309</v>
      </c>
      <c r="H836" s="29" t="n">
        <f aca="false">G836*(1+sh_g)</f>
        <v>0.895371719055665</v>
      </c>
      <c r="I836" s="29" t="n">
        <f aca="false">H836*(1+sh_g)</f>
        <v>0.88194114326983</v>
      </c>
      <c r="J836" s="29" t="n">
        <f aca="false">I836*(1+sh_g)</f>
        <v>0.868712026120782</v>
      </c>
    </row>
    <row r="837" customFormat="false" ht="17.15" hidden="false" customHeight="false" outlineLevel="0" collapsed="false">
      <c r="A837" s="0" t="s">
        <v>542</v>
      </c>
      <c r="B837" s="0" t="s">
        <v>208</v>
      </c>
      <c r="C837" s="21" t="n">
        <f aca="false">C835/C836</f>
        <v>138.36</v>
      </c>
      <c r="D837" s="21" t="n">
        <f aca="false">D835/D836</f>
        <v>129.84</v>
      </c>
      <c r="E837" s="21" t="n">
        <f aca="false">E835/E836</f>
        <v>168.928977450946</v>
      </c>
      <c r="F837" s="21" t="n">
        <f aca="false">F835/F836</f>
        <v>190.930811757374</v>
      </c>
      <c r="G837" s="21" t="n">
        <f aca="false">G835/G836</f>
        <v>205.591211577778</v>
      </c>
      <c r="H837" s="27" t="n">
        <f aca="false">H835/H836</f>
        <v>217.381905876923</v>
      </c>
      <c r="I837" s="27" t="n">
        <f aca="false">I835/I836</f>
        <v>230.570051322458</v>
      </c>
      <c r="J837" s="27" t="n">
        <f aca="false">J835/J836</f>
        <v>245.322415078395</v>
      </c>
    </row>
    <row r="838" customFormat="false" ht="17.15" hidden="false" customHeight="false" outlineLevel="0" collapsed="false">
      <c r="A838" s="0" t="s">
        <v>543</v>
      </c>
      <c r="B838" s="0" t="s">
        <v>78</v>
      </c>
      <c r="D838" s="17" t="n">
        <f aca="false">D837/C837-1</f>
        <v>-0.0615784908933218</v>
      </c>
      <c r="E838" s="17" t="n">
        <f aca="false">E837/D837-1</f>
        <v>0.301054971125589</v>
      </c>
      <c r="F838" s="17" t="n">
        <f aca="false">F837/E837-1</f>
        <v>0.130243103571836</v>
      </c>
      <c r="G838" s="17" t="n">
        <f aca="false">G837/F837-1</f>
        <v>0.076783834340123</v>
      </c>
      <c r="H838" s="25" t="n">
        <f aca="false">H837/G837-1</f>
        <v>0.0573501863657442</v>
      </c>
      <c r="I838" s="25" t="n">
        <f aca="false">I837/H837-1</f>
        <v>0.0606680919110254</v>
      </c>
      <c r="J838" s="25" t="n">
        <f aca="false">J837/I837-1</f>
        <v>0.0639821332880124</v>
      </c>
    </row>
    <row r="839" customFormat="false" ht="15" hidden="false" customHeight="false" outlineLevel="0" collapsed="false">
      <c r="A839" s="4" t="s">
        <v>544</v>
      </c>
      <c r="B839" s="0" t="s">
        <v>78</v>
      </c>
      <c r="C839" s="14" t="n">
        <f aca="false">C835/C825</f>
        <v>0.0850371814696925</v>
      </c>
      <c r="D839" s="14" t="n">
        <f aca="false">D835/D825</f>
        <v>0.0713048498845266</v>
      </c>
      <c r="E839" s="14" t="n">
        <f aca="false">E835/E825</f>
        <v>0.0855252494696757</v>
      </c>
      <c r="F839" s="14" t="n">
        <f aca="false">F835/F825</f>
        <v>0.0900847416624495</v>
      </c>
      <c r="G839" s="14" t="n">
        <f aca="false">G835/G825</f>
        <v>0.0910237662371043</v>
      </c>
      <c r="H839" s="26" t="n">
        <f aca="false">$G839+(fade_mA-$G839)*1/3</f>
        <v>0.0900179625398922</v>
      </c>
      <c r="I839" s="26" t="n">
        <f aca="false">$G839+(fade_mA-$G839)*2/3</f>
        <v>0.0890121588426801</v>
      </c>
      <c r="J839" s="26" t="n">
        <f aca="false">$G839+(fade_mA-$G839)*3/3</f>
        <v>0.088006355145468</v>
      </c>
    </row>
    <row r="840" customFormat="false" ht="17.15" hidden="false" customHeight="false" outlineLevel="0" collapsed="false">
      <c r="A840" s="0" t="s">
        <v>545</v>
      </c>
      <c r="B840" s="0" t="s">
        <v>208</v>
      </c>
      <c r="D840" s="21" t="n">
        <f aca="false">D811*D834/D836</f>
        <v>42.1015841584158</v>
      </c>
      <c r="E840" s="21" t="n">
        <f aca="false">E811*E834/E836</f>
        <v>67.3763521795352</v>
      </c>
      <c r="F840" s="21" t="n">
        <f aca="false">F811*F834/F836</f>
        <v>83.4869397778505</v>
      </c>
      <c r="G840" s="21" t="n">
        <f aca="false">G811*G834/G836</f>
        <v>91.9100037998652</v>
      </c>
      <c r="K840" s="8" t="s">
        <v>546</v>
      </c>
    </row>
    <row r="841" customFormat="false" ht="17.15" hidden="false" customHeight="false" outlineLevel="0" collapsed="false">
      <c r="A841" s="0" t="s">
        <v>547</v>
      </c>
      <c r="B841" s="0" t="s">
        <v>208</v>
      </c>
      <c r="D841" s="21" t="n">
        <f aca="false">D837-D840</f>
        <v>87.7384158415842</v>
      </c>
      <c r="E841" s="21" t="n">
        <f aca="false">E837-E840</f>
        <v>101.552625271411</v>
      </c>
      <c r="F841" s="21" t="n">
        <f aca="false">F837-F840</f>
        <v>107.443871979524</v>
      </c>
      <c r="G841" s="21" t="n">
        <f aca="false">G837-G840</f>
        <v>113.681207777913</v>
      </c>
    </row>
    <row r="842" customFormat="false" ht="17.15" hidden="false" customHeight="false" outlineLevel="0" collapsed="false">
      <c r="A842" s="0" t="s">
        <v>548</v>
      </c>
      <c r="B842" s="0" t="s">
        <v>455</v>
      </c>
      <c r="D842" s="16" t="n">
        <f aca="false">D807/D797*1000/150</f>
        <v>23.5087719298246</v>
      </c>
      <c r="E842" s="16" t="n">
        <f aca="false">E807/E797*1000/150</f>
        <v>30.1617621884116</v>
      </c>
      <c r="F842" s="16" t="n">
        <f aca="false">F807/F797*1000/150</f>
        <v>36.5143464561404</v>
      </c>
      <c r="G842" s="16" t="n">
        <f aca="false">G807/G797*1000/150</f>
        <v>39.9173947725016</v>
      </c>
      <c r="K842" s="8" t="s">
        <v>549</v>
      </c>
    </row>
    <row r="845" customFormat="false" ht="17.15" hidden="false" customHeight="false" outlineLevel="0" collapsed="false">
      <c r="A845" s="1" t="s">
        <v>952</v>
      </c>
    </row>
    <row r="846" customFormat="false" ht="17.15" hidden="false" customHeight="false" outlineLevel="0" collapsed="false">
      <c r="A846" s="5" t="s">
        <v>20</v>
      </c>
      <c r="B846" s="5" t="s">
        <v>21</v>
      </c>
      <c r="C846" s="15" t="s">
        <v>398</v>
      </c>
      <c r="D846" s="15" t="s">
        <v>470</v>
      </c>
      <c r="E846" s="15" t="s">
        <v>435</v>
      </c>
      <c r="F846" s="15" t="s">
        <v>436</v>
      </c>
      <c r="G846" s="15" t="s">
        <v>437</v>
      </c>
      <c r="H846" s="15" t="s">
        <v>471</v>
      </c>
      <c r="I846" s="15" t="s">
        <v>472</v>
      </c>
      <c r="J846" s="15" t="s">
        <v>473</v>
      </c>
      <c r="K846" s="5" t="s">
        <v>377</v>
      </c>
    </row>
    <row r="847" customFormat="false" ht="17.15" hidden="false" customHeight="false" outlineLevel="0" collapsed="false">
      <c r="A847" s="6" t="s">
        <v>493</v>
      </c>
    </row>
    <row r="848" customFormat="false" ht="17.15" hidden="false" customHeight="false" outlineLevel="0" collapsed="false">
      <c r="A848" s="0" t="s">
        <v>494</v>
      </c>
      <c r="B848" s="4" t="s">
        <v>31</v>
      </c>
      <c r="D848" s="21" t="n">
        <f aca="false">unv_26</f>
        <v>7.6</v>
      </c>
      <c r="E848" s="21" t="n">
        <f aca="false">unv_27</f>
        <v>9.7</v>
      </c>
      <c r="F848" s="21" t="n">
        <f aca="false">unv_28*um28_A</f>
        <v>9.5</v>
      </c>
      <c r="G848" s="21" t="n">
        <f aca="false">unv_29*um29_A</f>
        <v>10.6</v>
      </c>
      <c r="K848" s="8" t="s">
        <v>495</v>
      </c>
    </row>
    <row r="849" customFormat="false" ht="17.15" hidden="false" customHeight="false" outlineLevel="0" collapsed="false">
      <c r="A849" s="4" t="s">
        <v>496</v>
      </c>
      <c r="B849" s="4" t="s">
        <v>31</v>
      </c>
      <c r="D849" s="21" t="n">
        <f aca="false">uot_26</f>
        <v>7.6</v>
      </c>
      <c r="E849" s="21" t="n">
        <f aca="false">uot_27</f>
        <v>14</v>
      </c>
      <c r="F849" s="21" t="n">
        <f aca="false">uot_28*um28_A</f>
        <v>17</v>
      </c>
      <c r="G849" s="21" t="n">
        <f aca="false">uot_29*um29_A</f>
        <v>19.55</v>
      </c>
      <c r="K849" s="8" t="s">
        <v>497</v>
      </c>
    </row>
    <row r="850" customFormat="false" ht="17.15" hidden="false" customHeight="false" outlineLevel="0" collapsed="false">
      <c r="A850" s="4" t="s">
        <v>498</v>
      </c>
      <c r="B850" s="4" t="s">
        <v>31</v>
      </c>
      <c r="D850" s="21" t="n">
        <f aca="false">D848+v_ot*D849</f>
        <v>13.68</v>
      </c>
      <c r="E850" s="21" t="n">
        <f aca="false">E848+v_ot*E849</f>
        <v>20.9</v>
      </c>
      <c r="F850" s="21" t="n">
        <f aca="false">F848+v_ot*F849</f>
        <v>23.1</v>
      </c>
      <c r="G850" s="21" t="n">
        <f aca="false">G848+v_ot*G849</f>
        <v>26.24</v>
      </c>
    </row>
    <row r="851" customFormat="false" ht="17.15" hidden="false" customHeight="false" outlineLevel="0" collapsed="false">
      <c r="A851" s="4" t="s">
        <v>499</v>
      </c>
      <c r="B851" s="0" t="s">
        <v>53</v>
      </c>
      <c r="D851" s="22" t="n">
        <f aca="false">1</f>
        <v>1</v>
      </c>
      <c r="E851" s="22" t="n">
        <f aca="false">D851*(1+g_asp)</f>
        <v>1.18</v>
      </c>
      <c r="F851" s="22" t="n">
        <f aca="false">E851*(1+g_asp)</f>
        <v>1.3924</v>
      </c>
      <c r="G851" s="22" t="n">
        <f aca="false">F851*(1+g_asp)</f>
        <v>1.643032</v>
      </c>
    </row>
    <row r="852" customFormat="false" ht="17.15" hidden="false" customHeight="false" outlineLevel="0" collapsed="false">
      <c r="A852" s="4" t="s">
        <v>500</v>
      </c>
      <c r="B852" s="0" t="s">
        <v>53</v>
      </c>
      <c r="D852" s="19" t="n">
        <f aca="false">1</f>
        <v>1</v>
      </c>
      <c r="E852" s="19" t="n">
        <f aca="false">rel_27</f>
        <v>1</v>
      </c>
      <c r="F852" s="19" t="n">
        <f aca="false">rel_28</f>
        <v>0.97</v>
      </c>
      <c r="G852" s="19" t="n">
        <f aca="false">rel_29</f>
        <v>0.95</v>
      </c>
    </row>
    <row r="853" customFormat="false" ht="17.15" hidden="false" customHeight="false" outlineLevel="0" collapsed="false">
      <c r="A853" s="0" t="s">
        <v>501</v>
      </c>
      <c r="B853" s="0" t="s">
        <v>53</v>
      </c>
      <c r="D853" s="22" t="n">
        <f aca="false">D850/$D850*D851*D852</f>
        <v>1</v>
      </c>
      <c r="E853" s="22" t="n">
        <f aca="false">E850/$D850*E851*E852</f>
        <v>1.80277777777778</v>
      </c>
      <c r="F853" s="22" t="n">
        <f aca="false">F850/$D850*F851*F852</f>
        <v>2.28066570175439</v>
      </c>
      <c r="G853" s="22" t="n">
        <f aca="false">G850/$D850*G851*G852</f>
        <v>2.99396942222222</v>
      </c>
      <c r="K853" s="4" t="s">
        <v>502</v>
      </c>
    </row>
    <row r="854" customFormat="false" ht="17.15" hidden="false" customHeight="false" outlineLevel="0" collapsed="false">
      <c r="A854" s="4" t="s">
        <v>503</v>
      </c>
      <c r="B854" s="0" t="s">
        <v>53</v>
      </c>
      <c r="D854" s="22" t="n">
        <f aca="false">1</f>
        <v>1</v>
      </c>
      <c r="E854" s="22" t="n">
        <f aca="false">D854*(1+g_nai)</f>
        <v>1.03</v>
      </c>
      <c r="F854" s="22" t="n">
        <f aca="false">E854*(1+g_nai)</f>
        <v>1.0609</v>
      </c>
      <c r="G854" s="22" t="n">
        <f aca="false">F854*(1+g_nai)</f>
        <v>1.092727</v>
      </c>
    </row>
    <row r="855" customFormat="false" ht="17.15" hidden="false" customHeight="false" outlineLevel="0" collapsed="false">
      <c r="A855" s="0" t="s">
        <v>504</v>
      </c>
      <c r="B855" s="0" t="s">
        <v>53</v>
      </c>
      <c r="D855" s="22" t="n">
        <f aca="false">ai_sh*D853+(1-ai_sh)*D854</f>
        <v>1</v>
      </c>
      <c r="E855" s="22" t="n">
        <f aca="false">ai_sh*E853+(1-ai_sh)*E854</f>
        <v>1.33911111111111</v>
      </c>
      <c r="F855" s="22" t="n">
        <f aca="false">ai_sh*F853+(1-ai_sh)*F854</f>
        <v>1.54880628070175</v>
      </c>
      <c r="G855" s="22" t="n">
        <f aca="false">ai_sh*G853+(1-ai_sh)*G854</f>
        <v>1.85322396888889</v>
      </c>
    </row>
    <row r="856" customFormat="false" ht="17.15" hidden="false" customHeight="false" outlineLevel="0" collapsed="false">
      <c r="A856" s="4" t="s">
        <v>505</v>
      </c>
      <c r="B856" s="0" t="s">
        <v>53</v>
      </c>
      <c r="D856" s="22" t="n">
        <f aca="false">1</f>
        <v>1</v>
      </c>
      <c r="E856" s="22" t="n">
        <f aca="false">cap_27</f>
        <v>1.3</v>
      </c>
      <c r="F856" s="22" t="n">
        <f aca="false">cap_28</f>
        <v>1.55</v>
      </c>
      <c r="G856" s="22" t="n">
        <f aca="false">cap_29</f>
        <v>1.8</v>
      </c>
      <c r="K856" s="4" t="s">
        <v>506</v>
      </c>
    </row>
    <row r="857" customFormat="false" ht="17.15" hidden="false" customHeight="false" outlineLevel="0" collapsed="false">
      <c r="A857" s="4" t="s">
        <v>507</v>
      </c>
      <c r="B857" s="0" t="s">
        <v>53</v>
      </c>
      <c r="D857" s="22" t="n">
        <f aca="false">MIN(D855,D856)</f>
        <v>1</v>
      </c>
      <c r="E857" s="22" t="n">
        <f aca="false">MIN(E855,E856)</f>
        <v>1.3</v>
      </c>
      <c r="F857" s="22" t="n">
        <f aca="false">MIN(F855,F856)</f>
        <v>1.54880628070175</v>
      </c>
      <c r="G857" s="22" t="n">
        <f aca="false">MIN(G855,G856)</f>
        <v>1.8</v>
      </c>
    </row>
    <row r="858" customFormat="false" ht="17.15" hidden="false" customHeight="false" outlineLevel="0" collapsed="false">
      <c r="A858" s="4" t="s">
        <v>508</v>
      </c>
      <c r="B858" s="0" t="s">
        <v>78</v>
      </c>
      <c r="D858" s="17" t="n">
        <f aca="false">D857/D855</f>
        <v>1</v>
      </c>
      <c r="E858" s="17" t="n">
        <f aca="false">E857/E855</f>
        <v>0.970793229339529</v>
      </c>
      <c r="F858" s="17" t="n">
        <f aca="false">F857/F855</f>
        <v>1</v>
      </c>
      <c r="G858" s="17" t="n">
        <f aca="false">G857/G855</f>
        <v>0.971280336439422</v>
      </c>
      <c r="K858" s="4" t="s">
        <v>509</v>
      </c>
    </row>
    <row r="859" customFormat="false" ht="17.15" hidden="false" customHeight="false" outlineLevel="0" collapsed="false">
      <c r="A859" s="0" t="s">
        <v>510</v>
      </c>
      <c r="B859" s="0" t="s">
        <v>53</v>
      </c>
      <c r="D859" s="22" t="n">
        <f aca="false">1</f>
        <v>1</v>
      </c>
      <c r="E859" s="22" t="n">
        <f aca="false">pp_27</f>
        <v>1.12</v>
      </c>
      <c r="F859" s="22" t="n">
        <f aca="false">pp_28*sp_A</f>
        <v>1.15</v>
      </c>
      <c r="G859" s="22" t="n">
        <f aca="false">pp_29*sp_A</f>
        <v>1.12</v>
      </c>
      <c r="K859" s="8" t="s">
        <v>511</v>
      </c>
    </row>
    <row r="860" customFormat="false" ht="17.15" hidden="false" customHeight="false" outlineLevel="0" collapsed="false">
      <c r="A860" s="0" t="s">
        <v>452</v>
      </c>
      <c r="B860" s="0" t="s">
        <v>170</v>
      </c>
      <c r="D860" s="16" t="n">
        <f aca="false">q26_fm*ai_sh</f>
        <v>48.24</v>
      </c>
      <c r="E860" s="16" t="n">
        <f aca="false">q26_fm*ai_sh*E853*E858*E859</f>
        <v>94.5571244606705</v>
      </c>
      <c r="F860" s="16" t="n">
        <f aca="false">q26_fm*ai_sh*F853*F858*F859</f>
        <v>126.522210470526</v>
      </c>
      <c r="G860" s="16" t="n">
        <f aca="false">q26_fm*ai_sh*G853*G858*G859</f>
        <v>157.114865824566</v>
      </c>
      <c r="K860" s="8" t="s">
        <v>512</v>
      </c>
    </row>
    <row r="861" customFormat="false" ht="17.15" hidden="false" customHeight="false" outlineLevel="0" collapsed="false">
      <c r="A861" s="0" t="s">
        <v>513</v>
      </c>
      <c r="B861" s="0" t="s">
        <v>170</v>
      </c>
      <c r="D861" s="16" t="n">
        <f aca="false">q26_fm*(1-ai_sh)</f>
        <v>72.36</v>
      </c>
      <c r="E861" s="16" t="n">
        <f aca="false">q26_fm*(1-ai_sh)*E854*E858*E859</f>
        <v>81.0364755393296</v>
      </c>
      <c r="F861" s="16" t="n">
        <f aca="false">q26_fm*(1-ai_sh)*F854*F858*F859</f>
        <v>88.2817326</v>
      </c>
      <c r="G861" s="16" t="n">
        <f aca="false">q26_fm*(1-ai_sh)*G854*G858*G859</f>
        <v>86.0147341754337</v>
      </c>
    </row>
    <row r="862" customFormat="false" ht="17.15" hidden="false" customHeight="false" outlineLevel="0" collapsed="false">
      <c r="A862" s="4" t="s">
        <v>514</v>
      </c>
      <c r="B862" s="0" t="s">
        <v>170</v>
      </c>
      <c r="C862" s="16" t="n">
        <f aca="false">q25_fm</f>
        <v>102.4512</v>
      </c>
      <c r="D862" s="16" t="n">
        <f aca="false">D860+D861</f>
        <v>120.6</v>
      </c>
      <c r="E862" s="16" t="n">
        <f aca="false">E860+E861</f>
        <v>175.5936</v>
      </c>
      <c r="F862" s="16" t="n">
        <f aca="false">F860+F861</f>
        <v>214.803943070526</v>
      </c>
      <c r="G862" s="16" t="n">
        <f aca="false">G860+G861</f>
        <v>243.1296</v>
      </c>
    </row>
    <row r="863" customFormat="false" ht="17.15" hidden="false" customHeight="false" outlineLevel="0" collapsed="false">
      <c r="A863" s="0" t="s">
        <v>515</v>
      </c>
      <c r="B863" s="0" t="s">
        <v>78</v>
      </c>
      <c r="C863" s="17" t="n">
        <f aca="false">q25_fmbp/q25_fm</f>
        <v>0.532936656671664</v>
      </c>
      <c r="D863" s="17" t="n">
        <f aca="false">q26_fmbp/q26_fm</f>
        <v>0.543117744610282</v>
      </c>
      <c r="E863" s="17" t="n">
        <f aca="false">1-(1-$D863)*(1+c_g)^1/E859</f>
        <v>0.579831497275527</v>
      </c>
      <c r="F863" s="17" t="n">
        <f aca="false">1-(1-$D863)*(1+c_g)^2/F859</f>
        <v>0.578516187180042</v>
      </c>
      <c r="G863" s="17" t="n">
        <f aca="false">1-(1-$D863)*(1+c_g)^3/G859</f>
        <v>0.554243235459607</v>
      </c>
      <c r="K863" s="8" t="s">
        <v>516</v>
      </c>
    </row>
    <row r="864" customFormat="false" ht="17.15" hidden="false" customHeight="false" outlineLevel="0" collapsed="false">
      <c r="A864" s="0" t="s">
        <v>478</v>
      </c>
      <c r="B864" s="0" t="s">
        <v>170</v>
      </c>
      <c r="C864" s="16" t="n">
        <f aca="false">q25_fmbp</f>
        <v>54.6</v>
      </c>
      <c r="D864" s="16" t="n">
        <f aca="false">D862*D863</f>
        <v>65.5</v>
      </c>
      <c r="E864" s="16" t="n">
        <f aca="false">E862*E863</f>
        <v>101.8147</v>
      </c>
      <c r="F864" s="16" t="n">
        <f aca="false">F862*F863</f>
        <v>124.2675581364</v>
      </c>
      <c r="G864" s="16" t="n">
        <f aca="false">G862*G863</f>
        <v>134.75293614</v>
      </c>
    </row>
    <row r="865" customFormat="false" ht="17.15" hidden="false" customHeight="false" outlineLevel="0" collapsed="false">
      <c r="A865" s="6" t="s">
        <v>517</v>
      </c>
    </row>
    <row r="866" customFormat="false" ht="15" hidden="false" customHeight="false" outlineLevel="0" collapsed="false">
      <c r="A866" s="4" t="s">
        <v>518</v>
      </c>
      <c r="B866" s="0" t="s">
        <v>170</v>
      </c>
      <c r="C866" s="16" t="n">
        <f aca="false">q25_sf</f>
        <v>936.926</v>
      </c>
      <c r="D866" s="16" t="n">
        <f aca="false">q26_sf</f>
        <v>998.6</v>
      </c>
      <c r="E866" s="16" t="n">
        <f aca="false">D866*(1+g_sf_lo)</f>
        <v>1018.572</v>
      </c>
      <c r="F866" s="16" t="n">
        <f aca="false">E866*(1+g_sf_lo)</f>
        <v>1038.94344</v>
      </c>
      <c r="G866" s="16" t="n">
        <f aca="false">F866*(1+g_sf_lo)</f>
        <v>1059.7223088</v>
      </c>
    </row>
    <row r="867" customFormat="false" ht="15" hidden="false" customHeight="false" outlineLevel="0" collapsed="false">
      <c r="A867" s="4" t="s">
        <v>519</v>
      </c>
      <c r="B867" s="0" t="s">
        <v>170</v>
      </c>
      <c r="C867" s="16" t="n">
        <f aca="false">q25_sfbp</f>
        <v>143.036</v>
      </c>
      <c r="D867" s="16" t="n">
        <f aca="false">q26_sfbp</f>
        <v>145.9</v>
      </c>
      <c r="E867" s="16" t="n">
        <f aca="false">E866*m_sf</f>
        <v>148.818</v>
      </c>
      <c r="F867" s="16" t="n">
        <f aca="false">F866*m_sf</f>
        <v>151.79436</v>
      </c>
      <c r="G867" s="16" t="n">
        <f aca="false">G866*m_sf</f>
        <v>154.8302472</v>
      </c>
    </row>
    <row r="868" customFormat="false" ht="15" hidden="false" customHeight="false" outlineLevel="0" collapsed="false">
      <c r="A868" s="4" t="s">
        <v>520</v>
      </c>
      <c r="B868" s="0" t="s">
        <v>170</v>
      </c>
      <c r="C868" s="16" t="n">
        <f aca="false">q25_ff</f>
        <v>290.308</v>
      </c>
      <c r="D868" s="16" t="n">
        <f aca="false">q26_ff</f>
        <v>310.6</v>
      </c>
      <c r="E868" s="16" t="n">
        <f aca="false">D868*(1+g_ff)</f>
        <v>319.918</v>
      </c>
      <c r="F868" s="16" t="n">
        <f aca="false">E868*(1+g_ff)</f>
        <v>329.51554</v>
      </c>
      <c r="G868" s="16" t="n">
        <f aca="false">F868*(1+g_ff)</f>
        <v>339.4010062</v>
      </c>
    </row>
    <row r="869" customFormat="false" ht="15" hidden="false" customHeight="false" outlineLevel="0" collapsed="false">
      <c r="A869" s="4" t="s">
        <v>521</v>
      </c>
      <c r="B869" s="0" t="s">
        <v>170</v>
      </c>
      <c r="C869" s="16" t="n">
        <f aca="false">q25_ffbp</f>
        <v>8.457</v>
      </c>
      <c r="D869" s="16" t="n">
        <f aca="false">q26_ffbp</f>
        <v>12.1</v>
      </c>
      <c r="E869" s="16" t="n">
        <f aca="false">E868*m_ff</f>
        <v>14.39631</v>
      </c>
      <c r="F869" s="16" t="n">
        <f aca="false">F868*m_ff</f>
        <v>14.8281993</v>
      </c>
      <c r="G869" s="16" t="n">
        <f aca="false">G868*m_ff</f>
        <v>15.273045279</v>
      </c>
    </row>
    <row r="870" customFormat="false" ht="17.15" hidden="false" customHeight="false" outlineLevel="0" collapsed="false">
      <c r="A870" s="4" t="s">
        <v>522</v>
      </c>
      <c r="B870" s="0" t="s">
        <v>170</v>
      </c>
      <c r="C870" s="16" t="n">
        <f aca="false">q25_hox</f>
        <v>239.0528</v>
      </c>
      <c r="D870" s="16" t="n">
        <f aca="false">q26_hox</f>
        <v>286.2</v>
      </c>
      <c r="E870" s="16" t="n">
        <f aca="false">D870*(1+g_ho)</f>
        <v>300.51</v>
      </c>
      <c r="F870" s="16" t="n">
        <f aca="false">E870*(1+g_ho)</f>
        <v>315.5355</v>
      </c>
      <c r="G870" s="16" t="n">
        <f aca="false">F870*(1+g_ho)</f>
        <v>331.312275</v>
      </c>
    </row>
    <row r="871" customFormat="false" ht="17.15" hidden="false" customHeight="false" outlineLevel="0" collapsed="false">
      <c r="A871" s="4" t="s">
        <v>523</v>
      </c>
      <c r="B871" s="0" t="s">
        <v>170</v>
      </c>
      <c r="C871" s="16" t="n">
        <f aca="false">q25_hoxbp</f>
        <v>11.602</v>
      </c>
      <c r="D871" s="16" t="n">
        <f aca="false">q26_hoxbp</f>
        <v>19.5</v>
      </c>
      <c r="E871" s="16" t="n">
        <f aca="false">E870*m_ho</f>
        <v>20.475</v>
      </c>
      <c r="F871" s="16" t="n">
        <f aca="false">F870*m_ho</f>
        <v>21.49875</v>
      </c>
      <c r="G871" s="16" t="n">
        <f aca="false">G870*m_ho</f>
        <v>22.5736875</v>
      </c>
    </row>
    <row r="872" customFormat="false" ht="17.15" hidden="false" customHeight="false" outlineLevel="0" collapsed="false">
      <c r="A872" s="4" t="s">
        <v>524</v>
      </c>
      <c r="B872" s="0" t="s">
        <v>170</v>
      </c>
      <c r="C872" s="16" t="n">
        <f aca="false">q25_oth</f>
        <v>14.979</v>
      </c>
      <c r="D872" s="16" t="n">
        <f aca="false">q26_oth</f>
        <v>15.8</v>
      </c>
      <c r="E872" s="16" t="n">
        <f aca="false">D872</f>
        <v>15.8</v>
      </c>
      <c r="F872" s="16" t="n">
        <f aca="false">E872</f>
        <v>15.8</v>
      </c>
      <c r="G872" s="16" t="n">
        <f aca="false">F872</f>
        <v>15.8</v>
      </c>
      <c r="K872" s="8" t="s">
        <v>525</v>
      </c>
    </row>
    <row r="873" customFormat="false" ht="15" hidden="false" customHeight="false" outlineLevel="0" collapsed="false">
      <c r="A873" s="4" t="s">
        <v>526</v>
      </c>
      <c r="B873" s="0" t="s">
        <v>170</v>
      </c>
      <c r="C873" s="16" t="n">
        <f aca="false">q25_othbp</f>
        <v>6.064</v>
      </c>
      <c r="D873" s="16" t="n">
        <f aca="false">q26_othbp</f>
        <v>5.1</v>
      </c>
      <c r="E873" s="16" t="n">
        <f aca="false">q26_othbp</f>
        <v>5.1</v>
      </c>
      <c r="F873" s="16" t="n">
        <f aca="false">q26_othbp</f>
        <v>5.1</v>
      </c>
      <c r="G873" s="16" t="n">
        <f aca="false">q26_othbp</f>
        <v>5.1</v>
      </c>
    </row>
    <row r="874" customFormat="false" ht="15" hidden="false" customHeight="false" outlineLevel="0" collapsed="false">
      <c r="A874" s="4" t="s">
        <v>527</v>
      </c>
      <c r="B874" s="0" t="s">
        <v>170</v>
      </c>
      <c r="C874" s="16" t="n">
        <f aca="false">q25_cc</f>
        <v>-42.597</v>
      </c>
      <c r="D874" s="16" t="n">
        <f aca="false">q26_cc</f>
        <v>-46.2</v>
      </c>
      <c r="E874" s="16" t="n">
        <f aca="false">D874*(1+g_cc)</f>
        <v>-47.586</v>
      </c>
      <c r="F874" s="16" t="n">
        <f aca="false">E874*(1+g_cc)</f>
        <v>-49.01358</v>
      </c>
      <c r="G874" s="16" t="n">
        <f aca="false">F874*(1+g_cc)</f>
        <v>-50.4839874</v>
      </c>
    </row>
    <row r="875" customFormat="false" ht="17.15" hidden="false" customHeight="false" outlineLevel="0" collapsed="false">
      <c r="A875" s="4" t="s">
        <v>528</v>
      </c>
      <c r="B875" s="0" t="s">
        <v>170</v>
      </c>
      <c r="C875" s="28" t="n">
        <f aca="false">a_rev-(q25_sf+q25_ff+q25_hox+q25_fm+q25_oth)</f>
        <v>0.00200000000018008</v>
      </c>
      <c r="D875" s="28" t="n">
        <f aca="false">f_rev-(q26_sf+q26_ff+q26_hox+q26_fm+q26_oth)</f>
        <v>0.200000000000045</v>
      </c>
      <c r="E875" s="28" t="n">
        <f aca="false">$D875</f>
        <v>0.200000000000045</v>
      </c>
      <c r="F875" s="28" t="n">
        <f aca="false">$D875</f>
        <v>0.200000000000045</v>
      </c>
      <c r="G875" s="28" t="n">
        <f aca="false">$D875</f>
        <v>0.200000000000045</v>
      </c>
      <c r="K875" s="8" t="s">
        <v>529</v>
      </c>
    </row>
    <row r="876" customFormat="false" ht="15" hidden="false" customHeight="false" outlineLevel="0" collapsed="false">
      <c r="A876" s="4" t="s">
        <v>530</v>
      </c>
      <c r="B876" s="0" t="s">
        <v>170</v>
      </c>
      <c r="C876" s="28" t="n">
        <f aca="false">a_bp-(q25_sfbp+q25_ffbp+q25_hoxbp+q25_fmbp+q25_othbp+q25_cc)</f>
        <v>0.0010000000000332</v>
      </c>
      <c r="D876" s="28" t="n">
        <f aca="false">f_bp-(q26_sfbp+q26_ffbp+q26_hoxbp+q26_fmbp+q26_othbp+q26_cc)</f>
        <v>0.100000000000023</v>
      </c>
      <c r="E876" s="28" t="n">
        <f aca="false">$D876</f>
        <v>0.100000000000023</v>
      </c>
      <c r="F876" s="28" t="n">
        <f aca="false">$D876</f>
        <v>0.100000000000023</v>
      </c>
      <c r="G876" s="28" t="n">
        <f aca="false">$D876</f>
        <v>0.100000000000023</v>
      </c>
    </row>
    <row r="877" customFormat="false" ht="17.15" hidden="false" customHeight="false" outlineLevel="0" collapsed="false">
      <c r="A877" s="6" t="s">
        <v>531</v>
      </c>
    </row>
    <row r="878" customFormat="false" ht="17.15" hidden="false" customHeight="false" outlineLevel="0" collapsed="false">
      <c r="A878" s="4" t="s">
        <v>403</v>
      </c>
      <c r="B878" s="0" t="s">
        <v>170</v>
      </c>
      <c r="C878" s="16" t="n">
        <f aca="false">C866+C868+C870+C862+C872+C875</f>
        <v>1583.719</v>
      </c>
      <c r="D878" s="16" t="n">
        <f aca="false">D866+D868+D870+D862+D872+D875</f>
        <v>1732</v>
      </c>
      <c r="E878" s="16" t="n">
        <f aca="false">E866+E868+E870+E862+E872+E875</f>
        <v>1830.5936</v>
      </c>
      <c r="F878" s="16" t="n">
        <f aca="false">F866+F868+F870+F862+F872+F875</f>
        <v>1914.79842307053</v>
      </c>
      <c r="G878" s="16" t="n">
        <f aca="false">G866+G868+G870+G862+G872+G875</f>
        <v>1989.56519</v>
      </c>
      <c r="H878" s="24" t="n">
        <f aca="false">G878*(1+H882)</f>
        <v>2081.14727416256</v>
      </c>
      <c r="I878" s="24" t="n">
        <f aca="false">H878*(1+I882)</f>
        <v>2191.48055133787</v>
      </c>
      <c r="J878" s="24" t="n">
        <f aca="false">I878*(1+J882)</f>
        <v>2322.96938441815</v>
      </c>
      <c r="K878" s="8" t="s">
        <v>532</v>
      </c>
    </row>
    <row r="879" customFormat="false" ht="17.15" hidden="false" customHeight="false" outlineLevel="0" collapsed="false">
      <c r="A879" s="4" t="s">
        <v>533</v>
      </c>
      <c r="B879" s="0" t="s">
        <v>170</v>
      </c>
      <c r="C879" s="16" t="n">
        <f aca="false">C862+C870</f>
        <v>341.504</v>
      </c>
      <c r="D879" s="16" t="n">
        <f aca="false">D862+D870</f>
        <v>406.8</v>
      </c>
      <c r="E879" s="16" t="n">
        <f aca="false">E862+E870</f>
        <v>476.1036</v>
      </c>
      <c r="F879" s="16" t="n">
        <f aca="false">F862+F870</f>
        <v>530.339443070526</v>
      </c>
      <c r="G879" s="16" t="n">
        <f aca="false">G862+G870</f>
        <v>574.441875</v>
      </c>
      <c r="K879" s="4" t="s">
        <v>534</v>
      </c>
    </row>
    <row r="880" customFormat="false" ht="17.15" hidden="false" customHeight="false" outlineLevel="0" collapsed="false">
      <c r="A880" s="4" t="s">
        <v>535</v>
      </c>
      <c r="B880" s="0" t="s">
        <v>170</v>
      </c>
      <c r="C880" s="16" t="n">
        <f aca="false">C872+C875</f>
        <v>14.9810000000002</v>
      </c>
      <c r="D880" s="16" t="n">
        <f aca="false">D872+D875</f>
        <v>16</v>
      </c>
      <c r="E880" s="16" t="n">
        <f aca="false">E872+E875</f>
        <v>16</v>
      </c>
      <c r="F880" s="16" t="n">
        <f aca="false">F872+F875</f>
        <v>16</v>
      </c>
      <c r="G880" s="16" t="n">
        <f aca="false">G872+G875</f>
        <v>16</v>
      </c>
      <c r="K880" s="8" t="s">
        <v>536</v>
      </c>
    </row>
    <row r="881" customFormat="false" ht="15" hidden="false" customHeight="false" outlineLevel="0" collapsed="false">
      <c r="A881" s="4" t="s">
        <v>537</v>
      </c>
      <c r="B881" s="0" t="s">
        <v>170</v>
      </c>
      <c r="C881" s="22" t="n">
        <f aca="false">C866+C868+C879+C880-C878</f>
        <v>0</v>
      </c>
      <c r="D881" s="22" t="n">
        <f aca="false">D866+D868+D879+D880-D878</f>
        <v>0</v>
      </c>
      <c r="E881" s="22" t="n">
        <f aca="false">E866+E868+E879+E880-E878</f>
        <v>0</v>
      </c>
      <c r="F881" s="22" t="n">
        <f aca="false">F866+F868+F879+F880-F878</f>
        <v>0</v>
      </c>
      <c r="G881" s="22" t="n">
        <f aca="false">G866+G868+G879+G880-G878</f>
        <v>0</v>
      </c>
    </row>
    <row r="882" customFormat="false" ht="15" hidden="false" customHeight="false" outlineLevel="0" collapsed="false">
      <c r="A882" s="4" t="s">
        <v>538</v>
      </c>
      <c r="B882" s="0" t="s">
        <v>78</v>
      </c>
      <c r="D882" s="17" t="n">
        <f aca="false">D878/C878-1</f>
        <v>0.0936283519993131</v>
      </c>
      <c r="E882" s="17" t="n">
        <f aca="false">E878/D878-1</f>
        <v>0.0569247113163973</v>
      </c>
      <c r="F882" s="17" t="n">
        <f aca="false">F878/E878-1</f>
        <v>0.0459986438664082</v>
      </c>
      <c r="G882" s="17" t="n">
        <f aca="false">G878/F878-1</f>
        <v>0.0390468082846964</v>
      </c>
      <c r="H882" s="25" t="n">
        <f aca="false">$G882+(fade_gA-$G882)*1/3</f>
        <v>0.046031205523131</v>
      </c>
      <c r="I882" s="25" t="n">
        <f aca="false">$G882+(fade_gA-$G882)*2/3</f>
        <v>0.0530156027615655</v>
      </c>
      <c r="J882" s="25" t="n">
        <f aca="false">$G882+(fade_gA-$G882)*3/3</f>
        <v>0.06</v>
      </c>
    </row>
    <row r="883" customFormat="false" ht="17.15" hidden="false" customHeight="false" outlineLevel="0" collapsed="false">
      <c r="A883" s="0" t="s">
        <v>539</v>
      </c>
      <c r="B883" s="0" t="s">
        <v>78</v>
      </c>
      <c r="C883" s="17" t="n">
        <f aca="false">C862/C878</f>
        <v>0.0646902638662541</v>
      </c>
      <c r="D883" s="17" t="n">
        <f aca="false">D862/D878</f>
        <v>0.0696304849884527</v>
      </c>
      <c r="E883" s="17" t="n">
        <f aca="false">E862/E878</f>
        <v>0.0959216726202911</v>
      </c>
      <c r="F883" s="17" t="n">
        <f aca="false">F862/F878</f>
        <v>0.112180969277211</v>
      </c>
      <c r="G883" s="17" t="n">
        <f aca="false">G862/G878</f>
        <v>0.122202379304797</v>
      </c>
    </row>
    <row r="884" customFormat="false" ht="15" hidden="false" customHeight="false" outlineLevel="0" collapsed="false">
      <c r="A884" s="4" t="s">
        <v>413</v>
      </c>
      <c r="B884" s="0" t="s">
        <v>170</v>
      </c>
      <c r="C884" s="16" t="n">
        <f aca="false">C867+C869+C871+C864+C873+C874+C876</f>
        <v>181.163</v>
      </c>
      <c r="D884" s="16" t="n">
        <f aca="false">D867+D869+D871+D864+D873+D874+D876</f>
        <v>202</v>
      </c>
      <c r="E884" s="16" t="n">
        <f aca="false">E867+E869+E871+E864+E873+E874+E876</f>
        <v>243.11801</v>
      </c>
      <c r="F884" s="16" t="n">
        <f aca="false">F867+F869+F871+F864+F873+F874+F876</f>
        <v>268.5752874364</v>
      </c>
      <c r="G884" s="16" t="n">
        <f aca="false">G867+G869+G871+G864+G873+G874+G876</f>
        <v>282.145928719</v>
      </c>
    </row>
    <row r="885" customFormat="false" ht="15" hidden="false" customHeight="false" outlineLevel="0" collapsed="false">
      <c r="A885" s="4" t="s">
        <v>429</v>
      </c>
      <c r="B885" s="0" t="s">
        <v>78</v>
      </c>
      <c r="C885" s="17" t="n">
        <f aca="false">C884/C878</f>
        <v>0.114390873633517</v>
      </c>
      <c r="D885" s="17" t="n">
        <f aca="false">D884/D878</f>
        <v>0.11662817551963</v>
      </c>
      <c r="E885" s="17" t="n">
        <f aca="false">E884/E878</f>
        <v>0.132808292348449</v>
      </c>
      <c r="F885" s="17" t="n">
        <f aca="false">F884/F878</f>
        <v>0.140262956246704</v>
      </c>
      <c r="G885" s="17" t="n">
        <f aca="false">G884/G878</f>
        <v>0.141812859481624</v>
      </c>
    </row>
    <row r="886" customFormat="false" ht="17.15" hidden="false" customHeight="false" outlineLevel="0" collapsed="false">
      <c r="A886" s="0" t="s">
        <v>540</v>
      </c>
      <c r="B886" s="0" t="s">
        <v>78</v>
      </c>
      <c r="C886" s="17" t="n">
        <f aca="false">C864/C884</f>
        <v>0.301386044611758</v>
      </c>
      <c r="D886" s="17" t="n">
        <f aca="false">D864/D884</f>
        <v>0.324257425742574</v>
      </c>
      <c r="E886" s="17" t="n">
        <f aca="false">E864/E884</f>
        <v>0.418787156081115</v>
      </c>
      <c r="F886" s="17" t="n">
        <f aca="false">F864/F884</f>
        <v>0.462691706755883</v>
      </c>
      <c r="G886" s="17" t="n">
        <f aca="false">G864/G884</f>
        <v>0.47760014383977</v>
      </c>
    </row>
    <row r="887" customFormat="false" ht="17.15" hidden="false" customHeight="false" outlineLevel="0" collapsed="false">
      <c r="A887" s="4" t="s">
        <v>430</v>
      </c>
      <c r="B887" s="0" t="s">
        <v>53</v>
      </c>
      <c r="C887" s="22" t="n">
        <f aca="false">q25_ni/q25_bp</f>
        <v>0.743391310587703</v>
      </c>
      <c r="D887" s="22" t="n">
        <f aca="false">q26_ni/q26_bp</f>
        <v>0.611386138613861</v>
      </c>
      <c r="E887" s="22" t="n">
        <f aca="false">ni_bp</f>
        <v>0.62</v>
      </c>
      <c r="F887" s="22" t="n">
        <f aca="false">ni_bp</f>
        <v>0.62</v>
      </c>
      <c r="G887" s="22" t="n">
        <f aca="false">ni_bp</f>
        <v>0.62</v>
      </c>
    </row>
    <row r="888" customFormat="false" ht="15" hidden="false" customHeight="false" outlineLevel="0" collapsed="false">
      <c r="A888" s="4" t="s">
        <v>420</v>
      </c>
      <c r="B888" s="0" t="s">
        <v>170</v>
      </c>
      <c r="C888" s="16" t="n">
        <f aca="false">q25_ni</f>
        <v>134.675</v>
      </c>
      <c r="D888" s="16" t="n">
        <f aca="false">q26_ni</f>
        <v>123.5</v>
      </c>
      <c r="E888" s="16" t="n">
        <f aca="false">E884*E887</f>
        <v>150.7331662</v>
      </c>
      <c r="F888" s="16" t="n">
        <f aca="false">F884*F887</f>
        <v>166.516678210568</v>
      </c>
      <c r="G888" s="16" t="n">
        <f aca="false">G884*G887</f>
        <v>174.93047580578</v>
      </c>
      <c r="H888" s="24" t="n">
        <f aca="false">H878*H892</f>
        <v>183.039886366561</v>
      </c>
      <c r="I888" s="24" t="n">
        <f aca="false">I878*I892</f>
        <v>192.80403598356</v>
      </c>
      <c r="J888" s="24" t="n">
        <f aca="false">J878*J892</f>
        <v>204.436068637153</v>
      </c>
    </row>
    <row r="889" customFormat="false" ht="15" hidden="false" customHeight="false" outlineLevel="0" collapsed="false">
      <c r="A889" s="4" t="s">
        <v>541</v>
      </c>
      <c r="B889" s="4" t="s">
        <v>317</v>
      </c>
      <c r="C889" s="20" t="n">
        <f aca="false">q25_sh</f>
        <v>0.973366579936398</v>
      </c>
      <c r="D889" s="20" t="n">
        <f aca="false">q26_sh</f>
        <v>0.95117067159581</v>
      </c>
      <c r="E889" s="20" t="n">
        <f aca="false">D889*(1+sh_g)</f>
        <v>0.936903111521873</v>
      </c>
      <c r="F889" s="20" t="n">
        <f aca="false">E889*(1+sh_g)</f>
        <v>0.922849564849045</v>
      </c>
      <c r="G889" s="20" t="n">
        <f aca="false">F889*(1+sh_g)</f>
        <v>0.909006821376309</v>
      </c>
      <c r="H889" s="29" t="n">
        <f aca="false">G889*(1+sh_g)</f>
        <v>0.895371719055665</v>
      </c>
      <c r="I889" s="29" t="n">
        <f aca="false">H889*(1+sh_g)</f>
        <v>0.88194114326983</v>
      </c>
      <c r="J889" s="29" t="n">
        <f aca="false">I889*(1+sh_g)</f>
        <v>0.868712026120782</v>
      </c>
    </row>
    <row r="890" customFormat="false" ht="17.15" hidden="false" customHeight="false" outlineLevel="0" collapsed="false">
      <c r="A890" s="0" t="s">
        <v>542</v>
      </c>
      <c r="B890" s="0" t="s">
        <v>208</v>
      </c>
      <c r="C890" s="21" t="n">
        <f aca="false">C888/C889</f>
        <v>138.36</v>
      </c>
      <c r="D890" s="21" t="n">
        <f aca="false">D888/D889</f>
        <v>129.84</v>
      </c>
      <c r="E890" s="21" t="n">
        <f aca="false">E888/E889</f>
        <v>160.88447604273</v>
      </c>
      <c r="F890" s="21" t="n">
        <f aca="false">F888/F889</f>
        <v>180.437510676841</v>
      </c>
      <c r="G890" s="21" t="n">
        <f aca="false">G888/G889</f>
        <v>192.441323532558</v>
      </c>
      <c r="H890" s="27" t="n">
        <f aca="false">H888/H889</f>
        <v>204.428934342052</v>
      </c>
      <c r="I890" s="27" t="n">
        <f aca="false">I888/I889</f>
        <v>218.613268532559</v>
      </c>
      <c r="J890" s="27" t="n">
        <f aca="false">J888/J889</f>
        <v>235.332379994851</v>
      </c>
    </row>
    <row r="891" customFormat="false" ht="17.15" hidden="false" customHeight="false" outlineLevel="0" collapsed="false">
      <c r="A891" s="0" t="s">
        <v>543</v>
      </c>
      <c r="B891" s="0" t="s">
        <v>78</v>
      </c>
      <c r="D891" s="17" t="n">
        <f aca="false">D890/C890-1</f>
        <v>-0.0615784908933218</v>
      </c>
      <c r="E891" s="17" t="n">
        <f aca="false">E890/D890-1</f>
        <v>0.239097936250232</v>
      </c>
      <c r="F891" s="17" t="n">
        <f aca="false">F890/E890-1</f>
        <v>0.121534626056264</v>
      </c>
      <c r="G891" s="17" t="n">
        <f aca="false">G890/F890-1</f>
        <v>0.0665261497495098</v>
      </c>
      <c r="H891" s="25" t="n">
        <f aca="false">H890/G890-1</f>
        <v>0.0622922903950338</v>
      </c>
      <c r="I891" s="25" t="n">
        <f aca="false">I890/H890-1</f>
        <v>0.0693851593765775</v>
      </c>
      <c r="J891" s="25" t="n">
        <f aca="false">J890/I890-1</f>
        <v>0.0764780270407108</v>
      </c>
    </row>
    <row r="892" customFormat="false" ht="15" hidden="false" customHeight="false" outlineLevel="0" collapsed="false">
      <c r="A892" s="4" t="s">
        <v>544</v>
      </c>
      <c r="B892" s="0" t="s">
        <v>78</v>
      </c>
      <c r="C892" s="14" t="n">
        <f aca="false">C888/C878</f>
        <v>0.0850371814696925</v>
      </c>
      <c r="D892" s="14" t="n">
        <f aca="false">D888/D878</f>
        <v>0.0713048498845266</v>
      </c>
      <c r="E892" s="14" t="n">
        <f aca="false">E888/E878</f>
        <v>0.0823411412560385</v>
      </c>
      <c r="F892" s="14" t="n">
        <f aca="false">F888/F878</f>
        <v>0.0869630328729567</v>
      </c>
      <c r="G892" s="14" t="n">
        <f aca="false">G888/G878</f>
        <v>0.0879239728786067</v>
      </c>
      <c r="H892" s="26" t="n">
        <f aca="false">$G892+(fade_mA-$G892)*1/3</f>
        <v>0.0879514336342272</v>
      </c>
      <c r="I892" s="26" t="n">
        <f aca="false">$G892+(fade_mA-$G892)*2/3</f>
        <v>0.0879788943898476</v>
      </c>
      <c r="J892" s="26" t="n">
        <f aca="false">$G892+(fade_mA-$G892)*3/3</f>
        <v>0.088006355145468</v>
      </c>
    </row>
    <row r="893" customFormat="false" ht="17.15" hidden="false" customHeight="false" outlineLevel="0" collapsed="false">
      <c r="A893" s="0" t="s">
        <v>545</v>
      </c>
      <c r="B893" s="0" t="s">
        <v>208</v>
      </c>
      <c r="D893" s="21" t="n">
        <f aca="false">D864*D887/D889</f>
        <v>42.1015841584158</v>
      </c>
      <c r="E893" s="21" t="n">
        <f aca="false">E864*E887/E889</f>
        <v>67.3763521795352</v>
      </c>
      <c r="F893" s="21" t="n">
        <f aca="false">F864*F887/F889</f>
        <v>83.4869397778505</v>
      </c>
      <c r="G893" s="21" t="n">
        <f aca="false">G864*G887/G889</f>
        <v>91.9100037998652</v>
      </c>
      <c r="K893" s="8" t="s">
        <v>546</v>
      </c>
    </row>
    <row r="894" customFormat="false" ht="17.15" hidden="false" customHeight="false" outlineLevel="0" collapsed="false">
      <c r="A894" s="0" t="s">
        <v>547</v>
      </c>
      <c r="B894" s="0" t="s">
        <v>208</v>
      </c>
      <c r="D894" s="21" t="n">
        <f aca="false">D890-D893</f>
        <v>87.7384158415842</v>
      </c>
      <c r="E894" s="21" t="n">
        <f aca="false">E890-E893</f>
        <v>93.5081238631949</v>
      </c>
      <c r="F894" s="21" t="n">
        <f aca="false">F890-F893</f>
        <v>96.9505708989907</v>
      </c>
      <c r="G894" s="21" t="n">
        <f aca="false">G890-G893</f>
        <v>100.531319732692</v>
      </c>
    </row>
    <row r="895" customFormat="false" ht="17.15" hidden="false" customHeight="false" outlineLevel="0" collapsed="false">
      <c r="A895" s="0" t="s">
        <v>548</v>
      </c>
      <c r="B895" s="0" t="s">
        <v>455</v>
      </c>
      <c r="D895" s="16" t="n">
        <f aca="false">D860/D850*1000/150</f>
        <v>23.5087719298246</v>
      </c>
      <c r="E895" s="16" t="n">
        <f aca="false">E860/E850*1000/150</f>
        <v>30.1617621884116</v>
      </c>
      <c r="F895" s="16" t="n">
        <f aca="false">F860/F850*1000/150</f>
        <v>36.5143464561404</v>
      </c>
      <c r="G895" s="16" t="n">
        <f aca="false">G860/G850*1000/150</f>
        <v>39.9173947725016</v>
      </c>
      <c r="K895" s="8" t="s">
        <v>549</v>
      </c>
    </row>
    <row r="898" customFormat="false" ht="17.15" hidden="false" customHeight="false" outlineLevel="0" collapsed="false">
      <c r="A898" s="1" t="s">
        <v>953</v>
      </c>
    </row>
    <row r="899" customFormat="false" ht="17.15" hidden="false" customHeight="false" outlineLevel="0" collapsed="false">
      <c r="A899" s="5" t="s">
        <v>20</v>
      </c>
      <c r="B899" s="5" t="s">
        <v>21</v>
      </c>
      <c r="C899" s="15" t="s">
        <v>398</v>
      </c>
      <c r="D899" s="15" t="s">
        <v>470</v>
      </c>
      <c r="E899" s="15" t="s">
        <v>435</v>
      </c>
      <c r="F899" s="15" t="s">
        <v>436</v>
      </c>
      <c r="G899" s="15" t="s">
        <v>437</v>
      </c>
      <c r="H899" s="15" t="s">
        <v>471</v>
      </c>
      <c r="I899" s="15" t="s">
        <v>472</v>
      </c>
      <c r="J899" s="15" t="s">
        <v>473</v>
      </c>
      <c r="K899" s="5" t="s">
        <v>377</v>
      </c>
    </row>
    <row r="900" customFormat="false" ht="17.15" hidden="false" customHeight="false" outlineLevel="0" collapsed="false">
      <c r="A900" s="6" t="s">
        <v>493</v>
      </c>
    </row>
    <row r="901" customFormat="false" ht="17.15" hidden="false" customHeight="false" outlineLevel="0" collapsed="false">
      <c r="A901" s="0" t="s">
        <v>494</v>
      </c>
      <c r="B901" s="4" t="s">
        <v>31</v>
      </c>
      <c r="D901" s="21" t="n">
        <f aca="false">unv_26</f>
        <v>7.6</v>
      </c>
      <c r="E901" s="21" t="n">
        <f aca="false">unv_27</f>
        <v>9.7</v>
      </c>
      <c r="F901" s="21" t="n">
        <f aca="false">unv_28*um28_A</f>
        <v>9.5</v>
      </c>
      <c r="G901" s="21" t="n">
        <f aca="false">unv_29*um29_A</f>
        <v>10.6</v>
      </c>
      <c r="K901" s="8" t="s">
        <v>495</v>
      </c>
    </row>
    <row r="902" customFormat="false" ht="17.15" hidden="false" customHeight="false" outlineLevel="0" collapsed="false">
      <c r="A902" s="4" t="s">
        <v>496</v>
      </c>
      <c r="B902" s="4" t="s">
        <v>31</v>
      </c>
      <c r="D902" s="21" t="n">
        <f aca="false">uot_26</f>
        <v>7.6</v>
      </c>
      <c r="E902" s="21" t="n">
        <f aca="false">uot_27</f>
        <v>14</v>
      </c>
      <c r="F902" s="21" t="n">
        <f aca="false">uot_28*um28_A</f>
        <v>17</v>
      </c>
      <c r="G902" s="21" t="n">
        <f aca="false">uot_29*um29_A</f>
        <v>19.55</v>
      </c>
      <c r="K902" s="8" t="s">
        <v>497</v>
      </c>
    </row>
    <row r="903" customFormat="false" ht="17.15" hidden="false" customHeight="false" outlineLevel="0" collapsed="false">
      <c r="A903" s="4" t="s">
        <v>498</v>
      </c>
      <c r="B903" s="4" t="s">
        <v>31</v>
      </c>
      <c r="D903" s="21" t="n">
        <f aca="false">D901+v_ot*D902</f>
        <v>13.68</v>
      </c>
      <c r="E903" s="21" t="n">
        <f aca="false">E901+v_ot*E902</f>
        <v>20.9</v>
      </c>
      <c r="F903" s="21" t="n">
        <f aca="false">F901+v_ot*F902</f>
        <v>23.1</v>
      </c>
      <c r="G903" s="21" t="n">
        <f aca="false">G901+v_ot*G902</f>
        <v>26.24</v>
      </c>
    </row>
    <row r="904" customFormat="false" ht="17.15" hidden="false" customHeight="false" outlineLevel="0" collapsed="false">
      <c r="A904" s="4" t="s">
        <v>499</v>
      </c>
      <c r="B904" s="0" t="s">
        <v>53</v>
      </c>
      <c r="D904" s="22" t="n">
        <f aca="false">1</f>
        <v>1</v>
      </c>
      <c r="E904" s="22" t="n">
        <f aca="false">D904*(1+g_asp)</f>
        <v>1.18</v>
      </c>
      <c r="F904" s="22" t="n">
        <f aca="false">E904*(1+g_asp)</f>
        <v>1.3924</v>
      </c>
      <c r="G904" s="22" t="n">
        <f aca="false">F904*(1+g_asp)</f>
        <v>1.643032</v>
      </c>
    </row>
    <row r="905" customFormat="false" ht="17.15" hidden="false" customHeight="false" outlineLevel="0" collapsed="false">
      <c r="A905" s="4" t="s">
        <v>500</v>
      </c>
      <c r="B905" s="0" t="s">
        <v>53</v>
      </c>
      <c r="D905" s="19" t="n">
        <f aca="false">1</f>
        <v>1</v>
      </c>
      <c r="E905" s="19" t="n">
        <f aca="false">rel_27</f>
        <v>1</v>
      </c>
      <c r="F905" s="19" t="n">
        <f aca="false">rel_28</f>
        <v>0.97</v>
      </c>
      <c r="G905" s="19" t="n">
        <f aca="false">rel_29</f>
        <v>0.95</v>
      </c>
    </row>
    <row r="906" customFormat="false" ht="17.15" hidden="false" customHeight="false" outlineLevel="0" collapsed="false">
      <c r="A906" s="0" t="s">
        <v>501</v>
      </c>
      <c r="B906" s="0" t="s">
        <v>53</v>
      </c>
      <c r="D906" s="22" t="n">
        <f aca="false">D903/$D903*D904*D905</f>
        <v>1</v>
      </c>
      <c r="E906" s="22" t="n">
        <f aca="false">E903/$D903*E904*E905</f>
        <v>1.80277777777778</v>
      </c>
      <c r="F906" s="22" t="n">
        <f aca="false">F903/$D903*F904*F905</f>
        <v>2.28066570175439</v>
      </c>
      <c r="G906" s="22" t="n">
        <f aca="false">G903/$D903*G904*G905</f>
        <v>2.99396942222222</v>
      </c>
      <c r="K906" s="4" t="s">
        <v>502</v>
      </c>
    </row>
    <row r="907" customFormat="false" ht="17.15" hidden="false" customHeight="false" outlineLevel="0" collapsed="false">
      <c r="A907" s="4" t="s">
        <v>503</v>
      </c>
      <c r="B907" s="0" t="s">
        <v>53</v>
      </c>
      <c r="D907" s="22" t="n">
        <f aca="false">1</f>
        <v>1</v>
      </c>
      <c r="E907" s="22" t="n">
        <f aca="false">D907*(1+g_nai)</f>
        <v>1.03</v>
      </c>
      <c r="F907" s="22" t="n">
        <f aca="false">E907*(1+g_nai)</f>
        <v>1.0609</v>
      </c>
      <c r="G907" s="22" t="n">
        <f aca="false">F907*(1+g_nai)</f>
        <v>1.092727</v>
      </c>
    </row>
    <row r="908" customFormat="false" ht="17.15" hidden="false" customHeight="false" outlineLevel="0" collapsed="false">
      <c r="A908" s="0" t="s">
        <v>504</v>
      </c>
      <c r="B908" s="0" t="s">
        <v>53</v>
      </c>
      <c r="D908" s="22" t="n">
        <f aca="false">ai_sh*D906+(1-ai_sh)*D907</f>
        <v>1</v>
      </c>
      <c r="E908" s="22" t="n">
        <f aca="false">ai_sh*E906+(1-ai_sh)*E907</f>
        <v>1.33911111111111</v>
      </c>
      <c r="F908" s="22" t="n">
        <f aca="false">ai_sh*F906+(1-ai_sh)*F907</f>
        <v>1.54880628070175</v>
      </c>
      <c r="G908" s="22" t="n">
        <f aca="false">ai_sh*G906+(1-ai_sh)*G907</f>
        <v>1.85322396888889</v>
      </c>
    </row>
    <row r="909" customFormat="false" ht="17.15" hidden="false" customHeight="false" outlineLevel="0" collapsed="false">
      <c r="A909" s="4" t="s">
        <v>505</v>
      </c>
      <c r="B909" s="0" t="s">
        <v>53</v>
      </c>
      <c r="D909" s="22" t="n">
        <f aca="false">1</f>
        <v>1</v>
      </c>
      <c r="E909" s="22" t="n">
        <f aca="false">cap_27</f>
        <v>1.3</v>
      </c>
      <c r="F909" s="22" t="n">
        <f aca="false">cap_28</f>
        <v>1.55</v>
      </c>
      <c r="G909" s="22" t="n">
        <f aca="false">cap_29</f>
        <v>1.8</v>
      </c>
      <c r="K909" s="4" t="s">
        <v>506</v>
      </c>
    </row>
    <row r="910" customFormat="false" ht="17.15" hidden="false" customHeight="false" outlineLevel="0" collapsed="false">
      <c r="A910" s="4" t="s">
        <v>507</v>
      </c>
      <c r="B910" s="0" t="s">
        <v>53</v>
      </c>
      <c r="D910" s="22" t="n">
        <f aca="false">MIN(D908,D909)</f>
        <v>1</v>
      </c>
      <c r="E910" s="22" t="n">
        <f aca="false">MIN(E908,E909)</f>
        <v>1.3</v>
      </c>
      <c r="F910" s="22" t="n">
        <f aca="false">MIN(F908,F909)</f>
        <v>1.54880628070175</v>
      </c>
      <c r="G910" s="22" t="n">
        <f aca="false">MIN(G908,G909)</f>
        <v>1.8</v>
      </c>
    </row>
    <row r="911" customFormat="false" ht="17.15" hidden="false" customHeight="false" outlineLevel="0" collapsed="false">
      <c r="A911" s="4" t="s">
        <v>508</v>
      </c>
      <c r="B911" s="0" t="s">
        <v>78</v>
      </c>
      <c r="D911" s="17" t="n">
        <f aca="false">D910/D908</f>
        <v>1</v>
      </c>
      <c r="E911" s="17" t="n">
        <f aca="false">E910/E908</f>
        <v>0.970793229339529</v>
      </c>
      <c r="F911" s="17" t="n">
        <f aca="false">F910/F908</f>
        <v>1</v>
      </c>
      <c r="G911" s="17" t="n">
        <f aca="false">G910/G908</f>
        <v>0.971280336439422</v>
      </c>
      <c r="K911" s="4" t="s">
        <v>509</v>
      </c>
    </row>
    <row r="912" customFormat="false" ht="17.15" hidden="false" customHeight="false" outlineLevel="0" collapsed="false">
      <c r="A912" s="0" t="s">
        <v>510</v>
      </c>
      <c r="B912" s="0" t="s">
        <v>53</v>
      </c>
      <c r="D912" s="22" t="n">
        <f aca="false">1</f>
        <v>1</v>
      </c>
      <c r="E912" s="22" t="n">
        <f aca="false">pp_27</f>
        <v>1.12</v>
      </c>
      <c r="F912" s="22" t="n">
        <f aca="false">pp_28*sp_A</f>
        <v>1.15</v>
      </c>
      <c r="G912" s="22" t="n">
        <f aca="false">pp_29*sp_A</f>
        <v>1.12</v>
      </c>
      <c r="K912" s="8" t="s">
        <v>511</v>
      </c>
    </row>
    <row r="913" customFormat="false" ht="17.15" hidden="false" customHeight="false" outlineLevel="0" collapsed="false">
      <c r="A913" s="0" t="s">
        <v>452</v>
      </c>
      <c r="B913" s="0" t="s">
        <v>170</v>
      </c>
      <c r="D913" s="16" t="n">
        <f aca="false">q26_fm*ai_sh</f>
        <v>48.24</v>
      </c>
      <c r="E913" s="16" t="n">
        <f aca="false">q26_fm*ai_sh*E906*E911*E912</f>
        <v>94.5571244606705</v>
      </c>
      <c r="F913" s="16" t="n">
        <f aca="false">q26_fm*ai_sh*F906*F911*F912</f>
        <v>126.522210470526</v>
      </c>
      <c r="G913" s="16" t="n">
        <f aca="false">q26_fm*ai_sh*G906*G911*G912</f>
        <v>157.114865824566</v>
      </c>
      <c r="K913" s="8" t="s">
        <v>512</v>
      </c>
    </row>
    <row r="914" customFormat="false" ht="17.15" hidden="false" customHeight="false" outlineLevel="0" collapsed="false">
      <c r="A914" s="0" t="s">
        <v>513</v>
      </c>
      <c r="B914" s="0" t="s">
        <v>170</v>
      </c>
      <c r="D914" s="16" t="n">
        <f aca="false">q26_fm*(1-ai_sh)</f>
        <v>72.36</v>
      </c>
      <c r="E914" s="16" t="n">
        <f aca="false">q26_fm*(1-ai_sh)*E907*E911*E912</f>
        <v>81.0364755393296</v>
      </c>
      <c r="F914" s="16" t="n">
        <f aca="false">q26_fm*(1-ai_sh)*F907*F911*F912</f>
        <v>88.2817326</v>
      </c>
      <c r="G914" s="16" t="n">
        <f aca="false">q26_fm*(1-ai_sh)*G907*G911*G912</f>
        <v>86.0147341754337</v>
      </c>
    </row>
    <row r="915" customFormat="false" ht="17.15" hidden="false" customHeight="false" outlineLevel="0" collapsed="false">
      <c r="A915" s="4" t="s">
        <v>514</v>
      </c>
      <c r="B915" s="0" t="s">
        <v>170</v>
      </c>
      <c r="C915" s="16" t="n">
        <f aca="false">q25_fm</f>
        <v>102.4512</v>
      </c>
      <c r="D915" s="16" t="n">
        <f aca="false">D913+D914</f>
        <v>120.6</v>
      </c>
      <c r="E915" s="16" t="n">
        <f aca="false">E913+E914</f>
        <v>175.5936</v>
      </c>
      <c r="F915" s="16" t="n">
        <f aca="false">F913+F914</f>
        <v>214.803943070526</v>
      </c>
      <c r="G915" s="16" t="n">
        <f aca="false">G913+G914</f>
        <v>243.1296</v>
      </c>
    </row>
    <row r="916" customFormat="false" ht="17.15" hidden="false" customHeight="false" outlineLevel="0" collapsed="false">
      <c r="A916" s="0" t="s">
        <v>515</v>
      </c>
      <c r="B916" s="0" t="s">
        <v>78</v>
      </c>
      <c r="C916" s="17" t="n">
        <f aca="false">q25_fmbp/q25_fm</f>
        <v>0.532936656671664</v>
      </c>
      <c r="D916" s="17" t="n">
        <f aca="false">q26_fmbp/q26_fm</f>
        <v>0.543117744610282</v>
      </c>
      <c r="E916" s="17" t="n">
        <f aca="false">1-(1-$D916)*(1+c_g)^1/E912</f>
        <v>0.579831497275527</v>
      </c>
      <c r="F916" s="17" t="n">
        <f aca="false">1-(1-$D916)*(1+c_g)^2/F912</f>
        <v>0.578516187180042</v>
      </c>
      <c r="G916" s="17" t="n">
        <f aca="false">1-(1-$D916)*(1+c_g)^3/G912</f>
        <v>0.554243235459607</v>
      </c>
      <c r="K916" s="8" t="s">
        <v>516</v>
      </c>
    </row>
    <row r="917" customFormat="false" ht="17.15" hidden="false" customHeight="false" outlineLevel="0" collapsed="false">
      <c r="A917" s="0" t="s">
        <v>478</v>
      </c>
      <c r="B917" s="0" t="s">
        <v>170</v>
      </c>
      <c r="C917" s="16" t="n">
        <f aca="false">q25_fmbp</f>
        <v>54.6</v>
      </c>
      <c r="D917" s="16" t="n">
        <f aca="false">D915*D916</f>
        <v>65.5</v>
      </c>
      <c r="E917" s="16" t="n">
        <f aca="false">E915*E916</f>
        <v>101.8147</v>
      </c>
      <c r="F917" s="16" t="n">
        <f aca="false">F915*F916</f>
        <v>124.2675581364</v>
      </c>
      <c r="G917" s="16" t="n">
        <f aca="false">G915*G916</f>
        <v>134.75293614</v>
      </c>
    </row>
    <row r="918" customFormat="false" ht="17.15" hidden="false" customHeight="false" outlineLevel="0" collapsed="false">
      <c r="A918" s="6" t="s">
        <v>517</v>
      </c>
    </row>
    <row r="919" customFormat="false" ht="15" hidden="false" customHeight="false" outlineLevel="0" collapsed="false">
      <c r="A919" s="4" t="s">
        <v>518</v>
      </c>
      <c r="B919" s="0" t="s">
        <v>170</v>
      </c>
      <c r="C919" s="16" t="n">
        <f aca="false">q25_sf</f>
        <v>936.926</v>
      </c>
      <c r="D919" s="16" t="n">
        <f aca="false">q26_sf</f>
        <v>998.6</v>
      </c>
      <c r="E919" s="16" t="n">
        <f aca="false">D919*(1+g_sf)</f>
        <v>1038.544</v>
      </c>
      <c r="F919" s="16" t="n">
        <f aca="false">E919*(1+g_sf)</f>
        <v>1080.08576</v>
      </c>
      <c r="G919" s="16" t="n">
        <f aca="false">F919*(1+g_sf)</f>
        <v>1123.2891904</v>
      </c>
    </row>
    <row r="920" customFormat="false" ht="15" hidden="false" customHeight="false" outlineLevel="0" collapsed="false">
      <c r="A920" s="4" t="s">
        <v>519</v>
      </c>
      <c r="B920" s="0" t="s">
        <v>170</v>
      </c>
      <c r="C920" s="16" t="n">
        <f aca="false">q25_sfbp</f>
        <v>143.036</v>
      </c>
      <c r="D920" s="16" t="n">
        <f aca="false">q26_sfbp</f>
        <v>145.9</v>
      </c>
      <c r="E920" s="16" t="n">
        <f aca="false">E919*m_sf</f>
        <v>151.736</v>
      </c>
      <c r="F920" s="16" t="n">
        <f aca="false">F919*m_sf</f>
        <v>157.80544</v>
      </c>
      <c r="G920" s="16" t="n">
        <f aca="false">G919*m_sf</f>
        <v>164.1176576</v>
      </c>
    </row>
    <row r="921" customFormat="false" ht="15" hidden="false" customHeight="false" outlineLevel="0" collapsed="false">
      <c r="A921" s="4" t="s">
        <v>520</v>
      </c>
      <c r="B921" s="0" t="s">
        <v>170</v>
      </c>
      <c r="C921" s="16" t="n">
        <f aca="false">q25_ff</f>
        <v>290.308</v>
      </c>
      <c r="D921" s="16" t="n">
        <f aca="false">q26_ff</f>
        <v>310.6</v>
      </c>
      <c r="E921" s="16" t="n">
        <f aca="false">D921*(1+g_ff)</f>
        <v>319.918</v>
      </c>
      <c r="F921" s="16" t="n">
        <f aca="false">E921*(1+g_ff)</f>
        <v>329.51554</v>
      </c>
      <c r="G921" s="16" t="n">
        <f aca="false">F921*(1+g_ff)</f>
        <v>339.4010062</v>
      </c>
    </row>
    <row r="922" customFormat="false" ht="15" hidden="false" customHeight="false" outlineLevel="0" collapsed="false">
      <c r="A922" s="4" t="s">
        <v>521</v>
      </c>
      <c r="B922" s="0" t="s">
        <v>170</v>
      </c>
      <c r="C922" s="16" t="n">
        <f aca="false">q25_ffbp</f>
        <v>8.457</v>
      </c>
      <c r="D922" s="16" t="n">
        <f aca="false">q26_ffbp</f>
        <v>12.1</v>
      </c>
      <c r="E922" s="16" t="n">
        <f aca="false">E921*m_ff_hi</f>
        <v>19.19508</v>
      </c>
      <c r="F922" s="16" t="n">
        <f aca="false">F921*m_ff_hi</f>
        <v>19.7709324</v>
      </c>
      <c r="G922" s="16" t="n">
        <f aca="false">G921*m_ff_hi</f>
        <v>20.364060372</v>
      </c>
    </row>
    <row r="923" customFormat="false" ht="17.15" hidden="false" customHeight="false" outlineLevel="0" collapsed="false">
      <c r="A923" s="4" t="s">
        <v>522</v>
      </c>
      <c r="B923" s="0" t="s">
        <v>170</v>
      </c>
      <c r="C923" s="16" t="n">
        <f aca="false">q25_hox</f>
        <v>239.0528</v>
      </c>
      <c r="D923" s="16" t="n">
        <f aca="false">q26_hox</f>
        <v>286.2</v>
      </c>
      <c r="E923" s="16" t="n">
        <f aca="false">D923*(1+g_ho)</f>
        <v>300.51</v>
      </c>
      <c r="F923" s="16" t="n">
        <f aca="false">E923*(1+g_ho)</f>
        <v>315.5355</v>
      </c>
      <c r="G923" s="16" t="n">
        <f aca="false">F923*(1+g_ho)</f>
        <v>331.312275</v>
      </c>
    </row>
    <row r="924" customFormat="false" ht="17.15" hidden="false" customHeight="false" outlineLevel="0" collapsed="false">
      <c r="A924" s="4" t="s">
        <v>523</v>
      </c>
      <c r="B924" s="0" t="s">
        <v>170</v>
      </c>
      <c r="C924" s="16" t="n">
        <f aca="false">q25_hoxbp</f>
        <v>11.602</v>
      </c>
      <c r="D924" s="16" t="n">
        <f aca="false">q26_hoxbp</f>
        <v>19.5</v>
      </c>
      <c r="E924" s="16" t="n">
        <f aca="false">E923*m_ho</f>
        <v>20.475</v>
      </c>
      <c r="F924" s="16" t="n">
        <f aca="false">F923*m_ho</f>
        <v>21.49875</v>
      </c>
      <c r="G924" s="16" t="n">
        <f aca="false">G923*m_ho</f>
        <v>22.5736875</v>
      </c>
    </row>
    <row r="925" customFormat="false" ht="17.15" hidden="false" customHeight="false" outlineLevel="0" collapsed="false">
      <c r="A925" s="4" t="s">
        <v>524</v>
      </c>
      <c r="B925" s="0" t="s">
        <v>170</v>
      </c>
      <c r="C925" s="16" t="n">
        <f aca="false">q25_oth</f>
        <v>14.979</v>
      </c>
      <c r="D925" s="16" t="n">
        <f aca="false">q26_oth</f>
        <v>15.8</v>
      </c>
      <c r="E925" s="16" t="n">
        <f aca="false">D925</f>
        <v>15.8</v>
      </c>
      <c r="F925" s="16" t="n">
        <f aca="false">E925</f>
        <v>15.8</v>
      </c>
      <c r="G925" s="16" t="n">
        <f aca="false">F925</f>
        <v>15.8</v>
      </c>
      <c r="K925" s="8" t="s">
        <v>525</v>
      </c>
    </row>
    <row r="926" customFormat="false" ht="15" hidden="false" customHeight="false" outlineLevel="0" collapsed="false">
      <c r="A926" s="4" t="s">
        <v>526</v>
      </c>
      <c r="B926" s="0" t="s">
        <v>170</v>
      </c>
      <c r="C926" s="16" t="n">
        <f aca="false">q25_othbp</f>
        <v>6.064</v>
      </c>
      <c r="D926" s="16" t="n">
        <f aca="false">q26_othbp</f>
        <v>5.1</v>
      </c>
      <c r="E926" s="16" t="n">
        <f aca="false">q26_othbp</f>
        <v>5.1</v>
      </c>
      <c r="F926" s="16" t="n">
        <f aca="false">q26_othbp</f>
        <v>5.1</v>
      </c>
      <c r="G926" s="16" t="n">
        <f aca="false">q26_othbp</f>
        <v>5.1</v>
      </c>
    </row>
    <row r="927" customFormat="false" ht="15" hidden="false" customHeight="false" outlineLevel="0" collapsed="false">
      <c r="A927" s="4" t="s">
        <v>527</v>
      </c>
      <c r="B927" s="0" t="s">
        <v>170</v>
      </c>
      <c r="C927" s="16" t="n">
        <f aca="false">q25_cc</f>
        <v>-42.597</v>
      </c>
      <c r="D927" s="16" t="n">
        <f aca="false">q26_cc</f>
        <v>-46.2</v>
      </c>
      <c r="E927" s="16" t="n">
        <f aca="false">D927*(1+g_cc)</f>
        <v>-47.586</v>
      </c>
      <c r="F927" s="16" t="n">
        <f aca="false">E927*(1+g_cc)</f>
        <v>-49.01358</v>
      </c>
      <c r="G927" s="16" t="n">
        <f aca="false">F927*(1+g_cc)</f>
        <v>-50.4839874</v>
      </c>
    </row>
    <row r="928" customFormat="false" ht="17.15" hidden="false" customHeight="false" outlineLevel="0" collapsed="false">
      <c r="A928" s="4" t="s">
        <v>528</v>
      </c>
      <c r="B928" s="0" t="s">
        <v>170</v>
      </c>
      <c r="C928" s="28" t="n">
        <f aca="false">a_rev-(q25_sf+q25_ff+q25_hox+q25_fm+q25_oth)</f>
        <v>0.00200000000018008</v>
      </c>
      <c r="D928" s="28" t="n">
        <f aca="false">f_rev-(q26_sf+q26_ff+q26_hox+q26_fm+q26_oth)</f>
        <v>0.200000000000045</v>
      </c>
      <c r="E928" s="28" t="n">
        <f aca="false">$D928</f>
        <v>0.200000000000045</v>
      </c>
      <c r="F928" s="28" t="n">
        <f aca="false">$D928</f>
        <v>0.200000000000045</v>
      </c>
      <c r="G928" s="28" t="n">
        <f aca="false">$D928</f>
        <v>0.200000000000045</v>
      </c>
      <c r="K928" s="8" t="s">
        <v>529</v>
      </c>
    </row>
    <row r="929" customFormat="false" ht="15" hidden="false" customHeight="false" outlineLevel="0" collapsed="false">
      <c r="A929" s="4" t="s">
        <v>530</v>
      </c>
      <c r="B929" s="0" t="s">
        <v>170</v>
      </c>
      <c r="C929" s="28" t="n">
        <f aca="false">a_bp-(q25_sfbp+q25_ffbp+q25_hoxbp+q25_fmbp+q25_othbp+q25_cc)</f>
        <v>0.0010000000000332</v>
      </c>
      <c r="D929" s="28" t="n">
        <f aca="false">f_bp-(q26_sfbp+q26_ffbp+q26_hoxbp+q26_fmbp+q26_othbp+q26_cc)</f>
        <v>0.100000000000023</v>
      </c>
      <c r="E929" s="28" t="n">
        <f aca="false">$D929</f>
        <v>0.100000000000023</v>
      </c>
      <c r="F929" s="28" t="n">
        <f aca="false">$D929</f>
        <v>0.100000000000023</v>
      </c>
      <c r="G929" s="28" t="n">
        <f aca="false">$D929</f>
        <v>0.100000000000023</v>
      </c>
    </row>
    <row r="930" customFormat="false" ht="17.15" hidden="false" customHeight="false" outlineLevel="0" collapsed="false">
      <c r="A930" s="6" t="s">
        <v>531</v>
      </c>
    </row>
    <row r="931" customFormat="false" ht="17.15" hidden="false" customHeight="false" outlineLevel="0" collapsed="false">
      <c r="A931" s="4" t="s">
        <v>403</v>
      </c>
      <c r="B931" s="0" t="s">
        <v>170</v>
      </c>
      <c r="C931" s="16" t="n">
        <f aca="false">C919+C921+C923+C915+C925+C928</f>
        <v>1583.719</v>
      </c>
      <c r="D931" s="16" t="n">
        <f aca="false">D919+D921+D923+D915+D925+D928</f>
        <v>1732</v>
      </c>
      <c r="E931" s="16" t="n">
        <f aca="false">E919+E921+E923+E915+E925+E928</f>
        <v>1850.5656</v>
      </c>
      <c r="F931" s="16" t="n">
        <f aca="false">F919+F921+F923+F915+F925+F928</f>
        <v>1955.94074307053</v>
      </c>
      <c r="G931" s="16" t="n">
        <f aca="false">G919+G921+G923+G915+G925+G928</f>
        <v>2053.1320716</v>
      </c>
      <c r="H931" s="24" t="n">
        <f aca="false">G931*(1+H935)</f>
        <v>2162.20857776426</v>
      </c>
      <c r="I931" s="24" t="n">
        <f aca="false">H931*(1+I935)</f>
        <v>2284.5105355383</v>
      </c>
      <c r="J931" s="24" t="n">
        <f aca="false">I931*(1+J935)</f>
        <v>2421.5811676706</v>
      </c>
      <c r="K931" s="8" t="s">
        <v>532</v>
      </c>
    </row>
    <row r="932" customFormat="false" ht="17.15" hidden="false" customHeight="false" outlineLevel="0" collapsed="false">
      <c r="A932" s="4" t="s">
        <v>533</v>
      </c>
      <c r="B932" s="0" t="s">
        <v>170</v>
      </c>
      <c r="C932" s="16" t="n">
        <f aca="false">C915+C923</f>
        <v>341.504</v>
      </c>
      <c r="D932" s="16" t="n">
        <f aca="false">D915+D923</f>
        <v>406.8</v>
      </c>
      <c r="E932" s="16" t="n">
        <f aca="false">E915+E923</f>
        <v>476.1036</v>
      </c>
      <c r="F932" s="16" t="n">
        <f aca="false">F915+F923</f>
        <v>530.339443070526</v>
      </c>
      <c r="G932" s="16" t="n">
        <f aca="false">G915+G923</f>
        <v>574.441875</v>
      </c>
      <c r="K932" s="4" t="s">
        <v>534</v>
      </c>
    </row>
    <row r="933" customFormat="false" ht="17.15" hidden="false" customHeight="false" outlineLevel="0" collapsed="false">
      <c r="A933" s="4" t="s">
        <v>535</v>
      </c>
      <c r="B933" s="0" t="s">
        <v>170</v>
      </c>
      <c r="C933" s="16" t="n">
        <f aca="false">C925+C928</f>
        <v>14.9810000000002</v>
      </c>
      <c r="D933" s="16" t="n">
        <f aca="false">D925+D928</f>
        <v>16</v>
      </c>
      <c r="E933" s="16" t="n">
        <f aca="false">E925+E928</f>
        <v>16</v>
      </c>
      <c r="F933" s="16" t="n">
        <f aca="false">F925+F928</f>
        <v>16</v>
      </c>
      <c r="G933" s="16" t="n">
        <f aca="false">G925+G928</f>
        <v>16</v>
      </c>
      <c r="K933" s="8" t="s">
        <v>536</v>
      </c>
    </row>
    <row r="934" customFormat="false" ht="15" hidden="false" customHeight="false" outlineLevel="0" collapsed="false">
      <c r="A934" s="4" t="s">
        <v>537</v>
      </c>
      <c r="B934" s="0" t="s">
        <v>170</v>
      </c>
      <c r="C934" s="22" t="n">
        <f aca="false">C919+C921+C932+C933-C931</f>
        <v>0</v>
      </c>
      <c r="D934" s="22" t="n">
        <f aca="false">D919+D921+D932+D933-D931</f>
        <v>0</v>
      </c>
      <c r="E934" s="22" t="n">
        <f aca="false">E919+E921+E932+E933-E931</f>
        <v>0</v>
      </c>
      <c r="F934" s="22" t="n">
        <f aca="false">F919+F921+F932+F933-F931</f>
        <v>0</v>
      </c>
      <c r="G934" s="22" t="n">
        <f aca="false">G919+G921+G932+G933-G931</f>
        <v>0</v>
      </c>
    </row>
    <row r="935" customFormat="false" ht="15" hidden="false" customHeight="false" outlineLevel="0" collapsed="false">
      <c r="A935" s="4" t="s">
        <v>538</v>
      </c>
      <c r="B935" s="0" t="s">
        <v>78</v>
      </c>
      <c r="D935" s="17" t="n">
        <f aca="false">D931/C931-1</f>
        <v>0.0936283519993131</v>
      </c>
      <c r="E935" s="17" t="n">
        <f aca="false">E931/D931-1</f>
        <v>0.0684558891454965</v>
      </c>
      <c r="F935" s="17" t="n">
        <f aca="false">F931/E931-1</f>
        <v>0.0569421278935081</v>
      </c>
      <c r="G935" s="17" t="n">
        <f aca="false">G931/F931-1</f>
        <v>0.0496903236326567</v>
      </c>
      <c r="H935" s="25" t="n">
        <f aca="false">$G935+(fade_gA-$G935)*1/3</f>
        <v>0.0531268824217711</v>
      </c>
      <c r="I935" s="25" t="n">
        <f aca="false">$G935+(fade_gA-$G935)*2/3</f>
        <v>0.0565634412108856</v>
      </c>
      <c r="J935" s="25" t="n">
        <f aca="false">$G935+(fade_gA-$G935)*3/3</f>
        <v>0.06</v>
      </c>
    </row>
    <row r="936" customFormat="false" ht="17.15" hidden="false" customHeight="false" outlineLevel="0" collapsed="false">
      <c r="A936" s="0" t="s">
        <v>539</v>
      </c>
      <c r="B936" s="0" t="s">
        <v>78</v>
      </c>
      <c r="C936" s="17" t="n">
        <f aca="false">C915/C931</f>
        <v>0.0646902638662541</v>
      </c>
      <c r="D936" s="17" t="n">
        <f aca="false">D915/D931</f>
        <v>0.0696304849884527</v>
      </c>
      <c r="E936" s="17" t="n">
        <f aca="false">E915/E931</f>
        <v>0.0948864498507916</v>
      </c>
      <c r="F936" s="17" t="n">
        <f aca="false">F915/F931</f>
        <v>0.109821293835987</v>
      </c>
      <c r="G936" s="17" t="n">
        <f aca="false">G915/G931</f>
        <v>0.118418879799842</v>
      </c>
    </row>
    <row r="937" customFormat="false" ht="15" hidden="false" customHeight="false" outlineLevel="0" collapsed="false">
      <c r="A937" s="4" t="s">
        <v>413</v>
      </c>
      <c r="B937" s="0" t="s">
        <v>170</v>
      </c>
      <c r="C937" s="16" t="n">
        <f aca="false">C920+C922+C924+C917+C926+C927+C929</f>
        <v>181.163</v>
      </c>
      <c r="D937" s="16" t="n">
        <f aca="false">D920+D922+D924+D917+D926+D927+D929</f>
        <v>202</v>
      </c>
      <c r="E937" s="16" t="n">
        <f aca="false">E920+E922+E924+E917+E926+E927+E929</f>
        <v>250.83478</v>
      </c>
      <c r="F937" s="16" t="n">
        <f aca="false">F920+F922+F924+F917+F926+F927+F929</f>
        <v>279.5291005364</v>
      </c>
      <c r="G937" s="16" t="n">
        <f aca="false">G920+G922+G924+G917+G926+G927+G929</f>
        <v>296.524354212</v>
      </c>
    </row>
    <row r="938" customFormat="false" ht="15" hidden="false" customHeight="false" outlineLevel="0" collapsed="false">
      <c r="A938" s="4" t="s">
        <v>429</v>
      </c>
      <c r="B938" s="0" t="s">
        <v>78</v>
      </c>
      <c r="C938" s="17" t="n">
        <f aca="false">C937/C931</f>
        <v>0.114390873633517</v>
      </c>
      <c r="D938" s="17" t="n">
        <f aca="false">D937/D931</f>
        <v>0.11662817551963</v>
      </c>
      <c r="E938" s="17" t="n">
        <f aca="false">E937/E931</f>
        <v>0.135544927453531</v>
      </c>
      <c r="F938" s="17" t="n">
        <f aca="false">F937/F931</f>
        <v>0.142912867645255</v>
      </c>
      <c r="G938" s="17" t="n">
        <f aca="false">G937/G931</f>
        <v>0.144425367619395</v>
      </c>
    </row>
    <row r="939" customFormat="false" ht="17.15" hidden="false" customHeight="false" outlineLevel="0" collapsed="false">
      <c r="A939" s="0" t="s">
        <v>540</v>
      </c>
      <c r="B939" s="0" t="s">
        <v>78</v>
      </c>
      <c r="C939" s="17" t="n">
        <f aca="false">C917/C937</f>
        <v>0.301386044611758</v>
      </c>
      <c r="D939" s="17" t="n">
        <f aca="false">D917/D937</f>
        <v>0.324257425742574</v>
      </c>
      <c r="E939" s="17" t="n">
        <f aca="false">E917/E937</f>
        <v>0.405903439706408</v>
      </c>
      <c r="F939" s="17" t="n">
        <f aca="false">F917/F937</f>
        <v>0.444560362044372</v>
      </c>
      <c r="G939" s="17" t="n">
        <f aca="false">G917/G937</f>
        <v>0.454441378004514</v>
      </c>
    </row>
    <row r="940" customFormat="false" ht="17.15" hidden="false" customHeight="false" outlineLevel="0" collapsed="false">
      <c r="A940" s="4" t="s">
        <v>430</v>
      </c>
      <c r="B940" s="0" t="s">
        <v>53</v>
      </c>
      <c r="C940" s="22" t="n">
        <f aca="false">q25_ni/q25_bp</f>
        <v>0.743391310587703</v>
      </c>
      <c r="D940" s="22" t="n">
        <f aca="false">q26_ni/q26_bp</f>
        <v>0.611386138613861</v>
      </c>
      <c r="E940" s="22" t="n">
        <f aca="false">ni_bp</f>
        <v>0.62</v>
      </c>
      <c r="F940" s="22" t="n">
        <f aca="false">ni_bp</f>
        <v>0.62</v>
      </c>
      <c r="G940" s="22" t="n">
        <f aca="false">ni_bp</f>
        <v>0.62</v>
      </c>
    </row>
    <row r="941" customFormat="false" ht="15" hidden="false" customHeight="false" outlineLevel="0" collapsed="false">
      <c r="A941" s="4" t="s">
        <v>420</v>
      </c>
      <c r="B941" s="0" t="s">
        <v>170</v>
      </c>
      <c r="C941" s="16" t="n">
        <f aca="false">q25_ni</f>
        <v>134.675</v>
      </c>
      <c r="D941" s="16" t="n">
        <f aca="false">q26_ni</f>
        <v>123.5</v>
      </c>
      <c r="E941" s="16" t="n">
        <f aca="false">E937*E940</f>
        <v>155.5175636</v>
      </c>
      <c r="F941" s="16" t="n">
        <f aca="false">F937*F940</f>
        <v>173.308042332568</v>
      </c>
      <c r="G941" s="16" t="n">
        <f aca="false">G937*G940</f>
        <v>183.84509961144</v>
      </c>
      <c r="H941" s="24" t="n">
        <f aca="false">H931*H945</f>
        <v>192.50417639931</v>
      </c>
      <c r="I941" s="24" t="n">
        <f aca="false">I931*I945</f>
        <v>202.222160294035</v>
      </c>
      <c r="J941" s="24" t="n">
        <f aca="false">J931*J945</f>
        <v>213.114532255596</v>
      </c>
    </row>
    <row r="942" customFormat="false" ht="15" hidden="false" customHeight="false" outlineLevel="0" collapsed="false">
      <c r="A942" s="4" t="s">
        <v>541</v>
      </c>
      <c r="B942" s="4" t="s">
        <v>317</v>
      </c>
      <c r="C942" s="20" t="n">
        <f aca="false">q25_sh</f>
        <v>0.973366579936398</v>
      </c>
      <c r="D942" s="20" t="n">
        <f aca="false">q26_sh</f>
        <v>0.95117067159581</v>
      </c>
      <c r="E942" s="20" t="n">
        <f aca="false">D942*(1+sh_g)</f>
        <v>0.936903111521873</v>
      </c>
      <c r="F942" s="20" t="n">
        <f aca="false">E942*(1+sh_g)</f>
        <v>0.922849564849045</v>
      </c>
      <c r="G942" s="20" t="n">
        <f aca="false">F942*(1+sh_g)</f>
        <v>0.909006821376309</v>
      </c>
      <c r="H942" s="29" t="n">
        <f aca="false">G942*(1+sh_g)</f>
        <v>0.895371719055665</v>
      </c>
      <c r="I942" s="29" t="n">
        <f aca="false">H942*(1+sh_g)</f>
        <v>0.88194114326983</v>
      </c>
      <c r="J942" s="29" t="n">
        <f aca="false">I942*(1+sh_g)</f>
        <v>0.868712026120782</v>
      </c>
    </row>
    <row r="943" customFormat="false" ht="17.15" hidden="false" customHeight="false" outlineLevel="0" collapsed="false">
      <c r="A943" s="0" t="s">
        <v>542</v>
      </c>
      <c r="B943" s="0" t="s">
        <v>208</v>
      </c>
      <c r="C943" s="21" t="n">
        <f aca="false">C941/C942</f>
        <v>138.36</v>
      </c>
      <c r="D943" s="21" t="n">
        <f aca="false">D941/D942</f>
        <v>129.84</v>
      </c>
      <c r="E943" s="21" t="n">
        <f aca="false">E941/E942</f>
        <v>165.991084550229</v>
      </c>
      <c r="F943" s="21" t="n">
        <f aca="false">F941/F942</f>
        <v>187.796634396113</v>
      </c>
      <c r="G943" s="21" t="n">
        <f aca="false">G941/G942</f>
        <v>202.248316831203</v>
      </c>
      <c r="H943" s="27" t="n">
        <f aca="false">H941/H942</f>
        <v>214.999169956297</v>
      </c>
      <c r="I943" s="27" t="n">
        <f aca="false">I941/I942</f>
        <v>229.292126620024</v>
      </c>
      <c r="J943" s="27" t="n">
        <f aca="false">J941/J942</f>
        <v>245.322415078395</v>
      </c>
    </row>
    <row r="944" customFormat="false" ht="17.15" hidden="false" customHeight="false" outlineLevel="0" collapsed="false">
      <c r="A944" s="0" t="s">
        <v>543</v>
      </c>
      <c r="B944" s="0" t="s">
        <v>78</v>
      </c>
      <c r="D944" s="17" t="n">
        <f aca="false">D943/C943-1</f>
        <v>-0.0615784908933218</v>
      </c>
      <c r="E944" s="17" t="n">
        <f aca="false">E943/D943-1</f>
        <v>0.278427946320311</v>
      </c>
      <c r="F944" s="17" t="n">
        <f aca="false">F943/E943-1</f>
        <v>0.131365789343253</v>
      </c>
      <c r="G944" s="17" t="n">
        <f aca="false">G943/F943-1</f>
        <v>0.0769538947359798</v>
      </c>
      <c r="H944" s="25" t="n">
        <f aca="false">H943/G943-1</f>
        <v>0.0630455339499114</v>
      </c>
      <c r="I944" s="25" t="n">
        <f aca="false">I943/H943-1</f>
        <v>0.066479124857241</v>
      </c>
      <c r="J944" s="25" t="n">
        <f aca="false">J943/I943-1</f>
        <v>0.0699120754588118</v>
      </c>
    </row>
    <row r="945" customFormat="false" ht="15" hidden="false" customHeight="false" outlineLevel="0" collapsed="false">
      <c r="A945" s="4" t="s">
        <v>544</v>
      </c>
      <c r="B945" s="0" t="s">
        <v>78</v>
      </c>
      <c r="C945" s="14" t="n">
        <f aca="false">C941/C931</f>
        <v>0.0850371814696925</v>
      </c>
      <c r="D945" s="14" t="n">
        <f aca="false">D941/D931</f>
        <v>0.0713048498845266</v>
      </c>
      <c r="E945" s="14" t="n">
        <f aca="false">E941/E931</f>
        <v>0.0840378550211892</v>
      </c>
      <c r="F945" s="14" t="n">
        <f aca="false">F941/F931</f>
        <v>0.0886059779400581</v>
      </c>
      <c r="G945" s="14" t="n">
        <f aca="false">G941/G931</f>
        <v>0.0895437279240249</v>
      </c>
      <c r="H945" s="26" t="n">
        <f aca="false">$G945+(fade_mA-$G945)*1/3</f>
        <v>0.0890312703311726</v>
      </c>
      <c r="I945" s="26" t="n">
        <f aca="false">$G945+(fade_mA-$G945)*2/3</f>
        <v>0.0885188127383203</v>
      </c>
      <c r="J945" s="26" t="n">
        <f aca="false">$G945+(fade_mA-$G945)*3/3</f>
        <v>0.088006355145468</v>
      </c>
    </row>
    <row r="946" customFormat="false" ht="17.15" hidden="false" customHeight="false" outlineLevel="0" collapsed="false">
      <c r="A946" s="0" t="s">
        <v>545</v>
      </c>
      <c r="B946" s="0" t="s">
        <v>208</v>
      </c>
      <c r="D946" s="21" t="n">
        <f aca="false">D917*D940/D942</f>
        <v>42.1015841584158</v>
      </c>
      <c r="E946" s="21" t="n">
        <f aca="false">E917*E940/E942</f>
        <v>67.3763521795352</v>
      </c>
      <c r="F946" s="21" t="n">
        <f aca="false">F917*F940/F942</f>
        <v>83.4869397778505</v>
      </c>
      <c r="G946" s="21" t="n">
        <f aca="false">G917*G940/G942</f>
        <v>91.9100037998652</v>
      </c>
      <c r="K946" s="8" t="s">
        <v>546</v>
      </c>
    </row>
    <row r="947" customFormat="false" ht="17.15" hidden="false" customHeight="false" outlineLevel="0" collapsed="false">
      <c r="A947" s="0" t="s">
        <v>547</v>
      </c>
      <c r="B947" s="0" t="s">
        <v>208</v>
      </c>
      <c r="D947" s="21" t="n">
        <f aca="false">D943-D946</f>
        <v>87.7384158415842</v>
      </c>
      <c r="E947" s="21" t="n">
        <f aca="false">E943-E946</f>
        <v>98.614732370694</v>
      </c>
      <c r="F947" s="21" t="n">
        <f aca="false">F943-F946</f>
        <v>104.309694618262</v>
      </c>
      <c r="G947" s="21" t="n">
        <f aca="false">G943-G946</f>
        <v>110.338313031337</v>
      </c>
    </row>
    <row r="948" customFormat="false" ht="17.15" hidden="false" customHeight="false" outlineLevel="0" collapsed="false">
      <c r="A948" s="0" t="s">
        <v>548</v>
      </c>
      <c r="B948" s="0" t="s">
        <v>455</v>
      </c>
      <c r="D948" s="16" t="n">
        <f aca="false">D913/D903*1000/150</f>
        <v>23.5087719298246</v>
      </c>
      <c r="E948" s="16" t="n">
        <f aca="false">E913/E903*1000/150</f>
        <v>30.1617621884116</v>
      </c>
      <c r="F948" s="16" t="n">
        <f aca="false">F913/F903*1000/150</f>
        <v>36.5143464561404</v>
      </c>
      <c r="G948" s="16" t="n">
        <f aca="false">G913/G903*1000/150</f>
        <v>39.9173947725016</v>
      </c>
      <c r="K948" s="8" t="s">
        <v>549</v>
      </c>
    </row>
    <row r="951" customFormat="false" ht="17.15" hidden="false" customHeight="false" outlineLevel="0" collapsed="false">
      <c r="A951" s="1" t="s">
        <v>954</v>
      </c>
    </row>
    <row r="952" customFormat="false" ht="17.15" hidden="false" customHeight="false" outlineLevel="0" collapsed="false">
      <c r="A952" s="5" t="s">
        <v>20</v>
      </c>
      <c r="B952" s="5" t="s">
        <v>21</v>
      </c>
      <c r="C952" s="15" t="s">
        <v>398</v>
      </c>
      <c r="D952" s="15" t="s">
        <v>470</v>
      </c>
      <c r="E952" s="15" t="s">
        <v>435</v>
      </c>
      <c r="F952" s="15" t="s">
        <v>436</v>
      </c>
      <c r="G952" s="15" t="s">
        <v>437</v>
      </c>
      <c r="H952" s="15" t="s">
        <v>471</v>
      </c>
      <c r="I952" s="15" t="s">
        <v>472</v>
      </c>
      <c r="J952" s="15" t="s">
        <v>473</v>
      </c>
      <c r="K952" s="5" t="s">
        <v>377</v>
      </c>
    </row>
    <row r="953" customFormat="false" ht="17.15" hidden="false" customHeight="false" outlineLevel="0" collapsed="false">
      <c r="A953" s="6" t="s">
        <v>493</v>
      </c>
    </row>
    <row r="954" customFormat="false" ht="17.15" hidden="false" customHeight="false" outlineLevel="0" collapsed="false">
      <c r="A954" s="0" t="s">
        <v>494</v>
      </c>
      <c r="B954" s="4" t="s">
        <v>31</v>
      </c>
      <c r="D954" s="21" t="n">
        <f aca="false">unv_26</f>
        <v>7.6</v>
      </c>
      <c r="E954" s="21" t="n">
        <f aca="false">unv_27</f>
        <v>9.7</v>
      </c>
      <c r="F954" s="21" t="n">
        <f aca="false">unv_28*um28_A</f>
        <v>9.5</v>
      </c>
      <c r="G954" s="21" t="n">
        <f aca="false">unv_29*um29_A</f>
        <v>10.6</v>
      </c>
      <c r="K954" s="8" t="s">
        <v>495</v>
      </c>
    </row>
    <row r="955" customFormat="false" ht="17.15" hidden="false" customHeight="false" outlineLevel="0" collapsed="false">
      <c r="A955" s="4" t="s">
        <v>496</v>
      </c>
      <c r="B955" s="4" t="s">
        <v>31</v>
      </c>
      <c r="D955" s="21" t="n">
        <f aca="false">uot_26</f>
        <v>7.6</v>
      </c>
      <c r="E955" s="21" t="n">
        <f aca="false">uot_27</f>
        <v>14</v>
      </c>
      <c r="F955" s="21" t="n">
        <f aca="false">uot_28*um28_A</f>
        <v>17</v>
      </c>
      <c r="G955" s="21" t="n">
        <f aca="false">uot_29*um29_A</f>
        <v>19.55</v>
      </c>
      <c r="K955" s="8" t="s">
        <v>497</v>
      </c>
    </row>
    <row r="956" customFormat="false" ht="17.15" hidden="false" customHeight="false" outlineLevel="0" collapsed="false">
      <c r="A956" s="4" t="s">
        <v>498</v>
      </c>
      <c r="B956" s="4" t="s">
        <v>31</v>
      </c>
      <c r="D956" s="21" t="n">
        <f aca="false">D954+v_ot*D955</f>
        <v>13.68</v>
      </c>
      <c r="E956" s="21" t="n">
        <f aca="false">E954+v_ot*E955</f>
        <v>20.9</v>
      </c>
      <c r="F956" s="21" t="n">
        <f aca="false">F954+v_ot*F955</f>
        <v>23.1</v>
      </c>
      <c r="G956" s="21" t="n">
        <f aca="false">G954+v_ot*G955</f>
        <v>26.24</v>
      </c>
    </row>
    <row r="957" customFormat="false" ht="17.15" hidden="false" customHeight="false" outlineLevel="0" collapsed="false">
      <c r="A957" s="4" t="s">
        <v>499</v>
      </c>
      <c r="B957" s="0" t="s">
        <v>53</v>
      </c>
      <c r="D957" s="22" t="n">
        <f aca="false">1</f>
        <v>1</v>
      </c>
      <c r="E957" s="22" t="n">
        <f aca="false">D957*(1+g_asp)</f>
        <v>1.18</v>
      </c>
      <c r="F957" s="22" t="n">
        <f aca="false">E957*(1+g_asp)</f>
        <v>1.3924</v>
      </c>
      <c r="G957" s="22" t="n">
        <f aca="false">F957*(1+g_asp)</f>
        <v>1.643032</v>
      </c>
    </row>
    <row r="958" customFormat="false" ht="17.15" hidden="false" customHeight="false" outlineLevel="0" collapsed="false">
      <c r="A958" s="4" t="s">
        <v>500</v>
      </c>
      <c r="B958" s="0" t="s">
        <v>53</v>
      </c>
      <c r="D958" s="19" t="n">
        <f aca="false">1</f>
        <v>1</v>
      </c>
      <c r="E958" s="19" t="n">
        <f aca="false">rel_27</f>
        <v>1</v>
      </c>
      <c r="F958" s="19" t="n">
        <f aca="false">rel_28</f>
        <v>0.97</v>
      </c>
      <c r="G958" s="19" t="n">
        <f aca="false">rel_29</f>
        <v>0.95</v>
      </c>
    </row>
    <row r="959" customFormat="false" ht="17.15" hidden="false" customHeight="false" outlineLevel="0" collapsed="false">
      <c r="A959" s="0" t="s">
        <v>501</v>
      </c>
      <c r="B959" s="0" t="s">
        <v>53</v>
      </c>
      <c r="D959" s="22" t="n">
        <f aca="false">D956/$D956*D957*D958</f>
        <v>1</v>
      </c>
      <c r="E959" s="22" t="n">
        <f aca="false">E956/$D956*E957*E958</f>
        <v>1.80277777777778</v>
      </c>
      <c r="F959" s="22" t="n">
        <f aca="false">F956/$D956*F957*F958</f>
        <v>2.28066570175439</v>
      </c>
      <c r="G959" s="22" t="n">
        <f aca="false">G956/$D956*G957*G958</f>
        <v>2.99396942222222</v>
      </c>
      <c r="K959" s="4" t="s">
        <v>502</v>
      </c>
    </row>
    <row r="960" customFormat="false" ht="17.15" hidden="false" customHeight="false" outlineLevel="0" collapsed="false">
      <c r="A960" s="4" t="s">
        <v>503</v>
      </c>
      <c r="B960" s="0" t="s">
        <v>53</v>
      </c>
      <c r="D960" s="22" t="n">
        <f aca="false">1</f>
        <v>1</v>
      </c>
      <c r="E960" s="22" t="n">
        <f aca="false">D960*(1+g_nai)</f>
        <v>1.03</v>
      </c>
      <c r="F960" s="22" t="n">
        <f aca="false">E960*(1+g_nai)</f>
        <v>1.0609</v>
      </c>
      <c r="G960" s="22" t="n">
        <f aca="false">F960*(1+g_nai)</f>
        <v>1.092727</v>
      </c>
    </row>
    <row r="961" customFormat="false" ht="17.15" hidden="false" customHeight="false" outlineLevel="0" collapsed="false">
      <c r="A961" s="0" t="s">
        <v>504</v>
      </c>
      <c r="B961" s="0" t="s">
        <v>53</v>
      </c>
      <c r="D961" s="22" t="n">
        <f aca="false">ai_sh*D959+(1-ai_sh)*D960</f>
        <v>1</v>
      </c>
      <c r="E961" s="22" t="n">
        <f aca="false">ai_sh*E959+(1-ai_sh)*E960</f>
        <v>1.33911111111111</v>
      </c>
      <c r="F961" s="22" t="n">
        <f aca="false">ai_sh*F959+(1-ai_sh)*F960</f>
        <v>1.54880628070175</v>
      </c>
      <c r="G961" s="22" t="n">
        <f aca="false">ai_sh*G959+(1-ai_sh)*G960</f>
        <v>1.85322396888889</v>
      </c>
    </row>
    <row r="962" customFormat="false" ht="17.15" hidden="false" customHeight="false" outlineLevel="0" collapsed="false">
      <c r="A962" s="4" t="s">
        <v>505</v>
      </c>
      <c r="B962" s="0" t="s">
        <v>53</v>
      </c>
      <c r="D962" s="22" t="n">
        <f aca="false">1</f>
        <v>1</v>
      </c>
      <c r="E962" s="22" t="n">
        <f aca="false">cap_27</f>
        <v>1.3</v>
      </c>
      <c r="F962" s="22" t="n">
        <f aca="false">cap_28</f>
        <v>1.55</v>
      </c>
      <c r="G962" s="22" t="n">
        <f aca="false">cap_29</f>
        <v>1.8</v>
      </c>
      <c r="K962" s="4" t="s">
        <v>506</v>
      </c>
    </row>
    <row r="963" customFormat="false" ht="17.15" hidden="false" customHeight="false" outlineLevel="0" collapsed="false">
      <c r="A963" s="4" t="s">
        <v>507</v>
      </c>
      <c r="B963" s="0" t="s">
        <v>53</v>
      </c>
      <c r="D963" s="22" t="n">
        <f aca="false">MIN(D961,D962)</f>
        <v>1</v>
      </c>
      <c r="E963" s="22" t="n">
        <f aca="false">MIN(E961,E962)</f>
        <v>1.3</v>
      </c>
      <c r="F963" s="22" t="n">
        <f aca="false">MIN(F961,F962)</f>
        <v>1.54880628070175</v>
      </c>
      <c r="G963" s="22" t="n">
        <f aca="false">MIN(G961,G962)</f>
        <v>1.8</v>
      </c>
    </row>
    <row r="964" customFormat="false" ht="17.15" hidden="false" customHeight="false" outlineLevel="0" collapsed="false">
      <c r="A964" s="4" t="s">
        <v>508</v>
      </c>
      <c r="B964" s="0" t="s">
        <v>78</v>
      </c>
      <c r="D964" s="17" t="n">
        <f aca="false">D963/D961</f>
        <v>1</v>
      </c>
      <c r="E964" s="17" t="n">
        <f aca="false">E963/E961</f>
        <v>0.970793229339529</v>
      </c>
      <c r="F964" s="17" t="n">
        <f aca="false">F963/F961</f>
        <v>1</v>
      </c>
      <c r="G964" s="17" t="n">
        <f aca="false">G963/G961</f>
        <v>0.971280336439422</v>
      </c>
      <c r="K964" s="4" t="s">
        <v>509</v>
      </c>
    </row>
    <row r="965" customFormat="false" ht="17.15" hidden="false" customHeight="false" outlineLevel="0" collapsed="false">
      <c r="A965" s="0" t="s">
        <v>510</v>
      </c>
      <c r="B965" s="0" t="s">
        <v>53</v>
      </c>
      <c r="D965" s="22" t="n">
        <f aca="false">1</f>
        <v>1</v>
      </c>
      <c r="E965" s="22" t="n">
        <f aca="false">pp_27</f>
        <v>1.12</v>
      </c>
      <c r="F965" s="22" t="n">
        <f aca="false">pp_28*sp_A</f>
        <v>1.15</v>
      </c>
      <c r="G965" s="22" t="n">
        <f aca="false">pp_29*sp_A</f>
        <v>1.12</v>
      </c>
      <c r="K965" s="8" t="s">
        <v>511</v>
      </c>
    </row>
    <row r="966" customFormat="false" ht="17.15" hidden="false" customHeight="false" outlineLevel="0" collapsed="false">
      <c r="A966" s="0" t="s">
        <v>452</v>
      </c>
      <c r="B966" s="0" t="s">
        <v>170</v>
      </c>
      <c r="D966" s="16" t="n">
        <f aca="false">q26_fm*ai_sh</f>
        <v>48.24</v>
      </c>
      <c r="E966" s="16" t="n">
        <f aca="false">q26_fm*ai_sh*E959*E964*E965</f>
        <v>94.5571244606705</v>
      </c>
      <c r="F966" s="16" t="n">
        <f aca="false">q26_fm*ai_sh*F959*F964*F965</f>
        <v>126.522210470526</v>
      </c>
      <c r="G966" s="16" t="n">
        <f aca="false">q26_fm*ai_sh*G959*G964*G965</f>
        <v>157.114865824566</v>
      </c>
      <c r="K966" s="8" t="s">
        <v>512</v>
      </c>
    </row>
    <row r="967" customFormat="false" ht="17.15" hidden="false" customHeight="false" outlineLevel="0" collapsed="false">
      <c r="A967" s="0" t="s">
        <v>513</v>
      </c>
      <c r="B967" s="0" t="s">
        <v>170</v>
      </c>
      <c r="D967" s="16" t="n">
        <f aca="false">q26_fm*(1-ai_sh)</f>
        <v>72.36</v>
      </c>
      <c r="E967" s="16" t="n">
        <f aca="false">q26_fm*(1-ai_sh)*E960*E964*E965</f>
        <v>81.0364755393296</v>
      </c>
      <c r="F967" s="16" t="n">
        <f aca="false">q26_fm*(1-ai_sh)*F960*F964*F965</f>
        <v>88.2817326</v>
      </c>
      <c r="G967" s="16" t="n">
        <f aca="false">q26_fm*(1-ai_sh)*G960*G964*G965</f>
        <v>86.0147341754337</v>
      </c>
    </row>
    <row r="968" customFormat="false" ht="17.15" hidden="false" customHeight="false" outlineLevel="0" collapsed="false">
      <c r="A968" s="4" t="s">
        <v>514</v>
      </c>
      <c r="B968" s="0" t="s">
        <v>170</v>
      </c>
      <c r="C968" s="16" t="n">
        <f aca="false">q25_fm</f>
        <v>102.4512</v>
      </c>
      <c r="D968" s="16" t="n">
        <f aca="false">D966+D967</f>
        <v>120.6</v>
      </c>
      <c r="E968" s="16" t="n">
        <f aca="false">E966+E967</f>
        <v>175.5936</v>
      </c>
      <c r="F968" s="16" t="n">
        <f aca="false">F966+F967</f>
        <v>214.803943070526</v>
      </c>
      <c r="G968" s="16" t="n">
        <f aca="false">G966+G967</f>
        <v>243.1296</v>
      </c>
    </row>
    <row r="969" customFormat="false" ht="17.15" hidden="false" customHeight="false" outlineLevel="0" collapsed="false">
      <c r="A969" s="0" t="s">
        <v>515</v>
      </c>
      <c r="B969" s="0" t="s">
        <v>78</v>
      </c>
      <c r="C969" s="17" t="n">
        <f aca="false">q25_fmbp/q25_fm</f>
        <v>0.532936656671664</v>
      </c>
      <c r="D969" s="17" t="n">
        <f aca="false">q26_fmbp/q26_fm</f>
        <v>0.543117744610282</v>
      </c>
      <c r="E969" s="17" t="n">
        <f aca="false">1-(1-$D969)*(1+c_g)^1/E965</f>
        <v>0.579831497275527</v>
      </c>
      <c r="F969" s="17" t="n">
        <f aca="false">1-(1-$D969)*(1+c_g)^2/F965</f>
        <v>0.578516187180042</v>
      </c>
      <c r="G969" s="17" t="n">
        <f aca="false">1-(1-$D969)*(1+c_g)^3/G965</f>
        <v>0.554243235459607</v>
      </c>
      <c r="K969" s="8" t="s">
        <v>516</v>
      </c>
    </row>
    <row r="970" customFormat="false" ht="17.15" hidden="false" customHeight="false" outlineLevel="0" collapsed="false">
      <c r="A970" s="0" t="s">
        <v>478</v>
      </c>
      <c r="B970" s="0" t="s">
        <v>170</v>
      </c>
      <c r="C970" s="16" t="n">
        <f aca="false">q25_fmbp</f>
        <v>54.6</v>
      </c>
      <c r="D970" s="16" t="n">
        <f aca="false">D968*D969</f>
        <v>65.5</v>
      </c>
      <c r="E970" s="16" t="n">
        <f aca="false">E968*E969</f>
        <v>101.8147</v>
      </c>
      <c r="F970" s="16" t="n">
        <f aca="false">F968*F969</f>
        <v>124.2675581364</v>
      </c>
      <c r="G970" s="16" t="n">
        <f aca="false">G968*G969</f>
        <v>134.75293614</v>
      </c>
    </row>
    <row r="971" customFormat="false" ht="17.15" hidden="false" customHeight="false" outlineLevel="0" collapsed="false">
      <c r="A971" s="6" t="s">
        <v>517</v>
      </c>
    </row>
    <row r="972" customFormat="false" ht="15" hidden="false" customHeight="false" outlineLevel="0" collapsed="false">
      <c r="A972" s="4" t="s">
        <v>518</v>
      </c>
      <c r="B972" s="0" t="s">
        <v>170</v>
      </c>
      <c r="C972" s="16" t="n">
        <f aca="false">q25_sf</f>
        <v>936.926</v>
      </c>
      <c r="D972" s="16" t="n">
        <f aca="false">q26_sf</f>
        <v>998.6</v>
      </c>
      <c r="E972" s="16" t="n">
        <f aca="false">D972*(1+g_sf)</f>
        <v>1038.544</v>
      </c>
      <c r="F972" s="16" t="n">
        <f aca="false">E972*(1+g_sf)</f>
        <v>1080.08576</v>
      </c>
      <c r="G972" s="16" t="n">
        <f aca="false">F972*(1+g_sf)</f>
        <v>1123.2891904</v>
      </c>
    </row>
    <row r="973" customFormat="false" ht="15" hidden="false" customHeight="false" outlineLevel="0" collapsed="false">
      <c r="A973" s="4" t="s">
        <v>519</v>
      </c>
      <c r="B973" s="0" t="s">
        <v>170</v>
      </c>
      <c r="C973" s="16" t="n">
        <f aca="false">q25_sfbp</f>
        <v>143.036</v>
      </c>
      <c r="D973" s="16" t="n">
        <f aca="false">q26_sfbp</f>
        <v>145.9</v>
      </c>
      <c r="E973" s="16" t="n">
        <f aca="false">E972*m_sf</f>
        <v>151.736</v>
      </c>
      <c r="F973" s="16" t="n">
        <f aca="false">F972*m_sf</f>
        <v>157.80544</v>
      </c>
      <c r="G973" s="16" t="n">
        <f aca="false">G972*m_sf</f>
        <v>164.1176576</v>
      </c>
    </row>
    <row r="974" customFormat="false" ht="15" hidden="false" customHeight="false" outlineLevel="0" collapsed="false">
      <c r="A974" s="4" t="s">
        <v>520</v>
      </c>
      <c r="B974" s="0" t="s">
        <v>170</v>
      </c>
      <c r="C974" s="16" t="n">
        <f aca="false">q25_ff</f>
        <v>290.308</v>
      </c>
      <c r="D974" s="16" t="n">
        <f aca="false">q26_ff</f>
        <v>310.6</v>
      </c>
      <c r="E974" s="16" t="n">
        <f aca="false">D974*(1+g_ff)</f>
        <v>319.918</v>
      </c>
      <c r="F974" s="16" t="n">
        <f aca="false">E974*(1+g_ff)</f>
        <v>329.51554</v>
      </c>
      <c r="G974" s="16" t="n">
        <f aca="false">F974*(1+g_ff)</f>
        <v>339.4010062</v>
      </c>
    </row>
    <row r="975" customFormat="false" ht="15" hidden="false" customHeight="false" outlineLevel="0" collapsed="false">
      <c r="A975" s="4" t="s">
        <v>521</v>
      </c>
      <c r="B975" s="0" t="s">
        <v>170</v>
      </c>
      <c r="C975" s="16" t="n">
        <f aca="false">q25_ffbp</f>
        <v>8.457</v>
      </c>
      <c r="D975" s="16" t="n">
        <f aca="false">q26_ffbp</f>
        <v>12.1</v>
      </c>
      <c r="E975" s="16" t="n">
        <f aca="false">E974*m_ff</f>
        <v>14.39631</v>
      </c>
      <c r="F975" s="16" t="n">
        <f aca="false">F974*m_ff</f>
        <v>14.8281993</v>
      </c>
      <c r="G975" s="16" t="n">
        <f aca="false">G974*m_ff</f>
        <v>15.273045279</v>
      </c>
    </row>
    <row r="976" customFormat="false" ht="17.15" hidden="false" customHeight="false" outlineLevel="0" collapsed="false">
      <c r="A976" s="4" t="s">
        <v>522</v>
      </c>
      <c r="B976" s="0" t="s">
        <v>170</v>
      </c>
      <c r="C976" s="16" t="n">
        <f aca="false">q25_hox</f>
        <v>239.0528</v>
      </c>
      <c r="D976" s="16" t="n">
        <f aca="false">q26_hox</f>
        <v>286.2</v>
      </c>
      <c r="E976" s="16" t="n">
        <f aca="false">D976*(1+g_ho)</f>
        <v>300.51</v>
      </c>
      <c r="F976" s="16" t="n">
        <f aca="false">E976*(1+g_ho)</f>
        <v>315.5355</v>
      </c>
      <c r="G976" s="16" t="n">
        <f aca="false">F976*(1+g_ho)</f>
        <v>331.312275</v>
      </c>
    </row>
    <row r="977" customFormat="false" ht="17.15" hidden="false" customHeight="false" outlineLevel="0" collapsed="false">
      <c r="A977" s="4" t="s">
        <v>523</v>
      </c>
      <c r="B977" s="0" t="s">
        <v>170</v>
      </c>
      <c r="C977" s="16" t="n">
        <f aca="false">q25_hoxbp</f>
        <v>11.602</v>
      </c>
      <c r="D977" s="16" t="n">
        <f aca="false">q26_hoxbp</f>
        <v>19.5</v>
      </c>
      <c r="E977" s="16" t="n">
        <f aca="false">E976*m_ho</f>
        <v>20.475</v>
      </c>
      <c r="F977" s="16" t="n">
        <f aca="false">F976*m_ho</f>
        <v>21.49875</v>
      </c>
      <c r="G977" s="16" t="n">
        <f aca="false">G976*m_ho</f>
        <v>22.5736875</v>
      </c>
    </row>
    <row r="978" customFormat="false" ht="17.15" hidden="false" customHeight="false" outlineLevel="0" collapsed="false">
      <c r="A978" s="4" t="s">
        <v>524</v>
      </c>
      <c r="B978" s="0" t="s">
        <v>170</v>
      </c>
      <c r="C978" s="16" t="n">
        <f aca="false">q25_oth</f>
        <v>14.979</v>
      </c>
      <c r="D978" s="16" t="n">
        <f aca="false">q26_oth</f>
        <v>15.8</v>
      </c>
      <c r="E978" s="16" t="n">
        <f aca="false">D978</f>
        <v>15.8</v>
      </c>
      <c r="F978" s="16" t="n">
        <f aca="false">E978</f>
        <v>15.8</v>
      </c>
      <c r="G978" s="16" t="n">
        <f aca="false">F978</f>
        <v>15.8</v>
      </c>
      <c r="K978" s="8" t="s">
        <v>525</v>
      </c>
    </row>
    <row r="979" customFormat="false" ht="15" hidden="false" customHeight="false" outlineLevel="0" collapsed="false">
      <c r="A979" s="4" t="s">
        <v>526</v>
      </c>
      <c r="B979" s="0" t="s">
        <v>170</v>
      </c>
      <c r="C979" s="16" t="n">
        <f aca="false">q25_othbp</f>
        <v>6.064</v>
      </c>
      <c r="D979" s="16" t="n">
        <f aca="false">q26_othbp</f>
        <v>5.1</v>
      </c>
      <c r="E979" s="16" t="n">
        <f aca="false">q26_othbp</f>
        <v>5.1</v>
      </c>
      <c r="F979" s="16" t="n">
        <f aca="false">q26_othbp</f>
        <v>5.1</v>
      </c>
      <c r="G979" s="16" t="n">
        <f aca="false">q26_othbp</f>
        <v>5.1</v>
      </c>
    </row>
    <row r="980" customFormat="false" ht="15" hidden="false" customHeight="false" outlineLevel="0" collapsed="false">
      <c r="A980" s="4" t="s">
        <v>527</v>
      </c>
      <c r="B980" s="0" t="s">
        <v>170</v>
      </c>
      <c r="C980" s="16" t="n">
        <f aca="false">q25_cc</f>
        <v>-42.597</v>
      </c>
      <c r="D980" s="16" t="n">
        <f aca="false">q26_cc</f>
        <v>-46.2</v>
      </c>
      <c r="E980" s="16" t="n">
        <f aca="false">D980*(1+g_cc)</f>
        <v>-47.586</v>
      </c>
      <c r="F980" s="16" t="n">
        <f aca="false">E980*(1+g_cc)</f>
        <v>-49.01358</v>
      </c>
      <c r="G980" s="16" t="n">
        <f aca="false">F980*(1+g_cc)</f>
        <v>-50.4839874</v>
      </c>
    </row>
    <row r="981" customFormat="false" ht="17.15" hidden="false" customHeight="false" outlineLevel="0" collapsed="false">
      <c r="A981" s="4" t="s">
        <v>528</v>
      </c>
      <c r="B981" s="0" t="s">
        <v>170</v>
      </c>
      <c r="C981" s="28" t="n">
        <f aca="false">a_rev-(q25_sf+q25_ff+q25_hox+q25_fm+q25_oth)</f>
        <v>0.00200000000018008</v>
      </c>
      <c r="D981" s="28" t="n">
        <f aca="false">f_rev-(q26_sf+q26_ff+q26_hox+q26_fm+q26_oth)</f>
        <v>0.200000000000045</v>
      </c>
      <c r="E981" s="28" t="n">
        <f aca="false">$D981</f>
        <v>0.200000000000045</v>
      </c>
      <c r="F981" s="28" t="n">
        <f aca="false">$D981</f>
        <v>0.200000000000045</v>
      </c>
      <c r="G981" s="28" t="n">
        <f aca="false">$D981</f>
        <v>0.200000000000045</v>
      </c>
      <c r="K981" s="8" t="s">
        <v>529</v>
      </c>
    </row>
    <row r="982" customFormat="false" ht="15" hidden="false" customHeight="false" outlineLevel="0" collapsed="false">
      <c r="A982" s="4" t="s">
        <v>530</v>
      </c>
      <c r="B982" s="0" t="s">
        <v>170</v>
      </c>
      <c r="C982" s="28" t="n">
        <f aca="false">a_bp-(q25_sfbp+q25_ffbp+q25_hoxbp+q25_fmbp+q25_othbp+q25_cc)</f>
        <v>0.0010000000000332</v>
      </c>
      <c r="D982" s="28" t="n">
        <f aca="false">f_bp-(q26_sfbp+q26_ffbp+q26_hoxbp+q26_fmbp+q26_othbp+q26_cc)</f>
        <v>0.100000000000023</v>
      </c>
      <c r="E982" s="28" t="n">
        <f aca="false">$D982</f>
        <v>0.100000000000023</v>
      </c>
      <c r="F982" s="28" t="n">
        <f aca="false">$D982</f>
        <v>0.100000000000023</v>
      </c>
      <c r="G982" s="28" t="n">
        <f aca="false">$D982</f>
        <v>0.100000000000023</v>
      </c>
    </row>
    <row r="983" customFormat="false" ht="17.15" hidden="false" customHeight="false" outlineLevel="0" collapsed="false">
      <c r="A983" s="6" t="s">
        <v>531</v>
      </c>
    </row>
    <row r="984" customFormat="false" ht="17.15" hidden="false" customHeight="false" outlineLevel="0" collapsed="false">
      <c r="A984" s="4" t="s">
        <v>403</v>
      </c>
      <c r="B984" s="0" t="s">
        <v>170</v>
      </c>
      <c r="C984" s="16" t="n">
        <f aca="false">C972+C974+C976+C968+C978+C981</f>
        <v>1583.719</v>
      </c>
      <c r="D984" s="16" t="n">
        <f aca="false">D972+D974+D976+D968+D978+D981</f>
        <v>1732</v>
      </c>
      <c r="E984" s="16" t="n">
        <f aca="false">E972+E974+E976+E968+E978+E981</f>
        <v>1850.5656</v>
      </c>
      <c r="F984" s="16" t="n">
        <f aca="false">F972+F974+F976+F968+F978+F981</f>
        <v>1955.94074307053</v>
      </c>
      <c r="G984" s="16" t="n">
        <f aca="false">G972+G974+G976+G968+G978+G981</f>
        <v>2053.1320716</v>
      </c>
      <c r="H984" s="24" t="n">
        <f aca="false">G984*(1+H988)</f>
        <v>2162.20857776426</v>
      </c>
      <c r="I984" s="24" t="n">
        <f aca="false">H984*(1+I988)</f>
        <v>2284.5105355383</v>
      </c>
      <c r="J984" s="24" t="n">
        <f aca="false">I984*(1+J988)</f>
        <v>2421.5811676706</v>
      </c>
      <c r="K984" s="8" t="s">
        <v>532</v>
      </c>
    </row>
    <row r="985" customFormat="false" ht="17.15" hidden="false" customHeight="false" outlineLevel="0" collapsed="false">
      <c r="A985" s="4" t="s">
        <v>533</v>
      </c>
      <c r="B985" s="0" t="s">
        <v>170</v>
      </c>
      <c r="C985" s="16" t="n">
        <f aca="false">C968+C976</f>
        <v>341.504</v>
      </c>
      <c r="D985" s="16" t="n">
        <f aca="false">D968+D976</f>
        <v>406.8</v>
      </c>
      <c r="E985" s="16" t="n">
        <f aca="false">E968+E976</f>
        <v>476.1036</v>
      </c>
      <c r="F985" s="16" t="n">
        <f aca="false">F968+F976</f>
        <v>530.339443070526</v>
      </c>
      <c r="G985" s="16" t="n">
        <f aca="false">G968+G976</f>
        <v>574.441875</v>
      </c>
      <c r="K985" s="4" t="s">
        <v>534</v>
      </c>
    </row>
    <row r="986" customFormat="false" ht="17.15" hidden="false" customHeight="false" outlineLevel="0" collapsed="false">
      <c r="A986" s="4" t="s">
        <v>535</v>
      </c>
      <c r="B986" s="0" t="s">
        <v>170</v>
      </c>
      <c r="C986" s="16" t="n">
        <f aca="false">C978+C981</f>
        <v>14.9810000000002</v>
      </c>
      <c r="D986" s="16" t="n">
        <f aca="false">D978+D981</f>
        <v>16</v>
      </c>
      <c r="E986" s="16" t="n">
        <f aca="false">E978+E981</f>
        <v>16</v>
      </c>
      <c r="F986" s="16" t="n">
        <f aca="false">F978+F981</f>
        <v>16</v>
      </c>
      <c r="G986" s="16" t="n">
        <f aca="false">G978+G981</f>
        <v>16</v>
      </c>
      <c r="K986" s="8" t="s">
        <v>536</v>
      </c>
    </row>
    <row r="987" customFormat="false" ht="15" hidden="false" customHeight="false" outlineLevel="0" collapsed="false">
      <c r="A987" s="4" t="s">
        <v>537</v>
      </c>
      <c r="B987" s="0" t="s">
        <v>170</v>
      </c>
      <c r="C987" s="22" t="n">
        <f aca="false">C972+C974+C985+C986-C984</f>
        <v>0</v>
      </c>
      <c r="D987" s="22" t="n">
        <f aca="false">D972+D974+D985+D986-D984</f>
        <v>0</v>
      </c>
      <c r="E987" s="22" t="n">
        <f aca="false">E972+E974+E985+E986-E984</f>
        <v>0</v>
      </c>
      <c r="F987" s="22" t="n">
        <f aca="false">F972+F974+F985+F986-F984</f>
        <v>0</v>
      </c>
      <c r="G987" s="22" t="n">
        <f aca="false">G972+G974+G985+G986-G984</f>
        <v>0</v>
      </c>
    </row>
    <row r="988" customFormat="false" ht="15" hidden="false" customHeight="false" outlineLevel="0" collapsed="false">
      <c r="A988" s="4" t="s">
        <v>538</v>
      </c>
      <c r="B988" s="0" t="s">
        <v>78</v>
      </c>
      <c r="D988" s="17" t="n">
        <f aca="false">D984/C984-1</f>
        <v>0.0936283519993131</v>
      </c>
      <c r="E988" s="17" t="n">
        <f aca="false">E984/D984-1</f>
        <v>0.0684558891454965</v>
      </c>
      <c r="F988" s="17" t="n">
        <f aca="false">F984/E984-1</f>
        <v>0.0569421278935081</v>
      </c>
      <c r="G988" s="17" t="n">
        <f aca="false">G984/F984-1</f>
        <v>0.0496903236326567</v>
      </c>
      <c r="H988" s="25" t="n">
        <f aca="false">$G988+(fade_gA-$G988)*1/3</f>
        <v>0.0531268824217711</v>
      </c>
      <c r="I988" s="25" t="n">
        <f aca="false">$G988+(fade_gA-$G988)*2/3</f>
        <v>0.0565634412108856</v>
      </c>
      <c r="J988" s="25" t="n">
        <f aca="false">$G988+(fade_gA-$G988)*3/3</f>
        <v>0.06</v>
      </c>
    </row>
    <row r="989" customFormat="false" ht="17.15" hidden="false" customHeight="false" outlineLevel="0" collapsed="false">
      <c r="A989" s="0" t="s">
        <v>539</v>
      </c>
      <c r="B989" s="0" t="s">
        <v>78</v>
      </c>
      <c r="C989" s="17" t="n">
        <f aca="false">C968/C984</f>
        <v>0.0646902638662541</v>
      </c>
      <c r="D989" s="17" t="n">
        <f aca="false">D968/D984</f>
        <v>0.0696304849884527</v>
      </c>
      <c r="E989" s="17" t="n">
        <f aca="false">E968/E984</f>
        <v>0.0948864498507916</v>
      </c>
      <c r="F989" s="17" t="n">
        <f aca="false">F968/F984</f>
        <v>0.109821293835987</v>
      </c>
      <c r="G989" s="17" t="n">
        <f aca="false">G968/G984</f>
        <v>0.118418879799842</v>
      </c>
    </row>
    <row r="990" customFormat="false" ht="15" hidden="false" customHeight="false" outlineLevel="0" collapsed="false">
      <c r="A990" s="4" t="s">
        <v>413</v>
      </c>
      <c r="B990" s="0" t="s">
        <v>170</v>
      </c>
      <c r="C990" s="16" t="n">
        <f aca="false">C973+C975+C977+C970+C979+C980+C982</f>
        <v>181.163</v>
      </c>
      <c r="D990" s="16" t="n">
        <f aca="false">D973+D975+D977+D970+D979+D980+D982</f>
        <v>202</v>
      </c>
      <c r="E990" s="16" t="n">
        <f aca="false">E973+E975+E977+E970+E979+E980+E982</f>
        <v>246.03601</v>
      </c>
      <c r="F990" s="16" t="n">
        <f aca="false">F973+F975+F977+F970+F979+F980+F982</f>
        <v>274.5863674364</v>
      </c>
      <c r="G990" s="16" t="n">
        <f aca="false">G973+G975+G977+G970+G979+G980+G982</f>
        <v>291.433339119</v>
      </c>
    </row>
    <row r="991" customFormat="false" ht="15" hidden="false" customHeight="false" outlineLevel="0" collapsed="false">
      <c r="A991" s="4" t="s">
        <v>429</v>
      </c>
      <c r="B991" s="0" t="s">
        <v>78</v>
      </c>
      <c r="C991" s="17" t="n">
        <f aca="false">C990/C984</f>
        <v>0.114390873633517</v>
      </c>
      <c r="D991" s="17" t="n">
        <f aca="false">D990/D984</f>
        <v>0.11662817551963</v>
      </c>
      <c r="E991" s="17" t="n">
        <f aca="false">E990/E984</f>
        <v>0.132951790522854</v>
      </c>
      <c r="F991" s="17" t="n">
        <f aca="false">F990/F984</f>
        <v>0.140385831426233</v>
      </c>
      <c r="G991" s="17" t="n">
        <f aca="false">G990/G984</f>
        <v>0.141945734105594</v>
      </c>
    </row>
    <row r="992" customFormat="false" ht="17.15" hidden="false" customHeight="false" outlineLevel="0" collapsed="false">
      <c r="A992" s="0" t="s">
        <v>540</v>
      </c>
      <c r="B992" s="0" t="s">
        <v>78</v>
      </c>
      <c r="C992" s="17" t="n">
        <f aca="false">C970/C990</f>
        <v>0.301386044611758</v>
      </c>
      <c r="D992" s="17" t="n">
        <f aca="false">D970/D990</f>
        <v>0.324257425742574</v>
      </c>
      <c r="E992" s="17" t="n">
        <f aca="false">E970/E990</f>
        <v>0.413820318415991</v>
      </c>
      <c r="F992" s="17" t="n">
        <f aca="false">F970/F990</f>
        <v>0.452562737533511</v>
      </c>
      <c r="G992" s="17" t="n">
        <f aca="false">G970/G990</f>
        <v>0.462379961562931</v>
      </c>
    </row>
    <row r="993" customFormat="false" ht="17.15" hidden="false" customHeight="false" outlineLevel="0" collapsed="false">
      <c r="A993" s="4" t="s">
        <v>430</v>
      </c>
      <c r="B993" s="0" t="s">
        <v>53</v>
      </c>
      <c r="C993" s="22" t="n">
        <f aca="false">q25_ni/q25_bp</f>
        <v>0.743391310587703</v>
      </c>
      <c r="D993" s="22" t="n">
        <f aca="false">q26_ni/q26_bp</f>
        <v>0.611386138613861</v>
      </c>
      <c r="E993" s="22" t="n">
        <f aca="false">ni_bp_lo</f>
        <v>0.58</v>
      </c>
      <c r="F993" s="22" t="n">
        <f aca="false">ni_bp_lo</f>
        <v>0.58</v>
      </c>
      <c r="G993" s="22" t="n">
        <f aca="false">ni_bp_lo</f>
        <v>0.58</v>
      </c>
    </row>
    <row r="994" customFormat="false" ht="15" hidden="false" customHeight="false" outlineLevel="0" collapsed="false">
      <c r="A994" s="4" t="s">
        <v>420</v>
      </c>
      <c r="B994" s="0" t="s">
        <v>170</v>
      </c>
      <c r="C994" s="16" t="n">
        <f aca="false">q25_ni</f>
        <v>134.675</v>
      </c>
      <c r="D994" s="16" t="n">
        <f aca="false">q26_ni</f>
        <v>123.5</v>
      </c>
      <c r="E994" s="16" t="n">
        <f aca="false">E990*E993</f>
        <v>142.7008858</v>
      </c>
      <c r="F994" s="16" t="n">
        <f aca="false">F990*F993</f>
        <v>159.260093113112</v>
      </c>
      <c r="G994" s="16" t="n">
        <f aca="false">G990*G993</f>
        <v>169.03133668902</v>
      </c>
      <c r="H994" s="24" t="n">
        <f aca="false">H984*H998</f>
        <v>182.103661757028</v>
      </c>
      <c r="I994" s="24" t="n">
        <f aca="false">I984*I998</f>
        <v>196.727758523628</v>
      </c>
      <c r="J994" s="24" t="n">
        <f aca="false">J984*J998</f>
        <v>213.114532255596</v>
      </c>
    </row>
    <row r="995" customFormat="false" ht="15" hidden="false" customHeight="false" outlineLevel="0" collapsed="false">
      <c r="A995" s="4" t="s">
        <v>541</v>
      </c>
      <c r="B995" s="4" t="s">
        <v>317</v>
      </c>
      <c r="C995" s="20" t="n">
        <f aca="false">q25_sh</f>
        <v>0.973366579936398</v>
      </c>
      <c r="D995" s="20" t="n">
        <f aca="false">q26_sh</f>
        <v>0.95117067159581</v>
      </c>
      <c r="E995" s="20" t="n">
        <f aca="false">D995*(1+sh_g)</f>
        <v>0.936903111521873</v>
      </c>
      <c r="F995" s="20" t="n">
        <f aca="false">E995*(1+sh_g)</f>
        <v>0.922849564849045</v>
      </c>
      <c r="G995" s="20" t="n">
        <f aca="false">F995*(1+sh_g)</f>
        <v>0.909006821376309</v>
      </c>
      <c r="H995" s="29" t="n">
        <f aca="false">G995*(1+sh_g)</f>
        <v>0.895371719055665</v>
      </c>
      <c r="I995" s="29" t="n">
        <f aca="false">H995*(1+sh_g)</f>
        <v>0.88194114326983</v>
      </c>
      <c r="J995" s="29" t="n">
        <f aca="false">I995*(1+sh_g)</f>
        <v>0.868712026120782</v>
      </c>
    </row>
    <row r="996" customFormat="false" ht="17.15" hidden="false" customHeight="false" outlineLevel="0" collapsed="false">
      <c r="A996" s="0" t="s">
        <v>542</v>
      </c>
      <c r="B996" s="0" t="s">
        <v>208</v>
      </c>
      <c r="C996" s="21" t="n">
        <f aca="false">C994/C995</f>
        <v>138.36</v>
      </c>
      <c r="D996" s="21" t="n">
        <f aca="false">D994/D995</f>
        <v>129.84</v>
      </c>
      <c r="E996" s="21" t="n">
        <f aca="false">E994/E995</f>
        <v>152.311251873421</v>
      </c>
      <c r="F996" s="21" t="n">
        <f aca="false">F994/F995</f>
        <v>172.574273401931</v>
      </c>
      <c r="G996" s="21" t="n">
        <f aca="false">G994/G995</f>
        <v>185.951670233996</v>
      </c>
      <c r="H996" s="27" t="n">
        <f aca="false">H994/H995</f>
        <v>203.383307604455</v>
      </c>
      <c r="I996" s="27" t="n">
        <f aca="false">I994/I995</f>
        <v>223.062230427591</v>
      </c>
      <c r="J996" s="27" t="n">
        <f aca="false">J994/J995</f>
        <v>245.322415078395</v>
      </c>
    </row>
    <row r="997" customFormat="false" ht="17.15" hidden="false" customHeight="false" outlineLevel="0" collapsed="false">
      <c r="A997" s="0" t="s">
        <v>543</v>
      </c>
      <c r="B997" s="0" t="s">
        <v>78</v>
      </c>
      <c r="D997" s="17" t="n">
        <f aca="false">D996/C996-1</f>
        <v>-0.0615784908933218</v>
      </c>
      <c r="E997" s="17" t="n">
        <f aca="false">E996/D996-1</f>
        <v>0.173068791384944</v>
      </c>
      <c r="F997" s="17" t="n">
        <f aca="false">F996/E996-1</f>
        <v>0.133036931147734</v>
      </c>
      <c r="G997" s="17" t="n">
        <f aca="false">G996/F996-1</f>
        <v>0.0775167501410168</v>
      </c>
      <c r="H997" s="25" t="n">
        <f aca="false">H996/G996-1</f>
        <v>0.0937428383865762</v>
      </c>
      <c r="I997" s="25" t="n">
        <f aca="false">I996/H996-1</f>
        <v>0.0967578069947024</v>
      </c>
      <c r="J997" s="25" t="n">
        <f aca="false">J996/I996-1</f>
        <v>0.0997936074078207</v>
      </c>
    </row>
    <row r="998" customFormat="false" ht="15" hidden="false" customHeight="false" outlineLevel="0" collapsed="false">
      <c r="A998" s="4" t="s">
        <v>544</v>
      </c>
      <c r="B998" s="0" t="s">
        <v>78</v>
      </c>
      <c r="C998" s="14" t="n">
        <f aca="false">C994/C984</f>
        <v>0.0850371814696925</v>
      </c>
      <c r="D998" s="14" t="n">
        <f aca="false">D994/D984</f>
        <v>0.0713048498845266</v>
      </c>
      <c r="E998" s="14" t="n">
        <f aca="false">E994/E984</f>
        <v>0.0771120385032555</v>
      </c>
      <c r="F998" s="14" t="n">
        <f aca="false">F994/F984</f>
        <v>0.0814237822272151</v>
      </c>
      <c r="G998" s="14" t="n">
        <f aca="false">G994/G984</f>
        <v>0.0823285257812443</v>
      </c>
      <c r="H998" s="26" t="n">
        <f aca="false">$G998+(fade_mA-$G998)*1/3</f>
        <v>0.0842211355693188</v>
      </c>
      <c r="I998" s="26" t="n">
        <f aca="false">$G998+(fade_mA-$G998)*2/3</f>
        <v>0.0861137453573934</v>
      </c>
      <c r="J998" s="26" t="n">
        <f aca="false">$G998+(fade_mA-$G998)*3/3</f>
        <v>0.088006355145468</v>
      </c>
    </row>
    <row r="999" customFormat="false" ht="17.15" hidden="false" customHeight="false" outlineLevel="0" collapsed="false">
      <c r="A999" s="0" t="s">
        <v>545</v>
      </c>
      <c r="B999" s="0" t="s">
        <v>208</v>
      </c>
      <c r="D999" s="21" t="n">
        <f aca="false">D970*D993/D995</f>
        <v>42.1015841584158</v>
      </c>
      <c r="E999" s="21" t="n">
        <f aca="false">E970*E993/E995</f>
        <v>63.0294907485974</v>
      </c>
      <c r="F999" s="21" t="n">
        <f aca="false">F970*F993/F995</f>
        <v>78.1006855986344</v>
      </c>
      <c r="G999" s="21" t="n">
        <f aca="false">G970*G993/G995</f>
        <v>85.9803261353578</v>
      </c>
      <c r="K999" s="8" t="s">
        <v>546</v>
      </c>
    </row>
    <row r="1000" customFormat="false" ht="17.15" hidden="false" customHeight="false" outlineLevel="0" collapsed="false">
      <c r="A1000" s="0" t="s">
        <v>547</v>
      </c>
      <c r="B1000" s="0" t="s">
        <v>208</v>
      </c>
      <c r="D1000" s="21" t="n">
        <f aca="false">D996-D999</f>
        <v>87.7384158415842</v>
      </c>
      <c r="E1000" s="21" t="n">
        <f aca="false">E996-E999</f>
        <v>89.2817611248238</v>
      </c>
      <c r="F1000" s="21" t="n">
        <f aca="false">F996-F999</f>
        <v>94.4735878032963</v>
      </c>
      <c r="G1000" s="21" t="n">
        <f aca="false">G996-G999</f>
        <v>99.9713440986378</v>
      </c>
    </row>
    <row r="1001" customFormat="false" ht="17.15" hidden="false" customHeight="false" outlineLevel="0" collapsed="false">
      <c r="A1001" s="0" t="s">
        <v>548</v>
      </c>
      <c r="B1001" s="0" t="s">
        <v>455</v>
      </c>
      <c r="D1001" s="16" t="n">
        <f aca="false">D966/D956*1000/150</f>
        <v>23.5087719298246</v>
      </c>
      <c r="E1001" s="16" t="n">
        <f aca="false">E966/E956*1000/150</f>
        <v>30.1617621884116</v>
      </c>
      <c r="F1001" s="16" t="n">
        <f aca="false">F966/F956*1000/150</f>
        <v>36.5143464561404</v>
      </c>
      <c r="G1001" s="16" t="n">
        <f aca="false">G966/G956*1000/150</f>
        <v>39.9173947725016</v>
      </c>
      <c r="K1001" s="8" t="s">
        <v>549</v>
      </c>
    </row>
    <row r="1004" customFormat="false" ht="17.15" hidden="false" customHeight="false" outlineLevel="0" collapsed="false">
      <c r="A1004" s="1" t="s">
        <v>955</v>
      </c>
    </row>
    <row r="1005" customFormat="false" ht="17.15" hidden="false" customHeight="false" outlineLevel="0" collapsed="false">
      <c r="A1005" s="5" t="s">
        <v>20</v>
      </c>
      <c r="B1005" s="5" t="s">
        <v>21</v>
      </c>
      <c r="C1005" s="15" t="s">
        <v>398</v>
      </c>
      <c r="D1005" s="15" t="s">
        <v>470</v>
      </c>
      <c r="E1005" s="15" t="s">
        <v>435</v>
      </c>
      <c r="F1005" s="15" t="s">
        <v>436</v>
      </c>
      <c r="G1005" s="15" t="s">
        <v>437</v>
      </c>
      <c r="H1005" s="15" t="s">
        <v>471</v>
      </c>
      <c r="I1005" s="15" t="s">
        <v>472</v>
      </c>
      <c r="J1005" s="15" t="s">
        <v>473</v>
      </c>
      <c r="K1005" s="5" t="s">
        <v>377</v>
      </c>
    </row>
    <row r="1006" customFormat="false" ht="17.15" hidden="false" customHeight="false" outlineLevel="0" collapsed="false">
      <c r="A1006" s="6" t="s">
        <v>493</v>
      </c>
    </row>
    <row r="1007" customFormat="false" ht="17.15" hidden="false" customHeight="false" outlineLevel="0" collapsed="false">
      <c r="A1007" s="0" t="s">
        <v>494</v>
      </c>
      <c r="B1007" s="4" t="s">
        <v>31</v>
      </c>
      <c r="D1007" s="21" t="n">
        <f aca="false">unv_26</f>
        <v>7.6</v>
      </c>
      <c r="E1007" s="21" t="n">
        <f aca="false">unv_27</f>
        <v>9.7</v>
      </c>
      <c r="F1007" s="21" t="n">
        <f aca="false">unv_28*um28_A</f>
        <v>9.5</v>
      </c>
      <c r="G1007" s="21" t="n">
        <f aca="false">unv_29*um29_A</f>
        <v>10.6</v>
      </c>
      <c r="K1007" s="8" t="s">
        <v>495</v>
      </c>
    </row>
    <row r="1008" customFormat="false" ht="17.15" hidden="false" customHeight="false" outlineLevel="0" collapsed="false">
      <c r="A1008" s="4" t="s">
        <v>496</v>
      </c>
      <c r="B1008" s="4" t="s">
        <v>31</v>
      </c>
      <c r="D1008" s="21" t="n">
        <f aca="false">uot_26</f>
        <v>7.6</v>
      </c>
      <c r="E1008" s="21" t="n">
        <f aca="false">uot_27</f>
        <v>14</v>
      </c>
      <c r="F1008" s="21" t="n">
        <f aca="false">uot_28*um28_A</f>
        <v>17</v>
      </c>
      <c r="G1008" s="21" t="n">
        <f aca="false">uot_29*um29_A</f>
        <v>19.55</v>
      </c>
      <c r="K1008" s="8" t="s">
        <v>497</v>
      </c>
    </row>
    <row r="1009" customFormat="false" ht="17.15" hidden="false" customHeight="false" outlineLevel="0" collapsed="false">
      <c r="A1009" s="4" t="s">
        <v>498</v>
      </c>
      <c r="B1009" s="4" t="s">
        <v>31</v>
      </c>
      <c r="D1009" s="21" t="n">
        <f aca="false">D1007+v_ot*D1008</f>
        <v>13.68</v>
      </c>
      <c r="E1009" s="21" t="n">
        <f aca="false">E1007+v_ot*E1008</f>
        <v>20.9</v>
      </c>
      <c r="F1009" s="21" t="n">
        <f aca="false">F1007+v_ot*F1008</f>
        <v>23.1</v>
      </c>
      <c r="G1009" s="21" t="n">
        <f aca="false">G1007+v_ot*G1008</f>
        <v>26.24</v>
      </c>
    </row>
    <row r="1010" customFormat="false" ht="17.15" hidden="false" customHeight="false" outlineLevel="0" collapsed="false">
      <c r="A1010" s="4" t="s">
        <v>499</v>
      </c>
      <c r="B1010" s="0" t="s">
        <v>53</v>
      </c>
      <c r="D1010" s="22" t="n">
        <f aca="false">1</f>
        <v>1</v>
      </c>
      <c r="E1010" s="22" t="n">
        <f aca="false">D1010*(1+g_asp)</f>
        <v>1.18</v>
      </c>
      <c r="F1010" s="22" t="n">
        <f aca="false">E1010*(1+g_asp)</f>
        <v>1.3924</v>
      </c>
      <c r="G1010" s="22" t="n">
        <f aca="false">F1010*(1+g_asp)</f>
        <v>1.643032</v>
      </c>
    </row>
    <row r="1011" customFormat="false" ht="17.15" hidden="false" customHeight="false" outlineLevel="0" collapsed="false">
      <c r="A1011" s="4" t="s">
        <v>500</v>
      </c>
      <c r="B1011" s="0" t="s">
        <v>53</v>
      </c>
      <c r="D1011" s="19" t="n">
        <f aca="false">1</f>
        <v>1</v>
      </c>
      <c r="E1011" s="19" t="n">
        <f aca="false">rel_27</f>
        <v>1</v>
      </c>
      <c r="F1011" s="19" t="n">
        <f aca="false">rel_28</f>
        <v>0.97</v>
      </c>
      <c r="G1011" s="19" t="n">
        <f aca="false">rel_29</f>
        <v>0.95</v>
      </c>
    </row>
    <row r="1012" customFormat="false" ht="17.15" hidden="false" customHeight="false" outlineLevel="0" collapsed="false">
      <c r="A1012" s="0" t="s">
        <v>501</v>
      </c>
      <c r="B1012" s="0" t="s">
        <v>53</v>
      </c>
      <c r="D1012" s="22" t="n">
        <f aca="false">D1009/$D1009*D1010*D1011</f>
        <v>1</v>
      </c>
      <c r="E1012" s="22" t="n">
        <f aca="false">E1009/$D1009*E1010*E1011</f>
        <v>1.80277777777778</v>
      </c>
      <c r="F1012" s="22" t="n">
        <f aca="false">F1009/$D1009*F1010*F1011</f>
        <v>2.28066570175439</v>
      </c>
      <c r="G1012" s="22" t="n">
        <f aca="false">G1009/$D1009*G1010*G1011</f>
        <v>2.99396942222222</v>
      </c>
      <c r="K1012" s="4" t="s">
        <v>502</v>
      </c>
    </row>
    <row r="1013" customFormat="false" ht="17.15" hidden="false" customHeight="false" outlineLevel="0" collapsed="false">
      <c r="A1013" s="4" t="s">
        <v>503</v>
      </c>
      <c r="B1013" s="0" t="s">
        <v>53</v>
      </c>
      <c r="D1013" s="22" t="n">
        <f aca="false">1</f>
        <v>1</v>
      </c>
      <c r="E1013" s="22" t="n">
        <f aca="false">D1013*(1+g_nai)</f>
        <v>1.03</v>
      </c>
      <c r="F1013" s="22" t="n">
        <f aca="false">E1013*(1+g_nai)</f>
        <v>1.0609</v>
      </c>
      <c r="G1013" s="22" t="n">
        <f aca="false">F1013*(1+g_nai)</f>
        <v>1.092727</v>
      </c>
    </row>
    <row r="1014" customFormat="false" ht="17.15" hidden="false" customHeight="false" outlineLevel="0" collapsed="false">
      <c r="A1014" s="0" t="s">
        <v>504</v>
      </c>
      <c r="B1014" s="0" t="s">
        <v>53</v>
      </c>
      <c r="D1014" s="22" t="n">
        <f aca="false">ai_sh*D1012+(1-ai_sh)*D1013</f>
        <v>1</v>
      </c>
      <c r="E1014" s="22" t="n">
        <f aca="false">ai_sh*E1012+(1-ai_sh)*E1013</f>
        <v>1.33911111111111</v>
      </c>
      <c r="F1014" s="22" t="n">
        <f aca="false">ai_sh*F1012+(1-ai_sh)*F1013</f>
        <v>1.54880628070175</v>
      </c>
      <c r="G1014" s="22" t="n">
        <f aca="false">ai_sh*G1012+(1-ai_sh)*G1013</f>
        <v>1.85322396888889</v>
      </c>
    </row>
    <row r="1015" customFormat="false" ht="17.15" hidden="false" customHeight="false" outlineLevel="0" collapsed="false">
      <c r="A1015" s="4" t="s">
        <v>505</v>
      </c>
      <c r="B1015" s="0" t="s">
        <v>53</v>
      </c>
      <c r="D1015" s="22" t="n">
        <f aca="false">1</f>
        <v>1</v>
      </c>
      <c r="E1015" s="22" t="n">
        <f aca="false">cap_27</f>
        <v>1.3</v>
      </c>
      <c r="F1015" s="22" t="n">
        <f aca="false">cap_28</f>
        <v>1.55</v>
      </c>
      <c r="G1015" s="22" t="n">
        <f aca="false">cap_29</f>
        <v>1.8</v>
      </c>
      <c r="K1015" s="4" t="s">
        <v>506</v>
      </c>
    </row>
    <row r="1016" customFormat="false" ht="17.15" hidden="false" customHeight="false" outlineLevel="0" collapsed="false">
      <c r="A1016" s="4" t="s">
        <v>507</v>
      </c>
      <c r="B1016" s="0" t="s">
        <v>53</v>
      </c>
      <c r="D1016" s="22" t="n">
        <f aca="false">MIN(D1014,D1015)</f>
        <v>1</v>
      </c>
      <c r="E1016" s="22" t="n">
        <f aca="false">MIN(E1014,E1015)</f>
        <v>1.3</v>
      </c>
      <c r="F1016" s="22" t="n">
        <f aca="false">MIN(F1014,F1015)</f>
        <v>1.54880628070175</v>
      </c>
      <c r="G1016" s="22" t="n">
        <f aca="false">MIN(G1014,G1015)</f>
        <v>1.8</v>
      </c>
    </row>
    <row r="1017" customFormat="false" ht="17.15" hidden="false" customHeight="false" outlineLevel="0" collapsed="false">
      <c r="A1017" s="4" t="s">
        <v>508</v>
      </c>
      <c r="B1017" s="0" t="s">
        <v>78</v>
      </c>
      <c r="D1017" s="17" t="n">
        <f aca="false">D1016/D1014</f>
        <v>1</v>
      </c>
      <c r="E1017" s="17" t="n">
        <f aca="false">E1016/E1014</f>
        <v>0.970793229339529</v>
      </c>
      <c r="F1017" s="17" t="n">
        <f aca="false">F1016/F1014</f>
        <v>1</v>
      </c>
      <c r="G1017" s="17" t="n">
        <f aca="false">G1016/G1014</f>
        <v>0.971280336439422</v>
      </c>
      <c r="K1017" s="4" t="s">
        <v>509</v>
      </c>
    </row>
    <row r="1018" customFormat="false" ht="17.15" hidden="false" customHeight="false" outlineLevel="0" collapsed="false">
      <c r="A1018" s="0" t="s">
        <v>510</v>
      </c>
      <c r="B1018" s="0" t="s">
        <v>53</v>
      </c>
      <c r="D1018" s="22" t="n">
        <f aca="false">1</f>
        <v>1</v>
      </c>
      <c r="E1018" s="22" t="n">
        <f aca="false">pp_27</f>
        <v>1.12</v>
      </c>
      <c r="F1018" s="22" t="n">
        <f aca="false">pp_28*sp_A</f>
        <v>1.15</v>
      </c>
      <c r="G1018" s="22" t="n">
        <f aca="false">pp_29*sp_A</f>
        <v>1.12</v>
      </c>
      <c r="K1018" s="8" t="s">
        <v>511</v>
      </c>
    </row>
    <row r="1019" customFormat="false" ht="17.15" hidden="false" customHeight="false" outlineLevel="0" collapsed="false">
      <c r="A1019" s="0" t="s">
        <v>452</v>
      </c>
      <c r="B1019" s="0" t="s">
        <v>170</v>
      </c>
      <c r="D1019" s="16" t="n">
        <f aca="false">q26_fm*ai_sh</f>
        <v>48.24</v>
      </c>
      <c r="E1019" s="16" t="n">
        <f aca="false">q26_fm*ai_sh*E1012*E1017*E1018</f>
        <v>94.5571244606705</v>
      </c>
      <c r="F1019" s="16" t="n">
        <f aca="false">q26_fm*ai_sh*F1012*F1017*F1018</f>
        <v>126.522210470526</v>
      </c>
      <c r="G1019" s="16" t="n">
        <f aca="false">q26_fm*ai_sh*G1012*G1017*G1018</f>
        <v>157.114865824566</v>
      </c>
      <c r="K1019" s="8" t="s">
        <v>512</v>
      </c>
    </row>
    <row r="1020" customFormat="false" ht="17.15" hidden="false" customHeight="false" outlineLevel="0" collapsed="false">
      <c r="A1020" s="0" t="s">
        <v>513</v>
      </c>
      <c r="B1020" s="0" t="s">
        <v>170</v>
      </c>
      <c r="D1020" s="16" t="n">
        <f aca="false">q26_fm*(1-ai_sh)</f>
        <v>72.36</v>
      </c>
      <c r="E1020" s="16" t="n">
        <f aca="false">q26_fm*(1-ai_sh)*E1013*E1017*E1018</f>
        <v>81.0364755393296</v>
      </c>
      <c r="F1020" s="16" t="n">
        <f aca="false">q26_fm*(1-ai_sh)*F1013*F1017*F1018</f>
        <v>88.2817326</v>
      </c>
      <c r="G1020" s="16" t="n">
        <f aca="false">q26_fm*(1-ai_sh)*G1013*G1017*G1018</f>
        <v>86.0147341754337</v>
      </c>
    </row>
    <row r="1021" customFormat="false" ht="17.15" hidden="false" customHeight="false" outlineLevel="0" collapsed="false">
      <c r="A1021" s="4" t="s">
        <v>514</v>
      </c>
      <c r="B1021" s="0" t="s">
        <v>170</v>
      </c>
      <c r="C1021" s="16" t="n">
        <f aca="false">q25_fm</f>
        <v>102.4512</v>
      </c>
      <c r="D1021" s="16" t="n">
        <f aca="false">D1019+D1020</f>
        <v>120.6</v>
      </c>
      <c r="E1021" s="16" t="n">
        <f aca="false">E1019+E1020</f>
        <v>175.5936</v>
      </c>
      <c r="F1021" s="16" t="n">
        <f aca="false">F1019+F1020</f>
        <v>214.803943070526</v>
      </c>
      <c r="G1021" s="16" t="n">
        <f aca="false">G1019+G1020</f>
        <v>243.1296</v>
      </c>
    </row>
    <row r="1022" customFormat="false" ht="17.15" hidden="false" customHeight="false" outlineLevel="0" collapsed="false">
      <c r="A1022" s="0" t="s">
        <v>515</v>
      </c>
      <c r="B1022" s="0" t="s">
        <v>78</v>
      </c>
      <c r="C1022" s="17" t="n">
        <f aca="false">q25_fmbp/q25_fm</f>
        <v>0.532936656671664</v>
      </c>
      <c r="D1022" s="17" t="n">
        <f aca="false">q26_fmbp/q26_fm</f>
        <v>0.543117744610282</v>
      </c>
      <c r="E1022" s="17" t="n">
        <f aca="false">1-(1-$D1022)*(1+c_g)^1/E1018</f>
        <v>0.579831497275527</v>
      </c>
      <c r="F1022" s="17" t="n">
        <f aca="false">1-(1-$D1022)*(1+c_g)^2/F1018</f>
        <v>0.578516187180042</v>
      </c>
      <c r="G1022" s="17" t="n">
        <f aca="false">1-(1-$D1022)*(1+c_g)^3/G1018</f>
        <v>0.554243235459607</v>
      </c>
      <c r="K1022" s="8" t="s">
        <v>516</v>
      </c>
    </row>
    <row r="1023" customFormat="false" ht="17.15" hidden="false" customHeight="false" outlineLevel="0" collapsed="false">
      <c r="A1023" s="0" t="s">
        <v>478</v>
      </c>
      <c r="B1023" s="0" t="s">
        <v>170</v>
      </c>
      <c r="C1023" s="16" t="n">
        <f aca="false">q25_fmbp</f>
        <v>54.6</v>
      </c>
      <c r="D1023" s="16" t="n">
        <f aca="false">D1021*D1022</f>
        <v>65.5</v>
      </c>
      <c r="E1023" s="16" t="n">
        <f aca="false">E1021*E1022</f>
        <v>101.8147</v>
      </c>
      <c r="F1023" s="16" t="n">
        <f aca="false">F1021*F1022</f>
        <v>124.2675581364</v>
      </c>
      <c r="G1023" s="16" t="n">
        <f aca="false">G1021*G1022</f>
        <v>134.75293614</v>
      </c>
    </row>
    <row r="1024" customFormat="false" ht="17.15" hidden="false" customHeight="false" outlineLevel="0" collapsed="false">
      <c r="A1024" s="6" t="s">
        <v>517</v>
      </c>
    </row>
    <row r="1025" customFormat="false" ht="15" hidden="false" customHeight="false" outlineLevel="0" collapsed="false">
      <c r="A1025" s="4" t="s">
        <v>518</v>
      </c>
      <c r="B1025" s="0" t="s">
        <v>170</v>
      </c>
      <c r="C1025" s="16" t="n">
        <f aca="false">q25_sf</f>
        <v>936.926</v>
      </c>
      <c r="D1025" s="16" t="n">
        <f aca="false">q26_sf</f>
        <v>998.6</v>
      </c>
      <c r="E1025" s="16" t="n">
        <f aca="false">D1025*(1+g_sf)</f>
        <v>1038.544</v>
      </c>
      <c r="F1025" s="16" t="n">
        <f aca="false">E1025*(1+g_sf)</f>
        <v>1080.08576</v>
      </c>
      <c r="G1025" s="16" t="n">
        <f aca="false">F1025*(1+g_sf)</f>
        <v>1123.2891904</v>
      </c>
    </row>
    <row r="1026" customFormat="false" ht="15" hidden="false" customHeight="false" outlineLevel="0" collapsed="false">
      <c r="A1026" s="4" t="s">
        <v>519</v>
      </c>
      <c r="B1026" s="0" t="s">
        <v>170</v>
      </c>
      <c r="C1026" s="16" t="n">
        <f aca="false">q25_sfbp</f>
        <v>143.036</v>
      </c>
      <c r="D1026" s="16" t="n">
        <f aca="false">q26_sfbp</f>
        <v>145.9</v>
      </c>
      <c r="E1026" s="16" t="n">
        <f aca="false">E1025*m_sf</f>
        <v>151.736</v>
      </c>
      <c r="F1026" s="16" t="n">
        <f aca="false">F1025*m_sf</f>
        <v>157.80544</v>
      </c>
      <c r="G1026" s="16" t="n">
        <f aca="false">G1025*m_sf</f>
        <v>164.1176576</v>
      </c>
    </row>
    <row r="1027" customFormat="false" ht="15" hidden="false" customHeight="false" outlineLevel="0" collapsed="false">
      <c r="A1027" s="4" t="s">
        <v>520</v>
      </c>
      <c r="B1027" s="0" t="s">
        <v>170</v>
      </c>
      <c r="C1027" s="16" t="n">
        <f aca="false">q25_ff</f>
        <v>290.308</v>
      </c>
      <c r="D1027" s="16" t="n">
        <f aca="false">q26_ff</f>
        <v>310.6</v>
      </c>
      <c r="E1027" s="16" t="n">
        <f aca="false">D1027*(1+g_ff)</f>
        <v>319.918</v>
      </c>
      <c r="F1027" s="16" t="n">
        <f aca="false">E1027*(1+g_ff)</f>
        <v>329.51554</v>
      </c>
      <c r="G1027" s="16" t="n">
        <f aca="false">F1027*(1+g_ff)</f>
        <v>339.4010062</v>
      </c>
    </row>
    <row r="1028" customFormat="false" ht="15" hidden="false" customHeight="false" outlineLevel="0" collapsed="false">
      <c r="A1028" s="4" t="s">
        <v>521</v>
      </c>
      <c r="B1028" s="0" t="s">
        <v>170</v>
      </c>
      <c r="C1028" s="16" t="n">
        <f aca="false">q25_ffbp</f>
        <v>8.457</v>
      </c>
      <c r="D1028" s="16" t="n">
        <f aca="false">q26_ffbp</f>
        <v>12.1</v>
      </c>
      <c r="E1028" s="16" t="n">
        <f aca="false">E1027*m_ff</f>
        <v>14.39631</v>
      </c>
      <c r="F1028" s="16" t="n">
        <f aca="false">F1027*m_ff</f>
        <v>14.8281993</v>
      </c>
      <c r="G1028" s="16" t="n">
        <f aca="false">G1027*m_ff</f>
        <v>15.273045279</v>
      </c>
    </row>
    <row r="1029" customFormat="false" ht="17.15" hidden="false" customHeight="false" outlineLevel="0" collapsed="false">
      <c r="A1029" s="4" t="s">
        <v>522</v>
      </c>
      <c r="B1029" s="0" t="s">
        <v>170</v>
      </c>
      <c r="C1029" s="16" t="n">
        <f aca="false">q25_hox</f>
        <v>239.0528</v>
      </c>
      <c r="D1029" s="16" t="n">
        <f aca="false">q26_hox</f>
        <v>286.2</v>
      </c>
      <c r="E1029" s="16" t="n">
        <f aca="false">D1029*(1+g_ho)</f>
        <v>300.51</v>
      </c>
      <c r="F1029" s="16" t="n">
        <f aca="false">E1029*(1+g_ho)</f>
        <v>315.5355</v>
      </c>
      <c r="G1029" s="16" t="n">
        <f aca="false">F1029*(1+g_ho)</f>
        <v>331.312275</v>
      </c>
    </row>
    <row r="1030" customFormat="false" ht="17.15" hidden="false" customHeight="false" outlineLevel="0" collapsed="false">
      <c r="A1030" s="4" t="s">
        <v>523</v>
      </c>
      <c r="B1030" s="0" t="s">
        <v>170</v>
      </c>
      <c r="C1030" s="16" t="n">
        <f aca="false">q25_hoxbp</f>
        <v>11.602</v>
      </c>
      <c r="D1030" s="16" t="n">
        <f aca="false">q26_hoxbp</f>
        <v>19.5</v>
      </c>
      <c r="E1030" s="16" t="n">
        <f aca="false">E1029*m_ho</f>
        <v>20.475</v>
      </c>
      <c r="F1030" s="16" t="n">
        <f aca="false">F1029*m_ho</f>
        <v>21.49875</v>
      </c>
      <c r="G1030" s="16" t="n">
        <f aca="false">G1029*m_ho</f>
        <v>22.5736875</v>
      </c>
    </row>
    <row r="1031" customFormat="false" ht="17.15" hidden="false" customHeight="false" outlineLevel="0" collapsed="false">
      <c r="A1031" s="4" t="s">
        <v>524</v>
      </c>
      <c r="B1031" s="0" t="s">
        <v>170</v>
      </c>
      <c r="C1031" s="16" t="n">
        <f aca="false">q25_oth</f>
        <v>14.979</v>
      </c>
      <c r="D1031" s="16" t="n">
        <f aca="false">q26_oth</f>
        <v>15.8</v>
      </c>
      <c r="E1031" s="16" t="n">
        <f aca="false">D1031</f>
        <v>15.8</v>
      </c>
      <c r="F1031" s="16" t="n">
        <f aca="false">E1031</f>
        <v>15.8</v>
      </c>
      <c r="G1031" s="16" t="n">
        <f aca="false">F1031</f>
        <v>15.8</v>
      </c>
      <c r="K1031" s="8" t="s">
        <v>525</v>
      </c>
    </row>
    <row r="1032" customFormat="false" ht="15" hidden="false" customHeight="false" outlineLevel="0" collapsed="false">
      <c r="A1032" s="4" t="s">
        <v>526</v>
      </c>
      <c r="B1032" s="0" t="s">
        <v>170</v>
      </c>
      <c r="C1032" s="16" t="n">
        <f aca="false">q25_othbp</f>
        <v>6.064</v>
      </c>
      <c r="D1032" s="16" t="n">
        <f aca="false">q26_othbp</f>
        <v>5.1</v>
      </c>
      <c r="E1032" s="16" t="n">
        <f aca="false">q26_othbp</f>
        <v>5.1</v>
      </c>
      <c r="F1032" s="16" t="n">
        <f aca="false">q26_othbp</f>
        <v>5.1</v>
      </c>
      <c r="G1032" s="16" t="n">
        <f aca="false">q26_othbp</f>
        <v>5.1</v>
      </c>
    </row>
    <row r="1033" customFormat="false" ht="15" hidden="false" customHeight="false" outlineLevel="0" collapsed="false">
      <c r="A1033" s="4" t="s">
        <v>527</v>
      </c>
      <c r="B1033" s="0" t="s">
        <v>170</v>
      </c>
      <c r="C1033" s="16" t="n">
        <f aca="false">q25_cc</f>
        <v>-42.597</v>
      </c>
      <c r="D1033" s="16" t="n">
        <f aca="false">q26_cc</f>
        <v>-46.2</v>
      </c>
      <c r="E1033" s="16" t="n">
        <f aca="false">D1033*(1+g_cc)</f>
        <v>-47.586</v>
      </c>
      <c r="F1033" s="16" t="n">
        <f aca="false">E1033*(1+g_cc)</f>
        <v>-49.01358</v>
      </c>
      <c r="G1033" s="16" t="n">
        <f aca="false">F1033*(1+g_cc)</f>
        <v>-50.4839874</v>
      </c>
    </row>
    <row r="1034" customFormat="false" ht="17.15" hidden="false" customHeight="false" outlineLevel="0" collapsed="false">
      <c r="A1034" s="4" t="s">
        <v>528</v>
      </c>
      <c r="B1034" s="0" t="s">
        <v>170</v>
      </c>
      <c r="C1034" s="28" t="n">
        <f aca="false">a_rev-(q25_sf+q25_ff+q25_hox+q25_fm+q25_oth)</f>
        <v>0.00200000000018008</v>
      </c>
      <c r="D1034" s="28" t="n">
        <f aca="false">f_rev-(q26_sf+q26_ff+q26_hox+q26_fm+q26_oth)</f>
        <v>0.200000000000045</v>
      </c>
      <c r="E1034" s="28" t="n">
        <f aca="false">$D1034</f>
        <v>0.200000000000045</v>
      </c>
      <c r="F1034" s="28" t="n">
        <f aca="false">$D1034</f>
        <v>0.200000000000045</v>
      </c>
      <c r="G1034" s="28" t="n">
        <f aca="false">$D1034</f>
        <v>0.200000000000045</v>
      </c>
      <c r="K1034" s="8" t="s">
        <v>529</v>
      </c>
    </row>
    <row r="1035" customFormat="false" ht="15" hidden="false" customHeight="false" outlineLevel="0" collapsed="false">
      <c r="A1035" s="4" t="s">
        <v>530</v>
      </c>
      <c r="B1035" s="0" t="s">
        <v>170</v>
      </c>
      <c r="C1035" s="28" t="n">
        <f aca="false">a_bp-(q25_sfbp+q25_ffbp+q25_hoxbp+q25_fmbp+q25_othbp+q25_cc)</f>
        <v>0.0010000000000332</v>
      </c>
      <c r="D1035" s="28" t="n">
        <f aca="false">f_bp-(q26_sfbp+q26_ffbp+q26_hoxbp+q26_fmbp+q26_othbp+q26_cc)</f>
        <v>0.100000000000023</v>
      </c>
      <c r="E1035" s="28" t="n">
        <f aca="false">$D1035</f>
        <v>0.100000000000023</v>
      </c>
      <c r="F1035" s="28" t="n">
        <f aca="false">$D1035</f>
        <v>0.100000000000023</v>
      </c>
      <c r="G1035" s="28" t="n">
        <f aca="false">$D1035</f>
        <v>0.100000000000023</v>
      </c>
    </row>
    <row r="1036" customFormat="false" ht="17.15" hidden="false" customHeight="false" outlineLevel="0" collapsed="false">
      <c r="A1036" s="6" t="s">
        <v>531</v>
      </c>
    </row>
    <row r="1037" customFormat="false" ht="17.15" hidden="false" customHeight="false" outlineLevel="0" collapsed="false">
      <c r="A1037" s="4" t="s">
        <v>403</v>
      </c>
      <c r="B1037" s="0" t="s">
        <v>170</v>
      </c>
      <c r="C1037" s="16" t="n">
        <f aca="false">C1025+C1027+C1029+C1021+C1031+C1034</f>
        <v>1583.719</v>
      </c>
      <c r="D1037" s="16" t="n">
        <f aca="false">D1025+D1027+D1029+D1021+D1031+D1034</f>
        <v>1732</v>
      </c>
      <c r="E1037" s="16" t="n">
        <f aca="false">E1025+E1027+E1029+E1021+E1031+E1034</f>
        <v>1850.5656</v>
      </c>
      <c r="F1037" s="16" t="n">
        <f aca="false">F1025+F1027+F1029+F1021+F1031+F1034</f>
        <v>1955.94074307053</v>
      </c>
      <c r="G1037" s="16" t="n">
        <f aca="false">G1025+G1027+G1029+G1021+G1031+G1034</f>
        <v>2053.1320716</v>
      </c>
      <c r="H1037" s="24" t="n">
        <f aca="false">G1037*(1+H1041)</f>
        <v>2162.20857776426</v>
      </c>
      <c r="I1037" s="24" t="n">
        <f aca="false">H1037*(1+I1041)</f>
        <v>2284.5105355383</v>
      </c>
      <c r="J1037" s="24" t="n">
        <f aca="false">I1037*(1+J1041)</f>
        <v>2421.5811676706</v>
      </c>
      <c r="K1037" s="8" t="s">
        <v>532</v>
      </c>
    </row>
    <row r="1038" customFormat="false" ht="17.15" hidden="false" customHeight="false" outlineLevel="0" collapsed="false">
      <c r="A1038" s="4" t="s">
        <v>533</v>
      </c>
      <c r="B1038" s="0" t="s">
        <v>170</v>
      </c>
      <c r="C1038" s="16" t="n">
        <f aca="false">C1021+C1029</f>
        <v>341.504</v>
      </c>
      <c r="D1038" s="16" t="n">
        <f aca="false">D1021+D1029</f>
        <v>406.8</v>
      </c>
      <c r="E1038" s="16" t="n">
        <f aca="false">E1021+E1029</f>
        <v>476.1036</v>
      </c>
      <c r="F1038" s="16" t="n">
        <f aca="false">F1021+F1029</f>
        <v>530.339443070526</v>
      </c>
      <c r="G1038" s="16" t="n">
        <f aca="false">G1021+G1029</f>
        <v>574.441875</v>
      </c>
      <c r="K1038" s="4" t="s">
        <v>534</v>
      </c>
    </row>
    <row r="1039" customFormat="false" ht="17.15" hidden="false" customHeight="false" outlineLevel="0" collapsed="false">
      <c r="A1039" s="4" t="s">
        <v>535</v>
      </c>
      <c r="B1039" s="0" t="s">
        <v>170</v>
      </c>
      <c r="C1039" s="16" t="n">
        <f aca="false">C1031+C1034</f>
        <v>14.9810000000002</v>
      </c>
      <c r="D1039" s="16" t="n">
        <f aca="false">D1031+D1034</f>
        <v>16</v>
      </c>
      <c r="E1039" s="16" t="n">
        <f aca="false">E1031+E1034</f>
        <v>16</v>
      </c>
      <c r="F1039" s="16" t="n">
        <f aca="false">F1031+F1034</f>
        <v>16</v>
      </c>
      <c r="G1039" s="16" t="n">
        <f aca="false">G1031+G1034</f>
        <v>16</v>
      </c>
      <c r="K1039" s="8" t="s">
        <v>536</v>
      </c>
    </row>
    <row r="1040" customFormat="false" ht="15" hidden="false" customHeight="false" outlineLevel="0" collapsed="false">
      <c r="A1040" s="4" t="s">
        <v>537</v>
      </c>
      <c r="B1040" s="0" t="s">
        <v>170</v>
      </c>
      <c r="C1040" s="22" t="n">
        <f aca="false">C1025+C1027+C1038+C1039-C1037</f>
        <v>0</v>
      </c>
      <c r="D1040" s="22" t="n">
        <f aca="false">D1025+D1027+D1038+D1039-D1037</f>
        <v>0</v>
      </c>
      <c r="E1040" s="22" t="n">
        <f aca="false">E1025+E1027+E1038+E1039-E1037</f>
        <v>0</v>
      </c>
      <c r="F1040" s="22" t="n">
        <f aca="false">F1025+F1027+F1038+F1039-F1037</f>
        <v>0</v>
      </c>
      <c r="G1040" s="22" t="n">
        <f aca="false">G1025+G1027+G1038+G1039-G1037</f>
        <v>0</v>
      </c>
    </row>
    <row r="1041" customFormat="false" ht="15" hidden="false" customHeight="false" outlineLevel="0" collapsed="false">
      <c r="A1041" s="4" t="s">
        <v>538</v>
      </c>
      <c r="B1041" s="0" t="s">
        <v>78</v>
      </c>
      <c r="D1041" s="17" t="n">
        <f aca="false">D1037/C1037-1</f>
        <v>0.0936283519993131</v>
      </c>
      <c r="E1041" s="17" t="n">
        <f aca="false">E1037/D1037-1</f>
        <v>0.0684558891454965</v>
      </c>
      <c r="F1041" s="17" t="n">
        <f aca="false">F1037/E1037-1</f>
        <v>0.0569421278935081</v>
      </c>
      <c r="G1041" s="17" t="n">
        <f aca="false">G1037/F1037-1</f>
        <v>0.0496903236326567</v>
      </c>
      <c r="H1041" s="25" t="n">
        <f aca="false">$G1041+(fade_gA-$G1041)*1/3</f>
        <v>0.0531268824217711</v>
      </c>
      <c r="I1041" s="25" t="n">
        <f aca="false">$G1041+(fade_gA-$G1041)*2/3</f>
        <v>0.0565634412108856</v>
      </c>
      <c r="J1041" s="25" t="n">
        <f aca="false">$G1041+(fade_gA-$G1041)*3/3</f>
        <v>0.06</v>
      </c>
    </row>
    <row r="1042" customFormat="false" ht="17.15" hidden="false" customHeight="false" outlineLevel="0" collapsed="false">
      <c r="A1042" s="0" t="s">
        <v>539</v>
      </c>
      <c r="B1042" s="0" t="s">
        <v>78</v>
      </c>
      <c r="C1042" s="17" t="n">
        <f aca="false">C1021/C1037</f>
        <v>0.0646902638662541</v>
      </c>
      <c r="D1042" s="17" t="n">
        <f aca="false">D1021/D1037</f>
        <v>0.0696304849884527</v>
      </c>
      <c r="E1042" s="17" t="n">
        <f aca="false">E1021/E1037</f>
        <v>0.0948864498507916</v>
      </c>
      <c r="F1042" s="17" t="n">
        <f aca="false">F1021/F1037</f>
        <v>0.109821293835987</v>
      </c>
      <c r="G1042" s="17" t="n">
        <f aca="false">G1021/G1037</f>
        <v>0.118418879799842</v>
      </c>
    </row>
    <row r="1043" customFormat="false" ht="15" hidden="false" customHeight="false" outlineLevel="0" collapsed="false">
      <c r="A1043" s="4" t="s">
        <v>413</v>
      </c>
      <c r="B1043" s="0" t="s">
        <v>170</v>
      </c>
      <c r="C1043" s="16" t="n">
        <f aca="false">C1026+C1028+C1030+C1023+C1032+C1033+C1035</f>
        <v>181.163</v>
      </c>
      <c r="D1043" s="16" t="n">
        <f aca="false">D1026+D1028+D1030+D1023+D1032+D1033+D1035</f>
        <v>202</v>
      </c>
      <c r="E1043" s="16" t="n">
        <f aca="false">E1026+E1028+E1030+E1023+E1032+E1033+E1035</f>
        <v>246.03601</v>
      </c>
      <c r="F1043" s="16" t="n">
        <f aca="false">F1026+F1028+F1030+F1023+F1032+F1033+F1035</f>
        <v>274.5863674364</v>
      </c>
      <c r="G1043" s="16" t="n">
        <f aca="false">G1026+G1028+G1030+G1023+G1032+G1033+G1035</f>
        <v>291.433339119</v>
      </c>
    </row>
    <row r="1044" customFormat="false" ht="15" hidden="false" customHeight="false" outlineLevel="0" collapsed="false">
      <c r="A1044" s="4" t="s">
        <v>429</v>
      </c>
      <c r="B1044" s="0" t="s">
        <v>78</v>
      </c>
      <c r="C1044" s="17" t="n">
        <f aca="false">C1043/C1037</f>
        <v>0.114390873633517</v>
      </c>
      <c r="D1044" s="17" t="n">
        <f aca="false">D1043/D1037</f>
        <v>0.11662817551963</v>
      </c>
      <c r="E1044" s="17" t="n">
        <f aca="false">E1043/E1037</f>
        <v>0.132951790522854</v>
      </c>
      <c r="F1044" s="17" t="n">
        <f aca="false">F1043/F1037</f>
        <v>0.140385831426233</v>
      </c>
      <c r="G1044" s="17" t="n">
        <f aca="false">G1043/G1037</f>
        <v>0.141945734105594</v>
      </c>
    </row>
    <row r="1045" customFormat="false" ht="17.15" hidden="false" customHeight="false" outlineLevel="0" collapsed="false">
      <c r="A1045" s="0" t="s">
        <v>540</v>
      </c>
      <c r="B1045" s="0" t="s">
        <v>78</v>
      </c>
      <c r="C1045" s="17" t="n">
        <f aca="false">C1023/C1043</f>
        <v>0.301386044611758</v>
      </c>
      <c r="D1045" s="17" t="n">
        <f aca="false">D1023/D1043</f>
        <v>0.324257425742574</v>
      </c>
      <c r="E1045" s="17" t="n">
        <f aca="false">E1023/E1043</f>
        <v>0.413820318415991</v>
      </c>
      <c r="F1045" s="17" t="n">
        <f aca="false">F1023/F1043</f>
        <v>0.452562737533511</v>
      </c>
      <c r="G1045" s="17" t="n">
        <f aca="false">G1023/G1043</f>
        <v>0.462379961562931</v>
      </c>
    </row>
    <row r="1046" customFormat="false" ht="17.15" hidden="false" customHeight="false" outlineLevel="0" collapsed="false">
      <c r="A1046" s="4" t="s">
        <v>430</v>
      </c>
      <c r="B1046" s="0" t="s">
        <v>53</v>
      </c>
      <c r="C1046" s="22" t="n">
        <f aca="false">q25_ni/q25_bp</f>
        <v>0.743391310587703</v>
      </c>
      <c r="D1046" s="22" t="n">
        <f aca="false">q26_ni/q26_bp</f>
        <v>0.611386138613861</v>
      </c>
      <c r="E1046" s="22" t="n">
        <f aca="false">ni_bp_hi</f>
        <v>0.66</v>
      </c>
      <c r="F1046" s="22" t="n">
        <f aca="false">ni_bp_hi</f>
        <v>0.66</v>
      </c>
      <c r="G1046" s="22" t="n">
        <f aca="false">ni_bp_hi</f>
        <v>0.66</v>
      </c>
    </row>
    <row r="1047" customFormat="false" ht="15" hidden="false" customHeight="false" outlineLevel="0" collapsed="false">
      <c r="A1047" s="4" t="s">
        <v>420</v>
      </c>
      <c r="B1047" s="0" t="s">
        <v>170</v>
      </c>
      <c r="C1047" s="16" t="n">
        <f aca="false">q25_ni</f>
        <v>134.675</v>
      </c>
      <c r="D1047" s="16" t="n">
        <f aca="false">q26_ni</f>
        <v>123.5</v>
      </c>
      <c r="E1047" s="16" t="n">
        <f aca="false">E1043*E1046</f>
        <v>162.3837666</v>
      </c>
      <c r="F1047" s="16" t="n">
        <f aca="false">F1043*F1046</f>
        <v>181.227002508024</v>
      </c>
      <c r="G1047" s="16" t="n">
        <f aca="false">G1043*G1046</f>
        <v>192.34600381854</v>
      </c>
      <c r="H1047" s="24" t="n">
        <f aca="false">H1037*H1051</f>
        <v>198.47253022957</v>
      </c>
      <c r="I1047" s="24" t="n">
        <f aca="false">I1037*I1051</f>
        <v>205.375132524666</v>
      </c>
      <c r="J1047" s="24" t="n">
        <f aca="false">J1037*J1051</f>
        <v>213.114532255596</v>
      </c>
    </row>
    <row r="1048" customFormat="false" ht="15" hidden="false" customHeight="false" outlineLevel="0" collapsed="false">
      <c r="A1048" s="4" t="s">
        <v>541</v>
      </c>
      <c r="B1048" s="4" t="s">
        <v>317</v>
      </c>
      <c r="C1048" s="20" t="n">
        <f aca="false">q25_sh</f>
        <v>0.973366579936398</v>
      </c>
      <c r="D1048" s="20" t="n">
        <f aca="false">q26_sh</f>
        <v>0.95117067159581</v>
      </c>
      <c r="E1048" s="20" t="n">
        <f aca="false">D1048*(1+sh_g)</f>
        <v>0.936903111521873</v>
      </c>
      <c r="F1048" s="20" t="n">
        <f aca="false">E1048*(1+sh_g)</f>
        <v>0.922849564849045</v>
      </c>
      <c r="G1048" s="20" t="n">
        <f aca="false">F1048*(1+sh_g)</f>
        <v>0.909006821376309</v>
      </c>
      <c r="H1048" s="29" t="n">
        <f aca="false">G1048*(1+sh_g)</f>
        <v>0.895371719055665</v>
      </c>
      <c r="I1048" s="29" t="n">
        <f aca="false">H1048*(1+sh_g)</f>
        <v>0.88194114326983</v>
      </c>
      <c r="J1048" s="29" t="n">
        <f aca="false">I1048*(1+sh_g)</f>
        <v>0.868712026120782</v>
      </c>
    </row>
    <row r="1049" customFormat="false" ht="17.15" hidden="false" customHeight="false" outlineLevel="0" collapsed="false">
      <c r="A1049" s="0" t="s">
        <v>542</v>
      </c>
      <c r="B1049" s="0" t="s">
        <v>208</v>
      </c>
      <c r="C1049" s="21" t="n">
        <f aca="false">C1047/C1048</f>
        <v>138.36</v>
      </c>
      <c r="D1049" s="21" t="n">
        <f aca="false">D1047/D1048</f>
        <v>129.84</v>
      </c>
      <c r="E1049" s="21" t="n">
        <f aca="false">E1047/E1048</f>
        <v>173.319700407686</v>
      </c>
      <c r="F1049" s="21" t="n">
        <f aca="false">F1047/F1048</f>
        <v>196.377621457369</v>
      </c>
      <c r="G1049" s="21" t="n">
        <f aca="false">G1047/G1048</f>
        <v>211.600176473168</v>
      </c>
      <c r="H1049" s="27" t="n">
        <f aca="false">H1047/H1048</f>
        <v>221.664953231822</v>
      </c>
      <c r="I1049" s="27" t="n">
        <f aca="false">I1047/I1048</f>
        <v>232.867163633199</v>
      </c>
      <c r="J1049" s="27" t="n">
        <f aca="false">J1047/J1048</f>
        <v>245.322415078395</v>
      </c>
    </row>
    <row r="1050" customFormat="false" ht="17.15" hidden="false" customHeight="false" outlineLevel="0" collapsed="false">
      <c r="A1050" s="0" t="s">
        <v>543</v>
      </c>
      <c r="B1050" s="0" t="s">
        <v>78</v>
      </c>
      <c r="D1050" s="17" t="n">
        <f aca="false">D1049/C1049-1</f>
        <v>-0.0615784908933218</v>
      </c>
      <c r="E1050" s="17" t="n">
        <f aca="false">E1049/D1049-1</f>
        <v>0.334871383300109</v>
      </c>
      <c r="F1050" s="17" t="n">
        <f aca="false">F1049/E1049-1</f>
        <v>0.133036931147734</v>
      </c>
      <c r="G1050" s="17" t="n">
        <f aca="false">G1049/F1049-1</f>
        <v>0.077516750141017</v>
      </c>
      <c r="H1050" s="25" t="n">
        <f aca="false">H1049/G1049-1</f>
        <v>0.0475650678860873</v>
      </c>
      <c r="I1050" s="25" t="n">
        <f aca="false">I1049/H1049-1</f>
        <v>0.0505366781624794</v>
      </c>
      <c r="J1050" s="25" t="n">
        <f aca="false">J1049/I1049-1</f>
        <v>0.0534865081485441</v>
      </c>
    </row>
    <row r="1051" customFormat="false" ht="15" hidden="false" customHeight="false" outlineLevel="0" collapsed="false">
      <c r="A1051" s="4" t="s">
        <v>544</v>
      </c>
      <c r="B1051" s="0" t="s">
        <v>78</v>
      </c>
      <c r="C1051" s="14" t="n">
        <f aca="false">C1047/C1037</f>
        <v>0.0850371814696925</v>
      </c>
      <c r="D1051" s="14" t="n">
        <f aca="false">D1047/D1037</f>
        <v>0.0713048498845266</v>
      </c>
      <c r="E1051" s="14" t="n">
        <f aca="false">E1047/E1037</f>
        <v>0.0877481817450838</v>
      </c>
      <c r="F1051" s="14" t="n">
        <f aca="false">F1047/F1037</f>
        <v>0.0926546487413137</v>
      </c>
      <c r="G1051" s="14" t="n">
        <f aca="false">G1047/G1037</f>
        <v>0.0936841845096918</v>
      </c>
      <c r="H1051" s="26" t="n">
        <f aca="false">$G1051+(fade_mA-$G1051)*1/3</f>
        <v>0.0917915747216172</v>
      </c>
      <c r="I1051" s="26" t="n">
        <f aca="false">$G1051+(fade_mA-$G1051)*2/3</f>
        <v>0.0898989649335426</v>
      </c>
      <c r="J1051" s="26" t="n">
        <f aca="false">$G1051+(fade_mA-$G1051)*3/3</f>
        <v>0.088006355145468</v>
      </c>
    </row>
    <row r="1052" customFormat="false" ht="17.15" hidden="false" customHeight="false" outlineLevel="0" collapsed="false">
      <c r="A1052" s="0" t="s">
        <v>545</v>
      </c>
      <c r="B1052" s="0" t="s">
        <v>208</v>
      </c>
      <c r="D1052" s="21" t="n">
        <f aca="false">D1023*D1046/D1048</f>
        <v>42.1015841584158</v>
      </c>
      <c r="E1052" s="21" t="n">
        <f aca="false">E1023*E1046/E1048</f>
        <v>71.7232136104729</v>
      </c>
      <c r="F1052" s="21" t="n">
        <f aca="false">F1023*F1046/F1048</f>
        <v>88.8731939570667</v>
      </c>
      <c r="G1052" s="21" t="n">
        <f aca="false">G1023*G1046/G1048</f>
        <v>97.8396814643727</v>
      </c>
      <c r="K1052" s="8" t="s">
        <v>546</v>
      </c>
    </row>
    <row r="1053" customFormat="false" ht="17.15" hidden="false" customHeight="false" outlineLevel="0" collapsed="false">
      <c r="A1053" s="0" t="s">
        <v>547</v>
      </c>
      <c r="B1053" s="0" t="s">
        <v>208</v>
      </c>
      <c r="D1053" s="21" t="n">
        <f aca="false">D1049-D1052</f>
        <v>87.7384158415842</v>
      </c>
      <c r="E1053" s="21" t="n">
        <f aca="false">E1049-E1052</f>
        <v>101.596486797213</v>
      </c>
      <c r="F1053" s="21" t="n">
        <f aca="false">F1049-F1052</f>
        <v>107.504427500303</v>
      </c>
      <c r="G1053" s="21" t="n">
        <f aca="false">G1049-G1052</f>
        <v>113.760495008795</v>
      </c>
    </row>
    <row r="1054" customFormat="false" ht="17.15" hidden="false" customHeight="false" outlineLevel="0" collapsed="false">
      <c r="A1054" s="0" t="s">
        <v>548</v>
      </c>
      <c r="B1054" s="0" t="s">
        <v>455</v>
      </c>
      <c r="D1054" s="16" t="n">
        <f aca="false">D1019/D1009*1000/150</f>
        <v>23.5087719298246</v>
      </c>
      <c r="E1054" s="16" t="n">
        <f aca="false">E1019/E1009*1000/150</f>
        <v>30.1617621884116</v>
      </c>
      <c r="F1054" s="16" t="n">
        <f aca="false">F1019/F1009*1000/150</f>
        <v>36.5143464561404</v>
      </c>
      <c r="G1054" s="16" t="n">
        <f aca="false">G1019/G1009*1000/150</f>
        <v>39.9173947725016</v>
      </c>
      <c r="K1054" s="8" t="s">
        <v>549</v>
      </c>
    </row>
    <row r="1057" customFormat="false" ht="17.15" hidden="false" customHeight="false" outlineLevel="0" collapsed="false">
      <c r="A1057" s="1" t="s">
        <v>956</v>
      </c>
    </row>
    <row r="1058" customFormat="false" ht="17.15" hidden="false" customHeight="false" outlineLevel="0" collapsed="false">
      <c r="A1058" s="5" t="s">
        <v>20</v>
      </c>
      <c r="B1058" s="5" t="s">
        <v>21</v>
      </c>
      <c r="C1058" s="15" t="s">
        <v>398</v>
      </c>
      <c r="D1058" s="15" t="s">
        <v>470</v>
      </c>
      <c r="E1058" s="15" t="s">
        <v>435</v>
      </c>
      <c r="F1058" s="15" t="s">
        <v>436</v>
      </c>
      <c r="G1058" s="15" t="s">
        <v>437</v>
      </c>
      <c r="H1058" s="15" t="s">
        <v>471</v>
      </c>
      <c r="I1058" s="15" t="s">
        <v>472</v>
      </c>
      <c r="J1058" s="15" t="s">
        <v>473</v>
      </c>
      <c r="K1058" s="5" t="s">
        <v>377</v>
      </c>
    </row>
    <row r="1059" customFormat="false" ht="17.15" hidden="false" customHeight="false" outlineLevel="0" collapsed="false">
      <c r="A1059" s="6" t="s">
        <v>493</v>
      </c>
    </row>
    <row r="1060" customFormat="false" ht="17.15" hidden="false" customHeight="false" outlineLevel="0" collapsed="false">
      <c r="A1060" s="0" t="s">
        <v>494</v>
      </c>
      <c r="B1060" s="4" t="s">
        <v>31</v>
      </c>
      <c r="D1060" s="21" t="n">
        <f aca="false">unv_26</f>
        <v>7.6</v>
      </c>
      <c r="E1060" s="21" t="n">
        <f aca="false">unv_27</f>
        <v>9.7</v>
      </c>
      <c r="F1060" s="21" t="n">
        <f aca="false">unv_28*um28_A</f>
        <v>9.5</v>
      </c>
      <c r="G1060" s="21" t="n">
        <f aca="false">unv_29*um29_A</f>
        <v>10.6</v>
      </c>
      <c r="K1060" s="8" t="s">
        <v>495</v>
      </c>
    </row>
    <row r="1061" customFormat="false" ht="17.15" hidden="false" customHeight="false" outlineLevel="0" collapsed="false">
      <c r="A1061" s="4" t="s">
        <v>496</v>
      </c>
      <c r="B1061" s="4" t="s">
        <v>31</v>
      </c>
      <c r="D1061" s="21" t="n">
        <f aca="false">uot_26</f>
        <v>7.6</v>
      </c>
      <c r="E1061" s="21" t="n">
        <f aca="false">uot_27</f>
        <v>14</v>
      </c>
      <c r="F1061" s="21" t="n">
        <f aca="false">uot_28*um28_A</f>
        <v>17</v>
      </c>
      <c r="G1061" s="21" t="n">
        <f aca="false">uot_29*um29_A</f>
        <v>19.55</v>
      </c>
      <c r="K1061" s="8" t="s">
        <v>497</v>
      </c>
    </row>
    <row r="1062" customFormat="false" ht="17.15" hidden="false" customHeight="false" outlineLevel="0" collapsed="false">
      <c r="A1062" s="4" t="s">
        <v>498</v>
      </c>
      <c r="B1062" s="4" t="s">
        <v>31</v>
      </c>
      <c r="D1062" s="21" t="n">
        <f aca="false">D1060+v_ot*D1061</f>
        <v>13.68</v>
      </c>
      <c r="E1062" s="21" t="n">
        <f aca="false">E1060+v_ot*E1061</f>
        <v>20.9</v>
      </c>
      <c r="F1062" s="21" t="n">
        <f aca="false">F1060+v_ot*F1061</f>
        <v>23.1</v>
      </c>
      <c r="G1062" s="21" t="n">
        <f aca="false">G1060+v_ot*G1061</f>
        <v>26.24</v>
      </c>
    </row>
    <row r="1063" customFormat="false" ht="17.15" hidden="false" customHeight="false" outlineLevel="0" collapsed="false">
      <c r="A1063" s="4" t="s">
        <v>499</v>
      </c>
      <c r="B1063" s="0" t="s">
        <v>53</v>
      </c>
      <c r="D1063" s="22" t="n">
        <f aca="false">1</f>
        <v>1</v>
      </c>
      <c r="E1063" s="22" t="n">
        <f aca="false">D1063*(1+g_asp)</f>
        <v>1.18</v>
      </c>
      <c r="F1063" s="22" t="n">
        <f aca="false">E1063*(1+g_asp)</f>
        <v>1.3924</v>
      </c>
      <c r="G1063" s="22" t="n">
        <f aca="false">F1063*(1+g_asp)</f>
        <v>1.643032</v>
      </c>
    </row>
    <row r="1064" customFormat="false" ht="17.15" hidden="false" customHeight="false" outlineLevel="0" collapsed="false">
      <c r="A1064" s="4" t="s">
        <v>500</v>
      </c>
      <c r="B1064" s="0" t="s">
        <v>53</v>
      </c>
      <c r="D1064" s="19" t="n">
        <f aca="false">1</f>
        <v>1</v>
      </c>
      <c r="E1064" s="19" t="n">
        <f aca="false">rel_27</f>
        <v>1</v>
      </c>
      <c r="F1064" s="19" t="n">
        <f aca="false">rel_28</f>
        <v>0.97</v>
      </c>
      <c r="G1064" s="19" t="n">
        <f aca="false">rel_29</f>
        <v>0.95</v>
      </c>
    </row>
    <row r="1065" customFormat="false" ht="17.15" hidden="false" customHeight="false" outlineLevel="0" collapsed="false">
      <c r="A1065" s="0" t="s">
        <v>501</v>
      </c>
      <c r="B1065" s="0" t="s">
        <v>53</v>
      </c>
      <c r="D1065" s="22" t="n">
        <f aca="false">D1062/$D1062*D1063*D1064</f>
        <v>1</v>
      </c>
      <c r="E1065" s="22" t="n">
        <f aca="false">E1062/$D1062*E1063*E1064</f>
        <v>1.80277777777778</v>
      </c>
      <c r="F1065" s="22" t="n">
        <f aca="false">F1062/$D1062*F1063*F1064</f>
        <v>2.28066570175439</v>
      </c>
      <c r="G1065" s="22" t="n">
        <f aca="false">G1062/$D1062*G1063*G1064</f>
        <v>2.99396942222222</v>
      </c>
      <c r="K1065" s="4" t="s">
        <v>502</v>
      </c>
    </row>
    <row r="1066" customFormat="false" ht="17.15" hidden="false" customHeight="false" outlineLevel="0" collapsed="false">
      <c r="A1066" s="4" t="s">
        <v>503</v>
      </c>
      <c r="B1066" s="0" t="s">
        <v>53</v>
      </c>
      <c r="D1066" s="22" t="n">
        <f aca="false">1</f>
        <v>1</v>
      </c>
      <c r="E1066" s="22" t="n">
        <f aca="false">D1066*(1+g_nai)</f>
        <v>1.03</v>
      </c>
      <c r="F1066" s="22" t="n">
        <f aca="false">E1066*(1+g_nai)</f>
        <v>1.0609</v>
      </c>
      <c r="G1066" s="22" t="n">
        <f aca="false">F1066*(1+g_nai)</f>
        <v>1.092727</v>
      </c>
    </row>
    <row r="1067" customFormat="false" ht="17.15" hidden="false" customHeight="false" outlineLevel="0" collapsed="false">
      <c r="A1067" s="0" t="s">
        <v>504</v>
      </c>
      <c r="B1067" s="0" t="s">
        <v>53</v>
      </c>
      <c r="D1067" s="22" t="n">
        <f aca="false">ai_sh*D1065+(1-ai_sh)*D1066</f>
        <v>1</v>
      </c>
      <c r="E1067" s="22" t="n">
        <f aca="false">ai_sh*E1065+(1-ai_sh)*E1066</f>
        <v>1.33911111111111</v>
      </c>
      <c r="F1067" s="22" t="n">
        <f aca="false">ai_sh*F1065+(1-ai_sh)*F1066</f>
        <v>1.54880628070175</v>
      </c>
      <c r="G1067" s="22" t="n">
        <f aca="false">ai_sh*G1065+(1-ai_sh)*G1066</f>
        <v>1.85322396888889</v>
      </c>
    </row>
    <row r="1068" customFormat="false" ht="17.15" hidden="false" customHeight="false" outlineLevel="0" collapsed="false">
      <c r="A1068" s="4" t="s">
        <v>505</v>
      </c>
      <c r="B1068" s="0" t="s">
        <v>53</v>
      </c>
      <c r="D1068" s="22" t="n">
        <f aca="false">1</f>
        <v>1</v>
      </c>
      <c r="E1068" s="22" t="n">
        <f aca="false">cap_27</f>
        <v>1.3</v>
      </c>
      <c r="F1068" s="22" t="n">
        <f aca="false">cap_28</f>
        <v>1.55</v>
      </c>
      <c r="G1068" s="22" t="n">
        <f aca="false">cap_29</f>
        <v>1.8</v>
      </c>
      <c r="K1068" s="4" t="s">
        <v>506</v>
      </c>
    </row>
    <row r="1069" customFormat="false" ht="17.15" hidden="false" customHeight="false" outlineLevel="0" collapsed="false">
      <c r="A1069" s="4" t="s">
        <v>507</v>
      </c>
      <c r="B1069" s="0" t="s">
        <v>53</v>
      </c>
      <c r="D1069" s="22" t="n">
        <f aca="false">MIN(D1067,D1068)</f>
        <v>1</v>
      </c>
      <c r="E1069" s="22" t="n">
        <f aca="false">MIN(E1067,E1068)</f>
        <v>1.3</v>
      </c>
      <c r="F1069" s="22" t="n">
        <f aca="false">MIN(F1067,F1068)</f>
        <v>1.54880628070175</v>
      </c>
      <c r="G1069" s="22" t="n">
        <f aca="false">MIN(G1067,G1068)</f>
        <v>1.8</v>
      </c>
    </row>
    <row r="1070" customFormat="false" ht="17.15" hidden="false" customHeight="false" outlineLevel="0" collapsed="false">
      <c r="A1070" s="4" t="s">
        <v>508</v>
      </c>
      <c r="B1070" s="0" t="s">
        <v>78</v>
      </c>
      <c r="D1070" s="17" t="n">
        <f aca="false">D1069/D1067</f>
        <v>1</v>
      </c>
      <c r="E1070" s="17" t="n">
        <f aca="false">E1069/E1067</f>
        <v>0.970793229339529</v>
      </c>
      <c r="F1070" s="17" t="n">
        <f aca="false">F1069/F1067</f>
        <v>1</v>
      </c>
      <c r="G1070" s="17" t="n">
        <f aca="false">G1069/G1067</f>
        <v>0.971280336439422</v>
      </c>
      <c r="K1070" s="4" t="s">
        <v>509</v>
      </c>
    </row>
    <row r="1071" customFormat="false" ht="17.15" hidden="false" customHeight="false" outlineLevel="0" collapsed="false">
      <c r="A1071" s="0" t="s">
        <v>510</v>
      </c>
      <c r="B1071" s="0" t="s">
        <v>53</v>
      </c>
      <c r="D1071" s="22" t="n">
        <f aca="false">1</f>
        <v>1</v>
      </c>
      <c r="E1071" s="22" t="n">
        <f aca="false">pp_27</f>
        <v>1.12</v>
      </c>
      <c r="F1071" s="22" t="n">
        <f aca="false">pp_28*sp_A</f>
        <v>1.15</v>
      </c>
      <c r="G1071" s="22" t="n">
        <f aca="false">pp_29*sp_A</f>
        <v>1.12</v>
      </c>
      <c r="K1071" s="8" t="s">
        <v>511</v>
      </c>
    </row>
    <row r="1072" customFormat="false" ht="17.15" hidden="false" customHeight="false" outlineLevel="0" collapsed="false">
      <c r="A1072" s="0" t="s">
        <v>452</v>
      </c>
      <c r="B1072" s="0" t="s">
        <v>170</v>
      </c>
      <c r="D1072" s="16" t="n">
        <f aca="false">q26_fm*ai_sh</f>
        <v>48.24</v>
      </c>
      <c r="E1072" s="16" t="n">
        <f aca="false">q26_fm*ai_sh*E1065*E1070*E1071</f>
        <v>94.5571244606705</v>
      </c>
      <c r="F1072" s="16" t="n">
        <f aca="false">q26_fm*ai_sh*F1065*F1070*F1071</f>
        <v>126.522210470526</v>
      </c>
      <c r="G1072" s="16" t="n">
        <f aca="false">q26_fm*ai_sh*G1065*G1070*G1071</f>
        <v>157.114865824566</v>
      </c>
      <c r="K1072" s="8" t="s">
        <v>512</v>
      </c>
    </row>
    <row r="1073" customFormat="false" ht="17.15" hidden="false" customHeight="false" outlineLevel="0" collapsed="false">
      <c r="A1073" s="0" t="s">
        <v>513</v>
      </c>
      <c r="B1073" s="0" t="s">
        <v>170</v>
      </c>
      <c r="D1073" s="16" t="n">
        <f aca="false">q26_fm*(1-ai_sh)</f>
        <v>72.36</v>
      </c>
      <c r="E1073" s="16" t="n">
        <f aca="false">q26_fm*(1-ai_sh)*E1066*E1070*E1071</f>
        <v>81.0364755393296</v>
      </c>
      <c r="F1073" s="16" t="n">
        <f aca="false">q26_fm*(1-ai_sh)*F1066*F1070*F1071</f>
        <v>88.2817326</v>
      </c>
      <c r="G1073" s="16" t="n">
        <f aca="false">q26_fm*(1-ai_sh)*G1066*G1070*G1071</f>
        <v>86.0147341754337</v>
      </c>
    </row>
    <row r="1074" customFormat="false" ht="17.15" hidden="false" customHeight="false" outlineLevel="0" collapsed="false">
      <c r="A1074" s="4" t="s">
        <v>514</v>
      </c>
      <c r="B1074" s="0" t="s">
        <v>170</v>
      </c>
      <c r="C1074" s="16" t="n">
        <f aca="false">q25_fm</f>
        <v>102.4512</v>
      </c>
      <c r="D1074" s="16" t="n">
        <f aca="false">D1072+D1073</f>
        <v>120.6</v>
      </c>
      <c r="E1074" s="16" t="n">
        <f aca="false">E1072+E1073</f>
        <v>175.5936</v>
      </c>
      <c r="F1074" s="16" t="n">
        <f aca="false">F1072+F1073</f>
        <v>214.803943070526</v>
      </c>
      <c r="G1074" s="16" t="n">
        <f aca="false">G1072+G1073</f>
        <v>243.1296</v>
      </c>
    </row>
    <row r="1075" customFormat="false" ht="17.15" hidden="false" customHeight="false" outlineLevel="0" collapsed="false">
      <c r="A1075" s="0" t="s">
        <v>515</v>
      </c>
      <c r="B1075" s="0" t="s">
        <v>78</v>
      </c>
      <c r="C1075" s="17" t="n">
        <f aca="false">q25_fmbp/q25_fm</f>
        <v>0.532936656671664</v>
      </c>
      <c r="D1075" s="17" t="n">
        <f aca="false">q26_fmbp/q26_fm</f>
        <v>0.543117744610282</v>
      </c>
      <c r="E1075" s="17" t="n">
        <f aca="false">1-(1-$D1075)*(1+c_g)^1/E1071</f>
        <v>0.579831497275527</v>
      </c>
      <c r="F1075" s="17" t="n">
        <f aca="false">1-(1-$D1075)*(1+c_g)^2/F1071</f>
        <v>0.578516187180042</v>
      </c>
      <c r="G1075" s="17" t="n">
        <f aca="false">1-(1-$D1075)*(1+c_g)^3/G1071</f>
        <v>0.554243235459607</v>
      </c>
      <c r="K1075" s="8" t="s">
        <v>516</v>
      </c>
    </row>
    <row r="1076" customFormat="false" ht="17.15" hidden="false" customHeight="false" outlineLevel="0" collapsed="false">
      <c r="A1076" s="0" t="s">
        <v>478</v>
      </c>
      <c r="B1076" s="0" t="s">
        <v>170</v>
      </c>
      <c r="C1076" s="16" t="n">
        <f aca="false">q25_fmbp</f>
        <v>54.6</v>
      </c>
      <c r="D1076" s="16" t="n">
        <f aca="false">D1074*D1075</f>
        <v>65.5</v>
      </c>
      <c r="E1076" s="16" t="n">
        <f aca="false">E1074*E1075</f>
        <v>101.8147</v>
      </c>
      <c r="F1076" s="16" t="n">
        <f aca="false">F1074*F1075</f>
        <v>124.2675581364</v>
      </c>
      <c r="G1076" s="16" t="n">
        <f aca="false">G1074*G1075</f>
        <v>134.75293614</v>
      </c>
    </row>
    <row r="1077" customFormat="false" ht="17.15" hidden="false" customHeight="false" outlineLevel="0" collapsed="false">
      <c r="A1077" s="6" t="s">
        <v>517</v>
      </c>
    </row>
    <row r="1078" customFormat="false" ht="15" hidden="false" customHeight="false" outlineLevel="0" collapsed="false">
      <c r="A1078" s="4" t="s">
        <v>518</v>
      </c>
      <c r="B1078" s="0" t="s">
        <v>170</v>
      </c>
      <c r="C1078" s="16" t="n">
        <f aca="false">q25_sf</f>
        <v>936.926</v>
      </c>
      <c r="D1078" s="16" t="n">
        <f aca="false">q26_sf</f>
        <v>998.6</v>
      </c>
      <c r="E1078" s="16" t="n">
        <f aca="false">D1078*(1+g_sf)</f>
        <v>1038.544</v>
      </c>
      <c r="F1078" s="16" t="n">
        <f aca="false">E1078*(1+g_sf)</f>
        <v>1080.08576</v>
      </c>
      <c r="G1078" s="16" t="n">
        <f aca="false">F1078*(1+g_sf)</f>
        <v>1123.2891904</v>
      </c>
    </row>
    <row r="1079" customFormat="false" ht="15" hidden="false" customHeight="false" outlineLevel="0" collapsed="false">
      <c r="A1079" s="4" t="s">
        <v>519</v>
      </c>
      <c r="B1079" s="0" t="s">
        <v>170</v>
      </c>
      <c r="C1079" s="16" t="n">
        <f aca="false">q25_sfbp</f>
        <v>143.036</v>
      </c>
      <c r="D1079" s="16" t="n">
        <f aca="false">q26_sfbp</f>
        <v>145.9</v>
      </c>
      <c r="E1079" s="16" t="n">
        <f aca="false">E1078*m_sf</f>
        <v>151.736</v>
      </c>
      <c r="F1079" s="16" t="n">
        <f aca="false">F1078*m_sf</f>
        <v>157.80544</v>
      </c>
      <c r="G1079" s="16" t="n">
        <f aca="false">G1078*m_sf</f>
        <v>164.1176576</v>
      </c>
    </row>
    <row r="1080" customFormat="false" ht="15" hidden="false" customHeight="false" outlineLevel="0" collapsed="false">
      <c r="A1080" s="4" t="s">
        <v>520</v>
      </c>
      <c r="B1080" s="0" t="s">
        <v>170</v>
      </c>
      <c r="C1080" s="16" t="n">
        <f aca="false">q25_ff</f>
        <v>290.308</v>
      </c>
      <c r="D1080" s="16" t="n">
        <f aca="false">q26_ff</f>
        <v>310.6</v>
      </c>
      <c r="E1080" s="16" t="n">
        <f aca="false">D1080*(1+g_ff)</f>
        <v>319.918</v>
      </c>
      <c r="F1080" s="16" t="n">
        <f aca="false">E1080*(1+g_ff)</f>
        <v>329.51554</v>
      </c>
      <c r="G1080" s="16" t="n">
        <f aca="false">F1080*(1+g_ff)</f>
        <v>339.4010062</v>
      </c>
    </row>
    <row r="1081" customFormat="false" ht="15" hidden="false" customHeight="false" outlineLevel="0" collapsed="false">
      <c r="A1081" s="4" t="s">
        <v>521</v>
      </c>
      <c r="B1081" s="0" t="s">
        <v>170</v>
      </c>
      <c r="C1081" s="16" t="n">
        <f aca="false">q25_ffbp</f>
        <v>8.457</v>
      </c>
      <c r="D1081" s="16" t="n">
        <f aca="false">q26_ffbp</f>
        <v>12.1</v>
      </c>
      <c r="E1081" s="16" t="n">
        <f aca="false">E1080*m_ff</f>
        <v>14.39631</v>
      </c>
      <c r="F1081" s="16" t="n">
        <f aca="false">F1080*m_ff</f>
        <v>14.8281993</v>
      </c>
      <c r="G1081" s="16" t="n">
        <f aca="false">G1080*m_ff</f>
        <v>15.273045279</v>
      </c>
    </row>
    <row r="1082" customFormat="false" ht="17.15" hidden="false" customHeight="false" outlineLevel="0" collapsed="false">
      <c r="A1082" s="4" t="s">
        <v>522</v>
      </c>
      <c r="B1082" s="0" t="s">
        <v>170</v>
      </c>
      <c r="C1082" s="16" t="n">
        <f aca="false">q25_hox</f>
        <v>239.0528</v>
      </c>
      <c r="D1082" s="16" t="n">
        <f aca="false">q26_hox</f>
        <v>286.2</v>
      </c>
      <c r="E1082" s="16" t="n">
        <f aca="false">D1082*(1+g_ho)</f>
        <v>300.51</v>
      </c>
      <c r="F1082" s="16" t="n">
        <f aca="false">E1082*(1+g_ho)</f>
        <v>315.5355</v>
      </c>
      <c r="G1082" s="16" t="n">
        <f aca="false">F1082*(1+g_ho)</f>
        <v>331.312275</v>
      </c>
    </row>
    <row r="1083" customFormat="false" ht="17.15" hidden="false" customHeight="false" outlineLevel="0" collapsed="false">
      <c r="A1083" s="4" t="s">
        <v>523</v>
      </c>
      <c r="B1083" s="0" t="s">
        <v>170</v>
      </c>
      <c r="C1083" s="16" t="n">
        <f aca="false">q25_hoxbp</f>
        <v>11.602</v>
      </c>
      <c r="D1083" s="16" t="n">
        <f aca="false">q26_hoxbp</f>
        <v>19.5</v>
      </c>
      <c r="E1083" s="16" t="n">
        <f aca="false">E1082*m_ho</f>
        <v>20.475</v>
      </c>
      <c r="F1083" s="16" t="n">
        <f aca="false">F1082*m_ho</f>
        <v>21.49875</v>
      </c>
      <c r="G1083" s="16" t="n">
        <f aca="false">G1082*m_ho</f>
        <v>22.5736875</v>
      </c>
    </row>
    <row r="1084" customFormat="false" ht="17.15" hidden="false" customHeight="false" outlineLevel="0" collapsed="false">
      <c r="A1084" s="4" t="s">
        <v>524</v>
      </c>
      <c r="B1084" s="0" t="s">
        <v>170</v>
      </c>
      <c r="C1084" s="16" t="n">
        <f aca="false">q25_oth</f>
        <v>14.979</v>
      </c>
      <c r="D1084" s="16" t="n">
        <f aca="false">q26_oth</f>
        <v>15.8</v>
      </c>
      <c r="E1084" s="16" t="n">
        <f aca="false">D1084</f>
        <v>15.8</v>
      </c>
      <c r="F1084" s="16" t="n">
        <f aca="false">E1084</f>
        <v>15.8</v>
      </c>
      <c r="G1084" s="16" t="n">
        <f aca="false">F1084</f>
        <v>15.8</v>
      </c>
      <c r="K1084" s="8" t="s">
        <v>525</v>
      </c>
    </row>
    <row r="1085" customFormat="false" ht="15" hidden="false" customHeight="false" outlineLevel="0" collapsed="false">
      <c r="A1085" s="4" t="s">
        <v>526</v>
      </c>
      <c r="B1085" s="0" t="s">
        <v>170</v>
      </c>
      <c r="C1085" s="16" t="n">
        <f aca="false">q25_othbp</f>
        <v>6.064</v>
      </c>
      <c r="D1085" s="16" t="n">
        <f aca="false">q26_othbp</f>
        <v>5.1</v>
      </c>
      <c r="E1085" s="16" t="n">
        <f aca="false">q26_othbp</f>
        <v>5.1</v>
      </c>
      <c r="F1085" s="16" t="n">
        <f aca="false">q26_othbp</f>
        <v>5.1</v>
      </c>
      <c r="G1085" s="16" t="n">
        <f aca="false">q26_othbp</f>
        <v>5.1</v>
      </c>
    </row>
    <row r="1086" customFormat="false" ht="15" hidden="false" customHeight="false" outlineLevel="0" collapsed="false">
      <c r="A1086" s="4" t="s">
        <v>527</v>
      </c>
      <c r="B1086" s="0" t="s">
        <v>170</v>
      </c>
      <c r="C1086" s="16" t="n">
        <f aca="false">q25_cc</f>
        <v>-42.597</v>
      </c>
      <c r="D1086" s="16" t="n">
        <f aca="false">q26_cc</f>
        <v>-46.2</v>
      </c>
      <c r="E1086" s="16" t="n">
        <f aca="false">D1086*(1+g_cc)</f>
        <v>-47.586</v>
      </c>
      <c r="F1086" s="16" t="n">
        <f aca="false">E1086*(1+g_cc)</f>
        <v>-49.01358</v>
      </c>
      <c r="G1086" s="16" t="n">
        <f aca="false">F1086*(1+g_cc)</f>
        <v>-50.4839874</v>
      </c>
    </row>
    <row r="1087" customFormat="false" ht="17.15" hidden="false" customHeight="false" outlineLevel="0" collapsed="false">
      <c r="A1087" s="4" t="s">
        <v>528</v>
      </c>
      <c r="B1087" s="0" t="s">
        <v>170</v>
      </c>
      <c r="C1087" s="28" t="n">
        <f aca="false">a_rev-(q25_sf+q25_ff+q25_hox+q25_fm+q25_oth)</f>
        <v>0.00200000000018008</v>
      </c>
      <c r="D1087" s="28" t="n">
        <f aca="false">f_rev-(q26_sf+q26_ff+q26_hox+q26_fm+q26_oth)</f>
        <v>0.200000000000045</v>
      </c>
      <c r="E1087" s="28" t="n">
        <f aca="false">$D1087</f>
        <v>0.200000000000045</v>
      </c>
      <c r="F1087" s="28" t="n">
        <f aca="false">$D1087</f>
        <v>0.200000000000045</v>
      </c>
      <c r="G1087" s="28" t="n">
        <f aca="false">$D1087</f>
        <v>0.200000000000045</v>
      </c>
      <c r="K1087" s="8" t="s">
        <v>529</v>
      </c>
    </row>
    <row r="1088" customFormat="false" ht="15" hidden="false" customHeight="false" outlineLevel="0" collapsed="false">
      <c r="A1088" s="4" t="s">
        <v>530</v>
      </c>
      <c r="B1088" s="0" t="s">
        <v>170</v>
      </c>
      <c r="C1088" s="28" t="n">
        <f aca="false">a_bp-(q25_sfbp+q25_ffbp+q25_hoxbp+q25_fmbp+q25_othbp+q25_cc)</f>
        <v>0.0010000000000332</v>
      </c>
      <c r="D1088" s="28" t="n">
        <f aca="false">f_bp-(q26_sfbp+q26_ffbp+q26_hoxbp+q26_fmbp+q26_othbp+q26_cc)</f>
        <v>0.100000000000023</v>
      </c>
      <c r="E1088" s="28" t="n">
        <f aca="false">$D1088</f>
        <v>0.100000000000023</v>
      </c>
      <c r="F1088" s="28" t="n">
        <f aca="false">$D1088</f>
        <v>0.100000000000023</v>
      </c>
      <c r="G1088" s="28" t="n">
        <f aca="false">$D1088</f>
        <v>0.100000000000023</v>
      </c>
    </row>
    <row r="1089" customFormat="false" ht="17.15" hidden="false" customHeight="false" outlineLevel="0" collapsed="false">
      <c r="A1089" s="6" t="s">
        <v>531</v>
      </c>
    </row>
    <row r="1090" customFormat="false" ht="17.15" hidden="false" customHeight="false" outlineLevel="0" collapsed="false">
      <c r="A1090" s="4" t="s">
        <v>403</v>
      </c>
      <c r="B1090" s="0" t="s">
        <v>170</v>
      </c>
      <c r="C1090" s="16" t="n">
        <f aca="false">C1078+C1080+C1082+C1074+C1084+C1087</f>
        <v>1583.719</v>
      </c>
      <c r="D1090" s="16" t="n">
        <f aca="false">D1078+D1080+D1082+D1074+D1084+D1087</f>
        <v>1732</v>
      </c>
      <c r="E1090" s="16" t="n">
        <f aca="false">E1078+E1080+E1082+E1074+E1084+E1087</f>
        <v>1850.5656</v>
      </c>
      <c r="F1090" s="16" t="n">
        <f aca="false">F1078+F1080+F1082+F1074+F1084+F1087</f>
        <v>1955.94074307053</v>
      </c>
      <c r="G1090" s="16" t="n">
        <f aca="false">G1078+G1080+G1082+G1074+G1084+G1087</f>
        <v>2053.1320716</v>
      </c>
      <c r="H1090" s="24" t="n">
        <f aca="false">G1090*(1+H1094)</f>
        <v>2162.20857776426</v>
      </c>
      <c r="I1090" s="24" t="n">
        <f aca="false">H1090*(1+I1094)</f>
        <v>2284.5105355383</v>
      </c>
      <c r="J1090" s="24" t="n">
        <f aca="false">I1090*(1+J1094)</f>
        <v>2421.5811676706</v>
      </c>
      <c r="K1090" s="8" t="s">
        <v>532</v>
      </c>
    </row>
    <row r="1091" customFormat="false" ht="17.15" hidden="false" customHeight="false" outlineLevel="0" collapsed="false">
      <c r="A1091" s="4" t="s">
        <v>533</v>
      </c>
      <c r="B1091" s="0" t="s">
        <v>170</v>
      </c>
      <c r="C1091" s="16" t="n">
        <f aca="false">C1074+C1082</f>
        <v>341.504</v>
      </c>
      <c r="D1091" s="16" t="n">
        <f aca="false">D1074+D1082</f>
        <v>406.8</v>
      </c>
      <c r="E1091" s="16" t="n">
        <f aca="false">E1074+E1082</f>
        <v>476.1036</v>
      </c>
      <c r="F1091" s="16" t="n">
        <f aca="false">F1074+F1082</f>
        <v>530.339443070526</v>
      </c>
      <c r="G1091" s="16" t="n">
        <f aca="false">G1074+G1082</f>
        <v>574.441875</v>
      </c>
      <c r="K1091" s="4" t="s">
        <v>534</v>
      </c>
    </row>
    <row r="1092" customFormat="false" ht="17.15" hidden="false" customHeight="false" outlineLevel="0" collapsed="false">
      <c r="A1092" s="4" t="s">
        <v>535</v>
      </c>
      <c r="B1092" s="0" t="s">
        <v>170</v>
      </c>
      <c r="C1092" s="16" t="n">
        <f aca="false">C1084+C1087</f>
        <v>14.9810000000002</v>
      </c>
      <c r="D1092" s="16" t="n">
        <f aca="false">D1084+D1087</f>
        <v>16</v>
      </c>
      <c r="E1092" s="16" t="n">
        <f aca="false">E1084+E1087</f>
        <v>16</v>
      </c>
      <c r="F1092" s="16" t="n">
        <f aca="false">F1084+F1087</f>
        <v>16</v>
      </c>
      <c r="G1092" s="16" t="n">
        <f aca="false">G1084+G1087</f>
        <v>16</v>
      </c>
      <c r="K1092" s="8" t="s">
        <v>536</v>
      </c>
    </row>
    <row r="1093" customFormat="false" ht="15" hidden="false" customHeight="false" outlineLevel="0" collapsed="false">
      <c r="A1093" s="4" t="s">
        <v>537</v>
      </c>
      <c r="B1093" s="0" t="s">
        <v>170</v>
      </c>
      <c r="C1093" s="22" t="n">
        <f aca="false">C1078+C1080+C1091+C1092-C1090</f>
        <v>0</v>
      </c>
      <c r="D1093" s="22" t="n">
        <f aca="false">D1078+D1080+D1091+D1092-D1090</f>
        <v>0</v>
      </c>
      <c r="E1093" s="22" t="n">
        <f aca="false">E1078+E1080+E1091+E1092-E1090</f>
        <v>0</v>
      </c>
      <c r="F1093" s="22" t="n">
        <f aca="false">F1078+F1080+F1091+F1092-F1090</f>
        <v>0</v>
      </c>
      <c r="G1093" s="22" t="n">
        <f aca="false">G1078+G1080+G1091+G1092-G1090</f>
        <v>0</v>
      </c>
    </row>
    <row r="1094" customFormat="false" ht="15" hidden="false" customHeight="false" outlineLevel="0" collapsed="false">
      <c r="A1094" s="4" t="s">
        <v>538</v>
      </c>
      <c r="B1094" s="0" t="s">
        <v>78</v>
      </c>
      <c r="D1094" s="17" t="n">
        <f aca="false">D1090/C1090-1</f>
        <v>0.0936283519993131</v>
      </c>
      <c r="E1094" s="17" t="n">
        <f aca="false">E1090/D1090-1</f>
        <v>0.0684558891454965</v>
      </c>
      <c r="F1094" s="17" t="n">
        <f aca="false">F1090/E1090-1</f>
        <v>0.0569421278935081</v>
      </c>
      <c r="G1094" s="17" t="n">
        <f aca="false">G1090/F1090-1</f>
        <v>0.0496903236326567</v>
      </c>
      <c r="H1094" s="25" t="n">
        <f aca="false">$G1094+(fade_gA-$G1094)*1/3</f>
        <v>0.0531268824217711</v>
      </c>
      <c r="I1094" s="25" t="n">
        <f aca="false">$G1094+(fade_gA-$G1094)*2/3</f>
        <v>0.0565634412108856</v>
      </c>
      <c r="J1094" s="25" t="n">
        <f aca="false">$G1094+(fade_gA-$G1094)*3/3</f>
        <v>0.06</v>
      </c>
    </row>
    <row r="1095" customFormat="false" ht="17.15" hidden="false" customHeight="false" outlineLevel="0" collapsed="false">
      <c r="A1095" s="0" t="s">
        <v>539</v>
      </c>
      <c r="B1095" s="0" t="s">
        <v>78</v>
      </c>
      <c r="C1095" s="17" t="n">
        <f aca="false">C1074/C1090</f>
        <v>0.0646902638662541</v>
      </c>
      <c r="D1095" s="17" t="n">
        <f aca="false">D1074/D1090</f>
        <v>0.0696304849884527</v>
      </c>
      <c r="E1095" s="17" t="n">
        <f aca="false">E1074/E1090</f>
        <v>0.0948864498507916</v>
      </c>
      <c r="F1095" s="17" t="n">
        <f aca="false">F1074/F1090</f>
        <v>0.109821293835987</v>
      </c>
      <c r="G1095" s="17" t="n">
        <f aca="false">G1074/G1090</f>
        <v>0.118418879799842</v>
      </c>
    </row>
    <row r="1096" customFormat="false" ht="15" hidden="false" customHeight="false" outlineLevel="0" collapsed="false">
      <c r="A1096" s="4" t="s">
        <v>413</v>
      </c>
      <c r="B1096" s="0" t="s">
        <v>170</v>
      </c>
      <c r="C1096" s="16" t="n">
        <f aca="false">C1079+C1081+C1083+C1076+C1085+C1086+C1088</f>
        <v>181.163</v>
      </c>
      <c r="D1096" s="16" t="n">
        <f aca="false">D1079+D1081+D1083+D1076+D1085+D1086+D1088</f>
        <v>202</v>
      </c>
      <c r="E1096" s="16" t="n">
        <f aca="false">E1079+E1081+E1083+E1076+E1085+E1086+E1088</f>
        <v>246.03601</v>
      </c>
      <c r="F1096" s="16" t="n">
        <f aca="false">F1079+F1081+F1083+F1076+F1085+F1086+F1088</f>
        <v>274.5863674364</v>
      </c>
      <c r="G1096" s="16" t="n">
        <f aca="false">G1079+G1081+G1083+G1076+G1085+G1086+G1088</f>
        <v>291.433339119</v>
      </c>
    </row>
    <row r="1097" customFormat="false" ht="15" hidden="false" customHeight="false" outlineLevel="0" collapsed="false">
      <c r="A1097" s="4" t="s">
        <v>429</v>
      </c>
      <c r="B1097" s="0" t="s">
        <v>78</v>
      </c>
      <c r="C1097" s="17" t="n">
        <f aca="false">C1096/C1090</f>
        <v>0.114390873633517</v>
      </c>
      <c r="D1097" s="17" t="n">
        <f aca="false">D1096/D1090</f>
        <v>0.11662817551963</v>
      </c>
      <c r="E1097" s="17" t="n">
        <f aca="false">E1096/E1090</f>
        <v>0.132951790522854</v>
      </c>
      <c r="F1097" s="17" t="n">
        <f aca="false">F1096/F1090</f>
        <v>0.140385831426233</v>
      </c>
      <c r="G1097" s="17" t="n">
        <f aca="false">G1096/G1090</f>
        <v>0.141945734105594</v>
      </c>
    </row>
    <row r="1098" customFormat="false" ht="17.15" hidden="false" customHeight="false" outlineLevel="0" collapsed="false">
      <c r="A1098" s="0" t="s">
        <v>540</v>
      </c>
      <c r="B1098" s="0" t="s">
        <v>78</v>
      </c>
      <c r="C1098" s="17" t="n">
        <f aca="false">C1076/C1096</f>
        <v>0.301386044611758</v>
      </c>
      <c r="D1098" s="17" t="n">
        <f aca="false">D1076/D1096</f>
        <v>0.324257425742574</v>
      </c>
      <c r="E1098" s="17" t="n">
        <f aca="false">E1076/E1096</f>
        <v>0.413820318415991</v>
      </c>
      <c r="F1098" s="17" t="n">
        <f aca="false">F1076/F1096</f>
        <v>0.452562737533511</v>
      </c>
      <c r="G1098" s="17" t="n">
        <f aca="false">G1076/G1096</f>
        <v>0.462379961562931</v>
      </c>
    </row>
    <row r="1099" customFormat="false" ht="17.15" hidden="false" customHeight="false" outlineLevel="0" collapsed="false">
      <c r="A1099" s="4" t="s">
        <v>430</v>
      </c>
      <c r="B1099" s="0" t="s">
        <v>53</v>
      </c>
      <c r="C1099" s="22" t="n">
        <f aca="false">q25_ni/q25_bp</f>
        <v>0.743391310587703</v>
      </c>
      <c r="D1099" s="22" t="n">
        <f aca="false">q26_ni/q26_bp</f>
        <v>0.611386138613861</v>
      </c>
      <c r="E1099" s="22" t="n">
        <f aca="false">ni_bp</f>
        <v>0.62</v>
      </c>
      <c r="F1099" s="22" t="n">
        <f aca="false">ni_bp</f>
        <v>0.62</v>
      </c>
      <c r="G1099" s="22" t="n">
        <f aca="false">ni_bp</f>
        <v>0.62</v>
      </c>
    </row>
    <row r="1100" customFormat="false" ht="15" hidden="false" customHeight="false" outlineLevel="0" collapsed="false">
      <c r="A1100" s="4" t="s">
        <v>420</v>
      </c>
      <c r="B1100" s="0" t="s">
        <v>170</v>
      </c>
      <c r="C1100" s="16" t="n">
        <f aca="false">q25_ni</f>
        <v>134.675</v>
      </c>
      <c r="D1100" s="16" t="n">
        <f aca="false">q26_ni</f>
        <v>123.5</v>
      </c>
      <c r="E1100" s="16" t="n">
        <f aca="false">E1096*E1099</f>
        <v>152.5423262</v>
      </c>
      <c r="F1100" s="16" t="n">
        <f aca="false">F1096*F1099</f>
        <v>170.243547810568</v>
      </c>
      <c r="G1100" s="16" t="n">
        <f aca="false">G1096*G1099</f>
        <v>180.68867025378</v>
      </c>
      <c r="H1100" s="24" t="n">
        <f aca="false">H1090*H1104</f>
        <v>190.288095993299</v>
      </c>
      <c r="I1100" s="24" t="n">
        <f aca="false">I1090*I1104</f>
        <v>201.051445524147</v>
      </c>
      <c r="J1100" s="24" t="n">
        <f aca="false">J1090*J1104</f>
        <v>213.114532255596</v>
      </c>
    </row>
    <row r="1101" customFormat="false" ht="15" hidden="false" customHeight="false" outlineLevel="0" collapsed="false">
      <c r="A1101" s="4" t="s">
        <v>541</v>
      </c>
      <c r="B1101" s="4" t="s">
        <v>317</v>
      </c>
      <c r="C1101" s="20" t="n">
        <f aca="false">q25_sh</f>
        <v>0.973366579936398</v>
      </c>
      <c r="D1101" s="20" t="n">
        <f aca="false">q26_sh</f>
        <v>0.95117067159581</v>
      </c>
      <c r="E1101" s="20" t="n">
        <f aca="false">D1101*(1+sh_g_lo)</f>
        <v>0.922635551447936</v>
      </c>
      <c r="F1101" s="20" t="n">
        <f aca="false">E1101*(1+sh_g_lo)</f>
        <v>0.894956484904498</v>
      </c>
      <c r="G1101" s="20" t="n">
        <f aca="false">F1101*(1+sh_g_lo)</f>
        <v>0.868107790357363</v>
      </c>
      <c r="H1101" s="29" t="n">
        <f aca="false">G1101*(1+sh_g_lo)</f>
        <v>0.842064556646642</v>
      </c>
      <c r="I1101" s="29" t="n">
        <f aca="false">H1101*(1+sh_g_lo)</f>
        <v>0.816802619947243</v>
      </c>
      <c r="J1101" s="29" t="n">
        <f aca="false">I1101*(1+sh_g_lo)</f>
        <v>0.792298541348825</v>
      </c>
    </row>
    <row r="1102" customFormat="false" ht="17.15" hidden="false" customHeight="false" outlineLevel="0" collapsed="false">
      <c r="A1102" s="0" t="s">
        <v>542</v>
      </c>
      <c r="B1102" s="0" t="s">
        <v>208</v>
      </c>
      <c r="C1102" s="21" t="n">
        <f aca="false">C1100/C1101</f>
        <v>138.36</v>
      </c>
      <c r="D1102" s="21" t="n">
        <f aca="false">D1100/D1101</f>
        <v>129.84</v>
      </c>
      <c r="E1102" s="21" t="n">
        <f aca="false">E1100/E1101</f>
        <v>165.333241235511</v>
      </c>
      <c r="F1102" s="21" t="n">
        <f aca="false">F1100/F1101</f>
        <v>190.225503342472</v>
      </c>
      <c r="G1102" s="21" t="n">
        <f aca="false">G1100/G1101</f>
        <v>208.14082336411</v>
      </c>
      <c r="H1102" s="27" t="n">
        <f aca="false">H1100/H1101</f>
        <v>225.978037540357</v>
      </c>
      <c r="I1102" s="27" t="n">
        <f aca="false">I1100/I1101</f>
        <v>246.144466991466</v>
      </c>
      <c r="J1102" s="27" t="n">
        <f aca="false">J1100/J1101</f>
        <v>268.982613413355</v>
      </c>
    </row>
    <row r="1103" customFormat="false" ht="17.15" hidden="false" customHeight="false" outlineLevel="0" collapsed="false">
      <c r="A1103" s="0" t="s">
        <v>543</v>
      </c>
      <c r="B1103" s="0" t="s">
        <v>78</v>
      </c>
      <c r="D1103" s="17" t="n">
        <f aca="false">D1102/C1102-1</f>
        <v>-0.0615784908933218</v>
      </c>
      <c r="E1103" s="17" t="n">
        <f aca="false">E1102/D1102-1</f>
        <v>0.273361377352978</v>
      </c>
      <c r="F1103" s="17" t="n">
        <f aca="false">F1102/E1102-1</f>
        <v>0.150558120804657</v>
      </c>
      <c r="G1103" s="17" t="n">
        <f aca="false">G1102/F1102-1</f>
        <v>0.0941793802978368</v>
      </c>
      <c r="H1103" s="25" t="n">
        <f aca="false">H1102/G1102-1</f>
        <v>0.0856978169296609</v>
      </c>
      <c r="I1103" s="25" t="n">
        <f aca="false">I1102/H1102-1</f>
        <v>0.0892406610421499</v>
      </c>
      <c r="J1103" s="25" t="n">
        <f aca="false">J1102/I1102-1</f>
        <v>0.0927835051546393</v>
      </c>
    </row>
    <row r="1104" customFormat="false" ht="15" hidden="false" customHeight="false" outlineLevel="0" collapsed="false">
      <c r="A1104" s="4" t="s">
        <v>544</v>
      </c>
      <c r="B1104" s="0" t="s">
        <v>78</v>
      </c>
      <c r="C1104" s="14" t="n">
        <f aca="false">C1100/C1090</f>
        <v>0.0850371814696925</v>
      </c>
      <c r="D1104" s="14" t="n">
        <f aca="false">D1100/D1090</f>
        <v>0.0713048498845266</v>
      </c>
      <c r="E1104" s="14" t="n">
        <f aca="false">E1100/E1090</f>
        <v>0.0824301101241696</v>
      </c>
      <c r="F1104" s="14" t="n">
        <f aca="false">F1100/F1090</f>
        <v>0.0870392154842644</v>
      </c>
      <c r="G1104" s="14" t="n">
        <f aca="false">G1100/G1090</f>
        <v>0.088006355145468</v>
      </c>
      <c r="H1104" s="26" t="n">
        <f aca="false">$G1104+(fade_mA-$G1104)*1/3</f>
        <v>0.088006355145468</v>
      </c>
      <c r="I1104" s="26" t="n">
        <f aca="false">$G1104+(fade_mA-$G1104)*2/3</f>
        <v>0.088006355145468</v>
      </c>
      <c r="J1104" s="26" t="n">
        <f aca="false">$G1104+(fade_mA-$G1104)*3/3</f>
        <v>0.088006355145468</v>
      </c>
    </row>
    <row r="1105" customFormat="false" ht="17.15" hidden="false" customHeight="false" outlineLevel="0" collapsed="false">
      <c r="A1105" s="0" t="s">
        <v>545</v>
      </c>
      <c r="B1105" s="0" t="s">
        <v>208</v>
      </c>
      <c r="D1105" s="21" t="n">
        <f aca="false">D1076*D1099/D1101</f>
        <v>42.1015841584158</v>
      </c>
      <c r="E1105" s="21" t="n">
        <f aca="false">E1076*E1099/E1101</f>
        <v>68.4182545328269</v>
      </c>
      <c r="F1105" s="21" t="n">
        <f aca="false">F1076*F1099/F1101</f>
        <v>86.0889745413594</v>
      </c>
      <c r="G1105" s="21" t="n">
        <f aca="false">G1076*G1099/G1101</f>
        <v>96.2401459067743</v>
      </c>
      <c r="K1105" s="8" t="s">
        <v>546</v>
      </c>
    </row>
    <row r="1106" customFormat="false" ht="17.15" hidden="false" customHeight="false" outlineLevel="0" collapsed="false">
      <c r="A1106" s="0" t="s">
        <v>547</v>
      </c>
      <c r="B1106" s="0" t="s">
        <v>208</v>
      </c>
      <c r="D1106" s="21" t="n">
        <f aca="false">D1102-D1105</f>
        <v>87.7384158415842</v>
      </c>
      <c r="E1106" s="21" t="n">
        <f aca="false">E1102-E1105</f>
        <v>96.9149867026838</v>
      </c>
      <c r="F1106" s="21" t="n">
        <f aca="false">F1102-F1105</f>
        <v>104.136528801113</v>
      </c>
      <c r="G1106" s="21" t="n">
        <f aca="false">G1102-G1105</f>
        <v>111.900677457336</v>
      </c>
    </row>
    <row r="1107" customFormat="false" ht="17.15" hidden="false" customHeight="false" outlineLevel="0" collapsed="false">
      <c r="A1107" s="0" t="s">
        <v>548</v>
      </c>
      <c r="B1107" s="0" t="s">
        <v>455</v>
      </c>
      <c r="D1107" s="16" t="n">
        <f aca="false">D1072/D1062*1000/150</f>
        <v>23.5087719298246</v>
      </c>
      <c r="E1107" s="16" t="n">
        <f aca="false">E1072/E1062*1000/150</f>
        <v>30.1617621884116</v>
      </c>
      <c r="F1107" s="16" t="n">
        <f aca="false">F1072/F1062*1000/150</f>
        <v>36.5143464561404</v>
      </c>
      <c r="G1107" s="16" t="n">
        <f aca="false">G1072/G1062*1000/150</f>
        <v>39.9173947725016</v>
      </c>
      <c r="K1107" s="8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957</v>
      </c>
    </row>
    <row r="2" customFormat="false" ht="17.15" hidden="false" customHeight="false" outlineLevel="0" collapsed="false">
      <c r="A2" s="4" t="s">
        <v>958</v>
      </c>
      <c r="B2" s="0" t="s">
        <v>959</v>
      </c>
    </row>
    <row r="3" customFormat="false" ht="17.15" hidden="false" customHeight="false" outlineLevel="0" collapsed="false">
      <c r="A3" s="4" t="s">
        <v>960</v>
      </c>
      <c r="B3" s="0" t="s">
        <v>961</v>
      </c>
    </row>
    <row r="4" customFormat="false" ht="17.15" hidden="false" customHeight="false" outlineLevel="0" collapsed="false">
      <c r="A4" s="4" t="s">
        <v>962</v>
      </c>
      <c r="B4" s="0" t="s">
        <v>963</v>
      </c>
    </row>
    <row r="5" customFormat="false" ht="17.15" hidden="false" customHeight="false" outlineLevel="0" collapsed="false">
      <c r="A5" s="4" t="s">
        <v>964</v>
      </c>
      <c r="B5" s="0" t="s">
        <v>965</v>
      </c>
    </row>
    <row r="6" customFormat="false" ht="17.15" hidden="false" customHeight="false" outlineLevel="0" collapsed="false">
      <c r="A6" s="4" t="s">
        <v>966</v>
      </c>
      <c r="B6" s="0" t="s">
        <v>967</v>
      </c>
    </row>
    <row r="7" customFormat="false" ht="17.15" hidden="false" customHeight="false" outlineLevel="0" collapsed="false">
      <c r="A7" s="4" t="s">
        <v>968</v>
      </c>
      <c r="B7" s="0" t="s">
        <v>969</v>
      </c>
    </row>
    <row r="8" customFormat="false" ht="17.15" hidden="false" customHeight="false" outlineLevel="0" collapsed="false">
      <c r="A8" s="4" t="s">
        <v>970</v>
      </c>
      <c r="B8" s="0" t="s">
        <v>971</v>
      </c>
    </row>
    <row r="9" customFormat="false" ht="17.15" hidden="false" customHeight="false" outlineLevel="0" collapsed="false">
      <c r="A9" s="4" t="s">
        <v>972</v>
      </c>
      <c r="B9" s="0" t="s">
        <v>973</v>
      </c>
    </row>
    <row r="10" customFormat="false" ht="17.15" hidden="false" customHeight="false" outlineLevel="0" collapsed="false">
      <c r="A10" s="4" t="s">
        <v>974</v>
      </c>
      <c r="B10" s="0" t="s">
        <v>975</v>
      </c>
    </row>
    <row r="11" customFormat="false" ht="17.15" hidden="false" customHeight="false" outlineLevel="0" collapsed="false">
      <c r="A11" s="4" t="s">
        <v>976</v>
      </c>
      <c r="B11" s="0" t="s">
        <v>977</v>
      </c>
    </row>
    <row r="12" customFormat="false" ht="17.15" hidden="false" customHeight="false" outlineLevel="0" collapsed="false">
      <c r="A12" s="4" t="s">
        <v>978</v>
      </c>
      <c r="B12" s="0" t="s">
        <v>979</v>
      </c>
    </row>
    <row r="13" customFormat="false" ht="17.15" hidden="false" customHeight="false" outlineLevel="0" collapsed="false">
      <c r="A13" s="4" t="s">
        <v>980</v>
      </c>
      <c r="B13" s="0" t="s">
        <v>981</v>
      </c>
    </row>
    <row r="14" customFormat="false" ht="17.15" hidden="false" customHeight="false" outlineLevel="0" collapsed="false">
      <c r="A14" s="4" t="s">
        <v>982</v>
      </c>
      <c r="B14" s="0" t="s">
        <v>983</v>
      </c>
    </row>
    <row r="15" customFormat="false" ht="17.15" hidden="false" customHeight="false" outlineLevel="0" collapsed="false">
      <c r="A15" s="4" t="s">
        <v>984</v>
      </c>
      <c r="B15" s="0" t="s">
        <v>985</v>
      </c>
    </row>
    <row r="16" customFormat="false" ht="17.15" hidden="false" customHeight="false" outlineLevel="0" collapsed="false">
      <c r="A16" s="4" t="s">
        <v>986</v>
      </c>
      <c r="B16" s="0" t="s">
        <v>987</v>
      </c>
    </row>
    <row r="17" customFormat="false" ht="17.15" hidden="false" customHeight="false" outlineLevel="0" collapsed="false">
      <c r="A17" s="4" t="s">
        <v>988</v>
      </c>
      <c r="B17" s="0" t="s">
        <v>989</v>
      </c>
    </row>
    <row r="18" customFormat="false" ht="17.15" hidden="false" customHeight="false" outlineLevel="0" collapsed="false">
      <c r="A18" s="4" t="s">
        <v>990</v>
      </c>
      <c r="B18" s="0" t="s">
        <v>991</v>
      </c>
    </row>
    <row r="19" customFormat="false" ht="17.15" hidden="false" customHeight="false" outlineLevel="0" collapsed="false">
      <c r="A19" s="4" t="s">
        <v>992</v>
      </c>
      <c r="B19" s="0" t="s">
        <v>993</v>
      </c>
    </row>
    <row r="20" customFormat="false" ht="17.15" hidden="false" customHeight="false" outlineLevel="0" collapsed="false">
      <c r="A20" s="4" t="s">
        <v>994</v>
      </c>
      <c r="B20" s="0" t="s">
        <v>995</v>
      </c>
    </row>
    <row r="21" customFormat="false" ht="17.15" hidden="false" customHeight="false" outlineLevel="0" collapsed="false">
      <c r="A21" s="4" t="s">
        <v>996</v>
      </c>
      <c r="B21" s="0" t="s">
        <v>997</v>
      </c>
    </row>
    <row r="22" customFormat="false" ht="17.15" hidden="false" customHeight="false" outlineLevel="0" collapsed="false">
      <c r="A22" s="4" t="s">
        <v>998</v>
      </c>
      <c r="B22" s="0" t="s">
        <v>999</v>
      </c>
    </row>
    <row r="23" customFormat="false" ht="17.15" hidden="false" customHeight="false" outlineLevel="0" collapsed="false">
      <c r="A23" s="4" t="s">
        <v>1000</v>
      </c>
      <c r="B23" s="0" t="s">
        <v>1001</v>
      </c>
    </row>
    <row r="24" customFormat="false" ht="17.15" hidden="false" customHeight="false" outlineLevel="0" collapsed="false">
      <c r="A24" s="4" t="s">
        <v>1002</v>
      </c>
      <c r="B24" s="0" t="s">
        <v>1003</v>
      </c>
    </row>
    <row r="25" customFormat="false" ht="17.15" hidden="false" customHeight="false" outlineLevel="0" collapsed="false">
      <c r="A25" s="4" t="s">
        <v>1004</v>
      </c>
      <c r="B25" s="0" t="s">
        <v>1005</v>
      </c>
    </row>
    <row r="26" customFormat="false" ht="17.15" hidden="false" customHeight="false" outlineLevel="0" collapsed="false">
      <c r="A26" s="4" t="s">
        <v>1006</v>
      </c>
      <c r="B26" s="0" t="s">
        <v>1007</v>
      </c>
    </row>
    <row r="27" customFormat="false" ht="17.15" hidden="false" customHeight="false" outlineLevel="0" collapsed="false">
      <c r="A27" s="0" t="s">
        <v>1008</v>
      </c>
      <c r="B27" s="0" t="s">
        <v>959</v>
      </c>
    </row>
    <row r="28" customFormat="false" ht="17.15" hidden="false" customHeight="false" outlineLevel="0" collapsed="false">
      <c r="A28" s="0" t="s">
        <v>1009</v>
      </c>
      <c r="B28" s="4" t="s">
        <v>1010</v>
      </c>
    </row>
    <row r="29" customFormat="false" ht="17.15" hidden="false" customHeight="false" outlineLevel="0" collapsed="false">
      <c r="A29" s="4" t="s">
        <v>1011</v>
      </c>
      <c r="B29" s="4" t="s">
        <v>836</v>
      </c>
    </row>
    <row r="30" customFormat="false" ht="15" hidden="false" customHeight="false" outlineLevel="0" collapsed="false">
      <c r="A30" s="0" t="s">
        <v>1012</v>
      </c>
      <c r="B30" s="4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2026-10-30T00:25:42Z</dcterms:created>
  <dc:creator>openpyxl</dc:creator>
  <dc:description/>
  <dc:language>en-US</dc:language>
  <cp:lastModifiedBy/>
  <dcterms:modified xsi:type="dcterms:W3CDTF">2026-10-30T00:25:43Z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