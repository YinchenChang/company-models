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sh" vbProcedure="false">In!$E$22</definedName>
    <definedName function="false" hidden="false" name="ai_sh_hi" vbProcedure="false">In!$F$22</definedName>
    <definedName function="false" hidden="false" name="ai_sh_lo" vbProcedure="false">In!$D$22</definedName>
    <definedName function="false" hidden="false" name="a_bp" vbProcedure="false">In!$E$77</definedName>
    <definedName function="false" hidden="false" name="a_cc" vbProcedure="false">In!$E$82</definedName>
    <definedName function="false" hidden="false" name="a_cx" vbProcedure="false">In!$E$86</definedName>
    <definedName function="false" hidden="false" name="a_da" vbProcedure="false">In!$E$85</definedName>
    <definedName function="false" hidden="false" name="a_eps" vbProcedure="false">In!$E$89</definedName>
    <definedName function="false" hidden="false" name="a_ff" vbProcedure="false">In!$E$74</definedName>
    <definedName function="false" hidden="false" name="a_ffbp" vbProcedure="false">In!$E$79</definedName>
    <definedName function="false" hidden="false" name="a_fm" vbProcedure="false">In!$E$87</definedName>
    <definedName function="false" hidden="false" name="a_fmbp" vbProcedure="false">In!$E$88</definedName>
    <definedName function="false" hidden="false" name="a_fm_hi" vbProcedure="false">In!$F$87</definedName>
    <definedName function="false" hidden="false" name="a_fm_lo" vbProcedure="false">In!$D$87</definedName>
    <definedName function="false" hidden="false" name="a_ho" vbProcedure="false">In!$E$75</definedName>
    <definedName function="false" hidden="false" name="a_hobp" vbProcedure="false">In!$E$80</definedName>
    <definedName function="false" hidden="false" name="a_ni" vbProcedure="false">In!$E$84</definedName>
    <definedName function="false" hidden="false" name="a_oi" vbProcedure="false">In!$E$83</definedName>
    <definedName function="false" hidden="false" name="a_oth" vbProcedure="false">In!$E$76</definedName>
    <definedName function="false" hidden="false" name="a_othbp" vbProcedure="false">In!$E$81</definedName>
    <definedName function="false" hidden="false" name="a_rev" vbProcedure="false">In!$E$72</definedName>
    <definedName function="false" hidden="false" name="a_sf" vbProcedure="false">In!$E$73</definedName>
    <definedName function="false" hidden="false" name="a_sfbp" vbProcedure="false">In!$E$78</definedName>
    <definedName function="false" hidden="false" name="cap_27" vbProcedure="false">In!$E$27</definedName>
    <definedName function="false" hidden="false" name="cap_27_hi" vbProcedure="false">In!$F$27</definedName>
    <definedName function="false" hidden="false" name="cap_27_lo" vbProcedure="false">In!$D$27</definedName>
    <definedName function="false" hidden="false" name="cap_28" vbProcedure="false">In!$E$28</definedName>
    <definedName function="false" hidden="false" name="cap_28_hi" vbProcedure="false">In!$F$28</definedName>
    <definedName function="false" hidden="false" name="cap_28_lo" vbProcedure="false">In!$D$28</definedName>
    <definedName function="false" hidden="false" name="cap_29" vbProcedure="false">In!$E$29</definedName>
    <definedName function="false" hidden="false" name="cap_29_hi" vbProcedure="false">In!$F$29</definedName>
    <definedName function="false" hidden="false" name="cap_29_lo" vbProcedure="false">In!$D$29</definedName>
    <definedName function="false" hidden="false" name="cons_feps" vbProcedure="false">In!$E$101</definedName>
    <definedName function="false" hidden="false" name="cons_tp" vbProcedure="false">In!$E$102</definedName>
    <definedName function="false" hidden="false" name="cons_tp_hi" vbProcedure="false">In!$F$102</definedName>
    <definedName function="false" hidden="false" name="cons_tp_lo" vbProcedure="false">In!$D$102</definedName>
    <definedName function="false" hidden="false" name="cx_rev" vbProcedure="false">In!$E$121</definedName>
    <definedName function="false" hidden="false" name="c_eps26" vbProcedure="false">In!$E$92</definedName>
    <definedName function="false" hidden="false" name="c_eps27" vbProcedure="false">In!$E$95</definedName>
    <definedName function="false" hidden="false" name="c_g" vbProcedure="false">In!$E$36</definedName>
    <definedName function="false" hidden="false" name="c_g27" vbProcedure="false">In!$E$94</definedName>
    <definedName function="false" hidden="false" name="c_g_hi" vbProcedure="false">In!$F$36</definedName>
    <definedName function="false" hidden="false" name="c_g_lo" vbProcedure="false">In!$D$36</definedName>
    <definedName function="false" hidden="false" name="c_ni26" vbProcedure="false">In!$E$91</definedName>
    <definedName function="false" hidden="false" name="c_rev26" vbProcedure="false">In!$E$93</definedName>
    <definedName function="false" hidden="false" name="c_rev27" vbProcedure="false">In!$E$96</definedName>
    <definedName function="false" hidden="false" name="da_rev" vbProcedure="false">In!$E$120</definedName>
    <definedName function="false" hidden="false" name="fade_gA" vbProcedure="false">In!$E$113</definedName>
    <definedName function="false" hidden="false" name="fade_gB" vbProcedure="false">In!$E$114</definedName>
    <definedName function="false" hidden="false" name="fade_gC" vbProcedure="false">In!$E$115</definedName>
    <definedName function="false" hidden="false" name="fade_mA" vbProcedure="false">In!$E$116</definedName>
    <definedName function="false" hidden="false" name="fade_mB" vbProcedure="false">In!$E$117</definedName>
    <definedName function="false" hidden="false" name="fade_mC" vbProcedure="false">In!$E$118</definedName>
    <definedName function="false" hidden="false" name="fpe" vbProcedure="false">In!$E$100</definedName>
    <definedName function="false" hidden="false" name="f_bp" vbProcedure="false">In!$E$55</definedName>
    <definedName function="false" hidden="false" name="f_cc" vbProcedure="false">In!$E$60</definedName>
    <definedName function="false" hidden="false" name="f_eps" vbProcedure="false">In!$E$64</definedName>
    <definedName function="false" hidden="false" name="f_ff" vbProcedure="false">In!$E$51</definedName>
    <definedName function="false" hidden="false" name="f_ffbp" vbProcedure="false">In!$E$57</definedName>
    <definedName function="false" hidden="false" name="f_fm" vbProcedure="false">In!$E$54</definedName>
    <definedName function="false" hidden="false" name="f_fmbp" vbProcedure="false">In!$E$61</definedName>
    <definedName function="false" hidden="false" name="f_ho" vbProcedure="false">In!$E$52</definedName>
    <definedName function="false" hidden="false" name="f_hobp" vbProcedure="false">In!$E$58</definedName>
    <definedName function="false" hidden="false" name="f_ni" vbProcedure="false">In!$E$63</definedName>
    <definedName function="false" hidden="false" name="f_oi" vbProcedure="false">In!$E$62</definedName>
    <definedName function="false" hidden="false" name="f_oth" vbProcedure="false">In!$E$53</definedName>
    <definedName function="false" hidden="false" name="f_othbp" vbProcedure="false">In!$E$59</definedName>
    <definedName function="false" hidden="false" name="f_rev" vbProcedure="false">In!$E$49</definedName>
    <definedName function="false" hidden="false" name="f_sf" vbProcedure="false">In!$E$50</definedName>
    <definedName function="false" hidden="false" name="f_sfbp" vbProcedure="false">In!$E$56</definedName>
    <definedName function="false" hidden="false" name="g_asp" vbProcedure="false">In!$E$20</definedName>
    <definedName function="false" hidden="false" name="g_asp_hi" vbProcedure="false">In!$F$20</definedName>
    <definedName function="false" hidden="false" name="g_asp_lo" vbProcedure="false">In!$D$20</definedName>
    <definedName function="false" hidden="false" name="g_cc" vbProcedure="false">In!$E$44</definedName>
    <definedName function="false" hidden="false" name="g_cc_hi" vbProcedure="false">In!$F$44</definedName>
    <definedName function="false" hidden="false" name="g_cc_lo" vbProcedure="false">In!$D$44</definedName>
    <definedName function="false" hidden="false" name="g_ff" vbProcedure="false">In!$E$40</definedName>
    <definedName function="false" hidden="false" name="g_ff_hi" vbProcedure="false">In!$F$40</definedName>
    <definedName function="false" hidden="false" name="g_ff_lo" vbProcedure="false">In!$D$40</definedName>
    <definedName function="false" hidden="false" name="g_ho" vbProcedure="false">In!$E$42</definedName>
    <definedName function="false" hidden="false" name="g_ho_hi" vbProcedure="false">In!$F$42</definedName>
    <definedName function="false" hidden="false" name="g_ho_lo" vbProcedure="false">In!$D$42</definedName>
    <definedName function="false" hidden="false" name="g_nai" vbProcedure="false">In!$E$23</definedName>
    <definedName function="false" hidden="false" name="g_nai_hi" vbProcedure="false">In!$F$23</definedName>
    <definedName function="false" hidden="false" name="g_nai_lo" vbProcedure="false">In!$D$23</definedName>
    <definedName function="false" hidden="false" name="g_sf" vbProcedure="false">In!$E$38</definedName>
    <definedName function="false" hidden="false" name="g_sf_hi" vbProcedure="false">In!$F$38</definedName>
    <definedName function="false" hidden="false" name="g_sf_lo" vbProcedure="false">In!$D$38</definedName>
    <definedName function="false" hidden="false" name="m_ff" vbProcedure="false">In!$E$41</definedName>
    <definedName function="false" hidden="false" name="m_ff_hi" vbProcedure="false">In!$F$41</definedName>
    <definedName function="false" hidden="false" name="m_ff_lo" vbProcedure="false">In!$D$41</definedName>
    <definedName function="false" hidden="false" name="m_ho" vbProcedure="false">In!$E$43</definedName>
    <definedName function="false" hidden="false" name="m_ho_hi" vbProcedure="false">In!$F$43</definedName>
    <definedName function="false" hidden="false" name="m_ho_lo" vbProcedure="false">In!$D$43</definedName>
    <definedName function="false" hidden="false" name="m_sf" vbProcedure="false">In!$E$39</definedName>
    <definedName function="false" hidden="false" name="m_sf_hi" vbProcedure="false">In!$F$39</definedName>
    <definedName function="false" hidden="false" name="m_sf_lo" vbProcedure="false">In!$D$39</definedName>
    <definedName function="false" hidden="false" name="ni_bp" vbProcedure="false">In!$E$46</definedName>
    <definedName function="false" hidden="false" name="ni_bp_hi" vbProcedure="false">In!$F$46</definedName>
    <definedName function="false" hidden="false" name="ni_bp_lo" vbProcedure="false">In!$D$46</definedName>
    <definedName function="false" hidden="false" name="nm10_k" vbProcedure="false">In!$E$112</definedName>
    <definedName function="false" hidden="false" name="pe_cf" vbProcedure="false">In!$E$99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p_27" vbProcedure="false">In!$E$30</definedName>
    <definedName function="false" hidden="false" name="pp_27_hi" vbProcedure="false">In!$F$30</definedName>
    <definedName function="false" hidden="false" name="pp_27_lo" vbProcedure="false">In!$D$30</definedName>
    <definedName function="false" hidden="false" name="pp_28" vbProcedure="false">In!$E$31</definedName>
    <definedName function="false" hidden="false" name="pp_28_hi" vbProcedure="false">In!$F$31</definedName>
    <definedName function="false" hidden="false" name="pp_28_lo" vbProcedure="false">In!$D$31</definedName>
    <definedName function="false" hidden="false" name="pp_29" vbProcedure="false">In!$E$32</definedName>
    <definedName function="false" hidden="false" name="pp_29_hi" vbProcedure="false">In!$F$32</definedName>
    <definedName function="false" hidden="false" name="pp_29_lo" vbProcedure="false">In!$D$32</definedName>
    <definedName function="false" hidden="false" name="px" vbProcedure="false">In!$E$98</definedName>
    <definedName function="false" hidden="false" name="q1_bp" vbProcedure="false">In!$E$66</definedName>
    <definedName function="false" hidden="false" name="q1_eps" vbProcedure="false">In!$E$70</definedName>
    <definedName function="false" hidden="false" name="q1_fm" vbProcedure="false">In!$E$67</definedName>
    <definedName function="false" hidden="false" name="q1_fmbp" vbProcedure="false">In!$E$68</definedName>
    <definedName function="false" hidden="false" name="q1_ni" vbProcedure="false">In!$E$69</definedName>
    <definedName function="false" hidden="false" name="q1_rev" vbProcedure="false">In!$E$65</definedName>
    <definedName function="false" hidden="false" name="q25_bp" vbProcedure="false">Q!$B$11</definedName>
    <definedName function="false" hidden="false" name="q25_cc" vbProcedure="false">Q!$B$18</definedName>
    <definedName function="false" hidden="false" name="q25_eps" vbProcedure="false">Q!$B$21</definedName>
    <definedName function="false" hidden="false" name="q25_ff" vbProcedure="false">Q!$B$6</definedName>
    <definedName function="false" hidden="false" name="q25_ffbp" vbProcedure="false">Q!$B$13</definedName>
    <definedName function="false" hidden="false" name="q25_fm" vbProcedure="false">Q!$B$8</definedName>
    <definedName function="false" hidden="false" name="q25_fmbp" vbProcedure="false">Q!$B$15</definedName>
    <definedName function="false" hidden="false" name="q25_ho" vbProcedure="false">Q!$B$7</definedName>
    <definedName function="false" hidden="false" name="q25_hox" vbProcedure="false">Q!$B$9</definedName>
    <definedName function="false" hidden="false" name="q25_hoxbp" vbProcedure="false">Q!$B$16</definedName>
    <definedName function="false" hidden="false" name="q25_ni" vbProcedure="false">Q!$B$20</definedName>
    <definedName function="false" hidden="false" name="q25_oth" vbProcedure="false">Q!$B$10</definedName>
    <definedName function="false" hidden="false" name="q25_othbp" vbProcedure="false">Q!$B$17</definedName>
    <definedName function="false" hidden="false" name="q25_rev" vbProcedure="false">Q!$B$4</definedName>
    <definedName function="false" hidden="false" name="q25_sf" vbProcedure="false">Q!$B$5</definedName>
    <definedName function="false" hidden="false" name="q25_sfbp" vbProcedure="false">Q!$B$12</definedName>
    <definedName function="false" hidden="false" name="q25_sh" vbProcedure="false">Q!$B$29</definedName>
    <definedName function="false" hidden="false" name="q26_bp" vbProcedure="false">Q!$D$11</definedName>
    <definedName function="false" hidden="false" name="q26_cc" vbProcedure="false">Q!$D$18</definedName>
    <definedName function="false" hidden="false" name="q26_eps" vbProcedure="false">Q!$D$21</definedName>
    <definedName function="false" hidden="false" name="q26_ff" vbProcedure="false">Q!$D$6</definedName>
    <definedName function="false" hidden="false" name="q26_ffbp" vbProcedure="false">Q!$D$13</definedName>
    <definedName function="false" hidden="false" name="q26_fm" vbProcedure="false">Q!$D$8</definedName>
    <definedName function="false" hidden="false" name="q26_fmbp" vbProcedure="false">Q!$D$15</definedName>
    <definedName function="false" hidden="false" name="q26_ho" vbProcedure="false">Q!$D$7</definedName>
    <definedName function="false" hidden="false" name="q26_hox" vbProcedure="false">Q!$D$9</definedName>
    <definedName function="false" hidden="false" name="q26_hoxbp" vbProcedure="false">Q!$D$16</definedName>
    <definedName function="false" hidden="false" name="q26_ni" vbProcedure="false">Q!$D$20</definedName>
    <definedName function="false" hidden="false" name="q26_oth" vbProcedure="false">Q!$D$10</definedName>
    <definedName function="false" hidden="false" name="q26_othbp" vbProcedure="false">Q!$D$17</definedName>
    <definedName function="false" hidden="false" name="q26_rev" vbProcedure="false">Q!$D$4</definedName>
    <definedName function="false" hidden="false" name="q26_sf" vbProcedure="false">Q!$D$5</definedName>
    <definedName function="false" hidden="false" name="q26_sfbp" vbProcedure="false">Q!$D$12</definedName>
    <definedName function="false" hidden="false" name="q26_sh" vbProcedure="false">Q!$D$29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sh_g" vbProcedure="false">In!$E$47</definedName>
    <definedName function="false" hidden="false" name="sh_g_hi" vbProcedure="false">In!$F$47</definedName>
    <definedName function="false" hidden="false" name="sh_g_lo" vbProcedure="false">In!$D$47</definedName>
    <definedName function="false" hidden="false" name="so" vbProcedure="false">In!$E$103</definedName>
    <definedName function="false" hidden="false" name="sp_A" vbProcedure="false">In!$E$33</definedName>
    <definedName function="false" hidden="false" name="sp_B" vbProcedure="false">In!$E$34</definedName>
    <definedName function="false" hidden="false" name="sp_C" vbProcedure="false">In!$E$35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nv_26" vbProcedure="false">In!$E$5</definedName>
    <definedName function="false" hidden="false" name="unv_27" vbProcedure="false">In!$E$6</definedName>
    <definedName function="false" hidden="false" name="unv_28" vbProcedure="false">In!$E$7</definedName>
    <definedName function="false" hidden="false" name="unv_29" vbProcedure="false">In!$E$8</definedName>
    <definedName function="false" hidden="false" name="uot_26" vbProcedure="false">In!$E$9</definedName>
    <definedName function="false" hidden="false" name="uot_27" vbProcedure="false">In!$E$10</definedName>
    <definedName function="false" hidden="false" name="uot_28" vbProcedure="false">In!$E$11</definedName>
    <definedName function="false" hidden="false" name="uot_29" vbProcedure="false">In!$E$12</definedName>
    <definedName function="false" hidden="false" name="v_ot" vbProcedure="false">In!$E$19</definedName>
    <definedName function="false" hidden="false" name="v_ot_hi" vbProcedure="false">In!$F$19</definedName>
    <definedName function="false" hidden="false" name="v_ot_lo" vbProcedure="false">In!$D$19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<sst xmlns="http://schemas.openxmlformats.org/spreadsheetml/2006/main" count="4009" uniqueCount="940">
  <si>
    <r>
      <rPr>
        <b val="true"/>
        <sz val="11"/>
        <rFont val="Noto Sans CJK SC"/>
        <family val="2"/>
      </rPr>
      <t xml:space="preserve">味之素（</t>
    </r>
    <r>
      <rPr>
        <b val="true"/>
        <sz val="11"/>
        <rFont val="Cambria"/>
        <family val="0"/>
        <charset val="1"/>
      </rPr>
      <t xml:space="preserve">Ajinomoto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2802.T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次產業——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增層膜材料；樣板＝</t>
    </r>
    <r>
      <rPr>
        <b val="true"/>
        <sz val="11"/>
        <rFont val="Cambria"/>
        <family val="0"/>
        <charset val="1"/>
      </rPr>
      <t xml:space="preserve">ibiden/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dell/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</si>
  <si>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（初版）。味之素以調味料、冷凍食品、胺基酸與生技醫藥為主；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曝險在ファンクショナルマテリアルズ（</t>
    </r>
    <r>
      <rPr>
        <sz val="11"/>
        <rFont val="Cambria"/>
        <family val="0"/>
        <charset val="1"/>
      </rPr>
      <t xml:space="preserve">FM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Ajinomoto Build-up Film</t>
    </r>
    <r>
      <rPr>
        <sz val="11"/>
        <rFont val="Noto Sans CJK SC"/>
        <family val="2"/>
      </rPr>
      <t xml:space="preserve">）——高階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載板的增層絕緣材料，市占逾九成（媒體與股東行動派說法，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</si>
  <si>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模型命題：味之素的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加速器有效顆數（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成品，同字母情境係數）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每顆載板面積層數（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：成長率〕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需求滿足率（可出貨量上限）</t>
    </r>
    <r>
      <rPr>
        <sz val="11"/>
        <rFont val="Cambria"/>
        <family val="0"/>
        <charset val="1"/>
      </rPr>
      <t xml:space="preserve">× ABF </t>
    </r>
    <r>
      <rPr>
        <sz val="11"/>
        <rFont val="Noto Sans CJK SC"/>
        <family val="2"/>
      </rPr>
      <t xml:space="preserve">價格指數；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事業利益率隨價格與單位成本變動；其他事業以成長率與利益率推，不隨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</si>
  <si>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只占營收約 </t>
    </r>
    <r>
      <rPr>
        <sz val="11"/>
        <rFont val="Cambria"/>
        <family val="0"/>
        <charset val="1"/>
      </rPr>
      <t xml:space="preserve">7%</t>
    </r>
    <r>
      <rPr>
        <sz val="11"/>
        <rFont val="Noto Sans CJK SC"/>
        <family val="2"/>
      </rPr>
      <t xml:space="preserve">、卻占事業利益約三分之一；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載板需求能讓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成長多少、對集團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貢獻多少？現價約 </t>
    </r>
    <r>
      <rPr>
        <sz val="11"/>
        <rFont val="Cambria"/>
        <family val="0"/>
        <charset val="1"/>
      </rPr>
      <t xml:space="preserve">31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、遠高於食品同業約 </t>
    </r>
    <r>
      <rPr>
        <sz val="11"/>
        <rFont val="Cambria"/>
        <family val="0"/>
        <charset val="1"/>
      </rPr>
      <t xml:space="preserve">18 </t>
    </r>
    <r>
      <rPr>
        <sz val="11"/>
        <rFont val="Noto Sans CJK SC"/>
        <family val="2"/>
      </rPr>
      <t xml:space="preserve">倍，隱含多少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價值？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</si>
  <si>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：目標價 </t>
    </r>
    <r>
      <rPr>
        <sz val="11"/>
        <rFont val="Cambria"/>
        <family val="0"/>
        <charset val="1"/>
      </rPr>
      <t xml:space="preserve">¥2,537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DCF 2,110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Comparable 2,965 </t>
    </r>
    <r>
      <rPr>
        <sz val="11"/>
        <rFont val="Noto Sans CJK SC"/>
        <family val="2"/>
      </rPr>
      <t xml:space="preserve">各半），比現價 </t>
    </r>
    <r>
      <rPr>
        <sz val="11"/>
        <rFont val="Cambria"/>
        <family val="0"/>
        <charset val="1"/>
      </rPr>
      <t xml:space="preserve">5,064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）低 </t>
    </r>
    <r>
      <rPr>
        <sz val="11"/>
        <rFont val="Cambria"/>
        <family val="0"/>
        <charset val="1"/>
      </rPr>
      <t xml:space="preserve">49.9%</t>
    </r>
    <r>
      <rPr>
        <sz val="11"/>
        <rFont val="Noto Sans CJK SC"/>
        <family val="2"/>
      </rPr>
      <t xml:space="preserve">，級距 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單獨為 −</t>
    </r>
    <r>
      <rPr>
        <sz val="11"/>
        <rFont val="Cambria"/>
        <family val="0"/>
        <charset val="1"/>
      </rPr>
      <t xml:space="preserve">41.5%</t>
    </r>
    <r>
      <rPr>
        <sz val="11"/>
        <rFont val="Noto Sans CJK SC"/>
        <family val="2"/>
      </rPr>
      <t xml:space="preserve">。主因是倍數不是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166.9 </t>
    </r>
    <r>
      <rPr>
        <sz val="11"/>
        <rFont val="Noto Sans CJK SC"/>
        <family val="2"/>
      </rPr>
      <t xml:space="preserve">反而比共識前瞻 </t>
    </r>
    <r>
      <rPr>
        <sz val="11"/>
        <rFont val="Cambria"/>
        <family val="0"/>
        <charset val="1"/>
      </rPr>
      <t xml:space="preserve">EPS 154.2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8.2%</t>
    </r>
    <r>
      <rPr>
        <sz val="11"/>
        <rFont val="Noto Sans CJK SC"/>
        <family val="2"/>
      </rPr>
      <t xml:space="preserve">，但食品同業前瞻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17.8 </t>
    </r>
    <r>
      <rPr>
        <sz val="11"/>
        <rFont val="Noto Sans CJK SC"/>
        <family val="2"/>
      </rPr>
      <t xml:space="preserve">倍、共識目標價 </t>
    </r>
    <r>
      <rPr>
        <sz val="11"/>
        <rFont val="Cambria"/>
        <family val="0"/>
        <charset val="1"/>
      </rPr>
      <t xml:space="preserve">6,321 </t>
    </r>
    <r>
      <rPr>
        <sz val="11"/>
        <rFont val="Noto Sans CJK SC"/>
        <family val="2"/>
      </rPr>
      <t xml:space="preserve">隱含 </t>
    </r>
    <r>
      <rPr>
        <sz val="11"/>
        <rFont val="Cambria"/>
        <family val="0"/>
        <charset val="1"/>
      </rPr>
      <t xml:space="preserve">41.0 </t>
    </r>
    <r>
      <rPr>
        <sz val="11"/>
        <rFont val="Noto Sans CJK SC"/>
        <family val="2"/>
      </rPr>
      <t xml:space="preserve">倍（倍數因素 </t>
    </r>
    <r>
      <rPr>
        <sz val="11"/>
        <rFont val="Cambria"/>
        <family val="0"/>
        <charset val="1"/>
      </rPr>
      <t xml:space="preserve">+131%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也只支撐約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，因 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近三年平均 </t>
    </r>
    <r>
      <rPr>
        <sz val="11"/>
        <rFont val="Cambria"/>
        <family val="0"/>
        <charset val="1"/>
      </rPr>
      <t xml:space="preserve">13.0% </t>
    </r>
    <r>
      <rPr>
        <sz val="11"/>
        <rFont val="Noto Sans CJK SC"/>
        <family val="2"/>
      </rPr>
      <t xml:space="preserve">只略高於折現率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</si>
  <si>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：現價隱含的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以外的未來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 92.2 × </t>
    </r>
    <r>
      <rPr>
        <sz val="11"/>
        <rFont val="Noto Sans CJK SC"/>
        <family val="2"/>
      </rPr>
      <t xml:space="preserve">食品同業 </t>
    </r>
    <r>
      <rPr>
        <sz val="11"/>
        <rFont val="Cambria"/>
        <family val="0"/>
        <charset val="1"/>
      </rPr>
      <t xml:space="preserve">17.8 </t>
    </r>
    <r>
      <rPr>
        <sz val="11"/>
        <rFont val="Noto Sans CJK SC"/>
        <family val="2"/>
      </rPr>
      <t xml:space="preserve">倍＝</t>
    </r>
    <r>
      <rPr>
        <sz val="11"/>
        <rFont val="Cambria"/>
        <family val="0"/>
        <charset val="1"/>
      </rPr>
      <t xml:space="preserve">1,638</t>
    </r>
    <r>
      <rPr>
        <sz val="11"/>
        <rFont val="Noto Sans CJK SC"/>
        <family val="2"/>
      </rPr>
      <t xml:space="preserve">，現價其餘 </t>
    </r>
    <r>
      <rPr>
        <sz val="11"/>
        <rFont val="Cambria"/>
        <family val="0"/>
        <charset val="1"/>
      </rPr>
      <t xml:space="preserve">3,426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68%</t>
    </r>
    <r>
      <rPr>
        <sz val="11"/>
        <rFont val="Noto Sans CJK SC"/>
        <family val="2"/>
      </rPr>
      <t xml:space="preserve">）都是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FM</t>
    </r>
    <r>
      <rPr>
        <sz val="11"/>
        <rFont val="Noto Sans CJK SC"/>
        <family val="2"/>
      </rPr>
      <t xml:space="preserve">）的價值，等於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 56.8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60.3 </t>
    </r>
    <r>
      <rPr>
        <sz val="11"/>
        <rFont val="Noto Sans CJK SC"/>
        <family val="2"/>
      </rPr>
      <t xml:space="preserve">倍，高於電子材料同業中位數 </t>
    </r>
    <r>
      <rPr>
        <sz val="11"/>
        <rFont val="Cambria"/>
        <family val="0"/>
        <charset val="1"/>
      </rPr>
      <t xml:space="preserve">20.9 </t>
    </r>
    <r>
      <rPr>
        <sz val="11"/>
        <rFont val="Noto Sans CJK SC"/>
        <family val="2"/>
      </rPr>
      <t xml:space="preserve">倍與 </t>
    </r>
    <r>
      <rPr>
        <sz val="11"/>
        <rFont val="Cambria"/>
        <family val="0"/>
        <charset val="1"/>
      </rPr>
      <t xml:space="preserve">Ibiden 46.8 </t>
    </r>
    <r>
      <rPr>
        <sz val="11"/>
        <rFont val="Noto Sans CJK SC"/>
        <family val="2"/>
      </rPr>
      <t xml:space="preserve">倍；以電子材料同業倍數計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SOTP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3,176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37.3%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</si>
  <si>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成長：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公司預測 </t>
    </r>
    <r>
      <rPr>
        <sz val="11"/>
        <rFont val="Cambria"/>
        <family val="0"/>
        <charset val="1"/>
      </rPr>
      <t xml:space="preserve">120.6 </t>
    </r>
    <r>
      <rPr>
        <sz val="11"/>
        <rFont val="Noto Sans CJK SC"/>
        <family val="2"/>
      </rPr>
      <t xml:space="preserve">十億日圓升到 </t>
    </r>
    <r>
      <rPr>
        <sz val="11"/>
        <rFont val="Cambria"/>
        <family val="0"/>
        <charset val="1"/>
      </rPr>
      <t xml:space="preserve">FY2027 175.6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+46%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48.2 → 94.6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 </t>
    </r>
    <r>
      <rPr>
        <sz val="11"/>
        <rFont val="Cambria"/>
        <family val="0"/>
        <charset val="1"/>
      </rPr>
      <t xml:space="preserve">101.8 </t>
    </r>
    <r>
      <rPr>
        <sz val="11"/>
        <rFont val="Noto Sans CJK SC"/>
        <family val="2"/>
      </rPr>
      <t xml:space="preserve">占全公司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、每股貢獻 </t>
    </r>
    <r>
      <rPr>
        <sz val="11"/>
        <rFont val="Cambria"/>
        <family val="0"/>
        <charset val="1"/>
      </rPr>
      <t xml:space="preserve">67.4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162.8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）；前提是約 </t>
    </r>
    <r>
      <rPr>
        <sz val="11"/>
        <rFont val="Cambria"/>
        <family val="0"/>
        <charset val="1"/>
      </rPr>
      <t xml:space="preserve">30% </t>
    </r>
    <r>
      <rPr>
        <sz val="11"/>
        <rFont val="Noto Sans CJK SC"/>
        <family val="2"/>
      </rPr>
      <t xml:space="preserve">漲價年度化（價格指數 </t>
    </r>
    <r>
      <rPr>
        <sz val="11"/>
        <rFont val="Cambria"/>
        <family val="0"/>
        <charset val="1"/>
      </rPr>
      <t xml:space="preserve">1.12</t>
    </r>
    <r>
      <rPr>
        <sz val="11"/>
        <rFont val="Noto Sans CJK SC"/>
        <family val="2"/>
      </rPr>
      <t xml:space="preserve">）與可出貨量 </t>
    </r>
    <r>
      <rPr>
        <sz val="11"/>
        <rFont val="Cambria"/>
        <family val="0"/>
        <charset val="1"/>
      </rPr>
      <t xml:space="preserve">+30%</t>
    </r>
    <r>
      <rPr>
        <sz val="11"/>
        <rFont val="Noto Sans CJK SC"/>
        <family val="2"/>
      </rPr>
      <t xml:space="preserve">（需求 </t>
    </r>
    <r>
      <rPr>
        <sz val="11"/>
        <rFont val="Cambria"/>
        <family val="0"/>
        <charset val="1"/>
      </rPr>
      <t xml:space="preserve">1.34 </t>
    </r>
    <r>
      <rPr>
        <sz val="11"/>
        <rFont val="Noto Sans CJK SC"/>
        <family val="2"/>
      </rPr>
      <t xml:space="preserve">倍、滿足率 </t>
    </r>
    <r>
      <rPr>
        <sz val="11"/>
        <rFont val="Cambria"/>
        <family val="0"/>
        <charset val="1"/>
      </rPr>
      <t xml:space="preserve">97%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價格取低值時 </t>
    </r>
    <r>
      <rPr>
        <sz val="11"/>
        <rFont val="Cambria"/>
        <family val="0"/>
        <charset val="1"/>
      </rPr>
      <t xml:space="preserve">FY2028 EPS −13.6%</t>
    </r>
    <r>
      <rPr>
        <sz val="11"/>
        <rFont val="Noto Sans CJK SC"/>
        <family val="2"/>
      </rPr>
      <t xml:space="preserve">、產能取公司 </t>
    </r>
    <r>
      <rPr>
        <sz val="11"/>
        <rFont val="Cambria"/>
        <family val="0"/>
        <charset val="1"/>
      </rPr>
      <t xml:space="preserve">+50%</t>
    </r>
    <r>
      <rPr>
        <sz val="11"/>
        <rFont val="Noto Sans CJK SC"/>
        <family val="2"/>
      </rPr>
      <t xml:space="preserve">／五年的速度時 −</t>
    </r>
    <r>
      <rPr>
        <sz val="11"/>
        <rFont val="Cambria"/>
        <family val="0"/>
        <charset val="1"/>
      </rPr>
      <t xml:space="preserve">7.3%</t>
    </r>
    <r>
      <rPr>
        <sz val="11"/>
        <rFont val="Noto Sans CJK SC"/>
        <family val="2"/>
      </rPr>
      <t xml:space="preserve">；追蹤上半年決算（約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上旬）的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營收與事業利益（</t>
    </r>
    <r>
      <rPr>
        <sz val="11"/>
        <rFont val="Cambria"/>
        <family val="0"/>
        <charset val="1"/>
      </rPr>
      <t xml:space="preserve">1Q 33.1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19.1 </t>
    </r>
    <r>
      <rPr>
        <sz val="11"/>
        <rFont val="Noto Sans CJK SC"/>
        <family val="2"/>
      </rPr>
      <t xml:space="preserve">已達全年預測的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29%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</si>
  <si>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月（公司稱「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月期」），對照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顆數（與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模型相同）。金額：十億日圓。口徑：</t>
    </r>
    <r>
      <rPr>
        <sz val="11"/>
        <rFont val="Cambria"/>
        <family val="0"/>
        <charset val="1"/>
      </rPr>
      <t xml:space="preserve">IFRS </t>
    </r>
    <r>
      <rPr>
        <sz val="11"/>
        <rFont val="Noto Sans CJK SC"/>
        <family val="2"/>
      </rPr>
      <t xml:space="preserve">事業利益（公司主要指標）；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＝歸屬母公司淨利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期中平均股數（</t>
    </r>
    <r>
      <rPr>
        <sz val="11"/>
        <rFont val="Cambria"/>
        <family val="0"/>
        <charset val="1"/>
      </rPr>
      <t xml:space="preserve">2025-04-01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</si>
  <si>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</si>
  <si>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加速器顆數（非 </t>
    </r>
    <r>
      <rPr>
        <sz val="11"/>
        <rFont val="Cambria"/>
        <family val="0"/>
        <charset val="1"/>
      </rPr>
      <t xml:space="preserve">NVIDIA × </t>
    </r>
    <r>
      <rPr>
        <sz val="11"/>
        <rFont val="Noto Sans CJK SC"/>
        <family val="2"/>
      </rPr>
      <t xml:space="preserve">欣興模型的面積係數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模型的每顆載板面積層數年增 </t>
    </r>
    <r>
      <rPr>
        <sz val="11"/>
        <rFont val="Cambria"/>
        <family val="0"/>
        <charset val="1"/>
      </rPr>
      <t xml:space="preserve">18% × </t>
    </r>
    <r>
      <rPr>
        <sz val="11"/>
        <rFont val="Noto Sans CJK SC"/>
        <family val="2"/>
      </rPr>
      <t xml:space="preserve">份額相對值 → 需求量；與非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需求（年增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）加權後，受可出貨量上限（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）限制。</t>
    </r>
  </si>
  <si>
    <r>
      <rPr>
        <sz val="11"/>
        <rFont val="Noto Sans CJK SC"/>
        <family val="2"/>
      </rPr>
      <t xml:space="preserve">價格：</t>
    </r>
    <r>
      <rPr>
        <sz val="11"/>
        <rFont val="Cambria"/>
        <family val="0"/>
        <charset val="1"/>
      </rPr>
      <t xml:space="preserve">2026-05 </t>
    </r>
    <r>
      <rPr>
        <sz val="11"/>
        <rFont val="Noto Sans CJK SC"/>
        <family val="2"/>
      </rPr>
      <t xml:space="preserve">宣布的約 </t>
    </r>
    <r>
      <rPr>
        <sz val="11"/>
        <rFont val="Cambria"/>
        <family val="0"/>
        <charset val="1"/>
      </rPr>
      <t xml:space="preserve">30% </t>
    </r>
    <r>
      <rPr>
        <sz val="11"/>
        <rFont val="Noto Sans CJK SC"/>
        <family val="2"/>
      </rPr>
      <t xml:space="preserve">漲價在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只反映部分，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價格指數 </t>
    </r>
    <r>
      <rPr>
        <sz val="11"/>
        <rFont val="Cambria"/>
        <family val="0"/>
        <charset val="1"/>
      </rPr>
      <t xml:space="preserve">1.12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1.15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1.12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起再乘情境乘數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0.88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事業利益率＝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單位成本指數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價格指數。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</si>
  <si>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2026-08-06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1,732</t>
    </r>
    <r>
      <rPr>
        <sz val="11"/>
        <rFont val="Noto Sans CJK SC"/>
        <family val="2"/>
      </rPr>
      <t xml:space="preserve">、事業利益 </t>
    </r>
    <r>
      <rPr>
        <sz val="11"/>
        <rFont val="Cambria"/>
        <family val="0"/>
        <charset val="1"/>
      </rPr>
      <t xml:space="preserve">202.0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123.5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129.84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FM 120.6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65.5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</si>
  <si>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近三年平均 </t>
    </r>
    <r>
      <rPr>
        <sz val="11"/>
        <rFont val="Cambria"/>
        <family val="0"/>
        <charset val="1"/>
      </rPr>
      <t xml:space="preserve">13.0%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目標價（食品同業：龜甲萬、日清食品、明治、</t>
    </r>
    <r>
      <rPr>
        <sz val="11"/>
        <rFont val="Cambria"/>
        <family val="0"/>
        <charset val="1"/>
      </rPr>
      <t xml:space="preserve">Kewpie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McCormick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Nestlé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單獨目標價、市場共識目標價、差距拆解與上檔空間級距。第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節 </t>
    </r>
    <r>
      <rPr>
        <sz val="11"/>
        <rFont val="Cambria"/>
        <family val="0"/>
        <charset val="1"/>
      </rPr>
      <t xml:space="preserve">SOTP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用電子材料同業倍數）與現價隱含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價值只作參考。本版未做先驗，無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</si>
  <si>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起為收斂法，非驅動因子推導（上游顆數到 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；營收年增由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</si>
  <si>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</si>
  <si>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公司不單獨揭露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占比，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以子部門揭露值、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可出貨量上限與價格指數是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起產能受限，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對兩者最敏感；</t>
    </r>
    <r>
      <rPr>
        <sz val="11"/>
        <rFont val="Cambria"/>
        <family val="0"/>
        <charset val="1"/>
      </rPr>
      <t xml:space="preserve">(3) FY2026 </t>
    </r>
    <r>
      <rPr>
        <sz val="11"/>
        <rFont val="Noto Sans CJK SC"/>
        <family val="2"/>
      </rPr>
      <t xml:space="preserve">錨點用公司預測，</t>
    </r>
    <r>
      <rPr>
        <sz val="11"/>
        <rFont val="Cambria"/>
        <family val="0"/>
        <charset val="1"/>
      </rPr>
      <t xml:space="preserve">1Q FM </t>
    </r>
    <r>
      <rPr>
        <sz val="11"/>
        <rFont val="Noto Sans CJK SC"/>
        <family val="2"/>
      </rPr>
      <t xml:space="preserve">已達全年 </t>
    </r>
    <r>
      <rPr>
        <sz val="11"/>
        <rFont val="Cambria"/>
        <family val="0"/>
        <charset val="1"/>
      </rPr>
      <t xml:space="preserve">27–29%</t>
    </r>
    <r>
      <rPr>
        <sz val="11"/>
        <rFont val="Noto Sans CJK SC"/>
        <family val="2"/>
      </rPr>
      <t xml:space="preserve">，預測偏保守；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本業以成長率推，中東情勢（公司估最多 −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十億）未納入；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單一來源推導、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2020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年受減損影響；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上半年決算（約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</si>
  <si>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。口徑：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事業利益。每個輸入盡量附兩個來源（找不到者寫「未找到」）；公司原文算一個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</si>
  <si>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未使用。公司原文＝味之素決算短信、決算概要與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簡報；公司預測為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；股東行動派（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）、券商、媒體、資料商皆為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。加速器顆數讀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成品、載板面積與層數年增讀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成品、非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每顆載板面積讀 </t>
    </r>
    <r>
      <rPr>
        <sz val="11"/>
        <color theme="1"/>
        <rFont val="Calibri"/>
        <family val="2"/>
        <charset val="1"/>
      </rPr>
      <t xml:space="preserve">unimicron </t>
    </r>
    <r>
      <rPr>
        <sz val="11"/>
        <color theme="1"/>
        <rFont val="Noto Sans CJK SC"/>
        <family val="2"/>
      </rPr>
      <t xml:space="preserve">成品（唯讀）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</si>
  <si>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</si>
  <si>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</si>
  <si>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</si>
  <si>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</si>
  <si>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</si>
  <si>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</si>
  <si>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</si>
  <si>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</si>
  <si>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</si>
  <si>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＋各類成長）；情境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</si>
  <si>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unv_26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</si>
  <si>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</si>
  <si>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</si>
  <si>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</si>
  <si>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</si>
  <si>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唯讀上游；與台積電、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、欣興模型同一份顆數</t>
    </r>
  </si>
  <si>
    <t xml:space="preserve">unv_27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</si>
  <si>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</si>
  <si>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</si>
  <si>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unv_28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</si>
  <si>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</si>
  <si>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unv_29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</si>
  <si>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</si>
  <si>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uot_26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</si>
  <si>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</si>
  <si>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由全部載板廠採用（市占逾九成），所以非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加速器全數計入，不乘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份額權重</t>
    </r>
  </si>
  <si>
    <t xml:space="preserve">uot_27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</si>
  <si>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</si>
  <si>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uot_28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</si>
  <si>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</si>
  <si>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uot_29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</si>
  <si>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</si>
  <si>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</si>
  <si>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</si>
  <si>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</si>
  <si>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</si>
  <si>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</si>
  <si>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、欣興模型同字母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</si>
  <si>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</si>
  <si>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</si>
  <si>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</si>
  <si>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</si>
  <si>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</si>
  <si>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</si>
  <si>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</si>
  <si>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</si>
  <si>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</si>
  <si>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</si>
  <si>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</si>
  <si>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</si>
  <si>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</si>
  <si>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</si>
  <si>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</si>
  <si>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</si>
  <si>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加速器每顆載板面積（金額）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</si>
  <si>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</si>
  <si>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、層數不同；量化：未找到（欣興模型同值）</t>
    </r>
  </si>
  <si>
    <t xml:space="preserve">g_asp</t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</si>
  <si>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層數年增（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模型的每顆載板金額年增）</t>
    </r>
  </si>
  <si>
    <t xml:space="preserve">%</t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</si>
  <si>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</si>
  <si>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</si>
  <si>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用量與載板面積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增層數成正比：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Rubin Ultra 155×75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層，為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13.3 </t>
    </r>
    <r>
      <rPr>
        <sz val="11"/>
        <color theme="1"/>
        <rFont val="Noto Sans CJK SC"/>
        <family val="2"/>
      </rPr>
      <t xml:space="preserve">倍面積；</t>
    </r>
    <r>
      <rPr>
        <sz val="11"/>
        <color theme="1"/>
        <rFont val="Calibri"/>
        <family val="2"/>
        <charset val="1"/>
      </rPr>
      <t xml:space="preserve">EdgeX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8–16 </t>
    </r>
    <r>
      <rPr>
        <sz val="11"/>
        <color theme="1"/>
        <rFont val="Noto Sans CJK SC"/>
        <family val="2"/>
      </rPr>
      <t xml:space="preserve">層</t>
    </r>
  </si>
  <si>
    <r>
      <rPr>
        <b val="true"/>
        <sz val="11"/>
        <rFont val="Cambria"/>
        <family val="0"/>
        <charset val="1"/>
      </rPr>
      <t xml:space="preserve">B. ABF</t>
    </r>
    <r>
      <rPr>
        <b val="true"/>
        <sz val="11"/>
        <rFont val="Noto Sans CJK SC"/>
        <family val="2"/>
      </rPr>
      <t xml:space="preserve">（ファンクショナルマテリアルズ，</t>
    </r>
    <r>
      <rPr>
        <b val="true"/>
        <sz val="11"/>
        <rFont val="Cambria"/>
        <family val="0"/>
        <charset val="1"/>
      </rPr>
      <t xml:space="preserve">FM</t>
    </r>
    <r>
      <rPr>
        <b val="true"/>
        <sz val="11"/>
        <rFont val="Noto Sans CJK SC"/>
        <family val="2"/>
      </rPr>
      <t xml:space="preserve">）需求、產能與價格</t>
    </r>
  </si>
  <si>
    <t xml:space="preserve">ai_sh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</si>
  <si>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FM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</si>
  <si>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FY2027E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</si>
  <si>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占比：未找到；</t>
    </r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1Q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伺服器帶動）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</si>
  <si>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</si>
  <si>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用量年增（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、一般伺服器、網通）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</si>
  <si>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與一般伺服器緩步成長（與欣興模型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同值）</t>
    </r>
  </si>
  <si>
    <t xml:space="preserve">量化：未找到</t>
  </si>
  <si>
    <t xml:space="preserve">rel_27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</si>
  <si>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</si>
  <si>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：味之素逾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、積水化學約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（媒體，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</si>
  <si>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（股東行動派）：高階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用約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</si>
  <si>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</si>
  <si>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</si>
  <si>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（引日經、朝日電視）：市占逾 </t>
    </r>
    <r>
      <rPr>
        <sz val="11"/>
        <color theme="1"/>
        <rFont val="Calibri"/>
        <family val="2"/>
        <charset val="1"/>
      </rPr>
      <t xml:space="preserve">95%</t>
    </r>
  </si>
  <si>
    <t xml:space="preserve">中國廠與積水化學認證進度：未找到</t>
  </si>
  <si>
    <t xml:space="preserve">rel_29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</si>
  <si>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</si>
  <si>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</si>
  <si>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</si>
  <si>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</si>
  <si>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</si>
  <si>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</si>
  <si>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</si>
  <si>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</si>
  <si>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</si>
  <si>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</si>
  <si>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</si>
  <si>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</si>
  <si>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宣布約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漲價，逐客戶適用（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只反映部分）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</si>
  <si>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（股東行動派）：要求漲價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</si>
  <si>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</si>
  <si>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</si>
  <si>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引用的供應鏈分析）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</si>
  <si>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模型載板溢價指數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</si>
  <si>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</si>
  <si>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</si>
  <si>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新產能到位、競爭者認證後溢價回落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</si>
  <si>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模型載板溢價指數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  <r>
      <rPr>
        <sz val="11"/>
        <color theme="1"/>
        <rFont val="Noto Sans CJK SC"/>
        <family val="2"/>
      </rPr>
      <t xml:space="preserve">）</t>
    </r>
  </si>
  <si>
    <t xml:space="preserve">sp_A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</si>
  <si>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</si>
  <si>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r>
      <rPr>
        <sz val="11"/>
        <color theme="1"/>
        <rFont val="Noto Sans CJK SC"/>
        <family val="2"/>
      </rPr>
      <t xml:space="preserve">公司特有變數依情境調整，方向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最有利：需求放緩時漲價難以延續</t>
    </r>
  </si>
  <si>
    <t xml:space="preserve">sp_B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</si>
  <si>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</si>
  <si>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t xml:space="preserve">sp_C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</si>
  <si>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</si>
  <si>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t xml:space="preserve">c_g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</si>
  <si>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每單位成本年增（新產能折舊、原料）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</si>
  <si>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 ÷ 77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FY2025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FY26 58%</t>
    </r>
  </si>
  <si>
    <r>
      <rPr>
        <sz val="11"/>
        <color theme="1"/>
        <rFont val="Noto Sans CJK SC"/>
        <family val="2"/>
      </rPr>
      <t xml:space="preserve">價格指數上升的部分全部落在利潤（同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模型寫法）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</si>
  <si>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其他事業（不隨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</si>
  <si>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g_sf</t>
  </si>
  <si>
    <t xml:space="preserve">調味料・食品營收年增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</si>
  <si>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+4.6%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+6.6%</t>
    </r>
    <r>
      <rPr>
        <sz val="11"/>
        <color theme="1"/>
        <rFont val="Noto Sans CJK SC"/>
        <family val="2"/>
      </rPr>
      <t xml:space="preserve">（含匯率）</t>
    </r>
  </si>
  <si>
    <t xml:space="preserve">m_sf</t>
  </si>
  <si>
    <r>
      <rPr>
        <sz val="11"/>
        <color theme="1"/>
        <rFont val="Noto Sans CJK SC"/>
        <family val="2"/>
      </rPr>
      <t xml:space="preserve">調味料・食品事業利益率（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</si>
  <si>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145.9 ÷ 998.6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</si>
  <si>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FY2025 15.3%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143.0 ÷ 936.9</t>
    </r>
    <r>
      <rPr>
        <sz val="11"/>
        <color theme="1"/>
        <rFont val="Noto Sans CJK SC"/>
        <family val="2"/>
      </rPr>
      <t xml:space="preserve">）</t>
    </r>
  </si>
  <si>
    <t xml:space="preserve">g_ff</t>
  </si>
  <si>
    <t xml:space="preserve">冷凍食品營收年增</t>
  </si>
  <si>
    <r>
      <rPr>
        <sz val="11"/>
        <color theme="1"/>
        <rFont val="Calibri"/>
        <family val="2"/>
        <charset val="1"/>
      </rPr>
      <t xml:space="preserve">FY2025 +0.3%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+7.0%</t>
    </r>
    <r>
      <rPr>
        <sz val="11"/>
        <color theme="1"/>
        <rFont val="Noto Sans CJK SC"/>
        <family val="2"/>
      </rPr>
      <t xml:space="preserve">（含匯率）</t>
    </r>
  </si>
  <si>
    <t xml:space="preserve">m_ff</t>
  </si>
  <si>
    <r>
      <rPr>
        <sz val="11"/>
        <color theme="1"/>
        <rFont val="Noto Sans CJK SC"/>
        <family val="2"/>
      </rPr>
      <t xml:space="preserve">冷凍食品事業利益率（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</si>
  <si>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</si>
  <si>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（股東行動派）：要求冷凍食品重整，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由約 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8%</t>
    </r>
  </si>
  <si>
    <t xml:space="preserve">g_ho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</si>
  <si>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）營收年增：生技醫藥 </t>
    </r>
    <r>
      <rPr>
        <sz val="11"/>
        <color theme="1"/>
        <rFont val="Calibri"/>
        <family val="2"/>
        <charset val="1"/>
      </rPr>
      <t xml:space="preserve">CDMO</t>
    </r>
    <r>
      <rPr>
        <sz val="11"/>
        <color theme="1"/>
        <rFont val="Noto Sans CJK SC"/>
        <family val="2"/>
      </rPr>
      <t xml:space="preserve">、胺基酸、其他</t>
    </r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</si>
  <si>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：生技醫藥＆原料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（胺基酸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CDMO +2%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</si>
  <si>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m_ho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</si>
  <si>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</si>
  <si>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(85.0 − 65.5) ÷ (406.8 − 120.6)</t>
    </r>
  </si>
  <si>
    <r>
      <rPr>
        <sz val="11"/>
        <color theme="1"/>
        <rFont val="Calibri"/>
        <family val="2"/>
        <charset val="1"/>
      </rPr>
      <t xml:space="preserve">FY2025 (66.2 − 54.6) ÷ (341.5 − 102.5)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4.9%</t>
    </r>
  </si>
  <si>
    <t xml:space="preserve">g_cc</t>
  </si>
  <si>
    <t xml:space="preserve">全社共通費年增（負值，費用）</t>
  </si>
  <si>
    <r>
      <rPr>
        <sz val="11"/>
        <color theme="1"/>
        <rFont val="Calibri"/>
        <family val="2"/>
        <charset val="1"/>
      </rPr>
      <t xml:space="preserve">FY2025 +6.9%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39.9 → 42.6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46.2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</si>
  <si>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淨利與股數（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</si>
  <si>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ni_bp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</si>
  <si>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</si>
  <si>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123.5 ÷ 202.0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0.611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</si>
  <si>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FY2025 0.743</t>
    </r>
    <r>
      <rPr>
        <sz val="11"/>
        <color theme="1"/>
        <rFont val="Noto Sans CJK SC"/>
        <family val="2"/>
      </rPr>
      <t xml:space="preserve">（含本社土地出售利益）、</t>
    </r>
    <r>
      <rPr>
        <sz val="11"/>
        <color theme="1"/>
        <rFont val="Calibri"/>
        <family val="2"/>
        <charset val="1"/>
      </rPr>
      <t xml:space="preserve">FY2024 0.441</t>
    </r>
    <r>
      <rPr>
        <sz val="11"/>
        <color theme="1"/>
        <rFont val="Noto Sans CJK SC"/>
        <family val="2"/>
      </rPr>
      <t xml:space="preserve">（減損）；</t>
    </r>
    <r>
      <rPr>
        <sz val="11"/>
        <color theme="1"/>
        <rFont val="Calibri"/>
        <family val="2"/>
        <charset val="1"/>
      </rPr>
      <t xml:space="preserve">2027-04 </t>
    </r>
    <r>
      <rPr>
        <sz val="11"/>
        <color theme="1"/>
        <rFont val="Noto Sans CJK SC"/>
        <family val="2"/>
      </rPr>
      <t xml:space="preserve">吸收合併味之素ファインテクノ可能有稅務正面影響（金額未定，公司：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</si>
  <si>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sh_g</t>
  </si>
  <si>
    <t xml:space="preserve">股數年變動（自社株買回）</t>
  </si>
  <si>
    <r>
      <rPr>
        <sz val="11"/>
        <color theme="1"/>
        <rFont val="Noto Sans CJK SC"/>
        <family val="2"/>
      </rPr>
      <t xml:space="preserve">期中平均股數 </t>
    </r>
    <r>
      <rPr>
        <sz val="11"/>
        <color theme="1"/>
        <rFont val="Calibri"/>
        <family val="2"/>
        <charset val="1"/>
      </rPr>
      <t xml:space="preserve">FY2024 10.07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FY2025 9.73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1Q FY26 9.56 </t>
    </r>
    <r>
      <rPr>
        <sz val="11"/>
        <color theme="1"/>
        <rFont val="Noto Sans CJK SC"/>
        <family val="2"/>
      </rPr>
      <t xml:space="preserve">億（公司：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</si>
  <si>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買回計畫金額：未找到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</si>
  <si>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2026-08-06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</si>
  <si>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</si>
  <si>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</si>
  <si>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</si>
  <si>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</si>
  <si>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</si>
  <si>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1,723.0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</si>
  <si>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t xml:space="preserve">f_sf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</si>
  <si>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調味料・食品營收預測</t>
    </r>
  </si>
  <si>
    <t xml:space="preserve">f_ff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</si>
  <si>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冷凍食品營收預測</t>
    </r>
  </si>
  <si>
    <t xml:space="preserve">f_ho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</si>
  <si>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ヘルスケア等營收預測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</si>
  <si>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</si>
  <si>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その他營收預測</t>
    </r>
  </si>
  <si>
    <t xml:space="preserve">f_fm</t>
  </si>
  <si>
    <r>
      <rPr>
        <sz val="11"/>
        <color theme="1"/>
        <rFont val="Calibri"/>
        <family val="2"/>
        <charset val="1"/>
      </rPr>
      <t xml:space="preserve">FY2026   </t>
    </r>
    <r>
      <rPr>
        <sz val="11"/>
        <color theme="1"/>
        <rFont val="Noto Sans CJK SC"/>
        <family val="2"/>
      </rPr>
      <t xml:space="preserve">其中 ファンクショナルマテリアルズ（電子材料等）營收預測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</si>
  <si>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111.6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9.0 </t>
    </r>
    <r>
      <rPr>
        <sz val="11"/>
        <color theme="1"/>
        <rFont val="Noto Sans CJK SC"/>
        <family val="2"/>
      </rPr>
      <t xml:space="preserve">全數來自電子材料，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）</t>
    </r>
  </si>
  <si>
    <t xml:space="preserve">f_bp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</si>
  <si>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事業利益預測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</si>
  <si>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197.0</t>
    </r>
    <r>
      <rPr>
        <sz val="11"/>
        <color theme="1"/>
        <rFont val="Noto Sans CJK SC"/>
        <family val="2"/>
      </rPr>
      <t xml:space="preserve">；中東情勢（原油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158 </t>
    </r>
    <r>
      <rPr>
        <sz val="11"/>
        <color theme="1"/>
        <rFont val="Noto Sans CJK SC"/>
        <family val="2"/>
      </rPr>
      <t xml:space="preserve">日圓）可能 −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十億（公司：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</si>
  <si>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f_sfbp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</si>
  <si>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調味料・食品事業利益預測</t>
    </r>
  </si>
  <si>
    <t xml:space="preserve">f_ffbp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</si>
  <si>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冷凍食品事業利益預測</t>
    </r>
  </si>
  <si>
    <t xml:space="preserve">f_hobp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</si>
  <si>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ヘルスケア等事業利益預測</t>
    </r>
  </si>
  <si>
    <t xml:space="preserve">f_othbp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</si>
  <si>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その他事業利益預測</t>
    </r>
  </si>
  <si>
    <t xml:space="preserve">f_cc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</si>
  <si>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全社共通費預測</t>
    </r>
  </si>
  <si>
    <t xml:space="preserve">f_fmbp</t>
  </si>
  <si>
    <r>
      <rPr>
        <sz val="11"/>
        <color theme="1"/>
        <rFont val="Calibri"/>
        <family val="2"/>
        <charset val="1"/>
      </rPr>
      <t xml:space="preserve">FY2026   </t>
    </r>
    <r>
      <rPr>
        <sz val="11"/>
        <color theme="1"/>
        <rFont val="Noto Sans CJK SC"/>
        <family val="2"/>
      </rPr>
      <t xml:space="preserve">其中 ファンクショナルマテリアルズ事業利益預測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</si>
  <si>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60.5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）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</si>
  <si>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</si>
  <si>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</si>
  <si>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</si>
  <si>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淨利（歸屬母公司）預測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</si>
  <si>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120.0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</si>
  <si>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</si>
  <si>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預測（基本）</t>
    </r>
  </si>
  <si>
    <t xml:space="preserve">¥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</si>
  <si>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</si>
  <si>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126.16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</si>
  <si>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</si>
  <si>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）營收實績</t>
    </r>
  </si>
  <si>
    <t xml:space="preserve">Verified</t>
  </si>
  <si>
    <r>
      <rPr>
        <sz val="11"/>
        <color theme="1"/>
        <rFont val="Noto Sans CJK SC"/>
        <family val="2"/>
      </rPr>
      <t xml:space="preserve">年增：營收 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、事業利益 </t>
    </r>
    <r>
      <rPr>
        <sz val="11"/>
        <color theme="1"/>
        <rFont val="Calibri"/>
        <family val="2"/>
        <charset val="1"/>
      </rPr>
      <t xml:space="preserve">+27%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+13%</t>
    </r>
  </si>
  <si>
    <t xml:space="preserve">q1_bp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</si>
  <si>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）事業利益實績</t>
    </r>
  </si>
  <si>
    <t xml:space="preserve">q1_fm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</si>
  <si>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營收實績</t>
    </r>
  </si>
  <si>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、事業利益 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</si>
  <si>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q1_fmbp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</si>
  <si>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事業利益實績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</si>
  <si>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</si>
  <si>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）淨利（歸屬母公司）實績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</si>
  <si>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</si>
  <si>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</si>
  <si>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</si>
  <si>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</si>
  <si>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</si>
  <si>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</si>
  <si>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同值</t>
    </r>
  </si>
  <si>
    <t xml:space="preserve">a_sf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</si>
  <si>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調味料・食品營收</t>
    </r>
  </si>
  <si>
    <t xml:space="preserve">a_ff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</si>
  <si>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冷凍食品營收</t>
    </r>
  </si>
  <si>
    <t xml:space="preserve">a_ho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</si>
  <si>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ヘルスケア等營收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</si>
  <si>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</si>
  <si>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その他營收</t>
    </r>
  </si>
  <si>
    <t xml:space="preserve">a_bp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</si>
  <si>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事業利益</t>
    </r>
  </si>
  <si>
    <t xml:space="preserve">a_sfbp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</si>
  <si>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調味料・食品事業利益</t>
    </r>
  </si>
  <si>
    <t xml:space="preserve">a_ffbp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</si>
  <si>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冷凍食品事業利益</t>
    </r>
  </si>
  <si>
    <t xml:space="preserve">a_hobp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</si>
  <si>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ヘルスケア等事業利益</t>
    </r>
  </si>
  <si>
    <t xml:space="preserve">a_othbp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</si>
  <si>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その他事業利益</t>
    </r>
  </si>
  <si>
    <t xml:space="preserve">a_cc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</si>
  <si>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全社共通費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</si>
  <si>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</si>
  <si>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</si>
  <si>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</si>
  <si>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</si>
  <si>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r>
      <rPr>
        <sz val="11"/>
        <color theme="1"/>
        <rFont val="Noto Sans CJK SC"/>
        <family val="2"/>
      </rPr>
      <t xml:space="preserve">淨利含本社大樓土地出售利益（日經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</si>
  <si>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a_da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</si>
  <si>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折舊攤銷</t>
    </r>
  </si>
  <si>
    <t xml:space="preserve">a_cx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</si>
  <si>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資本支出（有形＋無形）</t>
    </r>
  </si>
  <si>
    <r>
      <rPr>
        <sz val="11"/>
        <color theme="1"/>
        <rFont val="Noto Sans CJK SC"/>
        <family val="2"/>
      </rPr>
      <t xml:space="preserve">有形 </t>
    </r>
    <r>
      <rPr>
        <sz val="11"/>
        <color theme="1"/>
        <rFont val="Calibri"/>
        <family val="2"/>
        <charset val="1"/>
      </rPr>
      <t xml:space="preserve">96.446</t>
    </r>
    <r>
      <rPr>
        <sz val="11"/>
        <color theme="1"/>
        <rFont val="Noto Sans CJK SC"/>
        <family val="2"/>
      </rPr>
      <t xml:space="preserve">＋無形 </t>
    </r>
    <r>
      <rPr>
        <sz val="11"/>
        <color theme="1"/>
        <rFont val="Calibri"/>
        <family val="2"/>
        <charset val="1"/>
      </rPr>
      <t xml:space="preserve">8.104</t>
    </r>
  </si>
  <si>
    <t xml:space="preserve">a_fm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</si>
  <si>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ファンクショナルマテリアルズ營收（推估）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</si>
  <si>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分部門回顧：ヘルスケア等營收中 </t>
    </r>
    <r>
      <rPr>
        <sz val="11"/>
        <color theme="1"/>
        <rFont val="Calibri"/>
        <family val="2"/>
        <charset val="1"/>
      </rPr>
      <t xml:space="preserve">Functional Materials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</si>
  <si>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（引日經、朝日電視）：電子材料營收 </t>
    </r>
    <r>
      <rPr>
        <sz val="11"/>
        <color theme="1"/>
        <rFont val="Calibri"/>
        <family val="2"/>
        <charset val="1"/>
      </rPr>
      <t xml:space="preserve">100.7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FY25 21.5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））；子公司味之素ファインテクノ營收 </t>
    </r>
    <r>
      <rPr>
        <sz val="11"/>
        <color theme="1"/>
        <rFont val="Calibri"/>
        <family val="2"/>
        <charset val="1"/>
      </rPr>
      <t xml:space="preserve">98.383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</si>
  <si>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a_fmbp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</si>
  <si>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ファンクショナルマテリアルズ事業利益</t>
    </r>
  </si>
  <si>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），約占全公司三成</t>
    </r>
  </si>
  <si>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；味之素ファインテクノ營業利益 </t>
    </r>
    <r>
      <rPr>
        <sz val="11"/>
        <color theme="1"/>
        <rFont val="Calibri"/>
        <family val="2"/>
        <charset val="1"/>
      </rPr>
      <t xml:space="preserve">53.012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</si>
  <si>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</si>
  <si>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</si>
  <si>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2025-04-01 </t>
    </r>
    <r>
      <rPr>
        <sz val="11"/>
        <color theme="1"/>
        <rFont val="Noto Sans CJK SC"/>
        <family val="2"/>
      </rPr>
      <t xml:space="preserve">一拆二；期中平均股數 </t>
    </r>
    <r>
      <rPr>
        <sz val="11"/>
        <color theme="1"/>
        <rFont val="Calibri"/>
        <family val="2"/>
        <charset val="1"/>
      </rPr>
      <t xml:space="preserve">9.734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</si>
  <si>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對帳與差距拆解，不作校準）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</si>
  <si>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</si>
  <si>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</si>
  <si>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彙整；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</si>
  <si>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株予報：共識經常利益 </t>
    </r>
    <r>
      <rPr>
        <sz val="11"/>
        <color theme="1"/>
        <rFont val="Calibri"/>
        <family val="2"/>
        <charset val="1"/>
      </rPr>
      <t xml:space="preserve">196.8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</si>
  <si>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</si>
  <si>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（＝共識淨利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錨點股數）</t>
    </r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</si>
  <si>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公司預測隱含股數 </t>
    </r>
    <r>
      <rPr>
        <sz val="11"/>
        <color theme="1"/>
        <rFont val="Calibri"/>
        <family val="2"/>
        <charset val="1"/>
      </rPr>
      <t xml:space="preserve">9.512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</si>
  <si>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</si>
  <si>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</si>
  <si>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</si>
  <si>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1.73 </t>
    </r>
    <r>
      <rPr>
        <sz val="11"/>
        <color theme="1"/>
        <rFont val="Noto Sans CJK SC"/>
        <family val="2"/>
      </rPr>
      <t xml:space="preserve">兆）</t>
    </r>
  </si>
  <si>
    <t xml:space="preserve">c_g27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</si>
  <si>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</si>
  <si>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FY2027E +24.37%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FY2028E +23.63%</t>
    </r>
    <r>
      <rPr>
        <sz val="11"/>
        <color theme="1"/>
        <rFont val="Noto Sans CJK SC"/>
        <family val="2"/>
      </rPr>
      <t xml:space="preserve">，以公司年度計）</t>
    </r>
  </si>
  <si>
    <t xml:space="preserve">單一來源；基期口徑未明示</t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</si>
  <si>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</si>
  <si>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（＝共識 </t>
    </r>
    <r>
      <rPr>
        <sz val="11"/>
        <color theme="1"/>
        <rFont val="Calibri"/>
        <family val="2"/>
        <charset val="1"/>
      </rPr>
      <t xml:space="preserve">FY2026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＋年增））</t>
    </r>
  </si>
  <si>
    <t xml:space="preserve">上兩列推導</t>
  </si>
  <si>
    <t xml:space="preserve">直接數字：未找到</t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</si>
  <si>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</si>
  <si>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</si>
  <si>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Revenue Next Year 1.84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+6.41%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</si>
  <si>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</si>
  <si>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</si>
  <si>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</si>
  <si>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松井證券：</t>
    </r>
    <r>
      <rPr>
        <sz val="11"/>
        <color theme="1"/>
        <rFont val="Calibri"/>
        <family val="2"/>
        <charset val="1"/>
      </rPr>
      <t xml:space="preserve">2026-10-23 15:30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、前日 </t>
    </r>
    <r>
      <rPr>
        <sz val="11"/>
        <color theme="1"/>
        <rFont val="Calibri"/>
        <family val="2"/>
        <charset val="1"/>
      </rPr>
      <t xml:space="preserve">5,046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</si>
  <si>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5,046</t>
    </r>
    <r>
      <rPr>
        <sz val="11"/>
        <color theme="1"/>
        <rFont val="Noto Sans CJK SC"/>
        <family val="2"/>
      </rPr>
      <t xml:space="preserve">（與松井前日相同）；</t>
    </r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：前收 </t>
    </r>
    <r>
      <rPr>
        <sz val="11"/>
        <color theme="1"/>
        <rFont val="Calibri"/>
        <family val="2"/>
        <charset val="1"/>
      </rPr>
      <t xml:space="preserve">5,064</t>
    </r>
  </si>
  <si>
    <t xml:space="preserve">pe_cf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</si>
  <si>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（公司預測，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</si>
  <si>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</t>
    </r>
    <r>
      <rPr>
        <sz val="11"/>
        <color theme="1"/>
        <rFont val="Calibri"/>
        <family val="2"/>
        <charset val="1"/>
      </rPr>
      <t xml:space="preserve">PER</t>
    </r>
    <r>
      <rPr>
        <sz val="11"/>
        <color theme="1"/>
        <rFont val="Noto Sans CJK SC"/>
        <family val="2"/>
      </rPr>
      <t xml:space="preserve">（會社予想）</t>
    </r>
    <r>
      <rPr>
        <sz val="11"/>
        <color theme="1"/>
        <rFont val="Calibri"/>
        <family val="2"/>
        <charset val="1"/>
      </rPr>
      <t xml:space="preserve">39.08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EPS 129.12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</si>
  <si>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</si>
  <si>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</si>
  <si>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（統計）：價格 </t>
    </r>
    <r>
      <rPr>
        <sz val="11"/>
        <color theme="1"/>
        <rFont val="Calibri"/>
        <family val="2"/>
        <charset val="1"/>
      </rPr>
      <t xml:space="preserve">5,051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 32.76</t>
    </r>
  </si>
  <si>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月滾動預估 </t>
    </r>
    <r>
      <rPr>
        <sz val="11"/>
        <color theme="1"/>
        <rFont val="Calibri"/>
        <family val="2"/>
        <charset val="1"/>
      </rPr>
      <t xml:space="preserve">P/E 30.66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</si>
  <si>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</si>
  <si>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（＝取得時價格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</si>
  <si>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2026-09-25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5,051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32.76</t>
    </r>
  </si>
  <si>
    <r>
      <rPr>
        <sz val="11"/>
        <color theme="1"/>
        <rFont val="Calibri"/>
        <family val="2"/>
        <charset val="1"/>
      </rPr>
      <t xml:space="preserve">DBS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FY26F </t>
    </r>
    <r>
      <rPr>
        <sz val="11"/>
        <color theme="1"/>
        <rFont val="Noto Sans CJK SC"/>
        <family val="2"/>
      </rPr>
      <t xml:space="preserve">正常化 </t>
    </r>
    <r>
      <rPr>
        <sz val="11"/>
        <color theme="1"/>
        <rFont val="Calibri"/>
        <family val="2"/>
        <charset val="1"/>
      </rPr>
      <t xml:space="preserve">EPS 155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</si>
  <si>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</si>
  <si>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</si>
  <si>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</si>
  <si>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）；株予報：</t>
    </r>
    <r>
      <rPr>
        <sz val="11"/>
        <color theme="1"/>
        <rFont val="Calibri"/>
        <family val="2"/>
        <charset val="1"/>
      </rPr>
      <t xml:space="preserve">5,906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2026-06-23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／日經））、</t>
    </r>
    <r>
      <rPr>
        <sz val="11"/>
        <color theme="1"/>
        <rFont val="Calibri"/>
        <family val="2"/>
        <charset val="1"/>
      </rPr>
      <t xml:space="preserve">DBS 6,200</t>
    </r>
  </si>
  <si>
    <t xml:space="preserve">so</t>
  </si>
  <si>
    <t xml:space="preserve">期末發行股數（含庫藏）</t>
  </si>
  <si>
    <t xml:space="preserve">十億股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</si>
  <si>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977,735,616 </t>
    </r>
    <r>
      <rPr>
        <sz val="11"/>
        <color theme="1"/>
        <rFont val="Noto Sans CJK SC"/>
        <family val="2"/>
      </rPr>
      <t xml:space="preserve">股；庫藏 </t>
    </r>
    <r>
      <rPr>
        <sz val="11"/>
        <color theme="1"/>
        <rFont val="Calibri"/>
        <family val="2"/>
        <charset val="1"/>
      </rPr>
      <t xml:space="preserve">23,173,875 </t>
    </r>
    <r>
      <rPr>
        <sz val="11"/>
        <color theme="1"/>
        <rFont val="Noto Sans CJK SC"/>
        <family val="2"/>
      </rPr>
      <t xml:space="preserve">股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</si>
  <si>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</si>
  <si>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</si>
  <si>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</si>
  <si>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</si>
  <si>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</si>
  <si>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</si>
  <si>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</si>
  <si>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</si>
  <si>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</si>
  <si>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</si>
  <si>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</si>
  <si>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</si>
  <si>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食品本業風險低於設備股，但未改折現率，只在方法欄說明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</si>
  <si>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</si>
  <si>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</si>
  <si>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</si>
  <si>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</si>
  <si>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</si>
  <si>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</si>
  <si>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（比率）：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9.52%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11.95%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</si>
  <si>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17.7%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9.0%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））；公司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引用）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</si>
  <si>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</si>
  <si>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</si>
  <si>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定各半）</t>
    </r>
  </si>
  <si>
    <t xml:space="preserve">nm10_k</t>
  </si>
  <si>
    <r>
      <rPr>
        <sz val="11"/>
        <color theme="1"/>
        <rFont val="Noto Sans CJK SC"/>
        <family val="2"/>
      </rPr>
      <t xml:space="preserve">十年平均淨利率替代：最後一年（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</si>
  <si>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）淨利率：未找到（免費資料商只到近五年：</t>
    </r>
    <r>
      <rPr>
        <sz val="11"/>
        <color theme="1"/>
        <rFont val="Calibri"/>
        <family val="2"/>
        <charset val="1"/>
      </rPr>
      <t xml:space="preserve">5.6–8.5%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（損益））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</si>
  <si>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</si>
  <si>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</si>
  <si>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</si>
  <si>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</si>
  <si>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</si>
  <si>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</si>
  <si>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</si>
  <si>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</si>
  <si>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</si>
  <si>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</si>
  <si>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</si>
  <si>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</si>
  <si>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</si>
  <si>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</si>
  <si>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nm10_k) ÷ 2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</si>
  <si>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</si>
  <si>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</si>
  <si>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 × nm10_k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</si>
  <si>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自由現金流列用（算力收支地圖讀取；不進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</si>
  <si>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</si>
  <si>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</si>
  <si>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實績：折舊攤銷 </t>
    </r>
    <r>
      <rPr>
        <sz val="11"/>
        <color theme="1"/>
        <rFont val="Calibri"/>
        <family val="2"/>
        <charset val="1"/>
      </rPr>
      <t xml:space="preserve">88.914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1,583.719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</si>
  <si>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FY26 23.4 ÷ 412.1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5.7%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</si>
  <si>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</si>
  <si>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</si>
  <si>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104.550 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</si>
  <si>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FY26 33.4 ÷ 412.1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8.1%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</si>
  <si>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 FY26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公布時）；上半年決算（約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上旬）後更新</t>
    </r>
  </si>
  <si>
    <r>
      <rPr>
        <sz val="11"/>
        <color theme="1"/>
        <rFont val="Noto Sans CJK SC"/>
        <family val="2"/>
      </rPr>
      <t xml:space="preserve">公司不單獨揭露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營收；ファンクショナルマテリアルズ（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，電子材料等）為ヘルスケア等的子部門，季度決算概要揭露其營收與事業利益。</t>
    </r>
    <r>
      <rPr>
        <sz val="11"/>
        <color theme="1"/>
        <rFont val="Calibri"/>
        <family val="2"/>
        <charset val="1"/>
      </rPr>
      <t xml:space="preserve">FY2025 FM </t>
    </r>
    <r>
      <rPr>
        <sz val="11"/>
        <color theme="1"/>
        <rFont val="Noto Sans CJK SC"/>
        <family val="2"/>
      </rPr>
      <t xml:space="preserve">營收以 </t>
    </r>
    <r>
      <rPr>
        <sz val="11"/>
        <color theme="1"/>
        <rFont val="Calibri"/>
        <family val="2"/>
        <charset val="1"/>
      </rPr>
      <t xml:space="preserve">ASV Report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占比推估（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），電子材料營收 </t>
    </r>
    <r>
      <rPr>
        <sz val="11"/>
        <color theme="1"/>
        <rFont val="Calibri"/>
        <family val="2"/>
        <charset val="1"/>
      </rPr>
      <t xml:space="preserve">100.7</t>
    </r>
    <r>
      <rPr>
        <sz val="11"/>
        <color theme="1"/>
        <rFont val="Noto Sans CJK SC"/>
        <family val="2"/>
      </rPr>
      <t xml:space="preserve">（媒體引公司）與子公司味之素ファインテクノ營收 </t>
    </r>
    <r>
      <rPr>
        <sz val="11"/>
        <color theme="1"/>
        <rFont val="Calibri"/>
        <family val="2"/>
        <charset val="1"/>
      </rPr>
      <t xml:space="preserve">98.4 </t>
    </r>
    <r>
      <rPr>
        <sz val="11"/>
        <color theme="1"/>
        <rFont val="Noto Sans CJK SC"/>
        <family val="2"/>
      </rPr>
      <t xml:space="preserve">為對照。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用比例公司未揭露，以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</si>
  <si>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</si>
  <si>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 FY26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</si>
  <si>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</si>
  <si>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年增（錨點 </t>
    </r>
    <r>
      <rPr>
        <b val="true"/>
        <sz val="11"/>
        <rFont val="Cambria"/>
        <family val="0"/>
        <charset val="1"/>
      </rPr>
      <t xml:space="preserve">÷ FY2025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</si>
  <si>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1Q ÷ </t>
    </r>
    <r>
      <rPr>
        <b val="true"/>
        <sz val="11"/>
        <rFont val="Noto Sans CJK SC"/>
        <family val="2"/>
      </rPr>
      <t xml:space="preserve">錨點（進度）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</si>
  <si>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</si>
  <si>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</si>
  <si>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</si>
  <si>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調味料・食品</t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</si>
  <si>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子部門值取自決算概要（億日圓 </t>
    </r>
    <r>
      <rPr>
        <sz val="11"/>
        <color theme="1"/>
        <rFont val="Calibri"/>
        <family val="2"/>
        <charset val="1"/>
      </rPr>
      <t xml:space="preserve">÷ 100</t>
    </r>
    <r>
      <rPr>
        <sz val="11"/>
        <color theme="1"/>
        <rFont val="Noto Sans CJK SC"/>
        <family val="2"/>
      </rPr>
      <t xml:space="preserve">）</t>
    </r>
  </si>
  <si>
    <t xml:space="preserve">  冷凍食品</t>
  </si>
  <si>
    <t xml:space="preserve">  ヘルスケア等</t>
  </si>
  <si>
    <t xml:space="preserve">    其中 ファンクショナルマテリアルズ（電子材料等）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</si>
  <si>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0.30 × </t>
    </r>
    <r>
      <rPr>
        <sz val="11"/>
        <color theme="1"/>
        <rFont val="Noto Sans CJK SC"/>
        <family val="2"/>
      </rPr>
      <t xml:space="preserve">ヘルスケア等（</t>
    </r>
    <r>
      <rPr>
        <sz val="11"/>
        <color theme="1"/>
        <rFont val="Calibri"/>
        <family val="2"/>
        <charset val="1"/>
      </rPr>
      <t xml:space="preserve">ASV Report </t>
    </r>
    <r>
      <rPr>
        <sz val="11"/>
        <color theme="1"/>
        <rFont val="Noto Sans CJK SC"/>
        <family val="2"/>
      </rPr>
      <t xml:space="preserve">占比）；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與錨點為公司決算概要揭露值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</si>
  <si>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以外（生技醫藥＆原料、其他）</t>
    </r>
  </si>
  <si>
    <t xml:space="preserve">  その他</t>
  </si>
  <si>
    <t xml:space="preserve">事業利益</t>
  </si>
  <si>
    <t xml:space="preserve">    其中 ファンクショナルマテリアルズ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</si>
  <si>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</si>
  <si>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</t>
    </r>
  </si>
  <si>
    <t xml:space="preserve">  全社共通費</t>
  </si>
  <si>
    <t xml:space="preserve">費用（負值）</t>
  </si>
  <si>
    <t xml:space="preserve">營業利益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</si>
  <si>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</si>
  <si>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含本社大樓土地出售利益（營業利益 </t>
    </r>
    <r>
      <rPr>
        <sz val="11"/>
        <color theme="1"/>
        <rFont val="Calibri"/>
        <family val="2"/>
        <charset val="1"/>
      </rPr>
      <t xml:space="preserve">199.4 &gt;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181.2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預測淨利因此年減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</si>
  <si>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</si>
  <si>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t xml:space="preserve">比率</t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</si>
  <si>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</si>
  <si>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；公司全年預測隱含下半年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（保守）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</si>
  <si>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全公司營收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</si>
  <si>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全公司事業利益</t>
    </r>
  </si>
  <si>
    <r>
      <rPr>
        <sz val="11"/>
        <color theme="1"/>
        <rFont val="Calibri"/>
        <family val="2"/>
        <charset val="1"/>
      </rPr>
      <t xml:space="preserve">DBS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修正預測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</si>
  <si>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事業利益率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</si>
  <si>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</si>
  <si>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</si>
  <si>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FM </t>
    </r>
    <r>
      <rPr>
        <b val="true"/>
        <sz val="11"/>
        <rFont val="Noto Sans CJK SC"/>
        <family val="2"/>
      </rPr>
      <t xml:space="preserve">只占營收約 </t>
    </r>
    <r>
      <rPr>
        <b val="true"/>
        <sz val="11"/>
        <rFont val="Cambria"/>
        <family val="0"/>
        <charset val="1"/>
      </rPr>
      <t xml:space="preserve">7%</t>
    </r>
    <r>
      <rPr>
        <b val="true"/>
        <sz val="11"/>
        <rFont val="Noto Sans CJK SC"/>
        <family val="2"/>
      </rPr>
      <t xml:space="preserve">，卻占事業利益約三分之一；</t>
    </r>
    <r>
      <rPr>
        <b val="true"/>
        <sz val="11"/>
        <rFont val="Cambria"/>
        <family val="0"/>
        <charset val="1"/>
      </rPr>
      <t xml:space="preserve">1Q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FM </t>
    </r>
    <r>
      <rPr>
        <b val="true"/>
        <sz val="11"/>
        <rFont val="Noto Sans CJK SC"/>
        <family val="2"/>
      </rPr>
      <t xml:space="preserve">營收、事業利益分別達全年預測的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29%</t>
    </r>
    <r>
      <rPr>
        <b val="true"/>
        <sz val="11"/>
        <rFont val="Noto Sans CJK SC"/>
        <family val="2"/>
      </rPr>
      <t xml:space="preserve">，公司全年預測隱含下半年放緩，屬保守。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</si>
  <si>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 →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 → 出貨（產能上限）→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）；每顆加速器的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載板金額對照。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CY(t)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</si>
  <si>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</si>
  <si>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</si>
  <si>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</si>
  <si>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</si>
  <si>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</si>
  <si>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</si>
  <si>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</si>
  <si>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有效顆數（非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</si>
  <si>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讀欣興模型</t>
    </r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</si>
  <si>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層數指數</t>
    </r>
  </si>
  <si>
    <r>
      <rPr>
        <sz val="11"/>
        <color theme="1"/>
        <rFont val="Calibri"/>
        <family val="2"/>
        <charset val="1"/>
      </rPr>
      <t xml:space="preserve">g_asp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</si>
  <si>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</si>
  <si>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</si>
  <si>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</si>
  <si>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可出貨量上限</t>
  </si>
  <si>
    <t xml:space="preserve">需求滿足率</t>
  </si>
  <si>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</si>
  <si>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</si>
  <si>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</si>
  <si>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</si>
  <si>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每顆有效加速器的味之素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</t>
    </r>
  </si>
  <si>
    <t xml:space="preserve">US$</t>
  </si>
  <si>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</si>
  <si>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對照：每顆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</si>
  <si>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</si>
  <si>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載板金額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</si>
  <si>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約占載板物料成本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</si>
  <si>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伺服器載板營收（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</si>
  <si>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</si>
  <si>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營收年增 − 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載板營收年增</t>
    </r>
  </si>
  <si>
    <t xml:space="preserve">pt</t>
  </si>
  <si>
    <r>
      <rPr>
        <sz val="11"/>
        <color theme="1"/>
        <rFont val="Noto Sans CJK SC"/>
        <family val="2"/>
      </rPr>
      <t xml:space="preserve">正值＝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成長快於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載板（漲價、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全數計入）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</si>
  <si>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加速器只用到約二、三十美元的 </t>
    </r>
    <r>
      <rPr>
        <b val="true"/>
        <sz val="11"/>
        <rFont val="Cambria"/>
        <family val="0"/>
        <charset val="1"/>
      </rPr>
      <t xml:space="preserve">ABF</t>
    </r>
    <r>
      <rPr>
        <b val="true"/>
        <sz val="11"/>
        <rFont val="Noto Sans CJK SC"/>
        <family val="2"/>
      </rPr>
      <t xml:space="preserve">（約為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載板金額的一成），所以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不是成本瓶頸、而是產能與認證瓶頸：需求量（顆數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面積層數）每年成長三到八成，味之素的可出貨量（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）跟不上時，出貨受限、成長改由價格貢獻。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</si>
  <si>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味之素損益（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日圓；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事業利益口徑）。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三情境相同（顆數係數與情境價格乘數從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</si>
  <si>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</si>
  <si>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</si>
  <si>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</si>
  <si>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</si>
  <si>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</si>
  <si>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</si>
  <si>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</si>
  <si>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</si>
  <si>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ファンクショナルマテリアルズ（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</si>
  <si>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</si>
  <si>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</t>
    </r>
  </si>
  <si>
    <t xml:space="preserve">  事業利益率</t>
  </si>
  <si>
    <r>
      <rPr>
        <sz val="11"/>
        <color theme="1"/>
        <rFont val="Calibri"/>
        <family val="2"/>
        <charset val="1"/>
      </rPr>
      <t xml:space="preserve">  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</si>
  <si>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t xml:space="preserve">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</si>
  <si>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</si>
  <si>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</si>
  <si>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</si>
  <si>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FM </t>
    </r>
    <r>
      <rPr>
        <sz val="11"/>
        <color theme="1"/>
        <rFont val="Noto Sans CJK SC"/>
        <family val="2"/>
      </rPr>
      <t xml:space="preserve">每股貢獻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</si>
  <si>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</si>
  <si>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</si>
  <si>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</si>
  <si>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</si>
  <si>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三情境：事業利益差（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</si>
  <si>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</si>
  <si>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</si>
  <si>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ABF </t>
    </r>
    <r>
      <rPr>
        <b val="true"/>
        <sz val="11"/>
        <rFont val="Noto Sans CJK SC"/>
        <family val="2"/>
      </rPr>
      <t xml:space="preserve">需求（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</si>
  <si>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</si>
  <si>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</si>
  <si>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</si>
  <si>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</si>
  <si>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面積係數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</si>
  <si>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</si>
  <si>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</si>
  <si>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</si>
  <si>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有效顆數成長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</si>
  <si>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需求量指數（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</si>
  <si>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營收組合加權）</t>
    </r>
  </si>
  <si>
    <r>
      <rPr>
        <sz val="11"/>
        <color theme="1"/>
        <rFont val="Noto Sans CJK SC"/>
        <family val="2"/>
      </rPr>
      <t xml:space="preserve">可出貨量上限（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</si>
  <si>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）；需求高於上限時出貨＝上限</t>
    </r>
  </si>
  <si>
    <r>
      <rPr>
        <sz val="11"/>
        <color theme="1"/>
        <rFont val="Noto Sans CJK SC"/>
        <family val="2"/>
      </rPr>
      <t xml:space="preserve">出貨量指數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上限）</t>
    </r>
  </si>
  <si>
    <r>
      <rPr>
        <sz val="11"/>
        <color theme="1"/>
        <rFont val="Noto Sans CJK SC"/>
        <family val="2"/>
      </rPr>
      <t xml:space="preserve">需求滿足率（出貨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需求）</t>
    </r>
  </si>
  <si>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＝產能受限，缺口由價格與競爭者填補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</si>
  <si>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</si>
  <si>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起乘情境價格乘數 </t>
    </r>
    <r>
      <rPr>
        <sz val="11"/>
        <color theme="1"/>
        <rFont val="Calibri"/>
        <family val="2"/>
        <charset val="1"/>
      </rPr>
      <t xml:space="preserve">sp_A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</si>
  <si>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滿足率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</si>
  <si>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、一般伺服器等）</t>
    </r>
  </si>
  <si>
    <r>
      <rPr>
        <sz val="11"/>
        <color theme="1"/>
        <rFont val="Noto Sans CJK SC"/>
        <family val="2"/>
      </rPr>
      <t xml:space="preserve">ファンクショナルマテリアルズ（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</si>
  <si>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年數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</si>
  <si>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：每單位成本按 </t>
    </r>
    <r>
      <rPr>
        <sz val="11"/>
        <color theme="1"/>
        <rFont val="Calibri"/>
        <family val="2"/>
        <charset val="1"/>
      </rPr>
      <t xml:space="preserve">c_g </t>
    </r>
    <r>
      <rPr>
        <sz val="11"/>
        <color theme="1"/>
        <rFont val="Noto Sans CJK SC"/>
        <family val="2"/>
      </rPr>
      <t xml:space="preserve">上升，漲價差額全部落在利潤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</si>
  <si>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其他事業（不隨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</si>
  <si>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調味料・食品營收</t>
  </si>
  <si>
    <t xml:space="preserve">調味料・食品事業利益</t>
  </si>
  <si>
    <t xml:space="preserve">冷凍食品營收</t>
  </si>
  <si>
    <t xml:space="preserve">冷凍食品事業利益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</si>
  <si>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</si>
  <si>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）事業利益</t>
    </r>
  </si>
  <si>
    <t xml:space="preserve">その他營收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</si>
  <si>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起持平（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</si>
  <si>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その他事業利益</t>
  </si>
  <si>
    <t xml:space="preserve">全社共通費</t>
  </si>
  <si>
    <t xml:space="preserve">營收調整（公司合計 − 各事業加總；四捨五入）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</si>
  <si>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值</t>
    </r>
  </si>
  <si>
    <t xml:space="preserve">事業利益調整（公司合計 − 各事業加總；四捨五入）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</si>
  <si>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全公司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</si>
  <si>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</si>
  <si>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</si>
  <si>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FM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</si>
  <si>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</si>
  <si>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t xml:space="preserve">股數（期中平均）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</si>
  <si>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</si>
  <si>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</si>
  <si>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</si>
  <si>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每股貢獻 ＝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</si>
  <si>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對集團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的貢獻（共通費按事業利益比例不分攤）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</si>
  <si>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以外每股 ＝ </t>
    </r>
    <r>
      <rPr>
        <sz val="11"/>
        <color theme="1"/>
        <rFont val="Calibri"/>
        <family val="2"/>
        <charset val="1"/>
      </rPr>
      <t xml:space="preserve">EPS − FM </t>
    </r>
    <r>
      <rPr>
        <sz val="11"/>
        <color theme="1"/>
        <rFont val="Noto Sans CJK SC"/>
        <family val="2"/>
      </rPr>
      <t xml:space="preserve">每股貢獻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</si>
  <si>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有效顆數（美元／顆；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</si>
  <si>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匯率前提 </t>
    </r>
    <r>
      <rPr>
        <sz val="11"/>
        <color theme="1"/>
        <rFont val="Calibri"/>
        <family val="2"/>
        <charset val="1"/>
      </rPr>
      <t xml:space="preserve">¥150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</si>
  <si>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0.95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</si>
  <si>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0.88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</si>
  <si>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</si>
  <si>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</si>
  <si>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</si>
  <si>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</si>
  <si>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</si>
  <si>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</si>
  <si>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</si>
  <si>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</si>
  <si>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</si>
  <si>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</si>
  <si>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</si>
  <si>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</si>
  <si>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</si>
  <si>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</si>
  <si>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</si>
  <si>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</si>
  <si>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</si>
  <si>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</si>
  <si>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</si>
  <si>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</si>
  <si>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</si>
  <si>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</si>
  <si>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營收），淨利與營收取本頁各情境推導區塊（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</si>
  <si>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）只作參考；第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節為分部加總（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）與現價隱含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價值（參考）</t>
    </r>
  </si>
  <si>
    <r>
      <rPr>
        <sz val="11"/>
        <color theme="1"/>
        <rFont val="Noto Sans CJK SC"/>
        <family val="2"/>
      </rPr>
      <t xml:space="preserve">循環位置：味之素不是設備股，不套設備市場見頂年；以本模型營收最高的會計年度為見頂年（比照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</si>
  <si>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</si>
  <si>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</si>
  <si>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</si>
  <si>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</si>
  <si>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</si>
  <si>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</si>
  <si>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</si>
  <si>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欄＝折現年數（基準日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結束，未做季度調整）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</si>
  <si>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</si>
  <si>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</si>
  <si>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</si>
  <si>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</si>
  <si>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</si>
  <si>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</si>
  <si>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</si>
  <si>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味之素資本支出約為折舊的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104.6 vs 88.9</t>
    </r>
    <r>
      <rPr>
        <sz val="11"/>
        <color theme="1"/>
        <rFont val="Noto Sans CJK SC"/>
        <family val="2"/>
      </rPr>
      <t xml:space="preserve">），非資本密集，用工作單通式；下列六列＝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</si>
  <si>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</si>
  <si>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</si>
  <si>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</si>
  <si>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</si>
  <si>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</si>
  <si>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</si>
  <si>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</si>
  <si>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：食品同業）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</si>
  <si>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</si>
  <si>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</si>
  <si>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</si>
  <si>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</si>
  <si>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</si>
  <si>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龜甲萬（</t>
    </r>
    <r>
      <rPr>
        <sz val="11"/>
        <color theme="1"/>
        <rFont val="Calibri"/>
        <family val="2"/>
        <charset val="1"/>
      </rPr>
      <t xml:space="preserve">Kikkoman</t>
    </r>
    <r>
      <rPr>
        <sz val="11"/>
        <color theme="1"/>
        <rFont val="Noto Sans CJK SC"/>
        <family val="2"/>
      </rPr>
      <t xml:space="preserve">）</t>
    </r>
  </si>
  <si>
    <t xml:space="preserve">2801.T</t>
  </si>
  <si>
    <t xml:space="preserve">2026-09-25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</si>
  <si>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</si>
  <si>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日清食品 </t>
    </r>
    <r>
      <rPr>
        <sz val="11"/>
        <color theme="1"/>
        <rFont val="Calibri"/>
        <family val="2"/>
        <charset val="1"/>
      </rPr>
      <t xml:space="preserve">HD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Nissin Foods</t>
    </r>
    <r>
      <rPr>
        <sz val="11"/>
        <color theme="1"/>
        <rFont val="Noto Sans CJK SC"/>
        <family val="2"/>
      </rPr>
      <t xml:space="preserve">）</t>
    </r>
  </si>
  <si>
    <t xml:space="preserve">2897.T</t>
  </si>
  <si>
    <t xml:space="preserve">2026-08-07</t>
  </si>
  <si>
    <r>
      <rPr>
        <sz val="11"/>
        <color theme="1"/>
        <rFont val="Noto Sans CJK SC"/>
        <family val="2"/>
      </rPr>
      <t xml:space="preserve">明治 </t>
    </r>
    <r>
      <rPr>
        <sz val="11"/>
        <color theme="1"/>
        <rFont val="Calibri"/>
        <family val="2"/>
        <charset val="1"/>
      </rPr>
      <t xml:space="preserve">HD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Meiji</t>
    </r>
    <r>
      <rPr>
        <sz val="11"/>
        <color theme="1"/>
        <rFont val="Noto Sans CJK SC"/>
        <family val="2"/>
      </rPr>
      <t xml:space="preserve">）</t>
    </r>
  </si>
  <si>
    <t xml:space="preserve">2269.T</t>
  </si>
  <si>
    <t xml:space="preserve">2026-09-18</t>
  </si>
  <si>
    <r>
      <rPr>
        <sz val="11"/>
        <color theme="1"/>
        <rFont val="Calibri"/>
        <family val="2"/>
        <charset val="1"/>
      </rPr>
      <t xml:space="preserve">Kewpie</t>
    </r>
    <r>
      <rPr>
        <sz val="11"/>
        <color theme="1"/>
        <rFont val="Noto Sans CJK SC"/>
        <family val="2"/>
      </rPr>
      <t xml:space="preserve">（丘比）</t>
    </r>
  </si>
  <si>
    <t xml:space="preserve">2809.T</t>
  </si>
  <si>
    <t xml:space="preserve">2026-08-14</t>
  </si>
  <si>
    <r>
      <rPr>
        <sz val="11"/>
        <color theme="1"/>
        <rFont val="Calibri"/>
        <family val="2"/>
        <charset val="1"/>
      </rPr>
      <t xml:space="preserve">McCormick</t>
    </r>
    <r>
      <rPr>
        <sz val="11"/>
        <color theme="1"/>
        <rFont val="Noto Sans CJK SC"/>
        <family val="2"/>
      </rPr>
      <t xml:space="preserve">（味好美）</t>
    </r>
  </si>
  <si>
    <t xml:space="preserve">MKC</t>
  </si>
  <si>
    <t xml:space="preserve">2026-10-23</t>
  </si>
  <si>
    <r>
      <rPr>
        <sz val="11"/>
        <color theme="1"/>
        <rFont val="Calibri"/>
        <family val="2"/>
        <charset val="1"/>
      </rPr>
      <t xml:space="preserve">Nestlé</t>
    </r>
    <r>
      <rPr>
        <sz val="11"/>
        <color theme="1"/>
        <rFont val="Noto Sans CJK SC"/>
        <family val="2"/>
      </rPr>
      <t xml:space="preserve">（雀巢）</t>
    </r>
  </si>
  <si>
    <t xml:space="preserve">NESN.SW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</si>
  <si>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</si>
  <si>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食品與調味料同業：日本四家（東證食料品）＋全球調味料兩家（不含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股）。理由：東證與 </t>
    </r>
    <r>
      <rPr>
        <sz val="11"/>
        <color theme="1"/>
        <rFont val="Calibri"/>
        <family val="2"/>
        <charset val="1"/>
      </rPr>
      <t xml:space="preserve">GICS </t>
    </r>
    <r>
      <rPr>
        <sz val="11"/>
        <color theme="1"/>
        <rFont val="Noto Sans CJK SC"/>
        <family val="2"/>
      </rPr>
      <t xml:space="preserve">皆歸食品，賣方由食品分析師覆蓋，事業利益約三分之二來自食品本業；電子材料同業與 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見第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節（參考，不進目標價）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</si>
  <si>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</si>
  <si>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EPS ≈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月底結束，依月份調整）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</si>
  <si>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</si>
  <si>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</si>
  <si>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</si>
  <si>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</si>
  <si>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</si>
  <si>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</si>
  <si>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</si>
  <si>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</si>
  <si>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</si>
  <si>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</si>
  <si>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</si>
  <si>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</si>
  <si>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</si>
  <si>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</si>
  <si>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5,051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32.76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</si>
  <si>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</si>
  <si>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</si>
  <si>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</si>
  <si>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</si>
  <si>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</si>
  <si>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）的分位；低於最小記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</si>
  <si>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</si>
  <si>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</si>
  <si>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</si>
  <si>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</si>
  <si>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</si>
  <si>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：龜甲萬、日清食品、明治、</t>
    </r>
    <r>
      <rPr>
        <sz val="11"/>
        <color theme="1"/>
        <rFont val="Calibri"/>
        <family val="2"/>
        <charset val="1"/>
      </rPr>
      <t xml:space="preserve">Kewpie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McCormick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Nestlé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中位數（食品同業，不含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  <r>
      <rPr>
        <sz val="11"/>
        <color theme="1"/>
        <rFont val="Calibri"/>
        <family val="2"/>
        <charset val="1"/>
      </rPr>
      <t xml:space="preserve">× 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FY2028</t>
    </r>
    <r>
      <rPr>
        <sz val="11"/>
        <color theme="1"/>
        <rFont val="Noto Sans CJK SC"/>
        <family val="2"/>
      </rPr>
      <t xml:space="preserve">）。偏誤：食品同業倍數未反映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的獨占與成長（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偏低）；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低於折現率加上收斂法使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只支撐約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倍（偏低）；本業與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風險不同，未分開折現。情境對應：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</si>
  <si>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</si>
  <si>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</si>
  <si>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</si>
  <si>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</si>
  <si>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</si>
  <si>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</si>
  <si>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</si>
  <si>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含土地出售利益；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</si>
  <si>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</si>
  <si>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</si>
  <si>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</si>
  <si>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</si>
  <si>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</si>
  <si>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</si>
  <si>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</si>
  <si>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</si>
  <si>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</si>
  <si>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</si>
  <si>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</si>
  <si>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</si>
  <si>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</si>
  <si>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</si>
  <si>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規則值隱含股價（日圓；約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2028-03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</si>
  <si>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</si>
  <si>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</si>
  <si>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</si>
  <si>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</si>
  <si>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</si>
  <si>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</si>
  <si>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2028-03</t>
    </r>
    <r>
      <rPr>
        <b val="true"/>
        <sz val="11"/>
        <rFont val="Noto Sans CJK SC"/>
        <family val="2"/>
      </rPr>
      <t xml:space="preserve">）價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</si>
  <si>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</si>
  <si>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</si>
  <si>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</si>
  <si>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</si>
  <si>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</si>
  <si>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。所需倍數高於歷史中位數時，現價依賴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成長延續到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以後。歷史倍數為 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淨利口徑（含一次性損益）。本版未做先驗，無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</si>
  <si>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年底；分位排名用 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日曆年底；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會計年度年底〔次年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月底〕只作核對）</t>
    </r>
  </si>
  <si>
    <t xml:space="preserve">年底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</si>
  <si>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）</t>
    </r>
  </si>
  <si>
    <t xml:space="preserve">companiesmarketcap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</si>
  <si>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（次年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月底）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</si>
  <si>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</si>
  <si>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</si>
  <si>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</si>
  <si>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</si>
  <si>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</si>
  <si>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</si>
  <si>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</si>
  <si>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</si>
  <si>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</si>
  <si>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</si>
  <si>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</si>
  <si>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</si>
  <si>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年齊全）；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只有會計年度年底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，只列統計作核對，不採用。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54.9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 </t>
    </r>
    <r>
      <rPr>
        <sz val="11"/>
        <color theme="1"/>
        <rFont val="Noto Sans CJK SC"/>
        <family val="2"/>
      </rPr>
      <t xml:space="preserve">倍來自減損使淨利偏低（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年度冷凍食品等減損），分位統計受影響。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</si>
  <si>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</si>
  <si>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</si>
  <si>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</si>
  <si>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</si>
  <si>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</si>
  <si>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</si>
  <si>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</si>
  <si>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</si>
  <si>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</si>
  <si>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</si>
  <si>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</si>
  <si>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</si>
  <si>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</si>
  <si>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</si>
  <si>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</si>
  <si>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</si>
  <si>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</si>
  <si>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</si>
  <si>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</si>
  <si>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</si>
  <si>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</si>
  <si>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</si>
  <si>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</si>
  <si>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</si>
  <si>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</si>
  <si>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</si>
  <si>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</si>
  <si>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</si>
  <si>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</si>
  <si>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參考：分部加總（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）與現價隱含的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價值（不進目標價；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目標價仍為第 </t>
    </r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節食品同業法）</t>
    </r>
  </si>
  <si>
    <r>
      <rPr>
        <b val="true"/>
        <sz val="11"/>
        <rFont val="Noto Sans CJK SC"/>
        <family val="2"/>
      </rPr>
      <t xml:space="preserve">電子材料同業與前瞻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</si>
  <si>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Resonac</t>
    </r>
    <r>
      <rPr>
        <sz val="11"/>
        <color theme="1"/>
        <rFont val="Noto Sans CJK SC"/>
        <family val="2"/>
      </rPr>
      <t xml:space="preserve">（力森諾科）</t>
    </r>
  </si>
  <si>
    <t xml:space="preserve">4004.T</t>
  </si>
  <si>
    <r>
      <rPr>
        <sz val="11"/>
        <color theme="1"/>
        <rFont val="Noto Sans CJK SC"/>
        <family val="2"/>
      </rPr>
      <t xml:space="preserve">東京應化（</t>
    </r>
    <r>
      <rPr>
        <sz val="11"/>
        <color theme="1"/>
        <rFont val="Calibri"/>
        <family val="2"/>
        <charset val="1"/>
      </rPr>
      <t xml:space="preserve">Tokyo Ohka Kogyo</t>
    </r>
    <r>
      <rPr>
        <sz val="11"/>
        <color theme="1"/>
        <rFont val="Noto Sans CJK SC"/>
        <family val="2"/>
      </rPr>
      <t xml:space="preserve">）</t>
    </r>
  </si>
  <si>
    <t xml:space="preserve">4186.T</t>
  </si>
  <si>
    <t xml:space="preserve">2026-10-19</t>
  </si>
  <si>
    <r>
      <rPr>
        <sz val="11"/>
        <color theme="1"/>
        <rFont val="Noto Sans CJK SC"/>
        <family val="2"/>
      </rPr>
      <t xml:space="preserve">日東紡（</t>
    </r>
    <r>
      <rPr>
        <sz val="11"/>
        <color theme="1"/>
        <rFont val="Calibri"/>
        <family val="2"/>
        <charset val="1"/>
      </rPr>
      <t xml:space="preserve">Nitto Boseki</t>
    </r>
    <r>
      <rPr>
        <sz val="11"/>
        <color theme="1"/>
        <rFont val="Noto Sans CJK SC"/>
        <family val="2"/>
      </rPr>
      <t xml:space="preserve">）</t>
    </r>
  </si>
  <si>
    <t xml:space="preserve">3110.T</t>
  </si>
  <si>
    <r>
      <rPr>
        <sz val="11"/>
        <color theme="1"/>
        <rFont val="Noto Sans CJK SC"/>
        <family val="2"/>
      </rPr>
      <t xml:space="preserve">信越化學（</t>
    </r>
    <r>
      <rPr>
        <sz val="11"/>
        <color theme="1"/>
        <rFont val="Calibri"/>
        <family val="2"/>
        <charset val="1"/>
      </rPr>
      <t xml:space="preserve">Shin-Etsu</t>
    </r>
    <r>
      <rPr>
        <sz val="11"/>
        <color theme="1"/>
        <rFont val="Noto Sans CJK SC"/>
        <family val="2"/>
      </rPr>
      <t xml:space="preserve">）</t>
    </r>
  </si>
  <si>
    <t xml:space="preserve">4063.T</t>
  </si>
  <si>
    <t xml:space="preserve">2026-10-21</t>
  </si>
  <si>
    <t xml:space="preserve">Ibiden</t>
  </si>
  <si>
    <t xml:space="preserve">4062.T</t>
  </si>
  <si>
    <r>
      <rPr>
        <sz val="11"/>
        <color theme="1"/>
        <rFont val="Noto Sans CJK SC"/>
        <family val="2"/>
      </rPr>
      <t xml:space="preserve">電子材料同業前瞻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</si>
  <si>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半導體材料與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載板：</t>
    </r>
    <r>
      <rPr>
        <sz val="11"/>
        <color theme="1"/>
        <rFont val="Calibri"/>
        <family val="2"/>
        <charset val="1"/>
      </rPr>
      <t xml:space="preserve">Resonac</t>
    </r>
    <r>
      <rPr>
        <sz val="11"/>
        <color theme="1"/>
        <rFont val="Noto Sans CJK SC"/>
        <family val="2"/>
      </rPr>
      <t xml:space="preserve">、東京應化、日東紡（</t>
    </r>
    <r>
      <rPr>
        <sz val="11"/>
        <color theme="1"/>
        <rFont val="Calibri"/>
        <family val="2"/>
        <charset val="1"/>
      </rPr>
      <t xml:space="preserve">T-glass</t>
    </r>
    <r>
      <rPr>
        <sz val="11"/>
        <color theme="1"/>
        <rFont val="Noto Sans CJK SC"/>
        <family val="2"/>
      </rPr>
      <t xml:space="preserve">）、信越化學、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的比較組另含欣興、南電，屬台股載板）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</si>
  <si>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等）部分（情境加權）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</si>
  <si>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每股貢獻（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FY2028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</si>
  <si>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以外（食品等）部分（情境加權）</t>
    </r>
  </si>
  <si>
    <r>
      <rPr>
        <sz val="11"/>
        <color theme="1"/>
        <rFont val="Calibri"/>
        <family val="2"/>
        <charset val="1"/>
      </rPr>
      <t xml:space="preserve">EPS − FM </t>
    </r>
    <r>
      <rPr>
        <sz val="11"/>
        <color theme="1"/>
        <rFont val="Noto Sans CJK SC"/>
        <family val="2"/>
      </rPr>
      <t xml:space="preserve">每股貢獻；全社共通費全部歸本業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</si>
  <si>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價值 ＝ 本業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食品同業中位數 ＋ </t>
    </r>
    <r>
      <rPr>
        <sz val="11"/>
        <color theme="1"/>
        <rFont val="Calibri"/>
        <family val="2"/>
        <charset val="1"/>
      </rPr>
      <t xml:space="preserve">FM × </t>
    </r>
    <r>
      <rPr>
        <sz val="11"/>
        <color theme="1"/>
        <rFont val="Noto Sans CJK SC"/>
        <family val="2"/>
      </rPr>
      <t xml:space="preserve">電子材料同業中位數</t>
    </r>
  </si>
  <si>
    <t xml:space="preserve">參考，不進目標價</t>
  </si>
  <si>
    <r>
      <rPr>
        <sz val="11"/>
        <color theme="1"/>
        <rFont val="Calibri"/>
        <family val="2"/>
        <charset val="1"/>
      </rPr>
      <t xml:space="preserve">  SOTP </t>
    </r>
    <r>
      <rPr>
        <sz val="11"/>
        <color theme="1"/>
        <rFont val="Noto Sans CJK SC"/>
        <family val="2"/>
      </rPr>
      <t xml:space="preserve">相對現價</t>
    </r>
  </si>
  <si>
    <r>
      <rPr>
        <sz val="11"/>
        <color theme="1"/>
        <rFont val="Noto Sans CJK SC"/>
        <family val="2"/>
      </rPr>
      <t xml:space="preserve">現在的未來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</si>
  <si>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現在的未來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</si>
  <si>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本業價值（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食品同業中位數）</t>
    </r>
  </si>
  <si>
    <r>
      <rPr>
        <sz val="11"/>
        <color theme="1"/>
        <rFont val="Noto Sans CJK SC"/>
        <family val="2"/>
      </rPr>
      <t xml:space="preserve">現價隱含的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）每股價值 ＝ 現價 − 本業價值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</si>
  <si>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占現價比例</t>
    </r>
  </si>
  <si>
    <r>
      <rPr>
        <sz val="11"/>
        <color theme="1"/>
        <rFont val="Noto Sans CJK SC"/>
        <family val="2"/>
      </rPr>
      <t xml:space="preserve">  現價隱含的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FM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</si>
  <si>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對照：電子材料同業中位數（上方）、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</si>
  <si>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公司預測、共識與上游載板模型。只作事後對照，不為對上數字而調參數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</si>
  <si>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</si>
  <si>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</si>
  <si>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</si>
  <si>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</si>
  <si>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</si>
  <si>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</si>
  <si>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</si>
  <si>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</si>
  <si>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</si>
  <si>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</si>
  <si>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</si>
  <si>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錨點＝公司預測 </t>
    </r>
    <r>
      <rPr>
        <sz val="11"/>
        <color theme="1"/>
        <rFont val="Calibri"/>
        <family val="2"/>
        <charset val="1"/>
      </rPr>
      <t xml:space="preserve">1,732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</si>
  <si>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</si>
  <si>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</si>
  <si>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錨點＝公司預測 </t>
    </r>
    <r>
      <rPr>
        <sz val="11"/>
        <color theme="1"/>
        <rFont val="Calibri"/>
        <family val="2"/>
        <charset val="1"/>
      </rPr>
      <t xml:space="preserve">129.84</t>
    </r>
    <r>
      <rPr>
        <sz val="11"/>
        <color theme="1"/>
        <rFont val="Noto Sans CJK SC"/>
        <family val="2"/>
      </rPr>
      <t xml:space="preserve">；共識高於公司預測（公司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預測保守）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</si>
  <si>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</si>
  <si>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</si>
  <si>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</si>
  <si>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Stockopedia </t>
    </r>
    <r>
      <rPr>
        <sz val="11"/>
        <color theme="1"/>
        <rFont val="Noto Sans CJK SC"/>
        <family val="2"/>
      </rPr>
      <t xml:space="preserve">年增率推導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</si>
  <si>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</si>
  <si>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</si>
  <si>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</si>
  <si>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公司預測與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說法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</si>
  <si>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1Q </t>
    </r>
    <r>
      <rPr>
        <sz val="11"/>
        <color theme="1"/>
        <rFont val="Noto Sans CJK SC"/>
        <family val="2"/>
      </rPr>
      <t xml:space="preserve">年化（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</si>
  <si>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決算概要</t>
    </r>
  </si>
  <si>
    <r>
      <rPr>
        <sz val="11"/>
        <color theme="1"/>
        <rFont val="Noto Sans CJK SC"/>
        <family val="2"/>
      </rPr>
      <t xml:space="preserve">公司全年預測低於 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年化：下半年放緩或保守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</si>
  <si>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vs 1Q </t>
    </r>
    <r>
      <rPr>
        <sz val="11"/>
        <color theme="1"/>
        <rFont val="Noto Sans CJK SC"/>
        <family val="2"/>
      </rPr>
      <t xml:space="preserve">年化</t>
    </r>
  </si>
  <si>
    <r>
      <rPr>
        <sz val="11"/>
        <color theme="1"/>
        <rFont val="Calibri"/>
        <family val="2"/>
        <charset val="1"/>
      </rPr>
      <t xml:space="preserve">FY2027 FM </t>
    </r>
    <r>
      <rPr>
        <sz val="11"/>
        <color theme="1"/>
        <rFont val="Noto Sans CJK SC"/>
        <family val="2"/>
      </rPr>
      <t xml:space="preserve">事業利益率 </t>
    </r>
    <r>
      <rPr>
        <sz val="11"/>
        <color theme="1"/>
        <rFont val="Calibri"/>
        <family val="2"/>
        <charset val="1"/>
      </rPr>
      <t xml:space="preserve">vs Palliser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</si>
  <si>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Palliser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</si>
  <si>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FY2025E 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FY2027E 66%</t>
    </r>
    <r>
      <rPr>
        <sz val="11"/>
        <color theme="1"/>
        <rFont val="Noto Sans CJK SC"/>
        <family val="2"/>
      </rPr>
      <t xml:space="preserve">；共識（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引用）</t>
    </r>
    <r>
      <rPr>
        <sz val="11"/>
        <color theme="1"/>
        <rFont val="Calibri"/>
        <family val="2"/>
        <charset val="1"/>
      </rPr>
      <t xml:space="preserve">62%</t>
    </r>
  </si>
  <si>
    <r>
      <rPr>
        <sz val="11"/>
        <color theme="1"/>
        <rFont val="Calibri"/>
        <family val="2"/>
        <charset val="1"/>
      </rPr>
      <t xml:space="preserve">FY2027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（兩年成長）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</si>
  <si>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：未來兩年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以上（約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</si>
  <si>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FY2024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</si>
  <si>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 FY2024 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</si>
  <si>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Noto Sans CJK SC"/>
        <family val="2"/>
      </rPr>
      <t xml:space="preserve">公司說法：年增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× 5 </t>
    </r>
    <r>
      <rPr>
        <sz val="11"/>
        <color theme="1"/>
        <rFont val="Noto Sans CJK SC"/>
        <family val="2"/>
      </rPr>
      <t xml:space="preserve">年 ≈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</si>
  <si>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上游載板模型（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；唯讀）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</si>
  <si>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載板金額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</si>
  <si>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約占載板物料成本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</si>
  <si>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</si>
  <si>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營收年增 − 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載板營收年增</t>
    </r>
  </si>
  <si>
    <t xml:space="preserve">ibiden/dist Units</t>
  </si>
  <si>
    <t xml:space="preserve">負值＝味之素出貨受產能上限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</si>
  <si>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</si>
  <si>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事業利益率（錨點）</t>
    </r>
  </si>
  <si>
    <r>
      <rPr>
        <sz val="11"/>
        <color theme="1"/>
        <rFont val="Noto Sans CJK SC"/>
        <family val="2"/>
      </rPr>
      <t xml:space="preserve">公司預測 </t>
    </r>
    <r>
      <rPr>
        <sz val="11"/>
        <color theme="1"/>
        <rFont val="Calibri"/>
        <family val="2"/>
        <charset val="1"/>
      </rPr>
      <t xml:space="preserve">65.5 ÷ 120.6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</si>
  <si>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切分）</t>
    </r>
  </si>
  <si>
    <t xml:space="preserve">ai_sh 40%</t>
  </si>
  <si>
    <t xml:space="preserve">公司未揭露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</si>
  <si>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每顆有效加速器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</si>
  <si>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營收、事業利益率與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</si>
  <si>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</si>
  <si>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</si>
  <si>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</si>
  <si>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事業利益率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</si>
  <si>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</si>
  <si>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</si>
  <si>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事業利益率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</si>
  <si>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</si>
  <si>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</si>
  <si>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</si>
  <si>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</si>
  <si>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</si>
  <si>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</si>
  <si>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</si>
  <si>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</si>
  <si>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</si>
  <si>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模型低值</t>
    </r>
  </si>
  <si>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</si>
  <si>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</si>
  <si>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0.6</t>
    </r>
  </si>
  <si>
    <t xml:space="preserve">欣興模型低值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</si>
  <si>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1.0</t>
    </r>
  </si>
  <si>
    <t xml:space="preserve">欣興模型高值</t>
  </si>
  <si>
    <t xml:space="preserve">產能上限 低</t>
  </si>
  <si>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／五年的速度）</t>
    </r>
  </si>
  <si>
    <t xml:space="preserve">產能上限 高</t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</si>
  <si>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2.25</t>
    </r>
    <r>
      <rPr>
        <sz val="11"/>
        <color theme="1"/>
        <rFont val="Noto Sans CJK SC"/>
        <family val="2"/>
      </rPr>
      <t xml:space="preserve">（不設限）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</si>
  <si>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低</t>
    </r>
  </si>
  <si>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</si>
  <si>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高</t>
    </r>
  </si>
  <si>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</si>
  <si>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t xml:space="preserve">份額流失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</si>
  <si>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</si>
  <si>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單位成本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</si>
  <si>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c_g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</si>
  <si>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−2%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</si>
  <si>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</si>
  <si>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調味料・食品利益率 </t>
    </r>
    <r>
      <rPr>
        <sz val="11"/>
        <color theme="1"/>
        <rFont val="Calibri"/>
        <family val="2"/>
        <charset val="1"/>
      </rPr>
      <t xml:space="preserve">13.5%</t>
    </r>
  </si>
  <si>
    <r>
      <rPr>
        <sz val="11"/>
        <color theme="1"/>
        <rFont val="Calibri"/>
        <family val="2"/>
        <charset val="1"/>
      </rPr>
      <t xml:space="preserve">m_sf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</si>
  <si>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調味料・食品利益率 </t>
    </r>
    <r>
      <rPr>
        <sz val="11"/>
        <color theme="1"/>
        <rFont val="Calibri"/>
        <family val="2"/>
        <charset val="1"/>
      </rPr>
      <t xml:space="preserve">15.5%</t>
    </r>
  </si>
  <si>
    <r>
      <rPr>
        <sz val="11"/>
        <color theme="1"/>
        <rFont val="Calibri"/>
        <family val="2"/>
        <charset val="1"/>
      </rPr>
      <t xml:space="preserve">m_sf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</si>
  <si>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Noto Sans CJK SC"/>
        <family val="2"/>
      </rPr>
      <t xml:space="preserve">調味料・食品成長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</si>
  <si>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g_sf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</si>
  <si>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冷凍食品利益率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</si>
  <si>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m_ff </t>
    </r>
    <r>
      <rPr>
        <sz val="11"/>
        <color theme="1"/>
        <rFont val="Noto Sans CJK SC"/>
        <family val="2"/>
      </rPr>
      <t xml:space="preserve">高值（重整成功）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</si>
  <si>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0.58</t>
    </r>
  </si>
  <si>
    <r>
      <rPr>
        <sz val="11"/>
        <color theme="1"/>
        <rFont val="Calibri"/>
        <family val="2"/>
        <charset val="1"/>
      </rPr>
      <t xml:space="preserve">ni_bp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</si>
  <si>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</si>
  <si>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ni_bp </t>
    </r>
    <r>
      <rPr>
        <sz val="11"/>
        <color theme="1"/>
        <rFont val="Noto Sans CJK SC"/>
        <family val="2"/>
      </rPr>
      <t xml:space="preserve">高值（合併稅務利益）</t>
    </r>
  </si>
  <si>
    <r>
      <rPr>
        <sz val="11"/>
        <color theme="1"/>
        <rFont val="Noto Sans CJK SC"/>
        <family val="2"/>
      </rPr>
      <t xml:space="preserve">買回 多（−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</si>
  <si>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股數年變動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</si>
  <si>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</si>
  <si>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×0.95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</si>
  <si>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</si>
  <si>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×0.88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</si>
  <si>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起需求量高於可出貨量上限，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占比、面積層數與顆數假設的變動大多被產能上限吸收；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價格與產能上限最敏感，其次是調味料・食品利益率（本業事業利益約三分之二）。情境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</si>
  <si>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</si>
  <si>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</si>
  <si>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</si>
  <si>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</si>
  <si>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</si>
  <si>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</si>
  <si>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</si>
  <si>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</si>
  <si>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</si>
  <si>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</si>
  <si>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</si>
  <si>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</si>
  <si>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</si>
  <si>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</si>
  <si>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</si>
  <si>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</si>
  <si>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</si>
  <si>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</si>
  <si>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案例區塊：面積層數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</si>
  <si>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案例區塊：面積層數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</si>
  <si>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面積係數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</si>
  <si>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面積係數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</si>
  <si>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案例區塊：產能上限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</si>
  <si>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案例區塊：產能上限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</si>
  <si>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</si>
  <si>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</si>
  <si>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</si>
  <si>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案例區塊：單位成本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</si>
  <si>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−2%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</si>
  <si>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案例區塊：調味料・食品利益率 </t>
    </r>
    <r>
      <rPr>
        <b val="true"/>
        <sz val="11"/>
        <rFont val="Cambria"/>
        <family val="0"/>
        <charset val="1"/>
      </rPr>
      <t xml:space="preserve">13.5%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</si>
  <si>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案例區塊：調味料・食品利益率 </t>
    </r>
    <r>
      <rPr>
        <b val="true"/>
        <sz val="11"/>
        <rFont val="Cambria"/>
        <family val="0"/>
        <charset val="1"/>
      </rPr>
      <t xml:space="preserve">15.5%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</si>
  <si>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案例區塊：調味料・食品成長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</si>
  <si>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案例區塊：冷凍食品利益率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</si>
  <si>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事業利益 </t>
    </r>
    <r>
      <rPr>
        <b val="true"/>
        <sz val="11"/>
        <rFont val="Cambria"/>
        <family val="0"/>
        <charset val="1"/>
      </rPr>
      <t xml:space="preserve">0.58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</si>
  <si>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事業利益 </t>
    </r>
    <r>
      <rPr>
        <b val="true"/>
        <sz val="11"/>
        <rFont val="Cambria"/>
        <family val="0"/>
        <charset val="1"/>
      </rPr>
      <t xml:space="preserve">0.66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</si>
  <si>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多（−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</si>
  <si>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來源（公司原文為決算短信、決算概要、</t>
    </r>
    <r>
      <rPr>
        <b val="true"/>
        <sz val="11"/>
        <rFont val="Cambria"/>
        <family val="0"/>
        <charset val="1"/>
      </rPr>
      <t xml:space="preserve">IR </t>
    </r>
    <r>
      <rPr>
        <b val="true"/>
        <sz val="11"/>
        <rFont val="Noto Sans CJK SC"/>
        <family val="2"/>
      </rPr>
      <t xml:space="preserve">簡報；公司預測為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；股東行動派、券商、媒體與資料商皆為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</si>
  <si>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期初預測、折舊、資本支出、股數；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</t>
    </r>
  </si>
  <si>
    <t xml:space="preserve">https://www.ajinomoto.com/cms_wp_ajnmt_global/wp-content/uploads/pdf/2026_05_07_03E.pdf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</si>
  <si>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實績、上修後全年預測、</t>
    </r>
    <r>
      <rPr>
        <sz val="11"/>
        <color theme="1"/>
        <rFont val="Calibri"/>
        <family val="2"/>
        <charset val="1"/>
      </rPr>
      <t xml:space="preserve">EPS 129.84</t>
    </r>
    <r>
      <rPr>
        <sz val="11"/>
        <color theme="1"/>
        <rFont val="Noto Sans CJK SC"/>
        <family val="2"/>
      </rPr>
      <t xml:space="preserve">、股數；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</si>
  <si>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https://news.ajinomoto.co.jp/2026/08/2026_08_06_03.pdf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</si>
  <si>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決算概要（分部門與子部門：ファンクショナルマテリアルズ </t>
    </r>
    <r>
      <rPr>
        <sz val="11"/>
        <color theme="1"/>
        <rFont val="Calibri"/>
        <family val="2"/>
        <charset val="1"/>
      </rPr>
      <t xml:space="preserve">1Q 33.1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19.1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65.5</t>
    </r>
    <r>
      <rPr>
        <sz val="11"/>
        <color theme="1"/>
        <rFont val="Noto Sans CJK SC"/>
        <family val="2"/>
      </rPr>
      <t xml:space="preserve">；匯率前提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）</t>
    </r>
  </si>
  <si>
    <t xml:space="preserve">https://www.ajinomoto.co.jp/company/jp/ir/event/presentation/main/011111114/teaserItems1/00/linkList/01/link/FY25Q4_Results_J.pdf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</si>
  <si>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簡報（味之素ファインテクノ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98.383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53.012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2027-04 </t>
    </r>
    <r>
      <rPr>
        <sz val="11"/>
        <color theme="1"/>
        <rFont val="Noto Sans CJK SC"/>
        <family val="2"/>
      </rPr>
      <t xml:space="preserve">吸收合併；中東影響 −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十億）</t>
    </r>
  </si>
  <si>
    <t xml:space="preserve">https://www.ajinomoto.co.jp/company/jp/ir/event/presentation/main/011111114/teaserItems1/00/linkList/03/link/FY25Q3_Presentation_J.pdf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</si>
  <si>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分部門回顧（</t>
    </r>
    <r>
      <rPr>
        <sz val="11"/>
        <color theme="1"/>
        <rFont val="Calibri"/>
        <family val="2"/>
        <charset val="1"/>
      </rPr>
      <t xml:space="preserve">Functional Materials </t>
    </r>
    <r>
      <rPr>
        <sz val="11"/>
        <color theme="1"/>
        <rFont val="Noto Sans CJK SC"/>
        <family val="2"/>
      </rPr>
      <t xml:space="preserve">占ヘルスケア等營收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</si>
  <si>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https://www.ajinomoto.com/sustainability/pdf/2026/ASV_Report_2026_A4_en_014-015.pdf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</si>
  <si>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Noto Sans CJK SC"/>
        <family val="2"/>
      </rPr>
      <t xml:space="preserve">億、電子材料營收 </t>
    </r>
    <r>
      <rPr>
        <sz val="11"/>
        <color theme="1"/>
        <rFont val="Calibri"/>
        <family val="2"/>
        <charset val="1"/>
      </rPr>
      <t xml:space="preserve">1,007 </t>
    </r>
    <r>
      <rPr>
        <sz val="11"/>
        <color theme="1"/>
        <rFont val="Noto Sans CJK SC"/>
        <family val="2"/>
      </rPr>
      <t xml:space="preserve">億、市占逾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、岐阜新廠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</si>
  <si>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https://www.trendforce.com/news/2026/05/08/news-ajinomoto-ramps-chip-packaging-push-with-%C2%A51-2b-land-buy-for-new-plant-in-2032-abf-margins-top-50-on-ai-boom/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</si>
  <si>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以上）</t>
    </r>
  </si>
  <si>
    <t xml:space="preserve">https://www.trendforce.com/news/2025/04/01/news-japanese-firm-ajinomoto-to-invest-jpy-25-billion-by-2030-to-expand-abf-production/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</si>
  <si>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、積水化學約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、供需缺口、股價 </t>
    </r>
    <r>
      <rPr>
        <sz val="11"/>
        <color theme="1"/>
        <rFont val="Calibri"/>
        <family val="2"/>
        <charset val="1"/>
      </rPr>
      <t xml:space="preserve">5,196</t>
    </r>
    <r>
      <rPr>
        <sz val="11"/>
        <color theme="1"/>
        <rFont val="Noto Sans CJK SC"/>
        <family val="2"/>
      </rPr>
      <t xml:space="preserve">）</t>
    </r>
  </si>
  <si>
    <t xml:space="preserve">https://pro.edgex.exchange/en-US/news/article/ajinomoto-ai-chip-film-price-hike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</si>
  <si>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BigGo Finance 2026-02-06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預測上修，電子材料帶動）</t>
    </r>
  </si>
  <si>
    <t xml:space="preserve">https://finance.biggo.com/news/rYUmMZwBy4YEFZDUYyRK</t>
  </si>
  <si>
    <r>
      <rPr>
        <sz val="11"/>
        <color theme="1"/>
        <rFont val="Noto Sans CJK SC"/>
        <family val="2"/>
      </rPr>
      <t xml:space="preserve">股東行動派：</t>
    </r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歷年營收與利益、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占比、漲價建議、同業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</si>
  <si>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https://mms.businesswire.com/media/20260331071448/ja/2761329/1/JPN_Palliser_-_Ajinomoto_Value_Enhancement_Plan_March_2026_-_vSent.pdf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</si>
  <si>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BUY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× FY26F </t>
    </r>
    <r>
      <rPr>
        <sz val="11"/>
        <color theme="1"/>
        <rFont val="Noto Sans CJK SC"/>
        <family val="2"/>
      </rPr>
      <t xml:space="preserve">正常化 </t>
    </r>
    <r>
      <rPr>
        <sz val="11"/>
        <color theme="1"/>
        <rFont val="Calibri"/>
        <family val="2"/>
        <charset val="1"/>
      </rPr>
      <t xml:space="preserve">EPS 155</t>
    </r>
    <r>
      <rPr>
        <sz val="11"/>
        <color theme="1"/>
        <rFont val="Noto Sans CJK SC"/>
        <family val="2"/>
      </rPr>
      <t xml:space="preserve">）</t>
    </r>
  </si>
  <si>
    <t xml:space="preserve">https://www.dbs.com.sg/treasures/aics/templatedata/article/generic/data/en/GR/Japan/2802_JP.xml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</si>
  <si>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2026-06-23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）</t>
    </r>
  </si>
  <si>
    <t xml:space="preserve">https://cdnfinance.technews.tw/2026/06/23/abf-drives-strong-performance-brokers-raise-target-prices-ajinomoto-consecutive-record-highs/</t>
  </si>
  <si>
    <r>
      <rPr>
        <sz val="11"/>
        <color theme="1"/>
        <rFont val="Noto Sans CJK SC"/>
        <family val="2"/>
      </rPr>
      <t xml:space="preserve">股價：松井證券（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</si>
  <si>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https://finance.matsui.co.jp/stock/2802/index</t>
  </si>
  <si>
    <r>
      <rPr>
        <sz val="11"/>
        <color theme="1"/>
        <rFont val="Noto Sans CJK SC"/>
        <family val="2"/>
      </rPr>
      <t xml:space="preserve">股價：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PER </t>
    </r>
    <r>
      <rPr>
        <sz val="11"/>
        <color theme="1"/>
        <rFont val="Noto Sans CJK SC"/>
        <family val="2"/>
      </rPr>
      <t xml:space="preserve">會社予想 </t>
    </r>
    <r>
      <rPr>
        <sz val="11"/>
        <color theme="1"/>
        <rFont val="Calibri"/>
        <family val="2"/>
        <charset val="1"/>
      </rPr>
      <t xml:space="preserve">39.08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</si>
  <si>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https://finance.yahoo.co.jp/quote/2802.T</t>
  </si>
  <si>
    <r>
      <rPr>
        <sz val="11"/>
        <color theme="1"/>
        <rFont val="Noto Sans CJK SC"/>
        <family val="2"/>
      </rPr>
      <t xml:space="preserve">股價：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</si>
  <si>
    <t xml:space="preserve">https://stockanalysis.com/quote/tyo/2802/history/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</si>
  <si>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統計（前瞻 </t>
    </r>
    <r>
      <rPr>
        <sz val="11"/>
        <color theme="1"/>
        <rFont val="Calibri"/>
        <family val="2"/>
        <charset val="1"/>
      </rPr>
      <t xml:space="preserve">P/E 32.76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</si>
  <si>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https://stockanalysis.com/quote/tyo/2802/statistics/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</si>
  <si>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預估（目標價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共識營收、淨利）</t>
    </r>
  </si>
  <si>
    <t xml:space="preserve">https://stockanalysis.com/quote/tyo/2802/forecast/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</si>
  <si>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</si>
  <si>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https://stockanalysis.com/quote/tyo/2802/financials/ratios/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</si>
  <si>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損益（五年淨利率）</t>
    </r>
  </si>
  <si>
    <t xml:space="preserve">https://stockanalysis.com/quote/tyo/2802/financials/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</si>
  <si>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</si>
  <si>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https://www.simplywall.st/stocks/jp/food-beverage-tobacco/tse-2802/ajinomoto-shares/valuation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</si>
  <si>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年增率、滾動預估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</si>
  <si>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https://www.stockopedia.com/share-prices/ajinomoto-co-TYO:2802/</t>
  </si>
  <si>
    <r>
      <rPr>
        <sz val="11"/>
        <color theme="1"/>
        <rFont val="Noto Sans CJK SC"/>
        <family val="2"/>
      </rPr>
      <t xml:space="preserve">資料商：株予報（目標價 </t>
    </r>
    <r>
      <rPr>
        <sz val="11"/>
        <color theme="1"/>
        <rFont val="Calibri"/>
        <family val="2"/>
        <charset val="1"/>
      </rPr>
      <t xml:space="preserve">5,906</t>
    </r>
    <r>
      <rPr>
        <sz val="11"/>
        <color theme="1"/>
        <rFont val="Noto Sans CJK SC"/>
        <family val="2"/>
      </rPr>
      <t xml:space="preserve">、共識經常利益）</t>
    </r>
  </si>
  <si>
    <t xml:space="preserve">https://kabuyoho.jp/report?bcode=2802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</si>
  <si>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</si>
  <si>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https://companiesmarketcap.com/ajinomoto/pe-ratio/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</si>
  <si>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（食品：</t>
    </r>
    <r>
      <rPr>
        <sz val="11"/>
        <color theme="1"/>
        <rFont val="Calibri"/>
        <family val="2"/>
        <charset val="1"/>
      </rPr>
      <t xml:space="preserve">2801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NESN</t>
    </r>
    <r>
      <rPr>
        <sz val="11"/>
        <color theme="1"/>
        <rFont val="Noto Sans CJK SC"/>
        <family val="2"/>
      </rPr>
      <t xml:space="preserve">；電子材料：</t>
    </r>
    <r>
      <rPr>
        <sz val="11"/>
        <color theme="1"/>
        <rFont val="Calibri"/>
        <family val="2"/>
        <charset val="1"/>
      </rPr>
      <t xml:space="preserve">4004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</si>
  <si>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https://stockanalysis.com/quote/tyo/2801/statistics/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https://stockanalysis.com/quote/tyo/2897/statistics/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https://stockanalysis.com/quote/tyo/2269/statistics/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https://stockanalysis.com/quote/tyo/2809/statistics/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https://stockanalysis.com/quote/stocks/mkc/statistics/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https://stockanalysis.com/quote/swx/NESN/statistics/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https://stockanalysis.com/quote/tyo/4004/statistics/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https://stockanalysis.com/quote/tyo/4186/statistics/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https://stockanalysis.com/quote/tyo/3110/statistics/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https://stockanalysis.com/quote/tyo/4063/statistics/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https://stockanalysis.com/quote/tyo/4062/statistics/</t>
    </r>
  </si>
  <si>
    <r>
      <rPr>
        <sz val="11"/>
        <color theme="1"/>
        <rFont val="Noto Sans CJK SC"/>
        <family val="2"/>
      </rPr>
      <t xml:space="preserve">市場層與公司模型：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</si>
  <si>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</si>
  <si>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88.914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104.550</t>
    </r>
    <r>
      <rPr>
        <sz val="11"/>
        <color theme="1"/>
        <rFont val="Noto Sans CJK SC"/>
        <family val="2"/>
      </rPr>
      <t xml:space="preserve">（有形 </t>
    </r>
    <r>
      <rPr>
        <sz val="11"/>
        <color theme="1"/>
        <rFont val="Calibri"/>
        <family val="2"/>
        <charset val="1"/>
      </rPr>
      <t xml:space="preserve">96.446</t>
    </r>
    <r>
      <rPr>
        <sz val="11"/>
        <color theme="1"/>
        <rFont val="Noto Sans CJK SC"/>
        <family val="2"/>
      </rPr>
      <t xml:space="preserve">＋無形 </t>
    </r>
    <r>
      <rPr>
        <sz val="11"/>
        <color theme="1"/>
        <rFont val="Calibri"/>
        <family val="2"/>
        <charset val="1"/>
      </rPr>
      <t xml:space="preserve">8.104</t>
    </r>
    <r>
      <rPr>
        <sz val="11"/>
        <color theme="1"/>
        <rFont val="Noto Sans CJK SC"/>
        <family val="2"/>
      </rPr>
      <t xml:space="preserve">）、營收 </t>
    </r>
    <r>
      <rPr>
        <sz val="11"/>
        <color theme="1"/>
        <rFont val="Calibri"/>
        <family val="2"/>
        <charset val="1"/>
      </rPr>
      <t xml:space="preserve">1,583.719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；決算短信）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</si>
  <si>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</si>
  <si>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</si>
  <si>
    <r>
      <rPr>
        <sz val="11"/>
        <color theme="1"/>
        <rFont val="Noto Sans CJK SC"/>
        <family val="2"/>
      </rPr>
      <t xml:space="preserve">待補（人工）：上半年決算（約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上旬，日期未找到）；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占比（公司未揭露）；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產能數字；共識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；十年淨利率；積水化學與中國廠認證進度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</si>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</sst>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"/>
    <numFmt numFmtId="168" formatCode="0.0%"/>
    <numFmt numFmtId="169" formatCode="0.00"/>
    <numFmt numFmtId="170" formatCode="0.0000"/>
    <numFmt numFmtId="171" formatCode="#,##0.00"/>
    <numFmt numFmtId="172" formatCode="0.000"/>
    <numFmt numFmtId="173" formatCode="#,##0"/>
    <numFmt numFmtId="174" formatCode="#,##0.000"/>
    <numFmt numFmtId="175" formatCode="0"/>
    <numFmt numFmtId="176" formatCode="0.0"/>
    <numFmt numFmtId="177" formatCode="0%"/>
    <numFmt numFmtId="178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8</v>
      </c>
    </row>
    <row r="11" customFormat="false" ht="17.15" hidden="false" customHeight="false" outlineLevel="0" collapsed="false">
      <c r="A11" s="3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7.15" hidden="false" customHeight="false" outlineLevel="0" collapsed="false">
      <c r="A15" s="2" t="s">
        <v>13</v>
      </c>
    </row>
    <row r="16" customFormat="false" ht="17.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4" t="s">
        <v>17</v>
      </c>
    </row>
    <row r="3" customFormat="false" ht="17.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customFormat="false" ht="17.15" hidden="false" customHeight="false" outlineLevel="0" collapsed="false">
      <c r="A4" s="6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4" t="s">
        <v>30</v>
      </c>
      <c r="E5" s="7" t="n">
        <v>7.6</v>
      </c>
      <c r="G5" s="8" t="s">
        <v>31</v>
      </c>
      <c r="H5" s="8" t="s">
        <v>32</v>
      </c>
      <c r="I5" s="4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4" t="s">
        <v>30</v>
      </c>
      <c r="E6" s="7" t="n">
        <v>9.7</v>
      </c>
      <c r="G6" s="8" t="s">
        <v>31</v>
      </c>
      <c r="H6" s="4" t="s">
        <v>36</v>
      </c>
      <c r="I6" s="4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4" t="s">
        <v>30</v>
      </c>
      <c r="E7" s="7" t="n">
        <v>9.5</v>
      </c>
      <c r="G7" s="8" t="s">
        <v>31</v>
      </c>
      <c r="H7" s="4" t="s">
        <v>36</v>
      </c>
      <c r="I7" s="4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4" t="s">
        <v>30</v>
      </c>
      <c r="E8" s="7" t="n">
        <v>10.6</v>
      </c>
      <c r="G8" s="8" t="s">
        <v>31</v>
      </c>
      <c r="H8" s="4" t="s">
        <v>36</v>
      </c>
      <c r="I8" s="4" t="s">
        <v>36</v>
      </c>
    </row>
    <row r="9" customFormat="false" ht="17.15" hidden="false" customHeight="false" outlineLevel="0" collapsed="false">
      <c r="A9" s="0" t="s">
        <v>41</v>
      </c>
      <c r="B9" s="4" t="s">
        <v>42</v>
      </c>
      <c r="C9" s="4" t="s">
        <v>30</v>
      </c>
      <c r="E9" s="7" t="n">
        <v>7.6</v>
      </c>
      <c r="G9" s="8" t="s">
        <v>31</v>
      </c>
      <c r="H9" s="8" t="s">
        <v>32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4" t="s">
        <v>30</v>
      </c>
      <c r="E10" s="7" t="n">
        <v>14</v>
      </c>
      <c r="G10" s="8" t="s">
        <v>31</v>
      </c>
      <c r="H10" s="4" t="s">
        <v>36</v>
      </c>
      <c r="I10" s="4" t="s">
        <v>36</v>
      </c>
    </row>
    <row r="11" customFormat="false" ht="17.15" hidden="false" customHeight="false" outlineLevel="0" collapsed="false">
      <c r="A11" s="0" t="s">
        <v>46</v>
      </c>
      <c r="B11" s="4" t="s">
        <v>47</v>
      </c>
      <c r="C11" s="4" t="s">
        <v>30</v>
      </c>
      <c r="E11" s="7" t="n">
        <v>17</v>
      </c>
      <c r="G11" s="8" t="s">
        <v>31</v>
      </c>
      <c r="H11" s="4" t="s">
        <v>36</v>
      </c>
      <c r="I11" s="4" t="s">
        <v>36</v>
      </c>
    </row>
    <row r="12" customFormat="false" ht="17.15" hidden="false" customHeight="false" outlineLevel="0" collapsed="false">
      <c r="A12" s="0" t="s">
        <v>48</v>
      </c>
      <c r="B12" s="4" t="s">
        <v>49</v>
      </c>
      <c r="C12" s="4" t="s">
        <v>30</v>
      </c>
      <c r="E12" s="7" t="n">
        <v>19.55</v>
      </c>
      <c r="G12" s="8" t="s">
        <v>31</v>
      </c>
      <c r="H12" s="4" t="s">
        <v>36</v>
      </c>
      <c r="I12" s="4" t="s">
        <v>36</v>
      </c>
    </row>
    <row r="13" customFormat="false" ht="17.15" hidden="false" customHeight="false" outlineLevel="0" collapsed="false">
      <c r="A13" s="0" t="s">
        <v>50</v>
      </c>
      <c r="B13" s="4" t="s">
        <v>51</v>
      </c>
      <c r="C13" s="0" t="s">
        <v>52</v>
      </c>
      <c r="E13" s="7" t="n">
        <v>1</v>
      </c>
      <c r="G13" s="8" t="s">
        <v>53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4" t="s">
        <v>57</v>
      </c>
      <c r="C14" s="0" t="s">
        <v>52</v>
      </c>
      <c r="E14" s="7" t="n">
        <v>1</v>
      </c>
      <c r="G14" s="8" t="s">
        <v>53</v>
      </c>
      <c r="H14" s="8" t="s">
        <v>58</v>
      </c>
      <c r="I14" s="4" t="s">
        <v>36</v>
      </c>
    </row>
    <row r="15" customFormat="false" ht="17.15" hidden="false" customHeight="false" outlineLevel="0" collapsed="false">
      <c r="A15" s="0" t="s">
        <v>59</v>
      </c>
      <c r="B15" s="4" t="s">
        <v>60</v>
      </c>
      <c r="C15" s="0" t="s">
        <v>52</v>
      </c>
      <c r="E15" s="7" t="n">
        <v>0.8</v>
      </c>
      <c r="G15" s="8" t="s">
        <v>53</v>
      </c>
      <c r="H15" s="8" t="s">
        <v>61</v>
      </c>
      <c r="I15" s="8" t="s">
        <v>55</v>
      </c>
    </row>
    <row r="16" customFormat="false" ht="17.15" hidden="false" customHeight="false" outlineLevel="0" collapsed="false">
      <c r="A16" s="0" t="s">
        <v>62</v>
      </c>
      <c r="B16" s="4" t="s">
        <v>63</v>
      </c>
      <c r="C16" s="0" t="s">
        <v>52</v>
      </c>
      <c r="E16" s="7" t="n">
        <v>0.85</v>
      </c>
      <c r="G16" s="8" t="s">
        <v>53</v>
      </c>
      <c r="H16" s="8" t="s">
        <v>64</v>
      </c>
      <c r="I16" s="4" t="s">
        <v>36</v>
      </c>
    </row>
    <row r="17" customFormat="false" ht="17.15" hidden="false" customHeight="false" outlineLevel="0" collapsed="false">
      <c r="A17" s="0" t="s">
        <v>65</v>
      </c>
      <c r="B17" s="4" t="s">
        <v>66</v>
      </c>
      <c r="C17" s="0" t="s">
        <v>52</v>
      </c>
      <c r="E17" s="7" t="n">
        <v>0.6</v>
      </c>
      <c r="G17" s="8" t="s">
        <v>53</v>
      </c>
      <c r="H17" s="8" t="s">
        <v>67</v>
      </c>
      <c r="I17" s="8" t="s">
        <v>55</v>
      </c>
    </row>
    <row r="18" customFormat="false" ht="17.15" hidden="false" customHeight="false" outlineLevel="0" collapsed="false">
      <c r="A18" s="0" t="s">
        <v>68</v>
      </c>
      <c r="B18" s="4" t="s">
        <v>69</v>
      </c>
      <c r="C18" s="0" t="s">
        <v>52</v>
      </c>
      <c r="E18" s="7" t="n">
        <v>0.6</v>
      </c>
      <c r="G18" s="8" t="s">
        <v>53</v>
      </c>
      <c r="H18" s="8" t="s">
        <v>70</v>
      </c>
      <c r="I18" s="4" t="s">
        <v>36</v>
      </c>
    </row>
    <row r="19" customFormat="false" ht="17.15" hidden="false" customHeight="false" outlineLevel="0" collapsed="false">
      <c r="A19" s="0" t="s">
        <v>71</v>
      </c>
      <c r="B19" s="4" t="s">
        <v>72</v>
      </c>
      <c r="C19" s="0" t="s">
        <v>52</v>
      </c>
      <c r="D19" s="7" t="n">
        <v>0.6</v>
      </c>
      <c r="E19" s="7" t="n">
        <v>0.8</v>
      </c>
      <c r="F19" s="7" t="n">
        <v>1</v>
      </c>
      <c r="G19" s="8" t="s">
        <v>53</v>
      </c>
      <c r="H19" s="8" t="s">
        <v>73</v>
      </c>
      <c r="I19" s="8" t="s">
        <v>74</v>
      </c>
    </row>
    <row r="20" customFormat="false" ht="17.15" hidden="false" customHeight="false" outlineLevel="0" collapsed="false">
      <c r="A20" s="0" t="s">
        <v>75</v>
      </c>
      <c r="B20" s="4" t="s">
        <v>76</v>
      </c>
      <c r="C20" s="0" t="s">
        <v>77</v>
      </c>
      <c r="D20" s="7" t="n">
        <v>0.1</v>
      </c>
      <c r="E20" s="7" t="n">
        <v>0.18</v>
      </c>
      <c r="F20" s="7" t="n">
        <v>0.22</v>
      </c>
      <c r="G20" s="8" t="s">
        <v>78</v>
      </c>
      <c r="H20" s="8" t="s">
        <v>79</v>
      </c>
      <c r="I20" s="8" t="s">
        <v>80</v>
      </c>
    </row>
    <row r="21" customFormat="false" ht="17.15" hidden="false" customHeight="false" outlineLevel="0" collapsed="false">
      <c r="A21" s="6" t="s">
        <v>81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0" t="s">
        <v>77</v>
      </c>
      <c r="D22" s="7" t="n">
        <v>0.3</v>
      </c>
      <c r="E22" s="7" t="n">
        <v>0.4</v>
      </c>
      <c r="F22" s="7" t="n">
        <v>0.5</v>
      </c>
      <c r="G22" s="8" t="s">
        <v>53</v>
      </c>
      <c r="H22" s="8" t="s">
        <v>84</v>
      </c>
      <c r="I22" s="4" t="s">
        <v>85</v>
      </c>
    </row>
    <row r="23" customFormat="false" ht="17.15" hidden="false" customHeight="false" outlineLevel="0" collapsed="false">
      <c r="A23" s="0" t="s">
        <v>86</v>
      </c>
      <c r="B23" s="4" t="s">
        <v>87</v>
      </c>
      <c r="C23" s="0" t="s">
        <v>77</v>
      </c>
      <c r="D23" s="7" t="n">
        <v>-0.02</v>
      </c>
      <c r="E23" s="7" t="n">
        <v>0.03</v>
      </c>
      <c r="F23" s="7" t="n">
        <v>0.06</v>
      </c>
      <c r="G23" s="8" t="s">
        <v>53</v>
      </c>
      <c r="H23" s="8" t="s">
        <v>88</v>
      </c>
      <c r="I23" s="4" t="s">
        <v>89</v>
      </c>
    </row>
    <row r="24" customFormat="false" ht="17.15" hidden="false" customHeight="false" outlineLevel="0" collapsed="false">
      <c r="A24" s="0" t="s">
        <v>90</v>
      </c>
      <c r="B24" s="4" t="s">
        <v>91</v>
      </c>
      <c r="C24" s="0" t="s">
        <v>52</v>
      </c>
      <c r="D24" s="7" t="n">
        <v>0.95</v>
      </c>
      <c r="E24" s="7" t="n">
        <v>1</v>
      </c>
      <c r="F24" s="7" t="n">
        <v>1</v>
      </c>
      <c r="G24" s="8" t="s">
        <v>53</v>
      </c>
      <c r="H24" s="8" t="s">
        <v>92</v>
      </c>
      <c r="I24" s="8" t="s">
        <v>93</v>
      </c>
    </row>
    <row r="25" customFormat="false" ht="17.15" hidden="false" customHeight="false" outlineLevel="0" collapsed="false">
      <c r="A25" s="0" t="s">
        <v>94</v>
      </c>
      <c r="B25" s="4" t="s">
        <v>95</v>
      </c>
      <c r="C25" s="0" t="s">
        <v>52</v>
      </c>
      <c r="D25" s="7" t="n">
        <v>0.88</v>
      </c>
      <c r="E25" s="7" t="n">
        <v>0.97</v>
      </c>
      <c r="F25" s="7" t="n">
        <v>1</v>
      </c>
      <c r="G25" s="8" t="s">
        <v>53</v>
      </c>
      <c r="H25" s="4" t="s">
        <v>96</v>
      </c>
      <c r="I25" s="4" t="s">
        <v>97</v>
      </c>
    </row>
    <row r="26" customFormat="false" ht="17.15" hidden="false" customHeight="false" outlineLevel="0" collapsed="false">
      <c r="A26" s="0" t="s">
        <v>98</v>
      </c>
      <c r="B26" s="4" t="s">
        <v>99</v>
      </c>
      <c r="C26" s="0" t="s">
        <v>52</v>
      </c>
      <c r="D26" s="7" t="n">
        <v>0.8</v>
      </c>
      <c r="E26" s="7" t="n">
        <v>0.95</v>
      </c>
      <c r="F26" s="7" t="n">
        <v>1</v>
      </c>
      <c r="G26" s="8" t="s">
        <v>53</v>
      </c>
      <c r="H26" s="4" t="s">
        <v>96</v>
      </c>
      <c r="I26" s="4" t="s">
        <v>97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0" t="s">
        <v>52</v>
      </c>
      <c r="D27" s="7" t="n">
        <v>1.15</v>
      </c>
      <c r="E27" s="7" t="n">
        <v>1.3</v>
      </c>
      <c r="F27" s="7" t="n">
        <v>1.45</v>
      </c>
      <c r="G27" s="8" t="s">
        <v>53</v>
      </c>
      <c r="H27" s="8" t="s">
        <v>102</v>
      </c>
      <c r="I27" s="4" t="s">
        <v>103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52</v>
      </c>
      <c r="D28" s="7" t="n">
        <v>1.3</v>
      </c>
      <c r="E28" s="7" t="n">
        <v>1.55</v>
      </c>
      <c r="F28" s="7" t="n">
        <v>1.85</v>
      </c>
      <c r="G28" s="8" t="s">
        <v>53</v>
      </c>
      <c r="H28" s="4" t="s">
        <v>36</v>
      </c>
      <c r="I28" s="8" t="s">
        <v>106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0" t="s">
        <v>52</v>
      </c>
      <c r="D29" s="7" t="n">
        <v>1.45</v>
      </c>
      <c r="E29" s="7" t="n">
        <v>1.8</v>
      </c>
      <c r="F29" s="7" t="n">
        <v>2.25</v>
      </c>
      <c r="G29" s="8" t="s">
        <v>53</v>
      </c>
      <c r="H29" s="4" t="s">
        <v>36</v>
      </c>
      <c r="I29" s="8" t="s">
        <v>106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0" t="s">
        <v>52</v>
      </c>
      <c r="D30" s="7" t="n">
        <v>1</v>
      </c>
      <c r="E30" s="7" t="n">
        <v>1.12</v>
      </c>
      <c r="F30" s="7" t="n">
        <v>1.2</v>
      </c>
      <c r="G30" s="8" t="s">
        <v>53</v>
      </c>
      <c r="H30" s="8" t="s">
        <v>111</v>
      </c>
      <c r="I30" s="8" t="s">
        <v>112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0" t="s">
        <v>52</v>
      </c>
      <c r="D31" s="7" t="n">
        <v>0.95</v>
      </c>
      <c r="E31" s="7" t="n">
        <v>1.15</v>
      </c>
      <c r="F31" s="7" t="n">
        <v>1.3</v>
      </c>
      <c r="G31" s="8" t="s">
        <v>53</v>
      </c>
      <c r="H31" s="4" t="s">
        <v>115</v>
      </c>
      <c r="I31" s="8" t="s">
        <v>116</v>
      </c>
    </row>
    <row r="32" customFormat="false" ht="17.15" hidden="false" customHeight="false" outlineLevel="0" collapsed="false">
      <c r="A32" s="0" t="s">
        <v>117</v>
      </c>
      <c r="B32" s="0" t="s">
        <v>118</v>
      </c>
      <c r="C32" s="0" t="s">
        <v>52</v>
      </c>
      <c r="D32" s="7" t="n">
        <v>0.9</v>
      </c>
      <c r="E32" s="7" t="n">
        <v>1.12</v>
      </c>
      <c r="F32" s="7" t="n">
        <v>1.3</v>
      </c>
      <c r="G32" s="8" t="s">
        <v>53</v>
      </c>
      <c r="H32" s="4" t="s">
        <v>119</v>
      </c>
      <c r="I32" s="8" t="s">
        <v>120</v>
      </c>
    </row>
    <row r="33" customFormat="false" ht="17.15" hidden="false" customHeight="false" outlineLevel="0" collapsed="false">
      <c r="A33" s="0" t="s">
        <v>121</v>
      </c>
      <c r="B33" s="4" t="s">
        <v>122</v>
      </c>
      <c r="C33" s="0" t="s">
        <v>52</v>
      </c>
      <c r="E33" s="7" t="n">
        <v>1</v>
      </c>
      <c r="G33" s="8" t="s">
        <v>53</v>
      </c>
      <c r="H33" s="4" t="s">
        <v>123</v>
      </c>
      <c r="I33" s="8" t="s">
        <v>106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52</v>
      </c>
      <c r="E34" s="7" t="n">
        <v>0.95</v>
      </c>
      <c r="G34" s="8" t="s">
        <v>53</v>
      </c>
      <c r="H34" s="4" t="s">
        <v>123</v>
      </c>
      <c r="I34" s="8" t="s">
        <v>106</v>
      </c>
    </row>
    <row r="35" customFormat="false" ht="17.15" hidden="false" customHeight="false" outlineLevel="0" collapsed="false">
      <c r="A35" s="0" t="s">
        <v>126</v>
      </c>
      <c r="B35" s="4" t="s">
        <v>127</v>
      </c>
      <c r="C35" s="0" t="s">
        <v>52</v>
      </c>
      <c r="E35" s="7" t="n">
        <v>0.88</v>
      </c>
      <c r="G35" s="8" t="s">
        <v>53</v>
      </c>
      <c r="H35" s="4" t="s">
        <v>123</v>
      </c>
      <c r="I35" s="8" t="s">
        <v>106</v>
      </c>
    </row>
    <row r="36" customFormat="false" ht="17.15" hidden="false" customHeight="false" outlineLevel="0" collapsed="false">
      <c r="A36" s="0" t="s">
        <v>128</v>
      </c>
      <c r="B36" s="0" t="s">
        <v>129</v>
      </c>
      <c r="C36" s="0" t="s">
        <v>77</v>
      </c>
      <c r="D36" s="7" t="n">
        <v>0</v>
      </c>
      <c r="E36" s="7" t="n">
        <v>0.03</v>
      </c>
      <c r="F36" s="7" t="n">
        <v>0.06</v>
      </c>
      <c r="G36" s="8" t="s">
        <v>53</v>
      </c>
      <c r="H36" s="8" t="s">
        <v>130</v>
      </c>
      <c r="I36" s="4" t="s">
        <v>131</v>
      </c>
    </row>
    <row r="37" customFormat="false" ht="17.15" hidden="false" customHeight="false" outlineLevel="0" collapsed="false">
      <c r="A37" s="6" t="s">
        <v>132</v>
      </c>
    </row>
    <row r="38" customFormat="false" ht="17.15" hidden="false" customHeight="false" outlineLevel="0" collapsed="false">
      <c r="A38" s="0" t="s">
        <v>133</v>
      </c>
      <c r="B38" s="4" t="s">
        <v>134</v>
      </c>
      <c r="C38" s="0" t="s">
        <v>77</v>
      </c>
      <c r="D38" s="7" t="n">
        <v>0.02</v>
      </c>
      <c r="E38" s="7" t="n">
        <v>0.04</v>
      </c>
      <c r="F38" s="7" t="n">
        <v>0.06</v>
      </c>
      <c r="G38" s="8" t="s">
        <v>53</v>
      </c>
      <c r="H38" s="4" t="s">
        <v>135</v>
      </c>
      <c r="I38" s="8" t="s">
        <v>106</v>
      </c>
    </row>
    <row r="39" customFormat="false" ht="17.15" hidden="false" customHeight="false" outlineLevel="0" collapsed="false">
      <c r="A39" s="0" t="s">
        <v>136</v>
      </c>
      <c r="B39" s="4" t="s">
        <v>137</v>
      </c>
      <c r="C39" s="0" t="s">
        <v>77</v>
      </c>
      <c r="D39" s="7" t="n">
        <v>0.135</v>
      </c>
      <c r="E39" s="8" t="n">
        <f aca="false">f_sfbp/f_sf</f>
        <v>0.146104546364911</v>
      </c>
      <c r="F39" s="7" t="n">
        <v>0.155</v>
      </c>
      <c r="G39" s="8" t="s">
        <v>31</v>
      </c>
      <c r="H39" s="8" t="s">
        <v>138</v>
      </c>
      <c r="I39" s="8" t="s">
        <v>139</v>
      </c>
    </row>
    <row r="40" customFormat="false" ht="17.15" hidden="false" customHeight="false" outlineLevel="0" collapsed="false">
      <c r="A40" s="0" t="s">
        <v>140</v>
      </c>
      <c r="B40" s="4" t="s">
        <v>141</v>
      </c>
      <c r="C40" s="0" t="s">
        <v>77</v>
      </c>
      <c r="D40" s="7" t="n">
        <v>0</v>
      </c>
      <c r="E40" s="7" t="n">
        <v>0.03</v>
      </c>
      <c r="F40" s="7" t="n">
        <v>0.05</v>
      </c>
      <c r="G40" s="8" t="s">
        <v>53</v>
      </c>
      <c r="H40" s="8" t="s">
        <v>142</v>
      </c>
      <c r="I40" s="8" t="s">
        <v>106</v>
      </c>
    </row>
    <row r="41" customFormat="false" ht="17.15" hidden="false" customHeight="false" outlineLevel="0" collapsed="false">
      <c r="A41" s="0" t="s">
        <v>143</v>
      </c>
      <c r="B41" s="4" t="s">
        <v>144</v>
      </c>
      <c r="C41" s="0" t="s">
        <v>77</v>
      </c>
      <c r="D41" s="7" t="n">
        <v>0.03</v>
      </c>
      <c r="E41" s="7" t="n">
        <v>0.045</v>
      </c>
      <c r="F41" s="7" t="n">
        <v>0.06</v>
      </c>
      <c r="G41" s="8" t="s">
        <v>53</v>
      </c>
      <c r="H41" s="8" t="s">
        <v>145</v>
      </c>
      <c r="I41" s="8" t="s">
        <v>146</v>
      </c>
    </row>
    <row r="42" customFormat="false" ht="17.15" hidden="false" customHeight="false" outlineLevel="0" collapsed="false">
      <c r="A42" s="0" t="s">
        <v>147</v>
      </c>
      <c r="B42" s="4" t="s">
        <v>148</v>
      </c>
      <c r="C42" s="0" t="s">
        <v>77</v>
      </c>
      <c r="D42" s="7" t="n">
        <v>0.02</v>
      </c>
      <c r="E42" s="7" t="n">
        <v>0.05</v>
      </c>
      <c r="F42" s="7" t="n">
        <v>0.08</v>
      </c>
      <c r="G42" s="8" t="s">
        <v>53</v>
      </c>
      <c r="H42" s="8" t="s">
        <v>149</v>
      </c>
      <c r="I42" s="8" t="s">
        <v>106</v>
      </c>
    </row>
    <row r="43" customFormat="false" ht="17.15" hidden="false" customHeight="false" outlineLevel="0" collapsed="false">
      <c r="A43" s="0" t="s">
        <v>150</v>
      </c>
      <c r="B43" s="4" t="s">
        <v>151</v>
      </c>
      <c r="C43" s="0" t="s">
        <v>77</v>
      </c>
      <c r="D43" s="7" t="n">
        <v>0.05</v>
      </c>
      <c r="E43" s="8" t="n">
        <f aca="false">(f_hobp-f_fmbp)/(f_ho-f_fm)</f>
        <v>0.0681341719077568</v>
      </c>
      <c r="F43" s="7" t="n">
        <v>0.09</v>
      </c>
      <c r="G43" s="8" t="s">
        <v>31</v>
      </c>
      <c r="H43" s="8" t="s">
        <v>152</v>
      </c>
      <c r="I43" s="8" t="s">
        <v>153</v>
      </c>
    </row>
    <row r="44" customFormat="false" ht="17.15" hidden="false" customHeight="false" outlineLevel="0" collapsed="false">
      <c r="A44" s="0" t="s">
        <v>154</v>
      </c>
      <c r="B44" s="4" t="s">
        <v>155</v>
      </c>
      <c r="C44" s="0" t="s">
        <v>77</v>
      </c>
      <c r="D44" s="7" t="n">
        <v>0.02</v>
      </c>
      <c r="E44" s="7" t="n">
        <v>0.03</v>
      </c>
      <c r="F44" s="7" t="n">
        <v>0.05</v>
      </c>
      <c r="G44" s="8" t="s">
        <v>53</v>
      </c>
      <c r="H44" s="8" t="s">
        <v>156</v>
      </c>
      <c r="I44" s="8" t="s">
        <v>106</v>
      </c>
    </row>
    <row r="45" customFormat="false" ht="17.15" hidden="false" customHeight="false" outlineLevel="0" collapsed="false">
      <c r="A45" s="6" t="s">
        <v>157</v>
      </c>
    </row>
    <row r="46" customFormat="false" ht="17.15" hidden="false" customHeight="false" outlineLevel="0" collapsed="false">
      <c r="A46" s="0" t="s">
        <v>158</v>
      </c>
      <c r="B46" s="4" t="s">
        <v>159</v>
      </c>
      <c r="C46" s="0" t="s">
        <v>52</v>
      </c>
      <c r="D46" s="7" t="n">
        <v>0.58</v>
      </c>
      <c r="E46" s="7" t="n">
        <v>0.62</v>
      </c>
      <c r="F46" s="7" t="n">
        <v>0.66</v>
      </c>
      <c r="G46" s="8" t="s">
        <v>31</v>
      </c>
      <c r="H46" s="8" t="s">
        <v>160</v>
      </c>
      <c r="I46" s="8" t="s">
        <v>161</v>
      </c>
    </row>
    <row r="47" customFormat="false" ht="17.15" hidden="false" customHeight="false" outlineLevel="0" collapsed="false">
      <c r="A47" s="0" t="s">
        <v>162</v>
      </c>
      <c r="B47" s="4" t="s">
        <v>163</v>
      </c>
      <c r="C47" s="0" t="s">
        <v>77</v>
      </c>
      <c r="D47" s="7" t="n">
        <v>-0.03</v>
      </c>
      <c r="E47" s="7" t="n">
        <v>-0.015</v>
      </c>
      <c r="F47" s="7" t="n">
        <v>0</v>
      </c>
      <c r="G47" s="8" t="s">
        <v>53</v>
      </c>
      <c r="H47" s="4" t="s">
        <v>164</v>
      </c>
      <c r="I47" s="4" t="s">
        <v>165</v>
      </c>
    </row>
    <row r="48" customFormat="false" ht="17.15" hidden="false" customHeight="false" outlineLevel="0" collapsed="false">
      <c r="A48" s="6" t="s">
        <v>166</v>
      </c>
    </row>
    <row r="49" customFormat="false" ht="17.15" hidden="false" customHeight="false" outlineLevel="0" collapsed="false">
      <c r="A49" s="0" t="s">
        <v>167</v>
      </c>
      <c r="B49" s="0" t="s">
        <v>168</v>
      </c>
      <c r="C49" s="0" t="s">
        <v>169</v>
      </c>
      <c r="E49" s="7" t="n">
        <v>1732</v>
      </c>
      <c r="G49" s="8" t="s">
        <v>170</v>
      </c>
      <c r="H49" s="4" t="s">
        <v>171</v>
      </c>
      <c r="I49" s="4" t="s">
        <v>172</v>
      </c>
    </row>
    <row r="50" customFormat="false" ht="17.15" hidden="false" customHeight="false" outlineLevel="0" collapsed="false">
      <c r="A50" s="0" t="s">
        <v>173</v>
      </c>
      <c r="B50" s="0" t="s">
        <v>174</v>
      </c>
      <c r="C50" s="0" t="s">
        <v>169</v>
      </c>
      <c r="E50" s="7" t="n">
        <v>998.6</v>
      </c>
      <c r="G50" s="8" t="s">
        <v>170</v>
      </c>
      <c r="H50" s="4" t="s">
        <v>171</v>
      </c>
      <c r="I50" s="8" t="s">
        <v>106</v>
      </c>
    </row>
    <row r="51" customFormat="false" ht="17.15" hidden="false" customHeight="false" outlineLevel="0" collapsed="false">
      <c r="A51" s="0" t="s">
        <v>175</v>
      </c>
      <c r="B51" s="0" t="s">
        <v>176</v>
      </c>
      <c r="C51" s="0" t="s">
        <v>169</v>
      </c>
      <c r="E51" s="7" t="n">
        <v>310.6</v>
      </c>
      <c r="G51" s="8" t="s">
        <v>170</v>
      </c>
      <c r="H51" s="4" t="s">
        <v>171</v>
      </c>
      <c r="I51" s="8" t="s">
        <v>106</v>
      </c>
    </row>
    <row r="52" customFormat="false" ht="17.15" hidden="false" customHeight="false" outlineLevel="0" collapsed="false">
      <c r="A52" s="0" t="s">
        <v>177</v>
      </c>
      <c r="B52" s="0" t="s">
        <v>178</v>
      </c>
      <c r="C52" s="0" t="s">
        <v>169</v>
      </c>
      <c r="E52" s="7" t="n">
        <v>406.8</v>
      </c>
      <c r="G52" s="8" t="s">
        <v>170</v>
      </c>
      <c r="H52" s="4" t="s">
        <v>171</v>
      </c>
      <c r="I52" s="8" t="s">
        <v>106</v>
      </c>
    </row>
    <row r="53" customFormat="false" ht="17.15" hidden="false" customHeight="false" outlineLevel="0" collapsed="false">
      <c r="A53" s="0" t="s">
        <v>179</v>
      </c>
      <c r="B53" s="0" t="s">
        <v>180</v>
      </c>
      <c r="C53" s="0" t="s">
        <v>169</v>
      </c>
      <c r="E53" s="7" t="n">
        <v>15.8</v>
      </c>
      <c r="G53" s="8" t="s">
        <v>170</v>
      </c>
      <c r="H53" s="4" t="s">
        <v>171</v>
      </c>
      <c r="I53" s="8" t="s">
        <v>106</v>
      </c>
    </row>
    <row r="54" customFormat="false" ht="17.15" hidden="false" customHeight="false" outlineLevel="0" collapsed="false">
      <c r="A54" s="0" t="s">
        <v>181</v>
      </c>
      <c r="B54" s="0" t="s">
        <v>182</v>
      </c>
      <c r="C54" s="0" t="s">
        <v>169</v>
      </c>
      <c r="E54" s="7" t="n">
        <v>120.6</v>
      </c>
      <c r="G54" s="8" t="s">
        <v>170</v>
      </c>
      <c r="H54" s="4" t="s">
        <v>171</v>
      </c>
      <c r="I54" s="4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169</v>
      </c>
      <c r="E55" s="7" t="n">
        <v>202</v>
      </c>
      <c r="G55" s="8" t="s">
        <v>170</v>
      </c>
      <c r="H55" s="4" t="s">
        <v>171</v>
      </c>
      <c r="I55" s="4" t="s">
        <v>186</v>
      </c>
    </row>
    <row r="56" customFormat="false" ht="17.15" hidden="false" customHeight="false" outlineLevel="0" collapsed="false">
      <c r="A56" s="0" t="s">
        <v>187</v>
      </c>
      <c r="B56" s="0" t="s">
        <v>188</v>
      </c>
      <c r="C56" s="0" t="s">
        <v>169</v>
      </c>
      <c r="E56" s="7" t="n">
        <v>145.9</v>
      </c>
      <c r="G56" s="8" t="s">
        <v>170</v>
      </c>
      <c r="H56" s="4" t="s">
        <v>171</v>
      </c>
      <c r="I56" s="8" t="s">
        <v>106</v>
      </c>
    </row>
    <row r="57" customFormat="false" ht="17.15" hidden="false" customHeight="false" outlineLevel="0" collapsed="false">
      <c r="A57" s="0" t="s">
        <v>189</v>
      </c>
      <c r="B57" s="0" t="s">
        <v>190</v>
      </c>
      <c r="C57" s="0" t="s">
        <v>169</v>
      </c>
      <c r="E57" s="7" t="n">
        <v>12.1</v>
      </c>
      <c r="G57" s="8" t="s">
        <v>170</v>
      </c>
      <c r="H57" s="4" t="s">
        <v>171</v>
      </c>
      <c r="I57" s="8" t="s">
        <v>106</v>
      </c>
    </row>
    <row r="58" customFormat="false" ht="17.15" hidden="false" customHeight="false" outlineLevel="0" collapsed="false">
      <c r="A58" s="0" t="s">
        <v>191</v>
      </c>
      <c r="B58" s="0" t="s">
        <v>192</v>
      </c>
      <c r="C58" s="0" t="s">
        <v>169</v>
      </c>
      <c r="E58" s="7" t="n">
        <v>85</v>
      </c>
      <c r="G58" s="8" t="s">
        <v>170</v>
      </c>
      <c r="H58" s="4" t="s">
        <v>171</v>
      </c>
      <c r="I58" s="8" t="s">
        <v>106</v>
      </c>
    </row>
    <row r="59" customFormat="false" ht="17.15" hidden="false" customHeight="false" outlineLevel="0" collapsed="false">
      <c r="A59" s="0" t="s">
        <v>193</v>
      </c>
      <c r="B59" s="0" t="s">
        <v>194</v>
      </c>
      <c r="C59" s="0" t="s">
        <v>169</v>
      </c>
      <c r="E59" s="7" t="n">
        <v>5.1</v>
      </c>
      <c r="G59" s="8" t="s">
        <v>170</v>
      </c>
      <c r="H59" s="4" t="s">
        <v>171</v>
      </c>
      <c r="I59" s="8" t="s">
        <v>106</v>
      </c>
    </row>
    <row r="60" customFormat="false" ht="17.15" hidden="false" customHeight="false" outlineLevel="0" collapsed="false">
      <c r="A60" s="0" t="s">
        <v>195</v>
      </c>
      <c r="B60" s="0" t="s">
        <v>196</v>
      </c>
      <c r="C60" s="0" t="s">
        <v>169</v>
      </c>
      <c r="E60" s="7" t="n">
        <v>-46.2</v>
      </c>
      <c r="G60" s="8" t="s">
        <v>170</v>
      </c>
      <c r="H60" s="4" t="s">
        <v>171</v>
      </c>
      <c r="I60" s="8" t="s">
        <v>106</v>
      </c>
    </row>
    <row r="61" customFormat="false" ht="17.15" hidden="false" customHeight="false" outlineLevel="0" collapsed="false">
      <c r="A61" s="0" t="s">
        <v>197</v>
      </c>
      <c r="B61" s="0" t="s">
        <v>198</v>
      </c>
      <c r="C61" s="0" t="s">
        <v>169</v>
      </c>
      <c r="E61" s="7" t="n">
        <v>65.5</v>
      </c>
      <c r="G61" s="8" t="s">
        <v>170</v>
      </c>
      <c r="H61" s="4" t="s">
        <v>171</v>
      </c>
      <c r="I61" s="4" t="s">
        <v>199</v>
      </c>
    </row>
    <row r="62" customFormat="false" ht="17.15" hidden="false" customHeight="false" outlineLevel="0" collapsed="false">
      <c r="A62" s="0" t="s">
        <v>200</v>
      </c>
      <c r="B62" s="0" t="s">
        <v>201</v>
      </c>
      <c r="C62" s="0" t="s">
        <v>169</v>
      </c>
      <c r="E62" s="7" t="n">
        <v>184.2</v>
      </c>
      <c r="G62" s="8" t="s">
        <v>170</v>
      </c>
      <c r="H62" s="4" t="s">
        <v>171</v>
      </c>
      <c r="I62" s="8" t="s">
        <v>106</v>
      </c>
    </row>
    <row r="63" customFormat="false" ht="17.15" hidden="false" customHeight="false" outlineLevel="0" collapsed="false">
      <c r="A63" s="0" t="s">
        <v>202</v>
      </c>
      <c r="B63" s="0" t="s">
        <v>203</v>
      </c>
      <c r="C63" s="0" t="s">
        <v>169</v>
      </c>
      <c r="E63" s="7" t="n">
        <v>123.5</v>
      </c>
      <c r="G63" s="8" t="s">
        <v>170</v>
      </c>
      <c r="H63" s="4" t="s">
        <v>171</v>
      </c>
      <c r="I63" s="4" t="s">
        <v>204</v>
      </c>
    </row>
    <row r="64" customFormat="false" ht="17.15" hidden="false" customHeight="false" outlineLevel="0" collapsed="false">
      <c r="A64" s="0" t="s">
        <v>205</v>
      </c>
      <c r="B64" s="0" t="s">
        <v>206</v>
      </c>
      <c r="C64" s="0" t="s">
        <v>207</v>
      </c>
      <c r="E64" s="7" t="n">
        <v>129.84</v>
      </c>
      <c r="G64" s="8" t="s">
        <v>170</v>
      </c>
      <c r="H64" s="4" t="s">
        <v>208</v>
      </c>
      <c r="I64" s="4" t="s">
        <v>209</v>
      </c>
    </row>
    <row r="65" customFormat="false" ht="17.15" hidden="false" customHeight="false" outlineLevel="0" collapsed="false">
      <c r="A65" s="0" t="s">
        <v>210</v>
      </c>
      <c r="B65" s="0" t="s">
        <v>211</v>
      </c>
      <c r="C65" s="0" t="s">
        <v>169</v>
      </c>
      <c r="E65" s="7" t="n">
        <v>412.105</v>
      </c>
      <c r="G65" s="8" t="s">
        <v>212</v>
      </c>
      <c r="H65" s="4" t="s">
        <v>208</v>
      </c>
      <c r="I65" s="4" t="s">
        <v>213</v>
      </c>
    </row>
    <row r="66" customFormat="false" ht="17.15" hidden="false" customHeight="false" outlineLevel="0" collapsed="false">
      <c r="A66" s="0" t="s">
        <v>214</v>
      </c>
      <c r="B66" s="0" t="s">
        <v>215</v>
      </c>
      <c r="C66" s="0" t="s">
        <v>169</v>
      </c>
      <c r="E66" s="7" t="n">
        <v>60.116</v>
      </c>
      <c r="G66" s="8" t="s">
        <v>212</v>
      </c>
      <c r="H66" s="4" t="s">
        <v>208</v>
      </c>
      <c r="I66" s="8" t="s">
        <v>106</v>
      </c>
    </row>
    <row r="67" customFormat="false" ht="17.15" hidden="false" customHeight="false" outlineLevel="0" collapsed="false">
      <c r="A67" s="0" t="s">
        <v>216</v>
      </c>
      <c r="B67" s="0" t="s">
        <v>217</v>
      </c>
      <c r="C67" s="0" t="s">
        <v>169</v>
      </c>
      <c r="E67" s="7" t="n">
        <v>33.1</v>
      </c>
      <c r="G67" s="8" t="s">
        <v>212</v>
      </c>
      <c r="H67" s="4" t="s">
        <v>171</v>
      </c>
      <c r="I67" s="4" t="s">
        <v>218</v>
      </c>
    </row>
    <row r="68" customFormat="false" ht="17.15" hidden="false" customHeight="false" outlineLevel="0" collapsed="false">
      <c r="A68" s="0" t="s">
        <v>219</v>
      </c>
      <c r="B68" s="0" t="s">
        <v>220</v>
      </c>
      <c r="C68" s="0" t="s">
        <v>169</v>
      </c>
      <c r="E68" s="7" t="n">
        <v>19.1</v>
      </c>
      <c r="G68" s="8" t="s">
        <v>212</v>
      </c>
      <c r="H68" s="4" t="s">
        <v>171</v>
      </c>
      <c r="I68" s="8" t="s">
        <v>106</v>
      </c>
    </row>
    <row r="69" customFormat="false" ht="17.15" hidden="false" customHeight="false" outlineLevel="0" collapsed="false">
      <c r="A69" s="0" t="s">
        <v>221</v>
      </c>
      <c r="B69" s="0" t="s">
        <v>222</v>
      </c>
      <c r="C69" s="0" t="s">
        <v>169</v>
      </c>
      <c r="E69" s="7" t="n">
        <v>36.452</v>
      </c>
      <c r="G69" s="8" t="s">
        <v>212</v>
      </c>
      <c r="H69" s="4" t="s">
        <v>208</v>
      </c>
      <c r="I69" s="8" t="s">
        <v>106</v>
      </c>
    </row>
    <row r="70" customFormat="false" ht="17.15" hidden="false" customHeight="false" outlineLevel="0" collapsed="false">
      <c r="A70" s="0" t="s">
        <v>223</v>
      </c>
      <c r="B70" s="0" t="s">
        <v>224</v>
      </c>
      <c r="C70" s="0" t="s">
        <v>207</v>
      </c>
      <c r="E70" s="7" t="n">
        <v>38.11</v>
      </c>
      <c r="G70" s="8" t="s">
        <v>212</v>
      </c>
      <c r="H70" s="4" t="s">
        <v>208</v>
      </c>
      <c r="I70" s="8" t="s">
        <v>106</v>
      </c>
    </row>
    <row r="71" customFormat="false" ht="17.15" hidden="false" customHeight="false" outlineLevel="0" collapsed="false">
      <c r="A71" s="6" t="s">
        <v>225</v>
      </c>
    </row>
    <row r="72" customFormat="false" ht="17.15" hidden="false" customHeight="false" outlineLevel="0" collapsed="false">
      <c r="A72" s="0" t="s">
        <v>226</v>
      </c>
      <c r="B72" s="0" t="s">
        <v>227</v>
      </c>
      <c r="C72" s="0" t="s">
        <v>169</v>
      </c>
      <c r="E72" s="7" t="n">
        <v>1583.719</v>
      </c>
      <c r="G72" s="8" t="s">
        <v>212</v>
      </c>
      <c r="H72" s="4" t="s">
        <v>228</v>
      </c>
      <c r="I72" s="8" t="s">
        <v>229</v>
      </c>
    </row>
    <row r="73" customFormat="false" ht="17.15" hidden="false" customHeight="false" outlineLevel="0" collapsed="false">
      <c r="A73" s="0" t="s">
        <v>230</v>
      </c>
      <c r="B73" s="0" t="s">
        <v>231</v>
      </c>
      <c r="C73" s="0" t="s">
        <v>169</v>
      </c>
      <c r="E73" s="7" t="n">
        <v>936.926</v>
      </c>
      <c r="G73" s="8" t="s">
        <v>212</v>
      </c>
      <c r="H73" s="4" t="s">
        <v>228</v>
      </c>
      <c r="I73" s="8" t="s">
        <v>106</v>
      </c>
    </row>
    <row r="74" customFormat="false" ht="17.15" hidden="false" customHeight="false" outlineLevel="0" collapsed="false">
      <c r="A74" s="0" t="s">
        <v>232</v>
      </c>
      <c r="B74" s="0" t="s">
        <v>233</v>
      </c>
      <c r="C74" s="0" t="s">
        <v>169</v>
      </c>
      <c r="E74" s="7" t="n">
        <v>290.308</v>
      </c>
      <c r="G74" s="8" t="s">
        <v>212</v>
      </c>
      <c r="H74" s="4" t="s">
        <v>228</v>
      </c>
      <c r="I74" s="8" t="s">
        <v>106</v>
      </c>
    </row>
    <row r="75" customFormat="false" ht="17.15" hidden="false" customHeight="false" outlineLevel="0" collapsed="false">
      <c r="A75" s="0" t="s">
        <v>234</v>
      </c>
      <c r="B75" s="0" t="s">
        <v>235</v>
      </c>
      <c r="C75" s="0" t="s">
        <v>169</v>
      </c>
      <c r="E75" s="7" t="n">
        <v>341.504</v>
      </c>
      <c r="G75" s="8" t="s">
        <v>212</v>
      </c>
      <c r="H75" s="4" t="s">
        <v>228</v>
      </c>
      <c r="I75" s="8" t="s">
        <v>106</v>
      </c>
    </row>
    <row r="76" customFormat="false" ht="17.15" hidden="false" customHeight="false" outlineLevel="0" collapsed="false">
      <c r="A76" s="0" t="s">
        <v>236</v>
      </c>
      <c r="B76" s="0" t="s">
        <v>237</v>
      </c>
      <c r="C76" s="0" t="s">
        <v>169</v>
      </c>
      <c r="E76" s="7" t="n">
        <v>14.979</v>
      </c>
      <c r="G76" s="8" t="s">
        <v>212</v>
      </c>
      <c r="H76" s="4" t="s">
        <v>228</v>
      </c>
      <c r="I76" s="8" t="s">
        <v>106</v>
      </c>
    </row>
    <row r="77" customFormat="false" ht="17.15" hidden="false" customHeight="false" outlineLevel="0" collapsed="false">
      <c r="A77" s="0" t="s">
        <v>238</v>
      </c>
      <c r="B77" s="0" t="s">
        <v>239</v>
      </c>
      <c r="C77" s="0" t="s">
        <v>169</v>
      </c>
      <c r="E77" s="7" t="n">
        <v>181.163</v>
      </c>
      <c r="G77" s="8" t="s">
        <v>212</v>
      </c>
      <c r="H77" s="4" t="s">
        <v>228</v>
      </c>
      <c r="I77" s="8" t="s">
        <v>229</v>
      </c>
    </row>
    <row r="78" customFormat="false" ht="17.15" hidden="false" customHeight="false" outlineLevel="0" collapsed="false">
      <c r="A78" s="0" t="s">
        <v>240</v>
      </c>
      <c r="B78" s="0" t="s">
        <v>241</v>
      </c>
      <c r="C78" s="0" t="s">
        <v>169</v>
      </c>
      <c r="E78" s="7" t="n">
        <v>143.036</v>
      </c>
      <c r="G78" s="8" t="s">
        <v>212</v>
      </c>
      <c r="H78" s="4" t="s">
        <v>228</v>
      </c>
      <c r="I78" s="8" t="s">
        <v>106</v>
      </c>
    </row>
    <row r="79" customFormat="false" ht="17.15" hidden="false" customHeight="false" outlineLevel="0" collapsed="false">
      <c r="A79" s="0" t="s">
        <v>242</v>
      </c>
      <c r="B79" s="0" t="s">
        <v>243</v>
      </c>
      <c r="C79" s="0" t="s">
        <v>169</v>
      </c>
      <c r="E79" s="7" t="n">
        <v>8.457</v>
      </c>
      <c r="G79" s="8" t="s">
        <v>212</v>
      </c>
      <c r="H79" s="4" t="s">
        <v>228</v>
      </c>
      <c r="I79" s="8" t="s">
        <v>106</v>
      </c>
    </row>
    <row r="80" customFormat="false" ht="17.15" hidden="false" customHeight="false" outlineLevel="0" collapsed="false">
      <c r="A80" s="0" t="s">
        <v>244</v>
      </c>
      <c r="B80" s="0" t="s">
        <v>245</v>
      </c>
      <c r="C80" s="0" t="s">
        <v>169</v>
      </c>
      <c r="E80" s="7" t="n">
        <v>66.202</v>
      </c>
      <c r="G80" s="8" t="s">
        <v>212</v>
      </c>
      <c r="H80" s="4" t="s">
        <v>228</v>
      </c>
      <c r="I80" s="8" t="s">
        <v>106</v>
      </c>
    </row>
    <row r="81" customFormat="false" ht="17.15" hidden="false" customHeight="false" outlineLevel="0" collapsed="false">
      <c r="A81" s="0" t="s">
        <v>246</v>
      </c>
      <c r="B81" s="0" t="s">
        <v>247</v>
      </c>
      <c r="C81" s="0" t="s">
        <v>169</v>
      </c>
      <c r="E81" s="7" t="n">
        <v>6.064</v>
      </c>
      <c r="G81" s="8" t="s">
        <v>212</v>
      </c>
      <c r="H81" s="4" t="s">
        <v>228</v>
      </c>
      <c r="I81" s="8" t="s">
        <v>106</v>
      </c>
    </row>
    <row r="82" customFormat="false" ht="17.15" hidden="false" customHeight="false" outlineLevel="0" collapsed="false">
      <c r="A82" s="0" t="s">
        <v>248</v>
      </c>
      <c r="B82" s="0" t="s">
        <v>249</v>
      </c>
      <c r="C82" s="0" t="s">
        <v>169</v>
      </c>
      <c r="E82" s="7" t="n">
        <v>-42.597</v>
      </c>
      <c r="G82" s="8" t="s">
        <v>212</v>
      </c>
      <c r="H82" s="4" t="s">
        <v>228</v>
      </c>
      <c r="I82" s="8" t="s">
        <v>106</v>
      </c>
    </row>
    <row r="83" customFormat="false" ht="17.15" hidden="false" customHeight="false" outlineLevel="0" collapsed="false">
      <c r="A83" s="0" t="s">
        <v>250</v>
      </c>
      <c r="B83" s="0" t="s">
        <v>251</v>
      </c>
      <c r="C83" s="0" t="s">
        <v>169</v>
      </c>
      <c r="E83" s="7" t="n">
        <v>199.412</v>
      </c>
      <c r="G83" s="8" t="s">
        <v>212</v>
      </c>
      <c r="H83" s="4" t="s">
        <v>228</v>
      </c>
      <c r="I83" s="8" t="s">
        <v>106</v>
      </c>
    </row>
    <row r="84" customFormat="false" ht="17.15" hidden="false" customHeight="false" outlineLevel="0" collapsed="false">
      <c r="A84" s="0" t="s">
        <v>252</v>
      </c>
      <c r="B84" s="0" t="s">
        <v>253</v>
      </c>
      <c r="C84" s="0" t="s">
        <v>169</v>
      </c>
      <c r="E84" s="7" t="n">
        <v>134.675</v>
      </c>
      <c r="G84" s="8" t="s">
        <v>212</v>
      </c>
      <c r="H84" s="4" t="s">
        <v>228</v>
      </c>
      <c r="I84" s="4" t="s">
        <v>254</v>
      </c>
    </row>
    <row r="85" customFormat="false" ht="17.15" hidden="false" customHeight="false" outlineLevel="0" collapsed="false">
      <c r="A85" s="0" t="s">
        <v>255</v>
      </c>
      <c r="B85" s="0" t="s">
        <v>256</v>
      </c>
      <c r="C85" s="0" t="s">
        <v>169</v>
      </c>
      <c r="E85" s="7" t="n">
        <v>88.914</v>
      </c>
      <c r="G85" s="8" t="s">
        <v>212</v>
      </c>
      <c r="H85" s="4" t="s">
        <v>228</v>
      </c>
      <c r="I85" s="8" t="s">
        <v>106</v>
      </c>
    </row>
    <row r="86" customFormat="false" ht="17.15" hidden="false" customHeight="false" outlineLevel="0" collapsed="false">
      <c r="A86" s="0" t="s">
        <v>257</v>
      </c>
      <c r="B86" s="0" t="s">
        <v>258</v>
      </c>
      <c r="C86" s="0" t="s">
        <v>169</v>
      </c>
      <c r="E86" s="7" t="n">
        <v>104.55</v>
      </c>
      <c r="G86" s="8" t="s">
        <v>212</v>
      </c>
      <c r="H86" s="4" t="s">
        <v>228</v>
      </c>
      <c r="I86" s="4" t="s">
        <v>259</v>
      </c>
    </row>
    <row r="87" customFormat="false" ht="17.15" hidden="false" customHeight="false" outlineLevel="0" collapsed="false">
      <c r="A87" s="0" t="s">
        <v>260</v>
      </c>
      <c r="B87" s="0" t="s">
        <v>261</v>
      </c>
      <c r="C87" s="0" t="s">
        <v>169</v>
      </c>
      <c r="D87" s="7" t="n">
        <v>100.7</v>
      </c>
      <c r="E87" s="8" t="n">
        <f aca="false">0.3*a_ho</f>
        <v>102.4512</v>
      </c>
      <c r="F87" s="7" t="n">
        <v>104</v>
      </c>
      <c r="G87" s="8" t="s">
        <v>31</v>
      </c>
      <c r="H87" s="4" t="s">
        <v>262</v>
      </c>
      <c r="I87" s="8" t="s">
        <v>263</v>
      </c>
    </row>
    <row r="88" customFormat="false" ht="17.15" hidden="false" customHeight="false" outlineLevel="0" collapsed="false">
      <c r="A88" s="0" t="s">
        <v>264</v>
      </c>
      <c r="B88" s="0" t="s">
        <v>265</v>
      </c>
      <c r="C88" s="0" t="s">
        <v>169</v>
      </c>
      <c r="E88" s="7" t="n">
        <v>54.6</v>
      </c>
      <c r="G88" s="8" t="s">
        <v>170</v>
      </c>
      <c r="H88" s="8" t="s">
        <v>266</v>
      </c>
      <c r="I88" s="8" t="s">
        <v>267</v>
      </c>
    </row>
    <row r="89" customFormat="false" ht="17.15" hidden="false" customHeight="false" outlineLevel="0" collapsed="false">
      <c r="A89" s="0" t="s">
        <v>268</v>
      </c>
      <c r="B89" s="0" t="s">
        <v>269</v>
      </c>
      <c r="C89" s="0" t="s">
        <v>207</v>
      </c>
      <c r="E89" s="7" t="n">
        <v>138.36</v>
      </c>
      <c r="G89" s="8" t="s">
        <v>212</v>
      </c>
      <c r="H89" s="4" t="s">
        <v>228</v>
      </c>
      <c r="I89" s="8" t="s">
        <v>270</v>
      </c>
    </row>
    <row r="90" customFormat="false" ht="17.15" hidden="false" customHeight="false" outlineLevel="0" collapsed="false">
      <c r="A90" s="6" t="s">
        <v>271</v>
      </c>
    </row>
    <row r="91" customFormat="false" ht="17.15" hidden="false" customHeight="false" outlineLevel="0" collapsed="false">
      <c r="A91" s="0" t="s">
        <v>272</v>
      </c>
      <c r="B91" s="4" t="s">
        <v>273</v>
      </c>
      <c r="C91" s="0" t="s">
        <v>169</v>
      </c>
      <c r="E91" s="7" t="n">
        <v>138.34</v>
      </c>
      <c r="G91" s="8" t="s">
        <v>170</v>
      </c>
      <c r="H91" s="8" t="s">
        <v>274</v>
      </c>
      <c r="I91" s="4" t="s">
        <v>275</v>
      </c>
    </row>
    <row r="92" customFormat="false" ht="17.15" hidden="false" customHeight="false" outlineLevel="0" collapsed="false">
      <c r="A92" s="0" t="s">
        <v>276</v>
      </c>
      <c r="B92" s="4" t="s">
        <v>277</v>
      </c>
      <c r="C92" s="0" t="s">
        <v>207</v>
      </c>
      <c r="E92" s="0" t="n">
        <f aca="false">c_ni26/(f_ni/f_eps)</f>
        <v>145.441826720648</v>
      </c>
      <c r="G92" s="0" t="s">
        <v>31</v>
      </c>
      <c r="H92" s="4" t="s">
        <v>278</v>
      </c>
      <c r="I92" s="4" t="s">
        <v>279</v>
      </c>
    </row>
    <row r="93" customFormat="false" ht="17.15" hidden="false" customHeight="false" outlineLevel="0" collapsed="false">
      <c r="A93" s="0" t="s">
        <v>280</v>
      </c>
      <c r="B93" s="4" t="s">
        <v>281</v>
      </c>
      <c r="C93" s="0" t="s">
        <v>169</v>
      </c>
      <c r="E93" s="7" t="n">
        <v>1730</v>
      </c>
      <c r="G93" s="8" t="s">
        <v>170</v>
      </c>
      <c r="H93" s="8" t="s">
        <v>282</v>
      </c>
      <c r="I93" s="8" t="s">
        <v>106</v>
      </c>
    </row>
    <row r="94" customFormat="false" ht="17.15" hidden="false" customHeight="false" outlineLevel="0" collapsed="false">
      <c r="A94" s="0" t="s">
        <v>283</v>
      </c>
      <c r="B94" s="4" t="s">
        <v>284</v>
      </c>
      <c r="C94" s="0" t="s">
        <v>77</v>
      </c>
      <c r="E94" s="7" t="n">
        <v>0.2363</v>
      </c>
      <c r="G94" s="8" t="s">
        <v>170</v>
      </c>
      <c r="H94" s="8" t="s">
        <v>285</v>
      </c>
      <c r="I94" s="4" t="s">
        <v>286</v>
      </c>
    </row>
    <row r="95" customFormat="false" ht="17.15" hidden="false" customHeight="false" outlineLevel="0" collapsed="false">
      <c r="A95" s="0" t="s">
        <v>287</v>
      </c>
      <c r="B95" s="4" t="s">
        <v>288</v>
      </c>
      <c r="C95" s="0" t="s">
        <v>207</v>
      </c>
      <c r="E95" s="0" t="n">
        <f aca="false">c_eps26*(1+c_g27)</f>
        <v>179.809730374737</v>
      </c>
      <c r="G95" s="0" t="s">
        <v>31</v>
      </c>
      <c r="H95" s="4" t="s">
        <v>289</v>
      </c>
      <c r="I95" s="4" t="s">
        <v>290</v>
      </c>
    </row>
    <row r="96" customFormat="false" ht="17.15" hidden="false" customHeight="false" outlineLevel="0" collapsed="false">
      <c r="A96" s="0" t="s">
        <v>291</v>
      </c>
      <c r="B96" s="4" t="s">
        <v>292</v>
      </c>
      <c r="C96" s="0" t="s">
        <v>169</v>
      </c>
      <c r="E96" s="7" t="n">
        <v>1840</v>
      </c>
      <c r="G96" s="8" t="s">
        <v>170</v>
      </c>
      <c r="H96" s="8" t="s">
        <v>293</v>
      </c>
      <c r="I96" s="8" t="s">
        <v>106</v>
      </c>
    </row>
    <row r="97" customFormat="false" ht="17.15" hidden="false" customHeight="false" outlineLevel="0" collapsed="false">
      <c r="A97" s="6" t="s">
        <v>294</v>
      </c>
    </row>
    <row r="98" customFormat="false" ht="17.15" hidden="false" customHeight="false" outlineLevel="0" collapsed="false">
      <c r="A98" s="0" t="s">
        <v>295</v>
      </c>
      <c r="B98" s="4" t="s">
        <v>296</v>
      </c>
      <c r="C98" s="0" t="s">
        <v>207</v>
      </c>
      <c r="E98" s="7" t="n">
        <v>5064</v>
      </c>
      <c r="G98" s="8" t="s">
        <v>170</v>
      </c>
      <c r="H98" s="4" t="s">
        <v>297</v>
      </c>
      <c r="I98" s="8" t="s">
        <v>298</v>
      </c>
    </row>
    <row r="99" customFormat="false" ht="17.15" hidden="false" customHeight="false" outlineLevel="0" collapsed="false">
      <c r="A99" s="0" t="s">
        <v>299</v>
      </c>
      <c r="B99" s="0" t="s">
        <v>300</v>
      </c>
      <c r="C99" s="0" t="s">
        <v>52</v>
      </c>
      <c r="E99" s="7" t="n">
        <v>39.08</v>
      </c>
      <c r="G99" s="8" t="s">
        <v>170</v>
      </c>
      <c r="H99" s="8" t="s">
        <v>301</v>
      </c>
      <c r="I99" s="8" t="s">
        <v>106</v>
      </c>
    </row>
    <row r="100" customFormat="false" ht="17.15" hidden="false" customHeight="false" outlineLevel="0" collapsed="false">
      <c r="A100" s="0" t="s">
        <v>302</v>
      </c>
      <c r="B100" s="4" t="s">
        <v>303</v>
      </c>
      <c r="C100" s="0" t="s">
        <v>52</v>
      </c>
      <c r="E100" s="7" t="n">
        <v>32.76</v>
      </c>
      <c r="G100" s="8" t="s">
        <v>170</v>
      </c>
      <c r="H100" s="8" t="s">
        <v>304</v>
      </c>
      <c r="I100" s="8" t="s">
        <v>305</v>
      </c>
    </row>
    <row r="101" customFormat="false" ht="17.15" hidden="false" customHeight="false" outlineLevel="0" collapsed="false">
      <c r="A101" s="0" t="s">
        <v>306</v>
      </c>
      <c r="B101" s="4" t="s">
        <v>307</v>
      </c>
      <c r="C101" s="0" t="s">
        <v>207</v>
      </c>
      <c r="E101" s="0" t="n">
        <f aca="false">5051/fpe</f>
        <v>154.181929181929</v>
      </c>
      <c r="G101" s="0" t="s">
        <v>31</v>
      </c>
      <c r="H101" s="0" t="s">
        <v>308</v>
      </c>
      <c r="I101" s="0" t="s">
        <v>309</v>
      </c>
    </row>
    <row r="102" customFormat="false" ht="17.15" hidden="false" customHeight="false" outlineLevel="0" collapsed="false">
      <c r="A102" s="0" t="s">
        <v>310</v>
      </c>
      <c r="B102" s="4" t="s">
        <v>311</v>
      </c>
      <c r="C102" s="0" t="s">
        <v>207</v>
      </c>
      <c r="D102" s="7" t="n">
        <v>5800</v>
      </c>
      <c r="E102" s="7" t="n">
        <v>6321.43</v>
      </c>
      <c r="F102" s="7" t="n">
        <v>7300</v>
      </c>
      <c r="G102" s="8" t="s">
        <v>170</v>
      </c>
      <c r="H102" s="8" t="s">
        <v>312</v>
      </c>
      <c r="I102" s="8" t="s">
        <v>313</v>
      </c>
    </row>
    <row r="103" customFormat="false" ht="17.15" hidden="false" customHeight="false" outlineLevel="0" collapsed="false">
      <c r="A103" s="0" t="s">
        <v>314</v>
      </c>
      <c r="B103" s="4" t="s">
        <v>315</v>
      </c>
      <c r="C103" s="4" t="s">
        <v>316</v>
      </c>
      <c r="E103" s="7" t="n">
        <v>0.977736</v>
      </c>
      <c r="G103" s="8" t="s">
        <v>212</v>
      </c>
      <c r="H103" s="4" t="s">
        <v>317</v>
      </c>
      <c r="I103" s="8" t="s">
        <v>106</v>
      </c>
    </row>
    <row r="104" customFormat="false" ht="17.15" hidden="false" customHeight="false" outlineLevel="0" collapsed="false">
      <c r="A104" s="6" t="s">
        <v>318</v>
      </c>
    </row>
    <row r="105" customFormat="false" ht="17.15" hidden="false" customHeight="false" outlineLevel="0" collapsed="false">
      <c r="A105" s="9" t="s">
        <v>319</v>
      </c>
      <c r="B105" s="10" t="s">
        <v>320</v>
      </c>
      <c r="C105" s="9" t="s">
        <v>77</v>
      </c>
      <c r="D105" s="9"/>
      <c r="E105" s="11" t="n">
        <v>0.3</v>
      </c>
      <c r="F105" s="9"/>
      <c r="G105" s="9" t="s">
        <v>53</v>
      </c>
      <c r="H105" s="9" t="s">
        <v>321</v>
      </c>
      <c r="I105" s="10" t="s">
        <v>322</v>
      </c>
    </row>
    <row r="106" customFormat="false" ht="17.15" hidden="false" customHeight="false" outlineLevel="0" collapsed="false">
      <c r="A106" s="9" t="s">
        <v>323</v>
      </c>
      <c r="B106" s="10" t="s">
        <v>324</v>
      </c>
      <c r="C106" s="9" t="s">
        <v>77</v>
      </c>
      <c r="D106" s="9"/>
      <c r="E106" s="11" t="n">
        <v>0.5</v>
      </c>
      <c r="F106" s="9"/>
      <c r="G106" s="9" t="s">
        <v>53</v>
      </c>
      <c r="H106" s="9" t="s">
        <v>321</v>
      </c>
      <c r="I106" s="10" t="s">
        <v>322</v>
      </c>
    </row>
    <row r="107" customFormat="false" ht="17.15" hidden="false" customHeight="false" outlineLevel="0" collapsed="false">
      <c r="A107" s="9" t="s">
        <v>325</v>
      </c>
      <c r="B107" s="10" t="s">
        <v>326</v>
      </c>
      <c r="C107" s="9" t="s">
        <v>77</v>
      </c>
      <c r="D107" s="9"/>
      <c r="E107" s="11" t="n">
        <v>0.2</v>
      </c>
      <c r="F107" s="9"/>
      <c r="G107" s="9" t="s">
        <v>53</v>
      </c>
      <c r="H107" s="9" t="s">
        <v>321</v>
      </c>
      <c r="I107" s="10" t="s">
        <v>322</v>
      </c>
    </row>
    <row r="108" customFormat="false" ht="17.15" hidden="false" customHeight="false" outlineLevel="0" collapsed="false">
      <c r="A108" s="9" t="s">
        <v>327</v>
      </c>
      <c r="B108" s="10" t="s">
        <v>328</v>
      </c>
      <c r="C108" s="9" t="s">
        <v>77</v>
      </c>
      <c r="D108" s="9"/>
      <c r="E108" s="11" t="n">
        <v>0.1</v>
      </c>
      <c r="F108" s="9"/>
      <c r="G108" s="9" t="s">
        <v>53</v>
      </c>
      <c r="H108" s="9" t="s">
        <v>329</v>
      </c>
      <c r="I108" s="10" t="s">
        <v>330</v>
      </c>
    </row>
    <row r="109" customFormat="false" ht="17.15" hidden="false" customHeight="false" outlineLevel="0" collapsed="false">
      <c r="A109" s="9" t="s">
        <v>331</v>
      </c>
      <c r="B109" s="10" t="s">
        <v>332</v>
      </c>
      <c r="C109" s="9" t="s">
        <v>77</v>
      </c>
      <c r="D109" s="9"/>
      <c r="E109" s="11" t="n">
        <v>0.04</v>
      </c>
      <c r="F109" s="9"/>
      <c r="G109" s="9" t="s">
        <v>53</v>
      </c>
      <c r="H109" s="9" t="s">
        <v>333</v>
      </c>
      <c r="I109" s="9" t="s">
        <v>334</v>
      </c>
    </row>
    <row r="110" customFormat="false" ht="17.15" hidden="false" customHeight="false" outlineLevel="0" collapsed="false">
      <c r="A110" s="9" t="s">
        <v>335</v>
      </c>
      <c r="B110" s="9" t="s">
        <v>336</v>
      </c>
      <c r="C110" s="9" t="s">
        <v>77</v>
      </c>
      <c r="D110" s="9"/>
      <c r="E110" s="9" t="n">
        <f aca="false">AVERAGE(0.175,0.0952,0.1195)</f>
        <v>0.1299</v>
      </c>
      <c r="F110" s="9"/>
      <c r="G110" s="9" t="s">
        <v>31</v>
      </c>
      <c r="H110" s="9" t="s">
        <v>337</v>
      </c>
      <c r="I110" s="10" t="s">
        <v>338</v>
      </c>
    </row>
    <row r="111" customFormat="false" ht="17.15" hidden="false" customHeight="false" outlineLevel="0" collapsed="false">
      <c r="A111" s="9" t="s">
        <v>339</v>
      </c>
      <c r="B111" s="10" t="s">
        <v>340</v>
      </c>
      <c r="C111" s="9" t="s">
        <v>77</v>
      </c>
      <c r="D111" s="9"/>
      <c r="E111" s="11" t="n">
        <v>0.5</v>
      </c>
      <c r="F111" s="9"/>
      <c r="G111" s="9" t="s">
        <v>53</v>
      </c>
      <c r="H111" s="9" t="s">
        <v>341</v>
      </c>
      <c r="I111" s="9" t="s">
        <v>106</v>
      </c>
    </row>
    <row r="112" customFormat="false" ht="17.15" hidden="false" customHeight="false" outlineLevel="0" collapsed="false">
      <c r="A112" s="9" t="s">
        <v>342</v>
      </c>
      <c r="B112" s="10" t="s">
        <v>343</v>
      </c>
      <c r="C112" s="9" t="s">
        <v>52</v>
      </c>
      <c r="D112" s="9"/>
      <c r="E112" s="11" t="n">
        <v>0.8</v>
      </c>
      <c r="F112" s="9"/>
      <c r="G112" s="9" t="s">
        <v>53</v>
      </c>
      <c r="H112" s="10" t="s">
        <v>344</v>
      </c>
      <c r="I112" s="10" t="s">
        <v>345</v>
      </c>
    </row>
    <row r="113" customFormat="false" ht="17.15" hidden="false" customHeight="false" outlineLevel="0" collapsed="false">
      <c r="A113" s="9" t="s">
        <v>346</v>
      </c>
      <c r="B113" s="10" t="s">
        <v>347</v>
      </c>
      <c r="C113" s="9" t="s">
        <v>77</v>
      </c>
      <c r="D113" s="9"/>
      <c r="E113" s="9" t="n">
        <f aca="false">tp_g+0.02</f>
        <v>0.06</v>
      </c>
      <c r="F113" s="9"/>
      <c r="G113" s="9" t="s">
        <v>53</v>
      </c>
      <c r="H113" s="10" t="s">
        <v>348</v>
      </c>
      <c r="I113" s="9" t="s">
        <v>349</v>
      </c>
    </row>
    <row r="114" customFormat="false" ht="17.15" hidden="false" customHeight="false" outlineLevel="0" collapsed="false">
      <c r="A114" s="9" t="s">
        <v>350</v>
      </c>
      <c r="B114" s="10" t="s">
        <v>351</v>
      </c>
      <c r="C114" s="9" t="s">
        <v>77</v>
      </c>
      <c r="D114" s="9"/>
      <c r="E114" s="9" t="n">
        <f aca="false">tp_g</f>
        <v>0.04</v>
      </c>
      <c r="F114" s="9"/>
      <c r="G114" s="9" t="s">
        <v>53</v>
      </c>
      <c r="H114" s="10" t="s">
        <v>36</v>
      </c>
      <c r="I114" s="9" t="s">
        <v>106</v>
      </c>
    </row>
    <row r="115" customFormat="false" ht="17.15" hidden="false" customHeight="false" outlineLevel="0" collapsed="false">
      <c r="A115" s="9" t="s">
        <v>352</v>
      </c>
      <c r="B115" s="10" t="s">
        <v>353</v>
      </c>
      <c r="C115" s="9" t="s">
        <v>77</v>
      </c>
      <c r="D115" s="9"/>
      <c r="E115" s="9" t="n">
        <f aca="false">tp_g-0.02</f>
        <v>0.02</v>
      </c>
      <c r="F115" s="9"/>
      <c r="G115" s="9" t="s">
        <v>53</v>
      </c>
      <c r="H115" s="10" t="s">
        <v>36</v>
      </c>
      <c r="I115" s="9" t="s">
        <v>106</v>
      </c>
    </row>
    <row r="116" customFormat="false" ht="17.15" hidden="false" customHeight="false" outlineLevel="0" collapsed="false">
      <c r="A116" s="9" t="s">
        <v>354</v>
      </c>
      <c r="B116" s="10" t="s">
        <v>355</v>
      </c>
      <c r="C116" s="9" t="s">
        <v>77</v>
      </c>
      <c r="D116" s="9"/>
      <c r="E116" s="12" t="n">
        <f aca="false">PL!G15</f>
        <v>0.088006355145468</v>
      </c>
      <c r="F116" s="9"/>
      <c r="G116" s="9" t="s">
        <v>31</v>
      </c>
      <c r="H116" s="9" t="s">
        <v>356</v>
      </c>
      <c r="I116" s="9" t="s">
        <v>106</v>
      </c>
    </row>
    <row r="117" customFormat="false" ht="17.15" hidden="false" customHeight="false" outlineLevel="0" collapsed="false">
      <c r="A117" s="9" t="s">
        <v>357</v>
      </c>
      <c r="B117" s="10" t="s">
        <v>358</v>
      </c>
      <c r="C117" s="9" t="s">
        <v>77</v>
      </c>
      <c r="D117" s="9"/>
      <c r="E117" s="13" t="n">
        <f aca="false">PL!G31*(1+nm10_k)/2</f>
        <v>0.0745928167744908</v>
      </c>
      <c r="F117" s="9"/>
      <c r="G117" s="9" t="s">
        <v>31</v>
      </c>
      <c r="H117" s="9" t="s">
        <v>359</v>
      </c>
      <c r="I117" s="9" t="s">
        <v>106</v>
      </c>
    </row>
    <row r="118" customFormat="false" ht="17.15" hidden="false" customHeight="false" outlineLevel="0" collapsed="false">
      <c r="A118" s="9" t="s">
        <v>360</v>
      </c>
      <c r="B118" s="10" t="s">
        <v>361</v>
      </c>
      <c r="C118" s="9" t="s">
        <v>77</v>
      </c>
      <c r="D118" s="9"/>
      <c r="E118" s="13" t="n">
        <f aca="false">PL!G47*nm10_k</f>
        <v>0.0596409083950606</v>
      </c>
      <c r="F118" s="9"/>
      <c r="G118" s="9" t="s">
        <v>53</v>
      </c>
      <c r="H118" s="9" t="s">
        <v>362</v>
      </c>
      <c r="I118" s="9" t="s">
        <v>106</v>
      </c>
    </row>
    <row r="119" customFormat="false" ht="17.15" hidden="false" customHeight="false" outlineLevel="0" collapsed="false">
      <c r="A119" s="6" t="s">
        <v>363</v>
      </c>
    </row>
    <row r="120" customFormat="false" ht="17.15" hidden="false" customHeight="false" outlineLevel="0" collapsed="false">
      <c r="A120" s="0" t="s">
        <v>364</v>
      </c>
      <c r="B120" s="4" t="s">
        <v>365</v>
      </c>
      <c r="C120" s="0" t="s">
        <v>77</v>
      </c>
      <c r="E120" s="0" t="n">
        <f aca="false">a_da/a_rev</f>
        <v>0.0561425353866437</v>
      </c>
      <c r="G120" s="0" t="s">
        <v>31</v>
      </c>
      <c r="H120" s="0" t="s">
        <v>366</v>
      </c>
      <c r="I120" s="0" t="s">
        <v>367</v>
      </c>
    </row>
    <row r="121" customFormat="false" ht="17.15" hidden="false" customHeight="false" outlineLevel="0" collapsed="false">
      <c r="A121" s="0" t="s">
        <v>368</v>
      </c>
      <c r="B121" s="4" t="s">
        <v>369</v>
      </c>
      <c r="C121" s="0" t="s">
        <v>77</v>
      </c>
      <c r="E121" s="0" t="n">
        <f aca="false">a_cx/a_rev</f>
        <v>0.0660154989616213</v>
      </c>
      <c r="G121" s="0" t="s">
        <v>31</v>
      </c>
      <c r="H121" s="0" t="s">
        <v>370</v>
      </c>
      <c r="I121" s="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4"/>
    <col collapsed="false" customWidth="true" hidden="false" outlineLevel="0" max="7" min="7" style="0" width="24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372</v>
      </c>
    </row>
    <row r="2" customFormat="false" ht="17.15" hidden="false" customHeight="false" outlineLevel="0" collapsed="false">
      <c r="A2" s="4" t="s">
        <v>373</v>
      </c>
    </row>
    <row r="3" customFormat="false" ht="17.15" hidden="false" customHeight="false" outlineLevel="0" collapsed="false">
      <c r="A3" s="5" t="s">
        <v>19</v>
      </c>
      <c r="B3" s="14" t="s">
        <v>374</v>
      </c>
      <c r="C3" s="14" t="s">
        <v>375</v>
      </c>
      <c r="D3" s="14" t="s">
        <v>376</v>
      </c>
      <c r="E3" s="5" t="s">
        <v>377</v>
      </c>
      <c r="F3" s="14" t="s">
        <v>378</v>
      </c>
      <c r="G3" s="5" t="s">
        <v>24</v>
      </c>
      <c r="H3" s="5" t="s">
        <v>379</v>
      </c>
    </row>
    <row r="4" customFormat="false" ht="17.15" hidden="false" customHeight="false" outlineLevel="0" collapsed="false">
      <c r="A4" s="4" t="s">
        <v>380</v>
      </c>
      <c r="B4" s="15" t="n">
        <f aca="false">a_rev</f>
        <v>1583.719</v>
      </c>
      <c r="C4" s="15" t="n">
        <f aca="false">q1_rev</f>
        <v>412.105</v>
      </c>
      <c r="D4" s="15" t="n">
        <f aca="false">f_rev</f>
        <v>1732</v>
      </c>
      <c r="E4" s="16" t="n">
        <f aca="false">D4/B4-1</f>
        <v>0.0936283519993131</v>
      </c>
      <c r="F4" s="16" t="n">
        <f aca="false">C4/D4</f>
        <v>0.237935912240185</v>
      </c>
      <c r="G4" s="8" t="s">
        <v>381</v>
      </c>
    </row>
    <row r="5" customFormat="false" ht="17.15" hidden="false" customHeight="false" outlineLevel="0" collapsed="false">
      <c r="A5" s="4" t="s">
        <v>382</v>
      </c>
      <c r="B5" s="15" t="n">
        <f aca="false">a_sf</f>
        <v>936.926</v>
      </c>
      <c r="C5" s="17" t="n">
        <v>238.7</v>
      </c>
      <c r="D5" s="15" t="n">
        <f aca="false">f_sf</f>
        <v>998.6</v>
      </c>
      <c r="E5" s="16" t="n">
        <f aca="false">D5/B5-1</f>
        <v>0.0658259030062138</v>
      </c>
      <c r="F5" s="16" t="n">
        <f aca="false">C5/D5</f>
        <v>0.239034648507911</v>
      </c>
      <c r="G5" s="8" t="s">
        <v>381</v>
      </c>
      <c r="H5" s="8" t="s">
        <v>383</v>
      </c>
    </row>
    <row r="6" customFormat="false" ht="17.15" hidden="false" customHeight="false" outlineLevel="0" collapsed="false">
      <c r="A6" s="4" t="s">
        <v>384</v>
      </c>
      <c r="B6" s="15" t="n">
        <f aca="false">a_ff</f>
        <v>290.308</v>
      </c>
      <c r="C6" s="17" t="n">
        <v>72.5</v>
      </c>
      <c r="D6" s="15" t="n">
        <f aca="false">f_ff</f>
        <v>310.6</v>
      </c>
      <c r="E6" s="16" t="n">
        <f aca="false">D6/B6-1</f>
        <v>0.0698981771084504</v>
      </c>
      <c r="F6" s="16" t="n">
        <f aca="false">C6/D6</f>
        <v>0.233419188667096</v>
      </c>
      <c r="G6" s="8" t="s">
        <v>381</v>
      </c>
    </row>
    <row r="7" customFormat="false" ht="17.15" hidden="false" customHeight="false" outlineLevel="0" collapsed="false">
      <c r="A7" s="4" t="s">
        <v>385</v>
      </c>
      <c r="B7" s="15" t="n">
        <f aca="false">a_ho</f>
        <v>341.504</v>
      </c>
      <c r="C7" s="17" t="n">
        <v>97</v>
      </c>
      <c r="D7" s="15" t="n">
        <f aca="false">f_ho</f>
        <v>406.8</v>
      </c>
      <c r="E7" s="16" t="n">
        <f aca="false">D7/B7-1</f>
        <v>0.191201274362819</v>
      </c>
      <c r="F7" s="16" t="n">
        <f aca="false">C7/D7</f>
        <v>0.238446411012783</v>
      </c>
      <c r="G7" s="8" t="s">
        <v>381</v>
      </c>
    </row>
    <row r="8" customFormat="false" ht="17.15" hidden="false" customHeight="false" outlineLevel="0" collapsed="false">
      <c r="A8" s="4" t="s">
        <v>386</v>
      </c>
      <c r="B8" s="15" t="n">
        <f aca="false">a_fm</f>
        <v>102.4512</v>
      </c>
      <c r="C8" s="15" t="n">
        <f aca="false">q1_fm</f>
        <v>33.1</v>
      </c>
      <c r="D8" s="15" t="n">
        <f aca="false">f_fm</f>
        <v>120.6</v>
      </c>
      <c r="E8" s="16" t="n">
        <f aca="false">D8/B8-1</f>
        <v>0.17714580209895</v>
      </c>
      <c r="F8" s="16" t="n">
        <f aca="false">C8/D8</f>
        <v>0.274461028192372</v>
      </c>
      <c r="G8" s="8" t="s">
        <v>31</v>
      </c>
      <c r="H8" s="8" t="s">
        <v>387</v>
      </c>
    </row>
    <row r="9" customFormat="false" ht="17.15" hidden="false" customHeight="false" outlineLevel="0" collapsed="false">
      <c r="A9" s="4" t="s">
        <v>388</v>
      </c>
      <c r="B9" s="15" t="n">
        <f aca="false">a_ho-a_fm</f>
        <v>239.0528</v>
      </c>
      <c r="C9" s="17" t="n">
        <v>63.9</v>
      </c>
      <c r="D9" s="15" t="n">
        <f aca="false">f_ho-f_fm</f>
        <v>286.2</v>
      </c>
      <c r="E9" s="16" t="n">
        <f aca="false">D9/B9-1</f>
        <v>0.197225048190191</v>
      </c>
      <c r="F9" s="16" t="n">
        <f aca="false">C9/D9</f>
        <v>0.223270440251572</v>
      </c>
      <c r="G9" s="8" t="s">
        <v>31</v>
      </c>
    </row>
    <row r="10" customFormat="false" ht="17.15" hidden="false" customHeight="false" outlineLevel="0" collapsed="false">
      <c r="A10" s="4" t="s">
        <v>389</v>
      </c>
      <c r="B10" s="15" t="n">
        <f aca="false">a_oth</f>
        <v>14.979</v>
      </c>
      <c r="C10" s="17" t="n">
        <v>3.7</v>
      </c>
      <c r="D10" s="15" t="n">
        <f aca="false">f_oth</f>
        <v>15.8</v>
      </c>
      <c r="E10" s="16" t="n">
        <f aca="false">D10/B10-1</f>
        <v>0.0548100674277323</v>
      </c>
      <c r="F10" s="16" t="n">
        <f aca="false">C10/D10</f>
        <v>0.234177215189873</v>
      </c>
      <c r="G10" s="8" t="s">
        <v>381</v>
      </c>
    </row>
    <row r="11" customFormat="false" ht="17.15" hidden="false" customHeight="false" outlineLevel="0" collapsed="false">
      <c r="A11" s="4" t="s">
        <v>390</v>
      </c>
      <c r="B11" s="15" t="n">
        <f aca="false">a_bp</f>
        <v>181.163</v>
      </c>
      <c r="C11" s="15" t="n">
        <f aca="false">q1_bp</f>
        <v>60.116</v>
      </c>
      <c r="D11" s="15" t="n">
        <f aca="false">f_bp</f>
        <v>202</v>
      </c>
      <c r="E11" s="16" t="n">
        <f aca="false">D11/B11-1</f>
        <v>0.115017967244967</v>
      </c>
      <c r="F11" s="16" t="n">
        <f aca="false">C11/D11</f>
        <v>0.29760396039604</v>
      </c>
      <c r="G11" s="8" t="s">
        <v>381</v>
      </c>
    </row>
    <row r="12" customFormat="false" ht="17.15" hidden="false" customHeight="false" outlineLevel="0" collapsed="false">
      <c r="A12" s="4" t="s">
        <v>382</v>
      </c>
      <c r="B12" s="15" t="n">
        <f aca="false">a_sfbp</f>
        <v>143.036</v>
      </c>
      <c r="C12" s="17" t="n">
        <v>41</v>
      </c>
      <c r="D12" s="15" t="n">
        <f aca="false">f_sfbp</f>
        <v>145.9</v>
      </c>
      <c r="E12" s="16" t="n">
        <f aca="false">D12/B12-1</f>
        <v>0.0200229312900249</v>
      </c>
      <c r="F12" s="16" t="n">
        <f aca="false">C12/D12</f>
        <v>0.281014393420151</v>
      </c>
      <c r="G12" s="8" t="s">
        <v>381</v>
      </c>
    </row>
    <row r="13" customFormat="false" ht="17.15" hidden="false" customHeight="false" outlineLevel="0" collapsed="false">
      <c r="A13" s="4" t="s">
        <v>384</v>
      </c>
      <c r="B13" s="15" t="n">
        <f aca="false">a_ffbp</f>
        <v>8.457</v>
      </c>
      <c r="C13" s="17" t="n">
        <v>2.1</v>
      </c>
      <c r="D13" s="15" t="n">
        <f aca="false">f_ffbp</f>
        <v>12.1</v>
      </c>
      <c r="E13" s="16" t="n">
        <f aca="false">D13/B13-1</f>
        <v>0.430767411611682</v>
      </c>
      <c r="F13" s="16" t="n">
        <f aca="false">C13/D13</f>
        <v>0.173553719008264</v>
      </c>
      <c r="G13" s="8" t="s">
        <v>381</v>
      </c>
    </row>
    <row r="14" customFormat="false" ht="17.15" hidden="false" customHeight="false" outlineLevel="0" collapsed="false">
      <c r="A14" s="4" t="s">
        <v>385</v>
      </c>
      <c r="B14" s="15" t="n">
        <f aca="false">a_hobp</f>
        <v>66.202</v>
      </c>
      <c r="C14" s="17" t="n">
        <v>25.1</v>
      </c>
      <c r="D14" s="15" t="n">
        <f aca="false">f_hobp</f>
        <v>85</v>
      </c>
      <c r="E14" s="16" t="n">
        <f aca="false">D14/B14-1</f>
        <v>0.283949125404066</v>
      </c>
      <c r="F14" s="16" t="n">
        <f aca="false">C14/D14</f>
        <v>0.295294117647059</v>
      </c>
      <c r="G14" s="8" t="s">
        <v>381</v>
      </c>
    </row>
    <row r="15" customFormat="false" ht="17.15" hidden="false" customHeight="false" outlineLevel="0" collapsed="false">
      <c r="A15" s="4" t="s">
        <v>391</v>
      </c>
      <c r="B15" s="15" t="n">
        <f aca="false">a_fmbp</f>
        <v>54.6</v>
      </c>
      <c r="C15" s="15" t="n">
        <f aca="false">q1_fmbp</f>
        <v>19.1</v>
      </c>
      <c r="D15" s="15" t="n">
        <f aca="false">f_fmbp</f>
        <v>65.5</v>
      </c>
      <c r="E15" s="16" t="n">
        <f aca="false">D15/B15-1</f>
        <v>0.1996336996337</v>
      </c>
      <c r="F15" s="16" t="n">
        <f aca="false">C15/D15</f>
        <v>0.291603053435115</v>
      </c>
      <c r="G15" s="8" t="s">
        <v>392</v>
      </c>
    </row>
    <row r="16" customFormat="false" ht="17.15" hidden="false" customHeight="false" outlineLevel="0" collapsed="false">
      <c r="A16" s="4" t="s">
        <v>393</v>
      </c>
      <c r="B16" s="15" t="n">
        <f aca="false">a_hobp-a_fmbp</f>
        <v>11.602</v>
      </c>
      <c r="C16" s="17" t="n">
        <v>6</v>
      </c>
      <c r="D16" s="15" t="n">
        <f aca="false">f_hobp-f_fmbp</f>
        <v>19.5</v>
      </c>
      <c r="E16" s="16" t="n">
        <f aca="false">D16/B16-1</f>
        <v>0.680744699189795</v>
      </c>
      <c r="F16" s="16" t="n">
        <f aca="false">C16/D16</f>
        <v>0.307692307692308</v>
      </c>
      <c r="G16" s="8" t="s">
        <v>31</v>
      </c>
    </row>
    <row r="17" customFormat="false" ht="17.15" hidden="false" customHeight="false" outlineLevel="0" collapsed="false">
      <c r="A17" s="4" t="s">
        <v>389</v>
      </c>
      <c r="B17" s="15" t="n">
        <f aca="false">a_othbp</f>
        <v>6.064</v>
      </c>
      <c r="C17" s="17" t="n">
        <v>1.6</v>
      </c>
      <c r="D17" s="15" t="n">
        <f aca="false">f_othbp</f>
        <v>5.1</v>
      </c>
      <c r="E17" s="16" t="n">
        <f aca="false">D17/B17-1</f>
        <v>-0.158970976253298</v>
      </c>
      <c r="F17" s="16" t="n">
        <f aca="false">C17/D17</f>
        <v>0.313725490196079</v>
      </c>
      <c r="G17" s="8" t="s">
        <v>381</v>
      </c>
    </row>
    <row r="18" customFormat="false" ht="17.15" hidden="false" customHeight="false" outlineLevel="0" collapsed="false">
      <c r="A18" s="4" t="s">
        <v>394</v>
      </c>
      <c r="B18" s="15" t="n">
        <f aca="false">a_cc</f>
        <v>-42.597</v>
      </c>
      <c r="C18" s="17" t="n">
        <v>-9.9</v>
      </c>
      <c r="D18" s="15" t="n">
        <f aca="false">f_cc</f>
        <v>-46.2</v>
      </c>
      <c r="E18" s="16" t="n">
        <f aca="false">D18/B18-1</f>
        <v>0.0845834213677019</v>
      </c>
      <c r="F18" s="16" t="n">
        <f aca="false">C18/D18</f>
        <v>0.214285714285714</v>
      </c>
      <c r="G18" s="8" t="s">
        <v>381</v>
      </c>
      <c r="H18" s="4" t="s">
        <v>395</v>
      </c>
    </row>
    <row r="19" customFormat="false" ht="17.15" hidden="false" customHeight="false" outlineLevel="0" collapsed="false">
      <c r="A19" s="4" t="s">
        <v>396</v>
      </c>
      <c r="B19" s="15" t="n">
        <f aca="false">a_oi</f>
        <v>199.412</v>
      </c>
      <c r="C19" s="17" t="n">
        <v>55.895</v>
      </c>
      <c r="D19" s="15" t="n">
        <f aca="false">f_oi</f>
        <v>184.2</v>
      </c>
      <c r="E19" s="16" t="n">
        <f aca="false">D19/B19-1</f>
        <v>-0.0762842757707661</v>
      </c>
      <c r="F19" s="16" t="n">
        <f aca="false">C19/D19</f>
        <v>0.303447339847991</v>
      </c>
      <c r="G19" s="8" t="s">
        <v>381</v>
      </c>
    </row>
    <row r="20" customFormat="false" ht="17.15" hidden="false" customHeight="false" outlineLevel="0" collapsed="false">
      <c r="A20" s="4" t="s">
        <v>397</v>
      </c>
      <c r="B20" s="15" t="n">
        <f aca="false">a_ni</f>
        <v>134.675</v>
      </c>
      <c r="C20" s="15" t="n">
        <f aca="false">q1_ni</f>
        <v>36.452</v>
      </c>
      <c r="D20" s="15" t="n">
        <f aca="false">f_ni</f>
        <v>123.5</v>
      </c>
      <c r="E20" s="16" t="n">
        <f aca="false">D20/B20-1</f>
        <v>-0.0829775385186561</v>
      </c>
      <c r="F20" s="16" t="n">
        <f aca="false">C20/D20</f>
        <v>0.295157894736842</v>
      </c>
      <c r="G20" s="8" t="s">
        <v>381</v>
      </c>
      <c r="H20" s="8" t="s">
        <v>398</v>
      </c>
    </row>
    <row r="21" customFormat="false" ht="17.15" hidden="false" customHeight="false" outlineLevel="0" collapsed="false">
      <c r="A21" s="0" t="s">
        <v>399</v>
      </c>
      <c r="B21" s="18" t="n">
        <f aca="false">a_eps</f>
        <v>138.36</v>
      </c>
      <c r="C21" s="18" t="n">
        <f aca="false">q1_eps</f>
        <v>38.11</v>
      </c>
      <c r="D21" s="18" t="n">
        <f aca="false">f_eps</f>
        <v>129.84</v>
      </c>
      <c r="E21" s="16" t="n">
        <f aca="false">D21/B21-1</f>
        <v>-0.0615784908933218</v>
      </c>
      <c r="F21" s="16" t="n">
        <f aca="false">C21/D21</f>
        <v>0.293515095502157</v>
      </c>
      <c r="G21" s="8" t="s">
        <v>381</v>
      </c>
    </row>
    <row r="23" customFormat="false" ht="15" hidden="false" customHeight="false" outlineLevel="0" collapsed="false">
      <c r="A23" s="1" t="s">
        <v>400</v>
      </c>
    </row>
    <row r="24" customFormat="false" ht="17.15" hidden="false" customHeight="false" outlineLevel="0" collapsed="false">
      <c r="A24" s="0" t="s">
        <v>401</v>
      </c>
      <c r="B24" s="16" t="n">
        <f aca="false">B15/B8</f>
        <v>0.532936656671664</v>
      </c>
      <c r="C24" s="16" t="n">
        <f aca="false">C15/C8</f>
        <v>0.577039274924471</v>
      </c>
      <c r="D24" s="16" t="n">
        <f aca="false">D15/D8</f>
        <v>0.543117744610282</v>
      </c>
      <c r="G24" s="8" t="s">
        <v>31</v>
      </c>
      <c r="H24" s="8" t="s">
        <v>402</v>
      </c>
    </row>
    <row r="25" customFormat="false" ht="17.15" hidden="false" customHeight="false" outlineLevel="0" collapsed="false">
      <c r="A25" s="0" t="s">
        <v>403</v>
      </c>
      <c r="B25" s="16" t="n">
        <f aca="false">B8/B4</f>
        <v>0.0646902638662541</v>
      </c>
      <c r="C25" s="16" t="n">
        <f aca="false">C8/C4</f>
        <v>0.0803193360915301</v>
      </c>
      <c r="D25" s="16" t="n">
        <f aca="false">D8/D4</f>
        <v>0.0696304849884527</v>
      </c>
      <c r="G25" s="8" t="s">
        <v>31</v>
      </c>
    </row>
    <row r="26" customFormat="false" ht="17.15" hidden="false" customHeight="false" outlineLevel="0" collapsed="false">
      <c r="A26" s="0" t="s">
        <v>404</v>
      </c>
      <c r="B26" s="16" t="n">
        <f aca="false">B15/B11</f>
        <v>0.301386044611758</v>
      </c>
      <c r="C26" s="16" t="n">
        <f aca="false">C15/C11</f>
        <v>0.317719076452192</v>
      </c>
      <c r="D26" s="16" t="n">
        <f aca="false">D15/D11</f>
        <v>0.324257425742574</v>
      </c>
      <c r="G26" s="8" t="s">
        <v>31</v>
      </c>
      <c r="H26" s="8" t="s">
        <v>405</v>
      </c>
    </row>
    <row r="27" customFormat="false" ht="15" hidden="false" customHeight="false" outlineLevel="0" collapsed="false">
      <c r="A27" s="4" t="s">
        <v>406</v>
      </c>
      <c r="B27" s="16" t="n">
        <f aca="false">B11/B4</f>
        <v>0.114390873633517</v>
      </c>
      <c r="C27" s="16" t="n">
        <f aca="false">C11/C4</f>
        <v>0.145875444364907</v>
      </c>
      <c r="D27" s="16" t="n">
        <f aca="false">D11/D4</f>
        <v>0.11662817551963</v>
      </c>
      <c r="G27" s="8" t="s">
        <v>31</v>
      </c>
    </row>
    <row r="28" customFormat="false" ht="17.15" hidden="false" customHeight="false" outlineLevel="0" collapsed="false">
      <c r="A28" s="4" t="s">
        <v>407</v>
      </c>
      <c r="B28" s="16" t="n">
        <f aca="false">B20/B11</f>
        <v>0.743391310587703</v>
      </c>
      <c r="C28" s="16" t="n">
        <f aca="false">C20/C11</f>
        <v>0.606361035331692</v>
      </c>
      <c r="D28" s="16" t="n">
        <f aca="false">D20/D11</f>
        <v>0.611386138613861</v>
      </c>
      <c r="G28" s="8" t="s">
        <v>31</v>
      </c>
    </row>
    <row r="29" customFormat="false" ht="17.15" hidden="false" customHeight="false" outlineLevel="0" collapsed="false">
      <c r="A29" s="4" t="s">
        <v>408</v>
      </c>
      <c r="B29" s="19" t="n">
        <f aca="false">B20/B21</f>
        <v>0.973366579936398</v>
      </c>
      <c r="C29" s="19" t="n">
        <f aca="false">C20/C21</f>
        <v>0.956494358436106</v>
      </c>
      <c r="D29" s="19" t="n">
        <f aca="false">D20/D21</f>
        <v>0.95117067159581</v>
      </c>
      <c r="G29" s="8" t="s">
        <v>31</v>
      </c>
    </row>
    <row r="31" customFormat="false" ht="17.15" hidden="false" customHeight="false" outlineLevel="0" collapsed="false">
      <c r="A31" s="1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410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14" t="s">
        <v>411</v>
      </c>
      <c r="D3" s="14" t="s">
        <v>412</v>
      </c>
      <c r="E3" s="14" t="s">
        <v>413</v>
      </c>
      <c r="F3" s="14" t="s">
        <v>414</v>
      </c>
      <c r="G3" s="5" t="s">
        <v>379</v>
      </c>
    </row>
    <row r="4" customFormat="false" ht="17.15" hidden="false" customHeight="false" outlineLevel="0" collapsed="false">
      <c r="A4" s="0" t="s">
        <v>415</v>
      </c>
      <c r="B4" s="4" t="s">
        <v>30</v>
      </c>
      <c r="C4" s="20" t="n">
        <f aca="false">PL!D73</f>
        <v>7.6</v>
      </c>
      <c r="D4" s="20" t="n">
        <f aca="false">PL!E73</f>
        <v>9.7</v>
      </c>
      <c r="E4" s="20" t="n">
        <f aca="false">PL!F73</f>
        <v>9.5</v>
      </c>
      <c r="F4" s="20" t="n">
        <f aca="false">PL!G73</f>
        <v>10.6</v>
      </c>
      <c r="G4" s="8" t="s">
        <v>416</v>
      </c>
    </row>
    <row r="5" customFormat="false" ht="17.15" hidden="false" customHeight="false" outlineLevel="0" collapsed="false">
      <c r="A5" s="4" t="s">
        <v>417</v>
      </c>
      <c r="B5" s="4" t="s">
        <v>30</v>
      </c>
      <c r="C5" s="20" t="n">
        <f aca="false">PL!D74</f>
        <v>7.6</v>
      </c>
      <c r="D5" s="20" t="n">
        <f aca="false">PL!E74</f>
        <v>14</v>
      </c>
      <c r="E5" s="20" t="n">
        <f aca="false">PL!F74</f>
        <v>17</v>
      </c>
      <c r="F5" s="20" t="n">
        <f aca="false">PL!G74</f>
        <v>19.55</v>
      </c>
      <c r="G5" s="8" t="s">
        <v>416</v>
      </c>
    </row>
    <row r="6" customFormat="false" ht="17.15" hidden="false" customHeight="false" outlineLevel="0" collapsed="false">
      <c r="A6" s="4" t="s">
        <v>418</v>
      </c>
      <c r="B6" s="4" t="s">
        <v>30</v>
      </c>
      <c r="C6" s="20" t="n">
        <f aca="false">PL!D75</f>
        <v>13.68</v>
      </c>
      <c r="D6" s="20" t="n">
        <f aca="false">PL!E75</f>
        <v>20.9</v>
      </c>
      <c r="E6" s="20" t="n">
        <f aca="false">PL!F75</f>
        <v>23.1</v>
      </c>
      <c r="F6" s="20" t="n">
        <f aca="false">PL!G75</f>
        <v>26.24</v>
      </c>
      <c r="G6" s="8" t="s">
        <v>419</v>
      </c>
    </row>
    <row r="7" customFormat="false" ht="17.15" hidden="false" customHeight="false" outlineLevel="0" collapsed="false">
      <c r="A7" s="4" t="s">
        <v>420</v>
      </c>
      <c r="B7" s="0" t="s">
        <v>52</v>
      </c>
      <c r="C7" s="21" t="n">
        <f aca="false">PL!D76</f>
        <v>1</v>
      </c>
      <c r="D7" s="21" t="n">
        <f aca="false">PL!E76</f>
        <v>1.18</v>
      </c>
      <c r="E7" s="21" t="n">
        <f aca="false">PL!F76</f>
        <v>1.3924</v>
      </c>
      <c r="F7" s="21" t="n">
        <f aca="false">PL!G76</f>
        <v>1.643032</v>
      </c>
      <c r="G7" s="8" t="s">
        <v>421</v>
      </c>
    </row>
    <row r="8" customFormat="false" ht="17.15" hidden="false" customHeight="false" outlineLevel="0" collapsed="false">
      <c r="A8" s="0" t="s">
        <v>422</v>
      </c>
      <c r="B8" s="0" t="s">
        <v>52</v>
      </c>
      <c r="C8" s="21" t="n">
        <f aca="false">PL!D78</f>
        <v>1</v>
      </c>
      <c r="D8" s="21" t="n">
        <f aca="false">PL!E78</f>
        <v>1.80277777777778</v>
      </c>
      <c r="E8" s="21" t="n">
        <f aca="false">PL!F78</f>
        <v>2.28066570175439</v>
      </c>
      <c r="F8" s="21" t="n">
        <f aca="false">PL!G78</f>
        <v>2.99396942222222</v>
      </c>
      <c r="G8" s="8" t="s">
        <v>423</v>
      </c>
    </row>
    <row r="9" customFormat="false" ht="17.15" hidden="false" customHeight="false" outlineLevel="0" collapsed="false">
      <c r="A9" s="0" t="s">
        <v>424</v>
      </c>
      <c r="B9" s="0" t="s">
        <v>52</v>
      </c>
      <c r="C9" s="21" t="n">
        <f aca="false">PL!D80</f>
        <v>1</v>
      </c>
      <c r="D9" s="21" t="n">
        <f aca="false">PL!E80</f>
        <v>1.33911111111111</v>
      </c>
      <c r="E9" s="21" t="n">
        <f aca="false">PL!F80</f>
        <v>1.54880628070175</v>
      </c>
      <c r="F9" s="21" t="n">
        <f aca="false">PL!G80</f>
        <v>1.85322396888889</v>
      </c>
    </row>
    <row r="10" customFormat="false" ht="15" hidden="false" customHeight="false" outlineLevel="0" collapsed="false">
      <c r="A10" s="4" t="s">
        <v>425</v>
      </c>
      <c r="B10" s="0" t="s">
        <v>52</v>
      </c>
      <c r="C10" s="21" t="n">
        <f aca="false">PL!D81</f>
        <v>1</v>
      </c>
      <c r="D10" s="21" t="n">
        <f aca="false">PL!E81</f>
        <v>1.3</v>
      </c>
      <c r="E10" s="21" t="n">
        <f aca="false">PL!F81</f>
        <v>1.55</v>
      </c>
      <c r="F10" s="21" t="n">
        <f aca="false">PL!G81</f>
        <v>1.8</v>
      </c>
      <c r="G10" s="8" t="s">
        <v>53</v>
      </c>
    </row>
    <row r="11" customFormat="false" ht="17.15" hidden="false" customHeight="false" outlineLevel="0" collapsed="false">
      <c r="A11" s="4" t="s">
        <v>426</v>
      </c>
      <c r="B11" s="0" t="s">
        <v>77</v>
      </c>
      <c r="C11" s="16" t="n">
        <f aca="false">PL!D83</f>
        <v>1</v>
      </c>
      <c r="D11" s="16" t="n">
        <f aca="false">PL!E83</f>
        <v>0.970793229339529</v>
      </c>
      <c r="E11" s="16" t="n">
        <f aca="false">PL!F83</f>
        <v>1</v>
      </c>
      <c r="F11" s="16" t="n">
        <f aca="false">PL!G83</f>
        <v>0.971280336439422</v>
      </c>
      <c r="G11" s="4" t="s">
        <v>427</v>
      </c>
    </row>
    <row r="12" customFormat="false" ht="17.15" hidden="false" customHeight="false" outlineLevel="0" collapsed="false">
      <c r="A12" s="0" t="s">
        <v>428</v>
      </c>
      <c r="B12" s="0" t="s">
        <v>52</v>
      </c>
      <c r="C12" s="21" t="n">
        <f aca="false">PL!D84</f>
        <v>1</v>
      </c>
      <c r="D12" s="21" t="n">
        <f aca="false">PL!E84</f>
        <v>1.12</v>
      </c>
      <c r="E12" s="21" t="n">
        <f aca="false">PL!F84</f>
        <v>1.15</v>
      </c>
      <c r="F12" s="21" t="n">
        <f aca="false">PL!G84</f>
        <v>1.12</v>
      </c>
      <c r="G12" s="8" t="s">
        <v>53</v>
      </c>
    </row>
    <row r="13" customFormat="false" ht="17.15" hidden="false" customHeight="false" outlineLevel="0" collapsed="false">
      <c r="A13" s="0" t="s">
        <v>429</v>
      </c>
      <c r="B13" s="0" t="s">
        <v>169</v>
      </c>
      <c r="C13" s="15" t="n">
        <f aca="false">PL!D85</f>
        <v>48.24</v>
      </c>
      <c r="D13" s="15" t="n">
        <f aca="false">PL!E85</f>
        <v>94.5571244606705</v>
      </c>
      <c r="E13" s="15" t="n">
        <f aca="false">PL!F85</f>
        <v>126.522210470526</v>
      </c>
      <c r="F13" s="15" t="n">
        <f aca="false">PL!G85</f>
        <v>157.114865824566</v>
      </c>
    </row>
    <row r="14" customFormat="false" ht="17.15" hidden="false" customHeight="false" outlineLevel="0" collapsed="false">
      <c r="A14" s="0" t="s">
        <v>430</v>
      </c>
      <c r="B14" s="0" t="s">
        <v>169</v>
      </c>
      <c r="C14" s="15" t="n">
        <f aca="false">PL!D87</f>
        <v>120.6</v>
      </c>
      <c r="D14" s="15" t="n">
        <f aca="false">PL!E87</f>
        <v>175.5936</v>
      </c>
      <c r="E14" s="15" t="n">
        <f aca="false">PL!F87</f>
        <v>214.803943070526</v>
      </c>
      <c r="F14" s="15" t="n">
        <f aca="false">PL!G87</f>
        <v>243.1296</v>
      </c>
    </row>
    <row r="15" customFormat="false" ht="17.15" hidden="false" customHeight="false" outlineLevel="0" collapsed="false">
      <c r="A15" s="4" t="s">
        <v>431</v>
      </c>
      <c r="B15" s="0" t="s">
        <v>432</v>
      </c>
      <c r="C15" s="15" t="n">
        <f aca="false">PL!D117</f>
        <v>23.5087719298246</v>
      </c>
      <c r="D15" s="15" t="n">
        <f aca="false">PL!E117</f>
        <v>30.1617621884116</v>
      </c>
      <c r="E15" s="15" t="n">
        <f aca="false">PL!F117</f>
        <v>36.5143464561404</v>
      </c>
      <c r="F15" s="15" t="n">
        <f aca="false">PL!G117</f>
        <v>39.9173947725016</v>
      </c>
      <c r="G15" s="8" t="s">
        <v>433</v>
      </c>
    </row>
    <row r="16" customFormat="false" ht="17.15" hidden="false" customHeight="false" outlineLevel="0" collapsed="false">
      <c r="A16" s="4" t="s">
        <v>434</v>
      </c>
      <c r="B16" s="0" t="s">
        <v>432</v>
      </c>
      <c r="C16" s="22" t="n">
        <v>215.308595737464</v>
      </c>
      <c r="D16" s="22" t="n">
        <v>254.064142970207</v>
      </c>
      <c r="E16" s="22" t="n">
        <v>284.805904269603</v>
      </c>
      <c r="F16" s="22" t="n">
        <v>318.383021404545</v>
      </c>
      <c r="G16" s="8" t="s">
        <v>435</v>
      </c>
    </row>
    <row r="17" customFormat="false" ht="17.15" hidden="false" customHeight="false" outlineLevel="0" collapsed="false">
      <c r="A17" s="0" t="s">
        <v>436</v>
      </c>
      <c r="B17" s="0" t="s">
        <v>77</v>
      </c>
      <c r="C17" s="16" t="n">
        <f aca="false">C15/C16</f>
        <v>0.109186406837607</v>
      </c>
      <c r="D17" s="16" t="n">
        <f aca="false">D15/D16</f>
        <v>0.118717115433123</v>
      </c>
      <c r="E17" s="16" t="n">
        <f aca="false">E15/E16</f>
        <v>0.128207828239316</v>
      </c>
      <c r="F17" s="16" t="n">
        <f aca="false">F15/F16</f>
        <v>0.125375387784205</v>
      </c>
      <c r="G17" s="8" t="s">
        <v>437</v>
      </c>
    </row>
    <row r="18" customFormat="false" ht="17.15" hidden="false" customHeight="false" outlineLevel="0" collapsed="false">
      <c r="A18" s="4" t="s">
        <v>438</v>
      </c>
      <c r="B18" s="0" t="s">
        <v>169</v>
      </c>
      <c r="C18" s="17" t="n">
        <v>243.75</v>
      </c>
      <c r="D18" s="17" t="n">
        <v>392.916294642857</v>
      </c>
      <c r="E18" s="17" t="n">
        <v>434.671226785714</v>
      </c>
      <c r="F18" s="17" t="n">
        <v>530.395803596334</v>
      </c>
      <c r="G18" s="8" t="s">
        <v>439</v>
      </c>
    </row>
    <row r="19" customFormat="false" ht="17.15" hidden="false" customHeight="false" outlineLevel="0" collapsed="false">
      <c r="A19" s="4" t="s">
        <v>440</v>
      </c>
      <c r="B19" s="0" t="s">
        <v>441</v>
      </c>
      <c r="D19" s="16" t="n">
        <f aca="false">(D13/C13-1)-(D18/C18-1)</f>
        <v>0.348175110236595</v>
      </c>
      <c r="E19" s="16" t="n">
        <f aca="false">(E13/D13-1)-(E18/D18-1)</f>
        <v>0.231781248643857</v>
      </c>
      <c r="F19" s="16" t="n">
        <f aca="false">(F13/E13-1)-(F18/E18-1)</f>
        <v>0.021573775830841</v>
      </c>
      <c r="G19" s="4" t="s">
        <v>442</v>
      </c>
    </row>
    <row r="21" customFormat="false" ht="17.15" hidden="false" customHeight="false" outlineLevel="0" collapsed="false">
      <c r="A21" s="1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444</v>
      </c>
    </row>
    <row r="2" customFormat="false" ht="17.15" hidden="false" customHeight="false" outlineLevel="0" collapsed="false">
      <c r="A2" s="4" t="s">
        <v>445</v>
      </c>
    </row>
    <row r="3" customFormat="false" ht="17.15" hidden="false" customHeight="false" outlineLevel="0" collapsed="false">
      <c r="A3" s="5" t="s">
        <v>446</v>
      </c>
      <c r="B3" s="5" t="s">
        <v>20</v>
      </c>
      <c r="C3" s="14" t="s">
        <v>374</v>
      </c>
      <c r="D3" s="14" t="s">
        <v>447</v>
      </c>
      <c r="E3" s="14" t="s">
        <v>412</v>
      </c>
      <c r="F3" s="14" t="s">
        <v>413</v>
      </c>
      <c r="G3" s="14" t="s">
        <v>414</v>
      </c>
      <c r="H3" s="14" t="s">
        <v>448</v>
      </c>
      <c r="I3" s="14" t="s">
        <v>449</v>
      </c>
      <c r="J3" s="14" t="s">
        <v>450</v>
      </c>
      <c r="K3" s="5" t="s">
        <v>379</v>
      </c>
    </row>
    <row r="4" customFormat="false" ht="17.15" hidden="false" customHeight="false" outlineLevel="0" collapsed="false">
      <c r="A4" s="1" t="s">
        <v>451</v>
      </c>
    </row>
    <row r="5" customFormat="false" ht="15" hidden="false" customHeight="false" outlineLevel="0" collapsed="false">
      <c r="A5" s="4" t="s">
        <v>380</v>
      </c>
      <c r="B5" s="0" t="s">
        <v>169</v>
      </c>
      <c r="C5" s="15" t="n">
        <f aca="false">C103</f>
        <v>1583.719</v>
      </c>
      <c r="D5" s="15" t="n">
        <f aca="false">D103</f>
        <v>1732</v>
      </c>
      <c r="E5" s="15" t="n">
        <f aca="false">E103</f>
        <v>1850.5656</v>
      </c>
      <c r="F5" s="15" t="n">
        <f aca="false">F103</f>
        <v>1955.94074307053</v>
      </c>
      <c r="G5" s="15" t="n">
        <f aca="false">G103</f>
        <v>2053.1320716</v>
      </c>
      <c r="H5" s="23" t="n">
        <f aca="false">H103</f>
        <v>2162.20857776426</v>
      </c>
      <c r="I5" s="23" t="n">
        <f aca="false">I103</f>
        <v>2284.5105355383</v>
      </c>
      <c r="J5" s="23" t="n">
        <f aca="false">J103</f>
        <v>2421.5811676706</v>
      </c>
    </row>
    <row r="6" customFormat="false" ht="15" hidden="false" customHeight="false" outlineLevel="0" collapsed="false">
      <c r="A6" s="4" t="s">
        <v>452</v>
      </c>
      <c r="B6" s="0" t="s">
        <v>77</v>
      </c>
      <c r="D6" s="16" t="n">
        <f aca="false">D104</f>
        <v>0.0936283519993131</v>
      </c>
      <c r="E6" s="16" t="n">
        <f aca="false">E104</f>
        <v>0.0684558891454965</v>
      </c>
      <c r="F6" s="16" t="n">
        <f aca="false">F104</f>
        <v>0.0569421278935081</v>
      </c>
      <c r="G6" s="16" t="n">
        <f aca="false">G104</f>
        <v>0.0496903236326567</v>
      </c>
      <c r="H6" s="24" t="n">
        <f aca="false">H104</f>
        <v>0.0531268824217711</v>
      </c>
      <c r="I6" s="24" t="n">
        <f aca="false">I104</f>
        <v>0.0565634412108856</v>
      </c>
      <c r="J6" s="24" t="n">
        <f aca="false">J104</f>
        <v>0.06</v>
      </c>
    </row>
    <row r="7" customFormat="false" ht="17.15" hidden="false" customHeight="false" outlineLevel="0" collapsed="false">
      <c r="A7" s="4" t="s">
        <v>453</v>
      </c>
      <c r="B7" s="0" t="s">
        <v>169</v>
      </c>
      <c r="C7" s="15" t="n">
        <f aca="false">C87</f>
        <v>102.4512</v>
      </c>
      <c r="D7" s="15" t="n">
        <f aca="false">D87</f>
        <v>120.6</v>
      </c>
      <c r="E7" s="15" t="n">
        <f aca="false">E87</f>
        <v>175.5936</v>
      </c>
      <c r="F7" s="15" t="n">
        <f aca="false">F87</f>
        <v>214.803943070526</v>
      </c>
      <c r="G7" s="15" t="n">
        <f aca="false">G87</f>
        <v>243.1296</v>
      </c>
    </row>
    <row r="8" customFormat="false" ht="17.15" hidden="false" customHeight="false" outlineLevel="0" collapsed="false">
      <c r="A8" s="4" t="s">
        <v>454</v>
      </c>
      <c r="B8" s="0" t="s">
        <v>169</v>
      </c>
      <c r="D8" s="15" t="n">
        <f aca="false">D85</f>
        <v>48.24</v>
      </c>
      <c r="E8" s="15" t="n">
        <f aca="false">E85</f>
        <v>94.5571244606705</v>
      </c>
      <c r="F8" s="15" t="n">
        <f aca="false">F85</f>
        <v>126.522210470526</v>
      </c>
      <c r="G8" s="15" t="n">
        <f aca="false">G85</f>
        <v>157.114865824566</v>
      </c>
    </row>
    <row r="9" customFormat="false" ht="17.15" hidden="false" customHeight="false" outlineLevel="0" collapsed="false">
      <c r="A9" s="0" t="s">
        <v>401</v>
      </c>
      <c r="B9" s="0" t="s">
        <v>77</v>
      </c>
      <c r="C9" s="16" t="n">
        <f aca="false">C88</f>
        <v>0.532936656671664</v>
      </c>
      <c r="D9" s="16" t="n">
        <f aca="false">D88</f>
        <v>0.543117744610282</v>
      </c>
      <c r="E9" s="16" t="n">
        <f aca="false">E88</f>
        <v>0.579831497275527</v>
      </c>
      <c r="F9" s="16" t="n">
        <f aca="false">F88</f>
        <v>0.578516187180042</v>
      </c>
      <c r="G9" s="16" t="n">
        <f aca="false">G88</f>
        <v>0.554243235459607</v>
      </c>
    </row>
    <row r="10" customFormat="false" ht="17.15" hidden="false" customHeight="false" outlineLevel="0" collapsed="false">
      <c r="A10" s="0" t="s">
        <v>455</v>
      </c>
      <c r="B10" s="0" t="s">
        <v>169</v>
      </c>
      <c r="C10" s="15" t="n">
        <f aca="false">C89</f>
        <v>54.6</v>
      </c>
      <c r="D10" s="15" t="n">
        <f aca="false">D89</f>
        <v>65.5</v>
      </c>
      <c r="E10" s="15" t="n">
        <f aca="false">E89</f>
        <v>101.8147</v>
      </c>
      <c r="F10" s="15" t="n">
        <f aca="false">F89</f>
        <v>124.2675581364</v>
      </c>
      <c r="G10" s="15" t="n">
        <f aca="false">G89</f>
        <v>134.75293614</v>
      </c>
    </row>
    <row r="11" customFormat="false" ht="15" hidden="false" customHeight="false" outlineLevel="0" collapsed="false">
      <c r="A11" s="4" t="s">
        <v>390</v>
      </c>
      <c r="B11" s="0" t="s">
        <v>169</v>
      </c>
      <c r="C11" s="15" t="n">
        <f aca="false">C106</f>
        <v>181.163</v>
      </c>
      <c r="D11" s="15" t="n">
        <f aca="false">D106</f>
        <v>202</v>
      </c>
      <c r="E11" s="15" t="n">
        <f aca="false">E106</f>
        <v>246.03601</v>
      </c>
      <c r="F11" s="15" t="n">
        <f aca="false">F106</f>
        <v>274.5863674364</v>
      </c>
      <c r="G11" s="15" t="n">
        <f aca="false">G106</f>
        <v>291.433339119</v>
      </c>
    </row>
    <row r="12" customFormat="false" ht="15" hidden="false" customHeight="false" outlineLevel="0" collapsed="false">
      <c r="A12" s="4" t="s">
        <v>456</v>
      </c>
      <c r="B12" s="0" t="s">
        <v>77</v>
      </c>
      <c r="C12" s="16" t="n">
        <f aca="false">C107</f>
        <v>0.114390873633517</v>
      </c>
      <c r="D12" s="16" t="n">
        <f aca="false">D107</f>
        <v>0.11662817551963</v>
      </c>
      <c r="E12" s="16" t="n">
        <f aca="false">E107</f>
        <v>0.132951790522854</v>
      </c>
      <c r="F12" s="16" t="n">
        <f aca="false">F107</f>
        <v>0.140385831426233</v>
      </c>
      <c r="G12" s="16" t="n">
        <f aca="false">G107</f>
        <v>0.141945734105594</v>
      </c>
    </row>
    <row r="13" customFormat="false" ht="17.15" hidden="false" customHeight="false" outlineLevel="0" collapsed="false">
      <c r="A13" s="0" t="s">
        <v>457</v>
      </c>
      <c r="B13" s="0" t="s">
        <v>77</v>
      </c>
      <c r="C13" s="16" t="n">
        <f aca="false">C108</f>
        <v>0.301386044611758</v>
      </c>
      <c r="D13" s="16" t="n">
        <f aca="false">D108</f>
        <v>0.324257425742574</v>
      </c>
      <c r="E13" s="16" t="n">
        <f aca="false">E108</f>
        <v>0.413820318415991</v>
      </c>
      <c r="F13" s="16" t="n">
        <f aca="false">F108</f>
        <v>0.452562737533511</v>
      </c>
      <c r="G13" s="16" t="n">
        <f aca="false">G108</f>
        <v>0.462379961562931</v>
      </c>
    </row>
    <row r="14" customFormat="false" ht="15" hidden="false" customHeight="false" outlineLevel="0" collapsed="false">
      <c r="A14" s="4" t="s">
        <v>458</v>
      </c>
      <c r="B14" s="0" t="s">
        <v>169</v>
      </c>
      <c r="C14" s="15" t="n">
        <f aca="false">C110</f>
        <v>134.675</v>
      </c>
      <c r="D14" s="15" t="n">
        <f aca="false">D110</f>
        <v>123.5</v>
      </c>
      <c r="E14" s="15" t="n">
        <f aca="false">E110</f>
        <v>152.5423262</v>
      </c>
      <c r="F14" s="15" t="n">
        <f aca="false">F110</f>
        <v>170.243547810568</v>
      </c>
      <c r="G14" s="15" t="n">
        <f aca="false">G110</f>
        <v>180.68867025378</v>
      </c>
      <c r="H14" s="23" t="n">
        <f aca="false">H110</f>
        <v>190.288095993299</v>
      </c>
      <c r="I14" s="23" t="n">
        <f aca="false">I110</f>
        <v>201.051445524147</v>
      </c>
      <c r="J14" s="23" t="n">
        <f aca="false">J110</f>
        <v>213.114532255596</v>
      </c>
    </row>
    <row r="15" customFormat="false" ht="15" hidden="false" customHeight="false" outlineLevel="0" collapsed="false">
      <c r="A15" s="4" t="s">
        <v>459</v>
      </c>
      <c r="B15" s="0" t="s">
        <v>77</v>
      </c>
      <c r="C15" s="25" t="n">
        <f aca="false">C114</f>
        <v>0.0850371814696925</v>
      </c>
      <c r="D15" s="25" t="n">
        <f aca="false">D114</f>
        <v>0.0713048498845266</v>
      </c>
      <c r="E15" s="25" t="n">
        <f aca="false">E114</f>
        <v>0.0824301101241696</v>
      </c>
      <c r="F15" s="25" t="n">
        <f aca="false">F114</f>
        <v>0.0870392154842644</v>
      </c>
      <c r="G15" s="25" t="n">
        <f aca="false">G114</f>
        <v>0.088006355145468</v>
      </c>
      <c r="H15" s="26" t="n">
        <f aca="false">H114</f>
        <v>0.088006355145468</v>
      </c>
      <c r="I15" s="26" t="n">
        <f aca="false">I114</f>
        <v>0.088006355145468</v>
      </c>
      <c r="J15" s="26" t="n">
        <f aca="false">J114</f>
        <v>0.088006355145468</v>
      </c>
    </row>
    <row r="16" customFormat="false" ht="15" hidden="false" customHeight="false" outlineLevel="0" collapsed="false">
      <c r="A16" s="0" t="s">
        <v>460</v>
      </c>
      <c r="B16" s="0" t="s">
        <v>207</v>
      </c>
      <c r="C16" s="20" t="n">
        <f aca="false">C112</f>
        <v>138.36</v>
      </c>
      <c r="D16" s="20" t="n">
        <f aca="false">D112</f>
        <v>129.84</v>
      </c>
      <c r="E16" s="20" t="n">
        <f aca="false">E112</f>
        <v>162.815476140554</v>
      </c>
      <c r="F16" s="20" t="n">
        <f aca="false">F112</f>
        <v>184.47594742965</v>
      </c>
      <c r="G16" s="20" t="n">
        <f aca="false">G112</f>
        <v>198.775923353582</v>
      </c>
      <c r="H16" s="27" t="n">
        <f aca="false">H112</f>
        <v>212.524130418138</v>
      </c>
      <c r="I16" s="27" t="n">
        <f aca="false">I112</f>
        <v>227.964697030395</v>
      </c>
      <c r="J16" s="27" t="n">
        <f aca="false">J112</f>
        <v>245.322415078395</v>
      </c>
    </row>
    <row r="17" customFormat="false" ht="17.15" hidden="false" customHeight="false" outlineLevel="0" collapsed="false">
      <c r="A17" s="0" t="s">
        <v>461</v>
      </c>
      <c r="B17" s="0" t="s">
        <v>77</v>
      </c>
      <c r="D17" s="16" t="n">
        <f aca="false">D113</f>
        <v>-0.0615784908933218</v>
      </c>
      <c r="E17" s="16" t="n">
        <f aca="false">E113</f>
        <v>0.253970087342527</v>
      </c>
      <c r="F17" s="16" t="n">
        <f aca="false">F113</f>
        <v>0.133036931147734</v>
      </c>
      <c r="G17" s="16" t="n">
        <f aca="false">G113</f>
        <v>0.0775167501410168</v>
      </c>
      <c r="H17" s="24" t="n">
        <f aca="false">H113</f>
        <v>0.0691643476363157</v>
      </c>
      <c r="I17" s="24" t="n">
        <f aca="false">I113</f>
        <v>0.0726532398080058</v>
      </c>
      <c r="J17" s="24" t="n">
        <f aca="false">J113</f>
        <v>0.0761421319796956</v>
      </c>
    </row>
    <row r="18" customFormat="false" ht="17.15" hidden="false" customHeight="false" outlineLevel="0" collapsed="false">
      <c r="A18" s="0" t="s">
        <v>462</v>
      </c>
      <c r="B18" s="0" t="s">
        <v>207</v>
      </c>
      <c r="D18" s="20" t="n">
        <f aca="false">D115</f>
        <v>42.1015841584158</v>
      </c>
      <c r="E18" s="20" t="n">
        <f aca="false">E115</f>
        <v>67.3763521795352</v>
      </c>
      <c r="F18" s="20" t="n">
        <f aca="false">F115</f>
        <v>83.4869397778505</v>
      </c>
      <c r="G18" s="20" t="n">
        <f aca="false">G115</f>
        <v>91.9100037998652</v>
      </c>
    </row>
    <row r="20" customFormat="false" ht="17.15" hidden="false" customHeight="false" outlineLevel="0" collapsed="false">
      <c r="A20" s="1" t="s">
        <v>463</v>
      </c>
    </row>
    <row r="21" customFormat="false" ht="15" hidden="false" customHeight="false" outlineLevel="0" collapsed="false">
      <c r="A21" s="4" t="s">
        <v>380</v>
      </c>
      <c r="B21" s="0" t="s">
        <v>169</v>
      </c>
      <c r="C21" s="15" t="n">
        <f aca="false">C153</f>
        <v>1583.719</v>
      </c>
      <c r="D21" s="15" t="n">
        <f aca="false">D153</f>
        <v>1732</v>
      </c>
      <c r="E21" s="15" t="n">
        <f aca="false">E153</f>
        <v>1850.5656</v>
      </c>
      <c r="F21" s="15" t="n">
        <f aca="false">F153</f>
        <v>1921.1613259276</v>
      </c>
      <c r="G21" s="15" t="n">
        <f aca="false">G153</f>
        <v>2024.75432417496</v>
      </c>
      <c r="H21" s="23" t="n">
        <f aca="false">H153</f>
        <v>2124.53701336304</v>
      </c>
      <c r="I21" s="23" t="n">
        <f aca="false">I153</f>
        <v>2219.37781258359</v>
      </c>
      <c r="J21" s="23" t="n">
        <f aca="false">J153</f>
        <v>2308.15292508694</v>
      </c>
    </row>
    <row r="22" customFormat="false" ht="15" hidden="false" customHeight="false" outlineLevel="0" collapsed="false">
      <c r="A22" s="4" t="s">
        <v>452</v>
      </c>
      <c r="B22" s="0" t="s">
        <v>77</v>
      </c>
      <c r="D22" s="16" t="n">
        <f aca="false">D154</f>
        <v>0.0936283519993131</v>
      </c>
      <c r="E22" s="16" t="n">
        <f aca="false">E154</f>
        <v>0.0684558891454965</v>
      </c>
      <c r="F22" s="16" t="n">
        <f aca="false">F154</f>
        <v>0.0381481888173001</v>
      </c>
      <c r="G22" s="16" t="n">
        <f aca="false">G154</f>
        <v>0.0539220714311148</v>
      </c>
      <c r="H22" s="24" t="n">
        <f aca="false">H154</f>
        <v>0.0492813809540766</v>
      </c>
      <c r="I22" s="24" t="n">
        <f aca="false">I154</f>
        <v>0.0446406904770383</v>
      </c>
      <c r="J22" s="24" t="n">
        <f aca="false">J154</f>
        <v>0.04</v>
      </c>
    </row>
    <row r="23" customFormat="false" ht="17.15" hidden="false" customHeight="false" outlineLevel="0" collapsed="false">
      <c r="A23" s="4" t="s">
        <v>453</v>
      </c>
      <c r="B23" s="0" t="s">
        <v>169</v>
      </c>
      <c r="C23" s="15" t="n">
        <f aca="false">C137</f>
        <v>102.4512</v>
      </c>
      <c r="D23" s="15" t="n">
        <f aca="false">D137</f>
        <v>120.6</v>
      </c>
      <c r="E23" s="15" t="n">
        <f aca="false">E137</f>
        <v>175.5936</v>
      </c>
      <c r="F23" s="15" t="n">
        <f aca="false">F137</f>
        <v>180.0245259276</v>
      </c>
      <c r="G23" s="15" t="n">
        <f aca="false">G137</f>
        <v>214.751852574963</v>
      </c>
    </row>
    <row r="24" customFormat="false" ht="17.15" hidden="false" customHeight="false" outlineLevel="0" collapsed="false">
      <c r="A24" s="4" t="s">
        <v>454</v>
      </c>
      <c r="B24" s="0" t="s">
        <v>169</v>
      </c>
      <c r="D24" s="15" t="n">
        <f aca="false">D135</f>
        <v>48.24</v>
      </c>
      <c r="E24" s="15" t="n">
        <f aca="false">E135</f>
        <v>94.5571244606705</v>
      </c>
      <c r="F24" s="15" t="n">
        <f aca="false">F135</f>
        <v>96.1568799576</v>
      </c>
      <c r="G24" s="15" t="n">
        <f aca="false">G135</f>
        <v>130.621664408883</v>
      </c>
    </row>
    <row r="25" customFormat="false" ht="17.15" hidden="false" customHeight="false" outlineLevel="0" collapsed="false">
      <c r="A25" s="0" t="s">
        <v>401</v>
      </c>
      <c r="B25" s="0" t="s">
        <v>77</v>
      </c>
      <c r="C25" s="16" t="n">
        <f aca="false">C138</f>
        <v>0.532936656671664</v>
      </c>
      <c r="D25" s="16" t="n">
        <f aca="false">D138</f>
        <v>0.543117744610282</v>
      </c>
      <c r="E25" s="16" t="n">
        <f aca="false">E138</f>
        <v>0.579831497275527</v>
      </c>
      <c r="F25" s="16" t="n">
        <f aca="false">F138</f>
        <v>0.55633282861057</v>
      </c>
      <c r="G25" s="16" t="n">
        <f aca="false">G138</f>
        <v>0.530782353115376</v>
      </c>
    </row>
    <row r="26" customFormat="false" ht="17.15" hidden="false" customHeight="false" outlineLevel="0" collapsed="false">
      <c r="A26" s="0" t="s">
        <v>455</v>
      </c>
      <c r="B26" s="0" t="s">
        <v>169</v>
      </c>
      <c r="C26" s="15" t="n">
        <f aca="false">C139</f>
        <v>54.6</v>
      </c>
      <c r="D26" s="15" t="n">
        <f aca="false">D139</f>
        <v>65.5</v>
      </c>
      <c r="E26" s="15" t="n">
        <f aca="false">E139</f>
        <v>101.8147</v>
      </c>
      <c r="F26" s="15" t="n">
        <f aca="false">F139</f>
        <v>100.153553728579</v>
      </c>
      <c r="G26" s="15" t="n">
        <f aca="false">G139</f>
        <v>113.986493645625</v>
      </c>
    </row>
    <row r="27" customFormat="false" ht="15" hidden="false" customHeight="false" outlineLevel="0" collapsed="false">
      <c r="A27" s="4" t="s">
        <v>390</v>
      </c>
      <c r="B27" s="0" t="s">
        <v>169</v>
      </c>
      <c r="C27" s="15" t="n">
        <f aca="false">C156</f>
        <v>181.163</v>
      </c>
      <c r="D27" s="15" t="n">
        <f aca="false">D156</f>
        <v>202</v>
      </c>
      <c r="E27" s="15" t="n">
        <f aca="false">E156</f>
        <v>246.03601</v>
      </c>
      <c r="F27" s="15" t="n">
        <f aca="false">F156</f>
        <v>250.472363028579</v>
      </c>
      <c r="G27" s="15" t="n">
        <f aca="false">G156</f>
        <v>270.666896624625</v>
      </c>
    </row>
    <row r="28" customFormat="false" ht="15" hidden="false" customHeight="false" outlineLevel="0" collapsed="false">
      <c r="A28" s="4" t="s">
        <v>456</v>
      </c>
      <c r="B28" s="0" t="s">
        <v>77</v>
      </c>
      <c r="C28" s="16" t="n">
        <f aca="false">C157</f>
        <v>0.114390873633517</v>
      </c>
      <c r="D28" s="16" t="n">
        <f aca="false">D157</f>
        <v>0.11662817551963</v>
      </c>
      <c r="E28" s="16" t="n">
        <f aca="false">E157</f>
        <v>0.132951790522854</v>
      </c>
      <c r="F28" s="16" t="n">
        <f aca="false">F157</f>
        <v>0.130375497178844</v>
      </c>
      <c r="G28" s="16" t="n">
        <f aca="false">G157</f>
        <v>0.133678883108406</v>
      </c>
    </row>
    <row r="29" customFormat="false" ht="17.15" hidden="false" customHeight="false" outlineLevel="0" collapsed="false">
      <c r="A29" s="0" t="s">
        <v>457</v>
      </c>
      <c r="B29" s="0" t="s">
        <v>77</v>
      </c>
      <c r="C29" s="16" t="n">
        <f aca="false">C158</f>
        <v>0.301386044611758</v>
      </c>
      <c r="D29" s="16" t="n">
        <f aca="false">D158</f>
        <v>0.324257425742574</v>
      </c>
      <c r="E29" s="16" t="n">
        <f aca="false">E158</f>
        <v>0.413820318415991</v>
      </c>
      <c r="F29" s="16" t="n">
        <f aca="false">F158</f>
        <v>0.399858701046196</v>
      </c>
      <c r="G29" s="16" t="n">
        <f aca="false">G158</f>
        <v>0.42113200789274</v>
      </c>
    </row>
    <row r="30" customFormat="false" ht="15" hidden="false" customHeight="false" outlineLevel="0" collapsed="false">
      <c r="A30" s="4" t="s">
        <v>458</v>
      </c>
      <c r="B30" s="0" t="s">
        <v>169</v>
      </c>
      <c r="C30" s="15" t="n">
        <f aca="false">C160</f>
        <v>134.675</v>
      </c>
      <c r="D30" s="15" t="n">
        <f aca="false">D160</f>
        <v>123.5</v>
      </c>
      <c r="E30" s="15" t="n">
        <f aca="false">E160</f>
        <v>152.5423262</v>
      </c>
      <c r="F30" s="15" t="n">
        <f aca="false">F160</f>
        <v>155.292865077719</v>
      </c>
      <c r="G30" s="15" t="n">
        <f aca="false">G160</f>
        <v>167.813475907268</v>
      </c>
      <c r="H30" s="23" t="n">
        <f aca="false">H160</f>
        <v>170.214103884592</v>
      </c>
      <c r="I30" s="23" t="n">
        <f aca="false">I160</f>
        <v>171.681110769174</v>
      </c>
      <c r="J30" s="23" t="n">
        <f aca="false">J160</f>
        <v>172.171628228515</v>
      </c>
    </row>
    <row r="31" customFormat="false" ht="15" hidden="false" customHeight="false" outlineLevel="0" collapsed="false">
      <c r="A31" s="4" t="s">
        <v>459</v>
      </c>
      <c r="B31" s="0" t="s">
        <v>77</v>
      </c>
      <c r="C31" s="25" t="n">
        <f aca="false">C164</f>
        <v>0.0850371814696925</v>
      </c>
      <c r="D31" s="25" t="n">
        <f aca="false">D164</f>
        <v>0.0713048498845266</v>
      </c>
      <c r="E31" s="25" t="n">
        <f aca="false">E164</f>
        <v>0.0824301101241696</v>
      </c>
      <c r="F31" s="25" t="n">
        <f aca="false">F164</f>
        <v>0.0808328082508835</v>
      </c>
      <c r="G31" s="25" t="n">
        <f aca="false">G164</f>
        <v>0.082880907527212</v>
      </c>
      <c r="H31" s="26" t="n">
        <f aca="false">H164</f>
        <v>0.0801182106096382</v>
      </c>
      <c r="I31" s="26" t="n">
        <f aca="false">I164</f>
        <v>0.0773555136920645</v>
      </c>
      <c r="J31" s="26" t="n">
        <f aca="false">J164</f>
        <v>0.0745928167744908</v>
      </c>
    </row>
    <row r="32" customFormat="false" ht="15" hidden="false" customHeight="false" outlineLevel="0" collapsed="false">
      <c r="A32" s="0" t="s">
        <v>460</v>
      </c>
      <c r="B32" s="0" t="s">
        <v>207</v>
      </c>
      <c r="C32" s="20" t="n">
        <f aca="false">C162</f>
        <v>138.36</v>
      </c>
      <c r="D32" s="20" t="n">
        <f aca="false">D162</f>
        <v>129.84</v>
      </c>
      <c r="E32" s="20" t="n">
        <f aca="false">E162</f>
        <v>162.815476140554</v>
      </c>
      <c r="F32" s="20" t="n">
        <f aca="false">F162</f>
        <v>168.275384193437</v>
      </c>
      <c r="G32" s="20" t="n">
        <f aca="false">G162</f>
        <v>184.611899449978</v>
      </c>
      <c r="H32" s="27" t="n">
        <f aca="false">H162</f>
        <v>190.104400509896</v>
      </c>
      <c r="I32" s="27" t="n">
        <f aca="false">I162</f>
        <v>194.662775491639</v>
      </c>
      <c r="J32" s="27" t="n">
        <f aca="false">J162</f>
        <v>198.191832335215</v>
      </c>
    </row>
    <row r="33" customFormat="false" ht="17.15" hidden="false" customHeight="false" outlineLevel="0" collapsed="false">
      <c r="A33" s="0" t="s">
        <v>461</v>
      </c>
      <c r="B33" s="0" t="s">
        <v>77</v>
      </c>
      <c r="D33" s="16" t="n">
        <f aca="false">D163</f>
        <v>-0.0615784908933218</v>
      </c>
      <c r="E33" s="16" t="n">
        <f aca="false">E163</f>
        <v>0.253970087342527</v>
      </c>
      <c r="F33" s="16" t="n">
        <f aca="false">F163</f>
        <v>0.0335343309021159</v>
      </c>
      <c r="G33" s="16" t="n">
        <f aca="false">G163</f>
        <v>0.0970820261967882</v>
      </c>
      <c r="H33" s="24" t="n">
        <f aca="false">H163</f>
        <v>0.0297516090581462</v>
      </c>
      <c r="I33" s="24" t="n">
        <f aca="false">I163</f>
        <v>0.0239782717786479</v>
      </c>
      <c r="J33" s="24" t="n">
        <f aca="false">J163</f>
        <v>0.0181290790427846</v>
      </c>
    </row>
    <row r="34" customFormat="false" ht="17.15" hidden="false" customHeight="false" outlineLevel="0" collapsed="false">
      <c r="A34" s="0" t="s">
        <v>462</v>
      </c>
      <c r="B34" s="0" t="s">
        <v>207</v>
      </c>
      <c r="D34" s="20" t="n">
        <f aca="false">D165</f>
        <v>42.1015841584158</v>
      </c>
      <c r="E34" s="20" t="n">
        <f aca="false">E165</f>
        <v>67.3763521795352</v>
      </c>
      <c r="F34" s="20" t="n">
        <f aca="false">F165</f>
        <v>67.2863765416371</v>
      </c>
      <c r="G34" s="20" t="n">
        <f aca="false">G165</f>
        <v>77.7459798962621</v>
      </c>
    </row>
    <row r="36" customFormat="false" ht="17.15" hidden="false" customHeight="false" outlineLevel="0" collapsed="false">
      <c r="A36" s="1" t="s">
        <v>464</v>
      </c>
    </row>
    <row r="37" customFormat="false" ht="15" hidden="false" customHeight="false" outlineLevel="0" collapsed="false">
      <c r="A37" s="4" t="s">
        <v>380</v>
      </c>
      <c r="B37" s="0" t="s">
        <v>169</v>
      </c>
      <c r="C37" s="15" t="n">
        <f aca="false">C203</f>
        <v>1583.719</v>
      </c>
      <c r="D37" s="15" t="n">
        <f aca="false">D203</f>
        <v>1732</v>
      </c>
      <c r="E37" s="15" t="n">
        <f aca="false">E203</f>
        <v>1850.5656</v>
      </c>
      <c r="F37" s="15" t="n">
        <f aca="false">F203</f>
        <v>1885.62845181644</v>
      </c>
      <c r="G37" s="15" t="n">
        <f aca="false">G203</f>
        <v>1973.34317693265</v>
      </c>
      <c r="H37" s="23" t="n">
        <f aca="false">H203</f>
        <v>2047.695461452</v>
      </c>
      <c r="I37" s="23" t="n">
        <f aca="false">I203</f>
        <v>2106.74929345373</v>
      </c>
      <c r="J37" s="23" t="n">
        <f aca="false">J203</f>
        <v>2148.8842793228</v>
      </c>
    </row>
    <row r="38" customFormat="false" ht="15" hidden="false" customHeight="false" outlineLevel="0" collapsed="false">
      <c r="A38" s="4" t="s">
        <v>452</v>
      </c>
      <c r="B38" s="0" t="s">
        <v>77</v>
      </c>
      <c r="D38" s="16" t="n">
        <f aca="false">D204</f>
        <v>0.0936283519993131</v>
      </c>
      <c r="E38" s="16" t="n">
        <f aca="false">E204</f>
        <v>0.0684558891454965</v>
      </c>
      <c r="F38" s="16" t="n">
        <f aca="false">F204</f>
        <v>0.0189471001819326</v>
      </c>
      <c r="G38" s="16" t="n">
        <f aca="false">G204</f>
        <v>0.0465175019138686</v>
      </c>
      <c r="H38" s="24" t="n">
        <f aca="false">H204</f>
        <v>0.0376783346092457</v>
      </c>
      <c r="I38" s="24" t="n">
        <f aca="false">I204</f>
        <v>0.0288391673046229</v>
      </c>
      <c r="J38" s="24" t="n">
        <f aca="false">J204</f>
        <v>0.02</v>
      </c>
    </row>
    <row r="39" customFormat="false" ht="17.15" hidden="false" customHeight="false" outlineLevel="0" collapsed="false">
      <c r="A39" s="4" t="s">
        <v>453</v>
      </c>
      <c r="B39" s="0" t="s">
        <v>169</v>
      </c>
      <c r="C39" s="15" t="n">
        <f aca="false">C187</f>
        <v>102.4512</v>
      </c>
      <c r="D39" s="15" t="n">
        <f aca="false">D187</f>
        <v>120.6</v>
      </c>
      <c r="E39" s="15" t="n">
        <f aca="false">E187</f>
        <v>175.5936</v>
      </c>
      <c r="F39" s="15" t="n">
        <f aca="false">F187</f>
        <v>144.491651816438</v>
      </c>
      <c r="G39" s="15" t="n">
        <f aca="false">G187</f>
        <v>163.340705332654</v>
      </c>
    </row>
    <row r="40" customFormat="false" ht="17.15" hidden="false" customHeight="false" outlineLevel="0" collapsed="false">
      <c r="A40" s="4" t="s">
        <v>454</v>
      </c>
      <c r="B40" s="0" t="s">
        <v>169</v>
      </c>
      <c r="D40" s="15" t="n">
        <f aca="false">D185</f>
        <v>48.24</v>
      </c>
      <c r="E40" s="15" t="n">
        <f aca="false">E185</f>
        <v>94.5571244606705</v>
      </c>
      <c r="F40" s="15" t="n">
        <f aca="false">F185</f>
        <v>66.8037271284379</v>
      </c>
      <c r="G40" s="15" t="n">
        <f aca="false">G185</f>
        <v>85.4095836630221</v>
      </c>
    </row>
    <row r="41" customFormat="false" ht="17.15" hidden="false" customHeight="false" outlineLevel="0" collapsed="false">
      <c r="A41" s="0" t="s">
        <v>401</v>
      </c>
      <c r="B41" s="0" t="s">
        <v>77</v>
      </c>
      <c r="C41" s="16" t="n">
        <f aca="false">C188</f>
        <v>0.532936656671664</v>
      </c>
      <c r="D41" s="16" t="n">
        <f aca="false">D188</f>
        <v>0.543117744610282</v>
      </c>
      <c r="E41" s="16" t="n">
        <f aca="false">E188</f>
        <v>0.579831497275527</v>
      </c>
      <c r="F41" s="16" t="n">
        <f aca="false">F188</f>
        <v>0.521041121795502</v>
      </c>
      <c r="G41" s="16" t="n">
        <f aca="false">G188</f>
        <v>0.49345822211319</v>
      </c>
    </row>
    <row r="42" customFormat="false" ht="17.15" hidden="false" customHeight="false" outlineLevel="0" collapsed="false">
      <c r="A42" s="0" t="s">
        <v>455</v>
      </c>
      <c r="B42" s="0" t="s">
        <v>169</v>
      </c>
      <c r="C42" s="15" t="n">
        <f aca="false">C189</f>
        <v>54.6</v>
      </c>
      <c r="D42" s="15" t="n">
        <f aca="false">D189</f>
        <v>65.5</v>
      </c>
      <c r="E42" s="15" t="n">
        <f aca="false">E189</f>
        <v>101.8147</v>
      </c>
      <c r="F42" s="15" t="n">
        <f aca="false">F189</f>
        <v>75.2860923525219</v>
      </c>
      <c r="G42" s="15" t="n">
        <f aca="false">G189</f>
        <v>80.6018140521659</v>
      </c>
    </row>
    <row r="43" customFormat="false" ht="15" hidden="false" customHeight="false" outlineLevel="0" collapsed="false">
      <c r="A43" s="4" t="s">
        <v>390</v>
      </c>
      <c r="B43" s="0" t="s">
        <v>169</v>
      </c>
      <c r="C43" s="15" t="n">
        <f aca="false">C206</f>
        <v>181.163</v>
      </c>
      <c r="D43" s="15" t="n">
        <f aca="false">D206</f>
        <v>202</v>
      </c>
      <c r="E43" s="15" t="n">
        <f aca="false">E206</f>
        <v>246.03601</v>
      </c>
      <c r="F43" s="15" t="n">
        <f aca="false">F206</f>
        <v>225.604901652522</v>
      </c>
      <c r="G43" s="15" t="n">
        <f aca="false">G206</f>
        <v>237.282217031166</v>
      </c>
    </row>
    <row r="44" customFormat="false" ht="15" hidden="false" customHeight="false" outlineLevel="0" collapsed="false">
      <c r="A44" s="4" t="s">
        <v>456</v>
      </c>
      <c r="B44" s="0" t="s">
        <v>77</v>
      </c>
      <c r="C44" s="16" t="n">
        <f aca="false">C207</f>
        <v>0.114390873633517</v>
      </c>
      <c r="D44" s="16" t="n">
        <f aca="false">D207</f>
        <v>0.11662817551963</v>
      </c>
      <c r="E44" s="16" t="n">
        <f aca="false">E207</f>
        <v>0.132951790522854</v>
      </c>
      <c r="F44" s="16" t="n">
        <f aca="false">F207</f>
        <v>0.119644408968901</v>
      </c>
      <c r="G44" s="16" t="n">
        <f aca="false">G207</f>
        <v>0.120243766925525</v>
      </c>
    </row>
    <row r="45" customFormat="false" ht="17.15" hidden="false" customHeight="false" outlineLevel="0" collapsed="false">
      <c r="A45" s="0" t="s">
        <v>457</v>
      </c>
      <c r="B45" s="0" t="s">
        <v>77</v>
      </c>
      <c r="C45" s="16" t="n">
        <f aca="false">C208</f>
        <v>0.301386044611758</v>
      </c>
      <c r="D45" s="16" t="n">
        <f aca="false">D208</f>
        <v>0.324257425742574</v>
      </c>
      <c r="E45" s="16" t="n">
        <f aca="false">E208</f>
        <v>0.413820318415991</v>
      </c>
      <c r="F45" s="16" t="n">
        <f aca="false">F208</f>
        <v>0.333707697842833</v>
      </c>
      <c r="G45" s="16" t="n">
        <f aca="false">G208</f>
        <v>0.339687546166088</v>
      </c>
    </row>
    <row r="46" customFormat="false" ht="15" hidden="false" customHeight="false" outlineLevel="0" collapsed="false">
      <c r="A46" s="4" t="s">
        <v>458</v>
      </c>
      <c r="B46" s="0" t="s">
        <v>169</v>
      </c>
      <c r="C46" s="15" t="n">
        <f aca="false">C210</f>
        <v>134.675</v>
      </c>
      <c r="D46" s="15" t="n">
        <f aca="false">D210</f>
        <v>123.5</v>
      </c>
      <c r="E46" s="15" t="n">
        <f aca="false">E210</f>
        <v>152.5423262</v>
      </c>
      <c r="F46" s="15" t="n">
        <f aca="false">F210</f>
        <v>139.875039024564</v>
      </c>
      <c r="G46" s="15" t="n">
        <f aca="false">G210</f>
        <v>147.114974559323</v>
      </c>
      <c r="H46" s="23" t="n">
        <f aca="false">H210</f>
        <v>142.48082034368</v>
      </c>
      <c r="I46" s="23" t="n">
        <f aca="false">I210</f>
        <v>136.119145090752</v>
      </c>
      <c r="J46" s="23" t="n">
        <f aca="false">J210</f>
        <v>128.161410454677</v>
      </c>
    </row>
    <row r="47" customFormat="false" ht="15" hidden="false" customHeight="false" outlineLevel="0" collapsed="false">
      <c r="A47" s="4" t="s">
        <v>459</v>
      </c>
      <c r="B47" s="0" t="s">
        <v>77</v>
      </c>
      <c r="C47" s="25" t="n">
        <f aca="false">C214</f>
        <v>0.0850371814696925</v>
      </c>
      <c r="D47" s="25" t="n">
        <f aca="false">D214</f>
        <v>0.0713048498845266</v>
      </c>
      <c r="E47" s="25" t="n">
        <f aca="false">E214</f>
        <v>0.0824301101241696</v>
      </c>
      <c r="F47" s="25" t="n">
        <f aca="false">F214</f>
        <v>0.0741795335607188</v>
      </c>
      <c r="G47" s="25" t="n">
        <f aca="false">G214</f>
        <v>0.0745511354938258</v>
      </c>
      <c r="H47" s="26" t="n">
        <f aca="false">H214</f>
        <v>0.0695810597942374</v>
      </c>
      <c r="I47" s="26" t="n">
        <f aca="false">I214</f>
        <v>0.064610984094649</v>
      </c>
      <c r="J47" s="26" t="n">
        <f aca="false">J214</f>
        <v>0.0596409083950606</v>
      </c>
    </row>
    <row r="48" customFormat="false" ht="15" hidden="false" customHeight="false" outlineLevel="0" collapsed="false">
      <c r="A48" s="0" t="s">
        <v>460</v>
      </c>
      <c r="B48" s="0" t="s">
        <v>207</v>
      </c>
      <c r="C48" s="20" t="n">
        <f aca="false">C212</f>
        <v>138.36</v>
      </c>
      <c r="D48" s="20" t="n">
        <f aca="false">D212</f>
        <v>129.84</v>
      </c>
      <c r="E48" s="20" t="n">
        <f aca="false">E212</f>
        <v>162.815476140554</v>
      </c>
      <c r="F48" s="20" t="n">
        <f aca="false">F212</f>
        <v>151.568624348264</v>
      </c>
      <c r="G48" s="20" t="n">
        <f aca="false">G212</f>
        <v>161.841441779919</v>
      </c>
      <c r="H48" s="27" t="n">
        <f aca="false">H212</f>
        <v>159.130355930777</v>
      </c>
      <c r="I48" s="27" t="n">
        <f aca="false">I212</f>
        <v>154.340395761655</v>
      </c>
      <c r="J48" s="27" t="n">
        <f aca="false">J212</f>
        <v>147.530374394584</v>
      </c>
    </row>
    <row r="49" customFormat="false" ht="17.15" hidden="false" customHeight="false" outlineLevel="0" collapsed="false">
      <c r="A49" s="0" t="s">
        <v>461</v>
      </c>
      <c r="B49" s="0" t="s">
        <v>77</v>
      </c>
      <c r="D49" s="16" t="n">
        <f aca="false">D213</f>
        <v>-0.0615784908933218</v>
      </c>
      <c r="E49" s="16" t="n">
        <f aca="false">E213</f>
        <v>0.253970087342527</v>
      </c>
      <c r="F49" s="16" t="n">
        <f aca="false">F213</f>
        <v>-0.0690772895727728</v>
      </c>
      <c r="G49" s="16" t="n">
        <f aca="false">G213</f>
        <v>0.0677766752573459</v>
      </c>
      <c r="H49" s="24" t="n">
        <f aca="false">H213</f>
        <v>-0.0167514934328634</v>
      </c>
      <c r="I49" s="24" t="n">
        <f aca="false">I213</f>
        <v>-0.0301008575083326</v>
      </c>
      <c r="J49" s="24" t="n">
        <f aca="false">J213</f>
        <v>-0.0441233893010541</v>
      </c>
    </row>
    <row r="50" customFormat="false" ht="17.15" hidden="false" customHeight="false" outlineLevel="0" collapsed="false">
      <c r="A50" s="0" t="s">
        <v>462</v>
      </c>
      <c r="B50" s="0" t="s">
        <v>207</v>
      </c>
      <c r="D50" s="20" t="n">
        <f aca="false">D215</f>
        <v>42.1015841584158</v>
      </c>
      <c r="E50" s="20" t="n">
        <f aca="false">E215</f>
        <v>67.3763521795352</v>
      </c>
      <c r="F50" s="20" t="n">
        <f aca="false">F215</f>
        <v>50.5796166964643</v>
      </c>
      <c r="G50" s="20" t="n">
        <f aca="false">G215</f>
        <v>54.9755222262024</v>
      </c>
    </row>
    <row r="52" customFormat="false" ht="17.15" hidden="false" customHeight="false" outlineLevel="0" collapsed="false">
      <c r="A52" s="1" t="s">
        <v>465</v>
      </c>
    </row>
    <row r="53" customFormat="false" ht="17.15" hidden="false" customHeight="false" outlineLevel="0" collapsed="false">
      <c r="A53" s="4" t="s">
        <v>466</v>
      </c>
      <c r="D53" s="19" t="n">
        <f aca="false">ABS(D103-f_rev)+ABS(D153-f_rev)+ABS(D203-f_rev)</f>
        <v>0</v>
      </c>
    </row>
    <row r="54" customFormat="false" ht="17.15" hidden="false" customHeight="false" outlineLevel="0" collapsed="false">
      <c r="A54" s="4" t="s">
        <v>467</v>
      </c>
      <c r="D54" s="19" t="n">
        <f aca="false">ABS(D106-f_bp)+ABS(D156-f_bp)+ABS(D206-f_bp)</f>
        <v>0</v>
      </c>
    </row>
    <row r="55" customFormat="false" ht="17.15" hidden="false" customHeight="false" outlineLevel="0" collapsed="false">
      <c r="A55" s="4" t="s">
        <v>468</v>
      </c>
      <c r="D55" s="19" t="n">
        <f aca="false">ABS(D112-f_eps)+ABS(D162-f_eps)+ABS(D212-f_eps)</f>
        <v>0</v>
      </c>
    </row>
    <row r="70" customFormat="false" ht="17.15" hidden="false" customHeight="false" outlineLevel="0" collapsed="false">
      <c r="A70" s="1" t="s">
        <v>469</v>
      </c>
    </row>
    <row r="71" customFormat="false" ht="17.15" hidden="false" customHeight="false" outlineLevel="0" collapsed="false">
      <c r="A71" s="5" t="s">
        <v>19</v>
      </c>
      <c r="B71" s="5" t="s">
        <v>20</v>
      </c>
      <c r="C71" s="14" t="s">
        <v>374</v>
      </c>
      <c r="D71" s="14" t="s">
        <v>447</v>
      </c>
      <c r="E71" s="14" t="s">
        <v>412</v>
      </c>
      <c r="F71" s="14" t="s">
        <v>413</v>
      </c>
      <c r="G71" s="14" t="s">
        <v>414</v>
      </c>
      <c r="H71" s="14" t="s">
        <v>448</v>
      </c>
      <c r="I71" s="14" t="s">
        <v>449</v>
      </c>
      <c r="J71" s="14" t="s">
        <v>450</v>
      </c>
      <c r="K71" s="5" t="s">
        <v>379</v>
      </c>
    </row>
    <row r="72" customFormat="false" ht="17.15" hidden="false" customHeight="false" outlineLevel="0" collapsed="false">
      <c r="A72" s="6" t="s">
        <v>470</v>
      </c>
    </row>
    <row r="73" customFormat="false" ht="17.15" hidden="false" customHeight="false" outlineLevel="0" collapsed="false">
      <c r="A73" s="0" t="s">
        <v>471</v>
      </c>
      <c r="B73" s="4" t="s">
        <v>30</v>
      </c>
      <c r="D73" s="20" t="n">
        <f aca="false">unv_26</f>
        <v>7.6</v>
      </c>
      <c r="E73" s="20" t="n">
        <f aca="false">unv_27</f>
        <v>9.7</v>
      </c>
      <c r="F73" s="20" t="n">
        <f aca="false">unv_28*um28_A</f>
        <v>9.5</v>
      </c>
      <c r="G73" s="20" t="n">
        <f aca="false">unv_29*um29_A</f>
        <v>10.6</v>
      </c>
      <c r="K73" s="8" t="s">
        <v>472</v>
      </c>
    </row>
    <row r="74" customFormat="false" ht="17.15" hidden="false" customHeight="false" outlineLevel="0" collapsed="false">
      <c r="A74" s="4" t="s">
        <v>473</v>
      </c>
      <c r="B74" s="4" t="s">
        <v>30</v>
      </c>
      <c r="D74" s="20" t="n">
        <f aca="false">uot_26</f>
        <v>7.6</v>
      </c>
      <c r="E74" s="20" t="n">
        <f aca="false">uot_27</f>
        <v>14</v>
      </c>
      <c r="F74" s="20" t="n">
        <f aca="false">uot_28*um28_A</f>
        <v>17</v>
      </c>
      <c r="G74" s="20" t="n">
        <f aca="false">uot_29*um29_A</f>
        <v>19.55</v>
      </c>
      <c r="K74" s="8" t="s">
        <v>474</v>
      </c>
    </row>
    <row r="75" customFormat="false" ht="17.15" hidden="false" customHeight="false" outlineLevel="0" collapsed="false">
      <c r="A75" s="4" t="s">
        <v>475</v>
      </c>
      <c r="B75" s="4" t="s">
        <v>30</v>
      </c>
      <c r="D75" s="20" t="n">
        <f aca="false">D73+v_ot*D74</f>
        <v>13.68</v>
      </c>
      <c r="E75" s="20" t="n">
        <f aca="false">E73+v_ot*E74</f>
        <v>20.9</v>
      </c>
      <c r="F75" s="20" t="n">
        <f aca="false">F73+v_ot*F74</f>
        <v>23.1</v>
      </c>
      <c r="G75" s="20" t="n">
        <f aca="false">G73+v_ot*G74</f>
        <v>26.24</v>
      </c>
    </row>
    <row r="76" customFormat="false" ht="17.15" hidden="false" customHeight="false" outlineLevel="0" collapsed="false">
      <c r="A76" s="4" t="s">
        <v>476</v>
      </c>
      <c r="B76" s="0" t="s">
        <v>52</v>
      </c>
      <c r="D76" s="21" t="n">
        <f aca="false">1</f>
        <v>1</v>
      </c>
      <c r="E76" s="21" t="n">
        <f aca="false">D76*(1+g_asp)</f>
        <v>1.18</v>
      </c>
      <c r="F76" s="21" t="n">
        <f aca="false">E76*(1+g_asp)</f>
        <v>1.3924</v>
      </c>
      <c r="G76" s="21" t="n">
        <f aca="false">F76*(1+g_asp)</f>
        <v>1.643032</v>
      </c>
    </row>
    <row r="77" customFormat="false" ht="17.15" hidden="false" customHeight="false" outlineLevel="0" collapsed="false">
      <c r="A77" s="4" t="s">
        <v>477</v>
      </c>
      <c r="B77" s="0" t="s">
        <v>52</v>
      </c>
      <c r="D77" s="18" t="n">
        <f aca="false">1</f>
        <v>1</v>
      </c>
      <c r="E77" s="18" t="n">
        <f aca="false">rel_27</f>
        <v>1</v>
      </c>
      <c r="F77" s="18" t="n">
        <f aca="false">rel_28</f>
        <v>0.97</v>
      </c>
      <c r="G77" s="18" t="n">
        <f aca="false">rel_29</f>
        <v>0.95</v>
      </c>
    </row>
    <row r="78" customFormat="false" ht="17.15" hidden="false" customHeight="false" outlineLevel="0" collapsed="false">
      <c r="A78" s="0" t="s">
        <v>478</v>
      </c>
      <c r="B78" s="0" t="s">
        <v>52</v>
      </c>
      <c r="D78" s="21" t="n">
        <f aca="false">D75/$D75*D76*D77</f>
        <v>1</v>
      </c>
      <c r="E78" s="21" t="n">
        <f aca="false">E75/$D75*E76*E77</f>
        <v>1.80277777777778</v>
      </c>
      <c r="F78" s="21" t="n">
        <f aca="false">F75/$D75*F76*F77</f>
        <v>2.28066570175439</v>
      </c>
      <c r="G78" s="21" t="n">
        <f aca="false">G75/$D75*G76*G77</f>
        <v>2.99396942222222</v>
      </c>
      <c r="K78" s="4" t="s">
        <v>479</v>
      </c>
    </row>
    <row r="79" customFormat="false" ht="17.15" hidden="false" customHeight="false" outlineLevel="0" collapsed="false">
      <c r="A79" s="4" t="s">
        <v>480</v>
      </c>
      <c r="B79" s="0" t="s">
        <v>52</v>
      </c>
      <c r="D79" s="21" t="n">
        <f aca="false">1</f>
        <v>1</v>
      </c>
      <c r="E79" s="21" t="n">
        <f aca="false">D79*(1+g_nai)</f>
        <v>1.03</v>
      </c>
      <c r="F79" s="21" t="n">
        <f aca="false">E79*(1+g_nai)</f>
        <v>1.0609</v>
      </c>
      <c r="G79" s="21" t="n">
        <f aca="false">F79*(1+g_nai)</f>
        <v>1.092727</v>
      </c>
    </row>
    <row r="80" customFormat="false" ht="17.15" hidden="false" customHeight="false" outlineLevel="0" collapsed="false">
      <c r="A80" s="0" t="s">
        <v>481</v>
      </c>
      <c r="B80" s="0" t="s">
        <v>52</v>
      </c>
      <c r="D80" s="21" t="n">
        <f aca="false">ai_sh*D78+(1-ai_sh)*D79</f>
        <v>1</v>
      </c>
      <c r="E80" s="21" t="n">
        <f aca="false">ai_sh*E78+(1-ai_sh)*E79</f>
        <v>1.33911111111111</v>
      </c>
      <c r="F80" s="21" t="n">
        <f aca="false">ai_sh*F78+(1-ai_sh)*F79</f>
        <v>1.54880628070175</v>
      </c>
      <c r="G80" s="21" t="n">
        <f aca="false">ai_sh*G78+(1-ai_sh)*G79</f>
        <v>1.85322396888889</v>
      </c>
    </row>
    <row r="81" customFormat="false" ht="17.15" hidden="false" customHeight="false" outlineLevel="0" collapsed="false">
      <c r="A81" s="4" t="s">
        <v>482</v>
      </c>
      <c r="B81" s="0" t="s">
        <v>52</v>
      </c>
      <c r="D81" s="21" t="n">
        <f aca="false">1</f>
        <v>1</v>
      </c>
      <c r="E81" s="21" t="n">
        <f aca="false">cap_27</f>
        <v>1.3</v>
      </c>
      <c r="F81" s="21" t="n">
        <f aca="false">cap_28</f>
        <v>1.55</v>
      </c>
      <c r="G81" s="21" t="n">
        <f aca="false">cap_29</f>
        <v>1.8</v>
      </c>
      <c r="K81" s="4" t="s">
        <v>483</v>
      </c>
    </row>
    <row r="82" customFormat="false" ht="17.15" hidden="false" customHeight="false" outlineLevel="0" collapsed="false">
      <c r="A82" s="4" t="s">
        <v>484</v>
      </c>
      <c r="B82" s="0" t="s">
        <v>52</v>
      </c>
      <c r="D82" s="21" t="n">
        <f aca="false">MIN(D80,D81)</f>
        <v>1</v>
      </c>
      <c r="E82" s="21" t="n">
        <f aca="false">MIN(E80,E81)</f>
        <v>1.3</v>
      </c>
      <c r="F82" s="21" t="n">
        <f aca="false">MIN(F80,F81)</f>
        <v>1.54880628070175</v>
      </c>
      <c r="G82" s="21" t="n">
        <f aca="false">MIN(G80,G81)</f>
        <v>1.8</v>
      </c>
    </row>
    <row r="83" customFormat="false" ht="17.15" hidden="false" customHeight="false" outlineLevel="0" collapsed="false">
      <c r="A83" s="4" t="s">
        <v>485</v>
      </c>
      <c r="B83" s="0" t="s">
        <v>77</v>
      </c>
      <c r="D83" s="16" t="n">
        <f aca="false">D82/D80</f>
        <v>1</v>
      </c>
      <c r="E83" s="16" t="n">
        <f aca="false">E82/E80</f>
        <v>0.970793229339529</v>
      </c>
      <c r="F83" s="16" t="n">
        <f aca="false">F82/F80</f>
        <v>1</v>
      </c>
      <c r="G83" s="16" t="n">
        <f aca="false">G82/G80</f>
        <v>0.971280336439422</v>
      </c>
      <c r="K83" s="4" t="s">
        <v>486</v>
      </c>
    </row>
    <row r="84" customFormat="false" ht="17.15" hidden="false" customHeight="false" outlineLevel="0" collapsed="false">
      <c r="A84" s="0" t="s">
        <v>487</v>
      </c>
      <c r="B84" s="0" t="s">
        <v>52</v>
      </c>
      <c r="D84" s="21" t="n">
        <f aca="false">1</f>
        <v>1</v>
      </c>
      <c r="E84" s="21" t="n">
        <f aca="false">pp_27</f>
        <v>1.12</v>
      </c>
      <c r="F84" s="21" t="n">
        <f aca="false">pp_28*sp_A</f>
        <v>1.15</v>
      </c>
      <c r="G84" s="21" t="n">
        <f aca="false">pp_29*sp_A</f>
        <v>1.12</v>
      </c>
      <c r="K84" s="8" t="s">
        <v>488</v>
      </c>
    </row>
    <row r="85" customFormat="false" ht="17.15" hidden="false" customHeight="false" outlineLevel="0" collapsed="false">
      <c r="A85" s="0" t="s">
        <v>429</v>
      </c>
      <c r="B85" s="0" t="s">
        <v>169</v>
      </c>
      <c r="D85" s="15" t="n">
        <f aca="false">q26_fm*ai_sh</f>
        <v>48.24</v>
      </c>
      <c r="E85" s="15" t="n">
        <f aca="false">q26_fm*ai_sh*E78*E83*E84</f>
        <v>94.5571244606705</v>
      </c>
      <c r="F85" s="15" t="n">
        <f aca="false">q26_fm*ai_sh*F78*F83*F84</f>
        <v>126.522210470526</v>
      </c>
      <c r="G85" s="15" t="n">
        <f aca="false">q26_fm*ai_sh*G78*G83*G84</f>
        <v>157.114865824566</v>
      </c>
      <c r="K85" s="8" t="s">
        <v>489</v>
      </c>
    </row>
    <row r="86" customFormat="false" ht="17.15" hidden="false" customHeight="false" outlineLevel="0" collapsed="false">
      <c r="A86" s="0" t="s">
        <v>490</v>
      </c>
      <c r="B86" s="0" t="s">
        <v>169</v>
      </c>
      <c r="D86" s="15" t="n">
        <f aca="false">q26_fm*(1-ai_sh)</f>
        <v>72.36</v>
      </c>
      <c r="E86" s="15" t="n">
        <f aca="false">q26_fm*(1-ai_sh)*E79*E83*E84</f>
        <v>81.0364755393296</v>
      </c>
      <c r="F86" s="15" t="n">
        <f aca="false">q26_fm*(1-ai_sh)*F79*F83*F84</f>
        <v>88.2817326</v>
      </c>
      <c r="G86" s="15" t="n">
        <f aca="false">q26_fm*(1-ai_sh)*G79*G83*G84</f>
        <v>86.0147341754337</v>
      </c>
    </row>
    <row r="87" customFormat="false" ht="17.15" hidden="false" customHeight="false" outlineLevel="0" collapsed="false">
      <c r="A87" s="4" t="s">
        <v>491</v>
      </c>
      <c r="B87" s="0" t="s">
        <v>169</v>
      </c>
      <c r="C87" s="15" t="n">
        <f aca="false">q25_fm</f>
        <v>102.4512</v>
      </c>
      <c r="D87" s="15" t="n">
        <f aca="false">D85+D86</f>
        <v>120.6</v>
      </c>
      <c r="E87" s="15" t="n">
        <f aca="false">E85+E86</f>
        <v>175.5936</v>
      </c>
      <c r="F87" s="15" t="n">
        <f aca="false">F85+F86</f>
        <v>214.803943070526</v>
      </c>
      <c r="G87" s="15" t="n">
        <f aca="false">G85+G86</f>
        <v>243.1296</v>
      </c>
    </row>
    <row r="88" customFormat="false" ht="17.15" hidden="false" customHeight="false" outlineLevel="0" collapsed="false">
      <c r="A88" s="0" t="s">
        <v>492</v>
      </c>
      <c r="B88" s="0" t="s">
        <v>77</v>
      </c>
      <c r="C88" s="16" t="n">
        <f aca="false">q25_fmbp/q25_fm</f>
        <v>0.532936656671664</v>
      </c>
      <c r="D88" s="16" t="n">
        <f aca="false">q26_fmbp/q26_fm</f>
        <v>0.543117744610282</v>
      </c>
      <c r="E88" s="16" t="n">
        <f aca="false">1-(1-$D88)*(1+c_g)^1/E84</f>
        <v>0.579831497275527</v>
      </c>
      <c r="F88" s="16" t="n">
        <f aca="false">1-(1-$D88)*(1+c_g)^2/F84</f>
        <v>0.578516187180042</v>
      </c>
      <c r="G88" s="16" t="n">
        <f aca="false">1-(1-$D88)*(1+c_g)^3/G84</f>
        <v>0.554243235459607</v>
      </c>
      <c r="K88" s="8" t="s">
        <v>493</v>
      </c>
    </row>
    <row r="89" customFormat="false" ht="17.15" hidden="false" customHeight="false" outlineLevel="0" collapsed="false">
      <c r="A89" s="0" t="s">
        <v>455</v>
      </c>
      <c r="B89" s="0" t="s">
        <v>169</v>
      </c>
      <c r="C89" s="15" t="n">
        <f aca="false">q25_fmbp</f>
        <v>54.6</v>
      </c>
      <c r="D89" s="15" t="n">
        <f aca="false">D87*D88</f>
        <v>65.5</v>
      </c>
      <c r="E89" s="15" t="n">
        <f aca="false">E87*E88</f>
        <v>101.8147</v>
      </c>
      <c r="F89" s="15" t="n">
        <f aca="false">F87*F88</f>
        <v>124.2675581364</v>
      </c>
      <c r="G89" s="15" t="n">
        <f aca="false">G87*G88</f>
        <v>134.75293614</v>
      </c>
    </row>
    <row r="90" customFormat="false" ht="17.15" hidden="false" customHeight="false" outlineLevel="0" collapsed="false">
      <c r="A90" s="6" t="s">
        <v>494</v>
      </c>
    </row>
    <row r="91" customFormat="false" ht="15" hidden="false" customHeight="false" outlineLevel="0" collapsed="false">
      <c r="A91" s="4" t="s">
        <v>495</v>
      </c>
      <c r="B91" s="0" t="s">
        <v>169</v>
      </c>
      <c r="C91" s="15" t="n">
        <f aca="false">q25_sf</f>
        <v>936.926</v>
      </c>
      <c r="D91" s="15" t="n">
        <f aca="false">q26_sf</f>
        <v>998.6</v>
      </c>
      <c r="E91" s="15" t="n">
        <f aca="false">D91*(1+g_sf)</f>
        <v>1038.544</v>
      </c>
      <c r="F91" s="15" t="n">
        <f aca="false">E91*(1+g_sf)</f>
        <v>1080.08576</v>
      </c>
      <c r="G91" s="15" t="n">
        <f aca="false">F91*(1+g_sf)</f>
        <v>1123.2891904</v>
      </c>
    </row>
    <row r="92" customFormat="false" ht="15" hidden="false" customHeight="false" outlineLevel="0" collapsed="false">
      <c r="A92" s="4" t="s">
        <v>496</v>
      </c>
      <c r="B92" s="0" t="s">
        <v>169</v>
      </c>
      <c r="C92" s="15" t="n">
        <f aca="false">q25_sfbp</f>
        <v>143.036</v>
      </c>
      <c r="D92" s="15" t="n">
        <f aca="false">q26_sfbp</f>
        <v>145.9</v>
      </c>
      <c r="E92" s="15" t="n">
        <f aca="false">E91*m_sf</f>
        <v>151.736</v>
      </c>
      <c r="F92" s="15" t="n">
        <f aca="false">F91*m_sf</f>
        <v>157.80544</v>
      </c>
      <c r="G92" s="15" t="n">
        <f aca="false">G91*m_sf</f>
        <v>164.1176576</v>
      </c>
    </row>
    <row r="93" customFormat="false" ht="15" hidden="false" customHeight="false" outlineLevel="0" collapsed="false">
      <c r="A93" s="4" t="s">
        <v>497</v>
      </c>
      <c r="B93" s="0" t="s">
        <v>169</v>
      </c>
      <c r="C93" s="15" t="n">
        <f aca="false">q25_ff</f>
        <v>290.308</v>
      </c>
      <c r="D93" s="15" t="n">
        <f aca="false">q26_ff</f>
        <v>310.6</v>
      </c>
      <c r="E93" s="15" t="n">
        <f aca="false">D93*(1+g_ff)</f>
        <v>319.918</v>
      </c>
      <c r="F93" s="15" t="n">
        <f aca="false">E93*(1+g_ff)</f>
        <v>329.51554</v>
      </c>
      <c r="G93" s="15" t="n">
        <f aca="false">F93*(1+g_ff)</f>
        <v>339.4010062</v>
      </c>
    </row>
    <row r="94" customFormat="false" ht="15" hidden="false" customHeight="false" outlineLevel="0" collapsed="false">
      <c r="A94" s="4" t="s">
        <v>498</v>
      </c>
      <c r="B94" s="0" t="s">
        <v>169</v>
      </c>
      <c r="C94" s="15" t="n">
        <f aca="false">q25_ffbp</f>
        <v>8.457</v>
      </c>
      <c r="D94" s="15" t="n">
        <f aca="false">q26_ffbp</f>
        <v>12.1</v>
      </c>
      <c r="E94" s="15" t="n">
        <f aca="false">E93*m_ff</f>
        <v>14.39631</v>
      </c>
      <c r="F94" s="15" t="n">
        <f aca="false">F93*m_ff</f>
        <v>14.8281993</v>
      </c>
      <c r="G94" s="15" t="n">
        <f aca="false">G93*m_ff</f>
        <v>15.273045279</v>
      </c>
    </row>
    <row r="95" customFormat="false" ht="17.15" hidden="false" customHeight="false" outlineLevel="0" collapsed="false">
      <c r="A95" s="4" t="s">
        <v>499</v>
      </c>
      <c r="B95" s="0" t="s">
        <v>169</v>
      </c>
      <c r="C95" s="15" t="n">
        <f aca="false">q25_hox</f>
        <v>239.0528</v>
      </c>
      <c r="D95" s="15" t="n">
        <f aca="false">q26_hox</f>
        <v>286.2</v>
      </c>
      <c r="E95" s="15" t="n">
        <f aca="false">D95*(1+g_ho)</f>
        <v>300.51</v>
      </c>
      <c r="F95" s="15" t="n">
        <f aca="false">E95*(1+g_ho)</f>
        <v>315.5355</v>
      </c>
      <c r="G95" s="15" t="n">
        <f aca="false">F95*(1+g_ho)</f>
        <v>331.312275</v>
      </c>
    </row>
    <row r="96" customFormat="false" ht="17.15" hidden="false" customHeight="false" outlineLevel="0" collapsed="false">
      <c r="A96" s="4" t="s">
        <v>500</v>
      </c>
      <c r="B96" s="0" t="s">
        <v>169</v>
      </c>
      <c r="C96" s="15" t="n">
        <f aca="false">q25_hoxbp</f>
        <v>11.602</v>
      </c>
      <c r="D96" s="15" t="n">
        <f aca="false">q26_hoxbp</f>
        <v>19.5</v>
      </c>
      <c r="E96" s="15" t="n">
        <f aca="false">E95*m_ho</f>
        <v>20.475</v>
      </c>
      <c r="F96" s="15" t="n">
        <f aca="false">F95*m_ho</f>
        <v>21.49875</v>
      </c>
      <c r="G96" s="15" t="n">
        <f aca="false">G95*m_ho</f>
        <v>22.5736875</v>
      </c>
    </row>
    <row r="97" customFormat="false" ht="17.15" hidden="false" customHeight="false" outlineLevel="0" collapsed="false">
      <c r="A97" s="4" t="s">
        <v>501</v>
      </c>
      <c r="B97" s="0" t="s">
        <v>169</v>
      </c>
      <c r="C97" s="15" t="n">
        <f aca="false">q25_oth</f>
        <v>14.979</v>
      </c>
      <c r="D97" s="15" t="n">
        <f aca="false">q26_oth</f>
        <v>15.8</v>
      </c>
      <c r="E97" s="15" t="n">
        <f aca="false">D97</f>
        <v>15.8</v>
      </c>
      <c r="F97" s="15" t="n">
        <f aca="false">E97</f>
        <v>15.8</v>
      </c>
      <c r="G97" s="15" t="n">
        <f aca="false">F97</f>
        <v>15.8</v>
      </c>
      <c r="K97" s="8" t="s">
        <v>502</v>
      </c>
    </row>
    <row r="98" customFormat="false" ht="15" hidden="false" customHeight="false" outlineLevel="0" collapsed="false">
      <c r="A98" s="4" t="s">
        <v>503</v>
      </c>
      <c r="B98" s="0" t="s">
        <v>169</v>
      </c>
      <c r="C98" s="15" t="n">
        <f aca="false">q25_othbp</f>
        <v>6.064</v>
      </c>
      <c r="D98" s="15" t="n">
        <f aca="false">q26_othbp</f>
        <v>5.1</v>
      </c>
      <c r="E98" s="15" t="n">
        <f aca="false">q26_othbp</f>
        <v>5.1</v>
      </c>
      <c r="F98" s="15" t="n">
        <f aca="false">q26_othbp</f>
        <v>5.1</v>
      </c>
      <c r="G98" s="15" t="n">
        <f aca="false">q26_othbp</f>
        <v>5.1</v>
      </c>
    </row>
    <row r="99" customFormat="false" ht="15" hidden="false" customHeight="false" outlineLevel="0" collapsed="false">
      <c r="A99" s="4" t="s">
        <v>504</v>
      </c>
      <c r="B99" s="0" t="s">
        <v>169</v>
      </c>
      <c r="C99" s="15" t="n">
        <f aca="false">q25_cc</f>
        <v>-42.597</v>
      </c>
      <c r="D99" s="15" t="n">
        <f aca="false">q26_cc</f>
        <v>-46.2</v>
      </c>
      <c r="E99" s="15" t="n">
        <f aca="false">D99*(1+g_cc)</f>
        <v>-47.586</v>
      </c>
      <c r="F99" s="15" t="n">
        <f aca="false">E99*(1+g_cc)</f>
        <v>-49.01358</v>
      </c>
      <c r="G99" s="15" t="n">
        <f aca="false">F99*(1+g_cc)</f>
        <v>-50.4839874</v>
      </c>
    </row>
    <row r="100" customFormat="false" ht="17.15" hidden="false" customHeight="false" outlineLevel="0" collapsed="false">
      <c r="A100" s="4" t="s">
        <v>505</v>
      </c>
      <c r="B100" s="0" t="s">
        <v>169</v>
      </c>
      <c r="C100" s="28" t="n">
        <f aca="false">a_rev-(q25_sf+q25_ff+q25_hox+q25_fm+q25_oth)</f>
        <v>0.00200000000018008</v>
      </c>
      <c r="D100" s="28" t="n">
        <f aca="false">f_rev-(q26_sf+q26_ff+q26_hox+q26_fm+q26_oth)</f>
        <v>0.200000000000045</v>
      </c>
      <c r="E100" s="28" t="n">
        <f aca="false">$D100</f>
        <v>0.200000000000045</v>
      </c>
      <c r="F100" s="28" t="n">
        <f aca="false">$D100</f>
        <v>0.200000000000045</v>
      </c>
      <c r="G100" s="28" t="n">
        <f aca="false">$D100</f>
        <v>0.200000000000045</v>
      </c>
      <c r="K100" s="8" t="s">
        <v>506</v>
      </c>
    </row>
    <row r="101" customFormat="false" ht="15" hidden="false" customHeight="false" outlineLevel="0" collapsed="false">
      <c r="A101" s="4" t="s">
        <v>507</v>
      </c>
      <c r="B101" s="0" t="s">
        <v>169</v>
      </c>
      <c r="C101" s="28" t="n">
        <f aca="false">a_bp-(q25_sfbp+q25_ffbp+q25_hoxbp+q25_fmbp+q25_othbp+q25_cc)</f>
        <v>0.0010000000000332</v>
      </c>
      <c r="D101" s="28" t="n">
        <f aca="false">f_bp-(q26_sfbp+q26_ffbp+q26_hoxbp+q26_fmbp+q26_othbp+q26_cc)</f>
        <v>0.100000000000023</v>
      </c>
      <c r="E101" s="28" t="n">
        <f aca="false">$D101</f>
        <v>0.100000000000023</v>
      </c>
      <c r="F101" s="28" t="n">
        <f aca="false">$D101</f>
        <v>0.100000000000023</v>
      </c>
      <c r="G101" s="28" t="n">
        <f aca="false">$D101</f>
        <v>0.100000000000023</v>
      </c>
    </row>
    <row r="102" customFormat="false" ht="17.15" hidden="false" customHeight="false" outlineLevel="0" collapsed="false">
      <c r="A102" s="6" t="s">
        <v>508</v>
      </c>
    </row>
    <row r="103" customFormat="false" ht="17.15" hidden="false" customHeight="false" outlineLevel="0" collapsed="false">
      <c r="A103" s="4" t="s">
        <v>380</v>
      </c>
      <c r="B103" s="0" t="s">
        <v>169</v>
      </c>
      <c r="C103" s="15" t="n">
        <f aca="false">C91+C93+C95+C87+C97+C100</f>
        <v>1583.719</v>
      </c>
      <c r="D103" s="15" t="n">
        <f aca="false">D91+D93+D95+D87+D97+D100</f>
        <v>1732</v>
      </c>
      <c r="E103" s="15" t="n">
        <f aca="false">E91+E93+E95+E87+E97+E100</f>
        <v>1850.5656</v>
      </c>
      <c r="F103" s="15" t="n">
        <f aca="false">F91+F93+F95+F87+F97+F100</f>
        <v>1955.94074307053</v>
      </c>
      <c r="G103" s="15" t="n">
        <f aca="false">G91+G93+G95+G87+G97+G100</f>
        <v>2053.1320716</v>
      </c>
      <c r="H103" s="23" t="n">
        <f aca="false">G103*(1+H104)</f>
        <v>2162.20857776426</v>
      </c>
      <c r="I103" s="23" t="n">
        <f aca="false">H103*(1+I104)</f>
        <v>2284.5105355383</v>
      </c>
      <c r="J103" s="23" t="n">
        <f aca="false">I103*(1+J104)</f>
        <v>2421.5811676706</v>
      </c>
      <c r="K103" s="8" t="s">
        <v>509</v>
      </c>
    </row>
    <row r="104" customFormat="false" ht="15" hidden="false" customHeight="false" outlineLevel="0" collapsed="false">
      <c r="A104" s="4" t="s">
        <v>510</v>
      </c>
      <c r="B104" s="0" t="s">
        <v>77</v>
      </c>
      <c r="D104" s="16" t="n">
        <f aca="false">D103/C103-1</f>
        <v>0.0936283519993131</v>
      </c>
      <c r="E104" s="16" t="n">
        <f aca="false">E103/D103-1</f>
        <v>0.0684558891454965</v>
      </c>
      <c r="F104" s="16" t="n">
        <f aca="false">F103/E103-1</f>
        <v>0.0569421278935081</v>
      </c>
      <c r="G104" s="16" t="n">
        <f aca="false">G103/F103-1</f>
        <v>0.0496903236326567</v>
      </c>
      <c r="H104" s="24" t="n">
        <f aca="false">$G104+(fade_gA-$G104)*1/3</f>
        <v>0.0531268824217711</v>
      </c>
      <c r="I104" s="24" t="n">
        <f aca="false">$G104+(fade_gA-$G104)*2/3</f>
        <v>0.0565634412108856</v>
      </c>
      <c r="J104" s="24" t="n">
        <f aca="false">$G104+(fade_gA-$G104)*3/3</f>
        <v>0.06</v>
      </c>
    </row>
    <row r="105" customFormat="false" ht="17.15" hidden="false" customHeight="false" outlineLevel="0" collapsed="false">
      <c r="A105" s="0" t="s">
        <v>511</v>
      </c>
      <c r="B105" s="0" t="s">
        <v>77</v>
      </c>
      <c r="C105" s="16" t="n">
        <f aca="false">C87/C103</f>
        <v>0.0646902638662541</v>
      </c>
      <c r="D105" s="16" t="n">
        <f aca="false">D87/D103</f>
        <v>0.0696304849884527</v>
      </c>
      <c r="E105" s="16" t="n">
        <f aca="false">E87/E103</f>
        <v>0.0948864498507916</v>
      </c>
      <c r="F105" s="16" t="n">
        <f aca="false">F87/F103</f>
        <v>0.109821293835987</v>
      </c>
      <c r="G105" s="16" t="n">
        <f aca="false">G87/G103</f>
        <v>0.118418879799842</v>
      </c>
    </row>
    <row r="106" customFormat="false" ht="15" hidden="false" customHeight="false" outlineLevel="0" collapsed="false">
      <c r="A106" s="4" t="s">
        <v>390</v>
      </c>
      <c r="B106" s="0" t="s">
        <v>169</v>
      </c>
      <c r="C106" s="15" t="n">
        <f aca="false">C92+C94+C96+C89+C98+C99+C101</f>
        <v>181.163</v>
      </c>
      <c r="D106" s="15" t="n">
        <f aca="false">D92+D94+D96+D89+D98+D99+D101</f>
        <v>202</v>
      </c>
      <c r="E106" s="15" t="n">
        <f aca="false">E92+E94+E96+E89+E98+E99+E101</f>
        <v>246.03601</v>
      </c>
      <c r="F106" s="15" t="n">
        <f aca="false">F92+F94+F96+F89+F98+F99+F101</f>
        <v>274.5863674364</v>
      </c>
      <c r="G106" s="15" t="n">
        <f aca="false">G92+G94+G96+G89+G98+G99+G101</f>
        <v>291.433339119</v>
      </c>
    </row>
    <row r="107" customFormat="false" ht="15" hidden="false" customHeight="false" outlineLevel="0" collapsed="false">
      <c r="A107" s="4" t="s">
        <v>406</v>
      </c>
      <c r="B107" s="0" t="s">
        <v>77</v>
      </c>
      <c r="C107" s="16" t="n">
        <f aca="false">C106/C103</f>
        <v>0.114390873633517</v>
      </c>
      <c r="D107" s="16" t="n">
        <f aca="false">D106/D103</f>
        <v>0.11662817551963</v>
      </c>
      <c r="E107" s="16" t="n">
        <f aca="false">E106/E103</f>
        <v>0.132951790522854</v>
      </c>
      <c r="F107" s="16" t="n">
        <f aca="false">F106/F103</f>
        <v>0.140385831426233</v>
      </c>
      <c r="G107" s="16" t="n">
        <f aca="false">G106/G103</f>
        <v>0.141945734105594</v>
      </c>
    </row>
    <row r="108" customFormat="false" ht="17.15" hidden="false" customHeight="false" outlineLevel="0" collapsed="false">
      <c r="A108" s="0" t="s">
        <v>512</v>
      </c>
      <c r="B108" s="0" t="s">
        <v>77</v>
      </c>
      <c r="C108" s="16" t="n">
        <f aca="false">C89/C106</f>
        <v>0.301386044611758</v>
      </c>
      <c r="D108" s="16" t="n">
        <f aca="false">D89/D106</f>
        <v>0.324257425742574</v>
      </c>
      <c r="E108" s="16" t="n">
        <f aca="false">E89/E106</f>
        <v>0.413820318415991</v>
      </c>
      <c r="F108" s="16" t="n">
        <f aca="false">F89/F106</f>
        <v>0.452562737533511</v>
      </c>
      <c r="G108" s="16" t="n">
        <f aca="false">G89/G106</f>
        <v>0.462379961562931</v>
      </c>
    </row>
    <row r="109" customFormat="false" ht="17.15" hidden="false" customHeight="false" outlineLevel="0" collapsed="false">
      <c r="A109" s="4" t="s">
        <v>407</v>
      </c>
      <c r="B109" s="0" t="s">
        <v>52</v>
      </c>
      <c r="C109" s="21" t="n">
        <f aca="false">q25_ni/q25_bp</f>
        <v>0.743391310587703</v>
      </c>
      <c r="D109" s="21" t="n">
        <f aca="false">q26_ni/q26_bp</f>
        <v>0.611386138613861</v>
      </c>
      <c r="E109" s="21" t="n">
        <f aca="false">ni_bp</f>
        <v>0.62</v>
      </c>
      <c r="F109" s="21" t="n">
        <f aca="false">ni_bp</f>
        <v>0.62</v>
      </c>
      <c r="G109" s="21" t="n">
        <f aca="false">ni_bp</f>
        <v>0.62</v>
      </c>
    </row>
    <row r="110" customFormat="false" ht="15" hidden="false" customHeight="false" outlineLevel="0" collapsed="false">
      <c r="A110" s="4" t="s">
        <v>397</v>
      </c>
      <c r="B110" s="0" t="s">
        <v>169</v>
      </c>
      <c r="C110" s="15" t="n">
        <f aca="false">q25_ni</f>
        <v>134.675</v>
      </c>
      <c r="D110" s="15" t="n">
        <f aca="false">q26_ni</f>
        <v>123.5</v>
      </c>
      <c r="E110" s="15" t="n">
        <f aca="false">E106*E109</f>
        <v>152.5423262</v>
      </c>
      <c r="F110" s="15" t="n">
        <f aca="false">F106*F109</f>
        <v>170.243547810568</v>
      </c>
      <c r="G110" s="15" t="n">
        <f aca="false">G106*G109</f>
        <v>180.68867025378</v>
      </c>
      <c r="H110" s="23" t="n">
        <f aca="false">H103*H114</f>
        <v>190.288095993299</v>
      </c>
      <c r="I110" s="23" t="n">
        <f aca="false">I103*I114</f>
        <v>201.051445524147</v>
      </c>
      <c r="J110" s="23" t="n">
        <f aca="false">J103*J114</f>
        <v>213.114532255596</v>
      </c>
    </row>
    <row r="111" customFormat="false" ht="15" hidden="false" customHeight="false" outlineLevel="0" collapsed="false">
      <c r="A111" s="4" t="s">
        <v>513</v>
      </c>
      <c r="B111" s="4" t="s">
        <v>316</v>
      </c>
      <c r="C111" s="19" t="n">
        <f aca="false">q25_sh</f>
        <v>0.973366579936398</v>
      </c>
      <c r="D111" s="19" t="n">
        <f aca="false">q26_sh</f>
        <v>0.95117067159581</v>
      </c>
      <c r="E111" s="19" t="n">
        <f aca="false">D111*(1+sh_g)</f>
        <v>0.936903111521873</v>
      </c>
      <c r="F111" s="19" t="n">
        <f aca="false">E111*(1+sh_g)</f>
        <v>0.922849564849045</v>
      </c>
      <c r="G111" s="19" t="n">
        <f aca="false">F111*(1+sh_g)</f>
        <v>0.909006821376309</v>
      </c>
      <c r="H111" s="29" t="n">
        <f aca="false">G111*(1+sh_g)</f>
        <v>0.895371719055665</v>
      </c>
      <c r="I111" s="29" t="n">
        <f aca="false">H111*(1+sh_g)</f>
        <v>0.88194114326983</v>
      </c>
      <c r="J111" s="29" t="n">
        <f aca="false">I111*(1+sh_g)</f>
        <v>0.868712026120782</v>
      </c>
    </row>
    <row r="112" customFormat="false" ht="17.15" hidden="false" customHeight="false" outlineLevel="0" collapsed="false">
      <c r="A112" s="0" t="s">
        <v>514</v>
      </c>
      <c r="B112" s="0" t="s">
        <v>207</v>
      </c>
      <c r="C112" s="20" t="n">
        <f aca="false">C110/C111</f>
        <v>138.36</v>
      </c>
      <c r="D112" s="20" t="n">
        <f aca="false">D110/D111</f>
        <v>129.84</v>
      </c>
      <c r="E112" s="20" t="n">
        <f aca="false">E110/E111</f>
        <v>162.815476140554</v>
      </c>
      <c r="F112" s="20" t="n">
        <f aca="false">F110/F111</f>
        <v>184.47594742965</v>
      </c>
      <c r="G112" s="20" t="n">
        <f aca="false">G110/G111</f>
        <v>198.775923353582</v>
      </c>
      <c r="H112" s="27" t="n">
        <f aca="false">H110/H111</f>
        <v>212.524130418138</v>
      </c>
      <c r="I112" s="27" t="n">
        <f aca="false">I110/I111</f>
        <v>227.964697030395</v>
      </c>
      <c r="J112" s="27" t="n">
        <f aca="false">J110/J111</f>
        <v>245.322415078395</v>
      </c>
    </row>
    <row r="113" customFormat="false" ht="17.15" hidden="false" customHeight="false" outlineLevel="0" collapsed="false">
      <c r="A113" s="0" t="s">
        <v>515</v>
      </c>
      <c r="B113" s="0" t="s">
        <v>77</v>
      </c>
      <c r="D113" s="16" t="n">
        <f aca="false">D112/C112-1</f>
        <v>-0.0615784908933218</v>
      </c>
      <c r="E113" s="16" t="n">
        <f aca="false">E112/D112-1</f>
        <v>0.253970087342527</v>
      </c>
      <c r="F113" s="16" t="n">
        <f aca="false">F112/E112-1</f>
        <v>0.133036931147734</v>
      </c>
      <c r="G113" s="16" t="n">
        <f aca="false">G112/F112-1</f>
        <v>0.0775167501410168</v>
      </c>
      <c r="H113" s="24" t="n">
        <f aca="false">H112/G112-1</f>
        <v>0.0691643476363157</v>
      </c>
      <c r="I113" s="24" t="n">
        <f aca="false">I112/H112-1</f>
        <v>0.0726532398080058</v>
      </c>
      <c r="J113" s="24" t="n">
        <f aca="false">J112/I112-1</f>
        <v>0.0761421319796956</v>
      </c>
    </row>
    <row r="114" customFormat="false" ht="15" hidden="false" customHeight="false" outlineLevel="0" collapsed="false">
      <c r="A114" s="4" t="s">
        <v>516</v>
      </c>
      <c r="B114" s="0" t="s">
        <v>77</v>
      </c>
      <c r="C114" s="25" t="n">
        <f aca="false">C110/C103</f>
        <v>0.0850371814696925</v>
      </c>
      <c r="D114" s="25" t="n">
        <f aca="false">D110/D103</f>
        <v>0.0713048498845266</v>
      </c>
      <c r="E114" s="25" t="n">
        <f aca="false">E110/E103</f>
        <v>0.0824301101241696</v>
      </c>
      <c r="F114" s="25" t="n">
        <f aca="false">F110/F103</f>
        <v>0.0870392154842644</v>
      </c>
      <c r="G114" s="25" t="n">
        <f aca="false">G110/G103</f>
        <v>0.088006355145468</v>
      </c>
      <c r="H114" s="26" t="n">
        <f aca="false">$G114+(fade_mA-$G114)*1/3</f>
        <v>0.088006355145468</v>
      </c>
      <c r="I114" s="26" t="n">
        <f aca="false">$G114+(fade_mA-$G114)*2/3</f>
        <v>0.088006355145468</v>
      </c>
      <c r="J114" s="26" t="n">
        <f aca="false">$G114+(fade_mA-$G114)*3/3</f>
        <v>0.088006355145468</v>
      </c>
    </row>
    <row r="115" customFormat="false" ht="17.15" hidden="false" customHeight="false" outlineLevel="0" collapsed="false">
      <c r="A115" s="0" t="s">
        <v>517</v>
      </c>
      <c r="B115" s="0" t="s">
        <v>207</v>
      </c>
      <c r="D115" s="20" t="n">
        <f aca="false">D89*D109/D111</f>
        <v>42.1015841584158</v>
      </c>
      <c r="E115" s="20" t="n">
        <f aca="false">E89*E109/E111</f>
        <v>67.3763521795352</v>
      </c>
      <c r="F115" s="20" t="n">
        <f aca="false">F89*F109/F111</f>
        <v>83.4869397778505</v>
      </c>
      <c r="G115" s="20" t="n">
        <f aca="false">G89*G109/G111</f>
        <v>91.9100037998652</v>
      </c>
      <c r="K115" s="8" t="s">
        <v>518</v>
      </c>
    </row>
    <row r="116" customFormat="false" ht="17.15" hidden="false" customHeight="false" outlineLevel="0" collapsed="false">
      <c r="A116" s="0" t="s">
        <v>519</v>
      </c>
      <c r="B116" s="0" t="s">
        <v>207</v>
      </c>
      <c r="D116" s="20" t="n">
        <f aca="false">D112-D115</f>
        <v>87.7384158415842</v>
      </c>
      <c r="E116" s="20" t="n">
        <f aca="false">E112-E115</f>
        <v>95.4391239610186</v>
      </c>
      <c r="F116" s="20" t="n">
        <f aca="false">F112-F115</f>
        <v>100.9890076518</v>
      </c>
      <c r="G116" s="20" t="n">
        <f aca="false">G112-G115</f>
        <v>106.865919553716</v>
      </c>
    </row>
    <row r="117" customFormat="false" ht="17.15" hidden="false" customHeight="false" outlineLevel="0" collapsed="false">
      <c r="A117" s="0" t="s">
        <v>520</v>
      </c>
      <c r="B117" s="0" t="s">
        <v>432</v>
      </c>
      <c r="D117" s="15" t="n">
        <f aca="false">D85/D75*1000/150</f>
        <v>23.5087719298246</v>
      </c>
      <c r="E117" s="15" t="n">
        <f aca="false">E85/E75*1000/150</f>
        <v>30.1617621884116</v>
      </c>
      <c r="F117" s="15" t="n">
        <f aca="false">F85/F75*1000/150</f>
        <v>36.5143464561404</v>
      </c>
      <c r="G117" s="15" t="n">
        <f aca="false">G85/G75*1000/150</f>
        <v>39.9173947725016</v>
      </c>
      <c r="K117" s="8" t="s">
        <v>521</v>
      </c>
    </row>
    <row r="120" customFormat="false" ht="17.15" hidden="false" customHeight="false" outlineLevel="0" collapsed="false">
      <c r="A120" s="1" t="s">
        <v>522</v>
      </c>
    </row>
    <row r="121" customFormat="false" ht="17.15" hidden="false" customHeight="false" outlineLevel="0" collapsed="false">
      <c r="A121" s="5" t="s">
        <v>19</v>
      </c>
      <c r="B121" s="5" t="s">
        <v>20</v>
      </c>
      <c r="C121" s="14" t="s">
        <v>374</v>
      </c>
      <c r="D121" s="14" t="s">
        <v>447</v>
      </c>
      <c r="E121" s="14" t="s">
        <v>412</v>
      </c>
      <c r="F121" s="14" t="s">
        <v>413</v>
      </c>
      <c r="G121" s="14" t="s">
        <v>414</v>
      </c>
      <c r="H121" s="14" t="s">
        <v>448</v>
      </c>
      <c r="I121" s="14" t="s">
        <v>449</v>
      </c>
      <c r="J121" s="14" t="s">
        <v>450</v>
      </c>
      <c r="K121" s="5" t="s">
        <v>379</v>
      </c>
    </row>
    <row r="122" customFormat="false" ht="17.15" hidden="false" customHeight="false" outlineLevel="0" collapsed="false">
      <c r="A122" s="6" t="s">
        <v>470</v>
      </c>
    </row>
    <row r="123" customFormat="false" ht="17.15" hidden="false" customHeight="false" outlineLevel="0" collapsed="false">
      <c r="A123" s="0" t="s">
        <v>471</v>
      </c>
      <c r="B123" s="4" t="s">
        <v>30</v>
      </c>
      <c r="D123" s="20" t="n">
        <f aca="false">unv_26</f>
        <v>7.6</v>
      </c>
      <c r="E123" s="20" t="n">
        <f aca="false">unv_27</f>
        <v>9.7</v>
      </c>
      <c r="F123" s="20" t="n">
        <f aca="false">unv_28*um28_B</f>
        <v>7.6</v>
      </c>
      <c r="G123" s="20" t="n">
        <f aca="false">unv_29*um29_B</f>
        <v>9.01</v>
      </c>
      <c r="K123" s="8" t="s">
        <v>472</v>
      </c>
    </row>
    <row r="124" customFormat="false" ht="17.15" hidden="false" customHeight="false" outlineLevel="0" collapsed="false">
      <c r="A124" s="4" t="s">
        <v>473</v>
      </c>
      <c r="B124" s="4" t="s">
        <v>30</v>
      </c>
      <c r="D124" s="20" t="n">
        <f aca="false">uot_26</f>
        <v>7.6</v>
      </c>
      <c r="E124" s="20" t="n">
        <f aca="false">uot_27</f>
        <v>14</v>
      </c>
      <c r="F124" s="20" t="n">
        <f aca="false">uot_28*um28_B</f>
        <v>13.6</v>
      </c>
      <c r="G124" s="20" t="n">
        <f aca="false">uot_29*um29_B</f>
        <v>16.6175</v>
      </c>
      <c r="K124" s="8" t="s">
        <v>474</v>
      </c>
    </row>
    <row r="125" customFormat="false" ht="17.15" hidden="false" customHeight="false" outlineLevel="0" collapsed="false">
      <c r="A125" s="4" t="s">
        <v>475</v>
      </c>
      <c r="B125" s="4" t="s">
        <v>30</v>
      </c>
      <c r="D125" s="20" t="n">
        <f aca="false">D123+v_ot*D124</f>
        <v>13.68</v>
      </c>
      <c r="E125" s="20" t="n">
        <f aca="false">E123+v_ot*E124</f>
        <v>20.9</v>
      </c>
      <c r="F125" s="20" t="n">
        <f aca="false">F123+v_ot*F124</f>
        <v>18.48</v>
      </c>
      <c r="G125" s="20" t="n">
        <f aca="false">G123+v_ot*G124</f>
        <v>22.304</v>
      </c>
    </row>
    <row r="126" customFormat="false" ht="17.15" hidden="false" customHeight="false" outlineLevel="0" collapsed="false">
      <c r="A126" s="4" t="s">
        <v>476</v>
      </c>
      <c r="B126" s="0" t="s">
        <v>52</v>
      </c>
      <c r="D126" s="21" t="n">
        <f aca="false">1</f>
        <v>1</v>
      </c>
      <c r="E126" s="21" t="n">
        <f aca="false">D126*(1+g_asp)</f>
        <v>1.18</v>
      </c>
      <c r="F126" s="21" t="n">
        <f aca="false">E126*(1+g_asp)</f>
        <v>1.3924</v>
      </c>
      <c r="G126" s="21" t="n">
        <f aca="false">F126*(1+g_asp)</f>
        <v>1.643032</v>
      </c>
    </row>
    <row r="127" customFormat="false" ht="17.15" hidden="false" customHeight="false" outlineLevel="0" collapsed="false">
      <c r="A127" s="4" t="s">
        <v>477</v>
      </c>
      <c r="B127" s="0" t="s">
        <v>52</v>
      </c>
      <c r="D127" s="18" t="n">
        <f aca="false">1</f>
        <v>1</v>
      </c>
      <c r="E127" s="18" t="n">
        <f aca="false">rel_27</f>
        <v>1</v>
      </c>
      <c r="F127" s="18" t="n">
        <f aca="false">rel_28</f>
        <v>0.97</v>
      </c>
      <c r="G127" s="18" t="n">
        <f aca="false">rel_29</f>
        <v>0.95</v>
      </c>
    </row>
    <row r="128" customFormat="false" ht="17.15" hidden="false" customHeight="false" outlineLevel="0" collapsed="false">
      <c r="A128" s="0" t="s">
        <v>478</v>
      </c>
      <c r="B128" s="0" t="s">
        <v>52</v>
      </c>
      <c r="D128" s="21" t="n">
        <f aca="false">D125/$D125*D126*D127</f>
        <v>1</v>
      </c>
      <c r="E128" s="21" t="n">
        <f aca="false">E125/$D125*E126*E127</f>
        <v>1.80277777777778</v>
      </c>
      <c r="F128" s="21" t="n">
        <f aca="false">F125/$D125*F126*F127</f>
        <v>1.82453256140351</v>
      </c>
      <c r="G128" s="21" t="n">
        <f aca="false">G125/$D125*G126*G127</f>
        <v>2.54487400888889</v>
      </c>
      <c r="K128" s="4" t="s">
        <v>479</v>
      </c>
    </row>
    <row r="129" customFormat="false" ht="17.15" hidden="false" customHeight="false" outlineLevel="0" collapsed="false">
      <c r="A129" s="4" t="s">
        <v>480</v>
      </c>
      <c r="B129" s="0" t="s">
        <v>52</v>
      </c>
      <c r="D129" s="21" t="n">
        <f aca="false">1</f>
        <v>1</v>
      </c>
      <c r="E129" s="21" t="n">
        <f aca="false">D129*(1+g_nai)</f>
        <v>1.03</v>
      </c>
      <c r="F129" s="21" t="n">
        <f aca="false">E129*(1+g_nai)</f>
        <v>1.0609</v>
      </c>
      <c r="G129" s="21" t="n">
        <f aca="false">F129*(1+g_nai)</f>
        <v>1.092727</v>
      </c>
    </row>
    <row r="130" customFormat="false" ht="17.15" hidden="false" customHeight="false" outlineLevel="0" collapsed="false">
      <c r="A130" s="0" t="s">
        <v>481</v>
      </c>
      <c r="B130" s="0" t="s">
        <v>52</v>
      </c>
      <c r="D130" s="21" t="n">
        <f aca="false">ai_sh*D128+(1-ai_sh)*D129</f>
        <v>1</v>
      </c>
      <c r="E130" s="21" t="n">
        <f aca="false">ai_sh*E128+(1-ai_sh)*E129</f>
        <v>1.33911111111111</v>
      </c>
      <c r="F130" s="21" t="n">
        <f aca="false">ai_sh*F128+(1-ai_sh)*F129</f>
        <v>1.3663530245614</v>
      </c>
      <c r="G130" s="21" t="n">
        <f aca="false">ai_sh*G128+(1-ai_sh)*G129</f>
        <v>1.67358580355556</v>
      </c>
    </row>
    <row r="131" customFormat="false" ht="17.15" hidden="false" customHeight="false" outlineLevel="0" collapsed="false">
      <c r="A131" s="4" t="s">
        <v>482</v>
      </c>
      <c r="B131" s="0" t="s">
        <v>52</v>
      </c>
      <c r="D131" s="21" t="n">
        <f aca="false">1</f>
        <v>1</v>
      </c>
      <c r="E131" s="21" t="n">
        <f aca="false">cap_27</f>
        <v>1.3</v>
      </c>
      <c r="F131" s="21" t="n">
        <f aca="false">cap_28</f>
        <v>1.55</v>
      </c>
      <c r="G131" s="21" t="n">
        <f aca="false">cap_29</f>
        <v>1.8</v>
      </c>
      <c r="K131" s="4" t="s">
        <v>483</v>
      </c>
    </row>
    <row r="132" customFormat="false" ht="17.15" hidden="false" customHeight="false" outlineLevel="0" collapsed="false">
      <c r="A132" s="4" t="s">
        <v>484</v>
      </c>
      <c r="B132" s="0" t="s">
        <v>52</v>
      </c>
      <c r="D132" s="21" t="n">
        <f aca="false">MIN(D130,D131)</f>
        <v>1</v>
      </c>
      <c r="E132" s="21" t="n">
        <f aca="false">MIN(E130,E131)</f>
        <v>1.3</v>
      </c>
      <c r="F132" s="21" t="n">
        <f aca="false">MIN(F130,F131)</f>
        <v>1.3663530245614</v>
      </c>
      <c r="G132" s="21" t="n">
        <f aca="false">MIN(G130,G131)</f>
        <v>1.67358580355556</v>
      </c>
    </row>
    <row r="133" customFormat="false" ht="17.15" hidden="false" customHeight="false" outlineLevel="0" collapsed="false">
      <c r="A133" s="4" t="s">
        <v>485</v>
      </c>
      <c r="B133" s="0" t="s">
        <v>77</v>
      </c>
      <c r="D133" s="16" t="n">
        <f aca="false">D132/D130</f>
        <v>1</v>
      </c>
      <c r="E133" s="16" t="n">
        <f aca="false">E132/E130</f>
        <v>0.970793229339529</v>
      </c>
      <c r="F133" s="16" t="n">
        <f aca="false">F132/F130</f>
        <v>1</v>
      </c>
      <c r="G133" s="16" t="n">
        <f aca="false">G132/G130</f>
        <v>1</v>
      </c>
      <c r="K133" s="4" t="s">
        <v>486</v>
      </c>
    </row>
    <row r="134" customFormat="false" ht="17.15" hidden="false" customHeight="false" outlineLevel="0" collapsed="false">
      <c r="A134" s="0" t="s">
        <v>487</v>
      </c>
      <c r="B134" s="0" t="s">
        <v>52</v>
      </c>
      <c r="D134" s="21" t="n">
        <f aca="false">1</f>
        <v>1</v>
      </c>
      <c r="E134" s="21" t="n">
        <f aca="false">pp_27</f>
        <v>1.12</v>
      </c>
      <c r="F134" s="21" t="n">
        <f aca="false">pp_28*sp_B</f>
        <v>1.0925</v>
      </c>
      <c r="G134" s="21" t="n">
        <f aca="false">pp_29*sp_B</f>
        <v>1.064</v>
      </c>
      <c r="K134" s="8" t="s">
        <v>488</v>
      </c>
    </row>
    <row r="135" customFormat="false" ht="17.15" hidden="false" customHeight="false" outlineLevel="0" collapsed="false">
      <c r="A135" s="0" t="s">
        <v>429</v>
      </c>
      <c r="B135" s="0" t="s">
        <v>169</v>
      </c>
      <c r="D135" s="15" t="n">
        <f aca="false">q26_fm*ai_sh</f>
        <v>48.24</v>
      </c>
      <c r="E135" s="15" t="n">
        <f aca="false">q26_fm*ai_sh*E128*E133*E134</f>
        <v>94.5571244606705</v>
      </c>
      <c r="F135" s="15" t="n">
        <f aca="false">q26_fm*ai_sh*F128*F133*F134</f>
        <v>96.1568799576</v>
      </c>
      <c r="G135" s="15" t="n">
        <f aca="false">q26_fm*ai_sh*G128*G133*G134</f>
        <v>130.621664408883</v>
      </c>
      <c r="K135" s="8" t="s">
        <v>489</v>
      </c>
    </row>
    <row r="136" customFormat="false" ht="17.15" hidden="false" customHeight="false" outlineLevel="0" collapsed="false">
      <c r="A136" s="0" t="s">
        <v>490</v>
      </c>
      <c r="B136" s="0" t="s">
        <v>169</v>
      </c>
      <c r="D136" s="15" t="n">
        <f aca="false">q26_fm*(1-ai_sh)</f>
        <v>72.36</v>
      </c>
      <c r="E136" s="15" t="n">
        <f aca="false">q26_fm*(1-ai_sh)*E129*E133*E134</f>
        <v>81.0364755393296</v>
      </c>
      <c r="F136" s="15" t="n">
        <f aca="false">q26_fm*(1-ai_sh)*F129*F133*F134</f>
        <v>83.86764597</v>
      </c>
      <c r="G136" s="15" t="n">
        <f aca="false">q26_fm*(1-ai_sh)*G129*G133*G134</f>
        <v>84.13018816608</v>
      </c>
    </row>
    <row r="137" customFormat="false" ht="17.15" hidden="false" customHeight="false" outlineLevel="0" collapsed="false">
      <c r="A137" s="4" t="s">
        <v>491</v>
      </c>
      <c r="B137" s="0" t="s">
        <v>169</v>
      </c>
      <c r="C137" s="15" t="n">
        <f aca="false">q25_fm</f>
        <v>102.4512</v>
      </c>
      <c r="D137" s="15" t="n">
        <f aca="false">D135+D136</f>
        <v>120.6</v>
      </c>
      <c r="E137" s="15" t="n">
        <f aca="false">E135+E136</f>
        <v>175.5936</v>
      </c>
      <c r="F137" s="15" t="n">
        <f aca="false">F135+F136</f>
        <v>180.0245259276</v>
      </c>
      <c r="G137" s="15" t="n">
        <f aca="false">G135+G136</f>
        <v>214.751852574963</v>
      </c>
    </row>
    <row r="138" customFormat="false" ht="17.15" hidden="false" customHeight="false" outlineLevel="0" collapsed="false">
      <c r="A138" s="0" t="s">
        <v>492</v>
      </c>
      <c r="B138" s="0" t="s">
        <v>77</v>
      </c>
      <c r="C138" s="16" t="n">
        <f aca="false">q25_fmbp/q25_fm</f>
        <v>0.532936656671664</v>
      </c>
      <c r="D138" s="16" t="n">
        <f aca="false">q26_fmbp/q26_fm</f>
        <v>0.543117744610282</v>
      </c>
      <c r="E138" s="16" t="n">
        <f aca="false">1-(1-$D138)*(1+c_g)^1/E134</f>
        <v>0.579831497275527</v>
      </c>
      <c r="F138" s="16" t="n">
        <f aca="false">1-(1-$D138)*(1+c_g)^2/F134</f>
        <v>0.55633282861057</v>
      </c>
      <c r="G138" s="16" t="n">
        <f aca="false">1-(1-$D138)*(1+c_g)^3/G134</f>
        <v>0.530782353115376</v>
      </c>
      <c r="K138" s="8" t="s">
        <v>493</v>
      </c>
    </row>
    <row r="139" customFormat="false" ht="17.15" hidden="false" customHeight="false" outlineLevel="0" collapsed="false">
      <c r="A139" s="0" t="s">
        <v>455</v>
      </c>
      <c r="B139" s="0" t="s">
        <v>169</v>
      </c>
      <c r="C139" s="15" t="n">
        <f aca="false">q25_fmbp</f>
        <v>54.6</v>
      </c>
      <c r="D139" s="15" t="n">
        <f aca="false">D137*D138</f>
        <v>65.5</v>
      </c>
      <c r="E139" s="15" t="n">
        <f aca="false">E137*E138</f>
        <v>101.8147</v>
      </c>
      <c r="F139" s="15" t="n">
        <f aca="false">F137*F138</f>
        <v>100.153553728579</v>
      </c>
      <c r="G139" s="15" t="n">
        <f aca="false">G137*G138</f>
        <v>113.986493645625</v>
      </c>
    </row>
    <row r="140" customFormat="false" ht="17.15" hidden="false" customHeight="false" outlineLevel="0" collapsed="false">
      <c r="A140" s="6" t="s">
        <v>494</v>
      </c>
    </row>
    <row r="141" customFormat="false" ht="15" hidden="false" customHeight="false" outlineLevel="0" collapsed="false">
      <c r="A141" s="4" t="s">
        <v>495</v>
      </c>
      <c r="B141" s="0" t="s">
        <v>169</v>
      </c>
      <c r="C141" s="15" t="n">
        <f aca="false">q25_sf</f>
        <v>936.926</v>
      </c>
      <c r="D141" s="15" t="n">
        <f aca="false">q26_sf</f>
        <v>998.6</v>
      </c>
      <c r="E141" s="15" t="n">
        <f aca="false">D141*(1+g_sf)</f>
        <v>1038.544</v>
      </c>
      <c r="F141" s="15" t="n">
        <f aca="false">E141*(1+g_sf)</f>
        <v>1080.08576</v>
      </c>
      <c r="G141" s="15" t="n">
        <f aca="false">F141*(1+g_sf)</f>
        <v>1123.2891904</v>
      </c>
    </row>
    <row r="142" customFormat="false" ht="15" hidden="false" customHeight="false" outlineLevel="0" collapsed="false">
      <c r="A142" s="4" t="s">
        <v>496</v>
      </c>
      <c r="B142" s="0" t="s">
        <v>169</v>
      </c>
      <c r="C142" s="15" t="n">
        <f aca="false">q25_sfbp</f>
        <v>143.036</v>
      </c>
      <c r="D142" s="15" t="n">
        <f aca="false">q26_sfbp</f>
        <v>145.9</v>
      </c>
      <c r="E142" s="15" t="n">
        <f aca="false">E141*m_sf</f>
        <v>151.736</v>
      </c>
      <c r="F142" s="15" t="n">
        <f aca="false">F141*m_sf</f>
        <v>157.80544</v>
      </c>
      <c r="G142" s="15" t="n">
        <f aca="false">G141*m_sf</f>
        <v>164.1176576</v>
      </c>
    </row>
    <row r="143" customFormat="false" ht="15" hidden="false" customHeight="false" outlineLevel="0" collapsed="false">
      <c r="A143" s="4" t="s">
        <v>497</v>
      </c>
      <c r="B143" s="0" t="s">
        <v>169</v>
      </c>
      <c r="C143" s="15" t="n">
        <f aca="false">q25_ff</f>
        <v>290.308</v>
      </c>
      <c r="D143" s="15" t="n">
        <f aca="false">q26_ff</f>
        <v>310.6</v>
      </c>
      <c r="E143" s="15" t="n">
        <f aca="false">D143*(1+g_ff)</f>
        <v>319.918</v>
      </c>
      <c r="F143" s="15" t="n">
        <f aca="false">E143*(1+g_ff)</f>
        <v>329.51554</v>
      </c>
      <c r="G143" s="15" t="n">
        <f aca="false">F143*(1+g_ff)</f>
        <v>339.4010062</v>
      </c>
    </row>
    <row r="144" customFormat="false" ht="15" hidden="false" customHeight="false" outlineLevel="0" collapsed="false">
      <c r="A144" s="4" t="s">
        <v>498</v>
      </c>
      <c r="B144" s="0" t="s">
        <v>169</v>
      </c>
      <c r="C144" s="15" t="n">
        <f aca="false">q25_ffbp</f>
        <v>8.457</v>
      </c>
      <c r="D144" s="15" t="n">
        <f aca="false">q26_ffbp</f>
        <v>12.1</v>
      </c>
      <c r="E144" s="15" t="n">
        <f aca="false">E143*m_ff</f>
        <v>14.39631</v>
      </c>
      <c r="F144" s="15" t="n">
        <f aca="false">F143*m_ff</f>
        <v>14.8281993</v>
      </c>
      <c r="G144" s="15" t="n">
        <f aca="false">G143*m_ff</f>
        <v>15.273045279</v>
      </c>
    </row>
    <row r="145" customFormat="false" ht="17.15" hidden="false" customHeight="false" outlineLevel="0" collapsed="false">
      <c r="A145" s="4" t="s">
        <v>499</v>
      </c>
      <c r="B145" s="0" t="s">
        <v>169</v>
      </c>
      <c r="C145" s="15" t="n">
        <f aca="false">q25_hox</f>
        <v>239.0528</v>
      </c>
      <c r="D145" s="15" t="n">
        <f aca="false">q26_hox</f>
        <v>286.2</v>
      </c>
      <c r="E145" s="15" t="n">
        <f aca="false">D145*(1+g_ho)</f>
        <v>300.51</v>
      </c>
      <c r="F145" s="15" t="n">
        <f aca="false">E145*(1+g_ho)</f>
        <v>315.5355</v>
      </c>
      <c r="G145" s="15" t="n">
        <f aca="false">F145*(1+g_ho)</f>
        <v>331.312275</v>
      </c>
    </row>
    <row r="146" customFormat="false" ht="17.15" hidden="false" customHeight="false" outlineLevel="0" collapsed="false">
      <c r="A146" s="4" t="s">
        <v>500</v>
      </c>
      <c r="B146" s="0" t="s">
        <v>169</v>
      </c>
      <c r="C146" s="15" t="n">
        <f aca="false">q25_hoxbp</f>
        <v>11.602</v>
      </c>
      <c r="D146" s="15" t="n">
        <f aca="false">q26_hoxbp</f>
        <v>19.5</v>
      </c>
      <c r="E146" s="15" t="n">
        <f aca="false">E145*m_ho</f>
        <v>20.475</v>
      </c>
      <c r="F146" s="15" t="n">
        <f aca="false">F145*m_ho</f>
        <v>21.49875</v>
      </c>
      <c r="G146" s="15" t="n">
        <f aca="false">G145*m_ho</f>
        <v>22.5736875</v>
      </c>
    </row>
    <row r="147" customFormat="false" ht="17.15" hidden="false" customHeight="false" outlineLevel="0" collapsed="false">
      <c r="A147" s="4" t="s">
        <v>501</v>
      </c>
      <c r="B147" s="0" t="s">
        <v>169</v>
      </c>
      <c r="C147" s="15" t="n">
        <f aca="false">q25_oth</f>
        <v>14.979</v>
      </c>
      <c r="D147" s="15" t="n">
        <f aca="false">q26_oth</f>
        <v>15.8</v>
      </c>
      <c r="E147" s="15" t="n">
        <f aca="false">D147</f>
        <v>15.8</v>
      </c>
      <c r="F147" s="15" t="n">
        <f aca="false">E147</f>
        <v>15.8</v>
      </c>
      <c r="G147" s="15" t="n">
        <f aca="false">F147</f>
        <v>15.8</v>
      </c>
      <c r="K147" s="8" t="s">
        <v>502</v>
      </c>
    </row>
    <row r="148" customFormat="false" ht="15" hidden="false" customHeight="false" outlineLevel="0" collapsed="false">
      <c r="A148" s="4" t="s">
        <v>503</v>
      </c>
      <c r="B148" s="0" t="s">
        <v>169</v>
      </c>
      <c r="C148" s="15" t="n">
        <f aca="false">q25_othbp</f>
        <v>6.064</v>
      </c>
      <c r="D148" s="15" t="n">
        <f aca="false">q26_othbp</f>
        <v>5.1</v>
      </c>
      <c r="E148" s="15" t="n">
        <f aca="false">q26_othbp</f>
        <v>5.1</v>
      </c>
      <c r="F148" s="15" t="n">
        <f aca="false">q26_othbp</f>
        <v>5.1</v>
      </c>
      <c r="G148" s="15" t="n">
        <f aca="false">q26_othbp</f>
        <v>5.1</v>
      </c>
    </row>
    <row r="149" customFormat="false" ht="15" hidden="false" customHeight="false" outlineLevel="0" collapsed="false">
      <c r="A149" s="4" t="s">
        <v>504</v>
      </c>
      <c r="B149" s="0" t="s">
        <v>169</v>
      </c>
      <c r="C149" s="15" t="n">
        <f aca="false">q25_cc</f>
        <v>-42.597</v>
      </c>
      <c r="D149" s="15" t="n">
        <f aca="false">q26_cc</f>
        <v>-46.2</v>
      </c>
      <c r="E149" s="15" t="n">
        <f aca="false">D149*(1+g_cc)</f>
        <v>-47.586</v>
      </c>
      <c r="F149" s="15" t="n">
        <f aca="false">E149*(1+g_cc)</f>
        <v>-49.01358</v>
      </c>
      <c r="G149" s="15" t="n">
        <f aca="false">F149*(1+g_cc)</f>
        <v>-50.4839874</v>
      </c>
    </row>
    <row r="150" customFormat="false" ht="17.15" hidden="false" customHeight="false" outlineLevel="0" collapsed="false">
      <c r="A150" s="4" t="s">
        <v>505</v>
      </c>
      <c r="B150" s="0" t="s">
        <v>169</v>
      </c>
      <c r="C150" s="28" t="n">
        <f aca="false">a_rev-(q25_sf+q25_ff+q25_hox+q25_fm+q25_oth)</f>
        <v>0.00200000000018008</v>
      </c>
      <c r="D150" s="28" t="n">
        <f aca="false">f_rev-(q26_sf+q26_ff+q26_hox+q26_fm+q26_oth)</f>
        <v>0.200000000000045</v>
      </c>
      <c r="E150" s="28" t="n">
        <f aca="false">$D150</f>
        <v>0.200000000000045</v>
      </c>
      <c r="F150" s="28" t="n">
        <f aca="false">$D150</f>
        <v>0.200000000000045</v>
      </c>
      <c r="G150" s="28" t="n">
        <f aca="false">$D150</f>
        <v>0.200000000000045</v>
      </c>
      <c r="K150" s="8" t="s">
        <v>506</v>
      </c>
    </row>
    <row r="151" customFormat="false" ht="15" hidden="false" customHeight="false" outlineLevel="0" collapsed="false">
      <c r="A151" s="4" t="s">
        <v>507</v>
      </c>
      <c r="B151" s="0" t="s">
        <v>169</v>
      </c>
      <c r="C151" s="28" t="n">
        <f aca="false">a_bp-(q25_sfbp+q25_ffbp+q25_hoxbp+q25_fmbp+q25_othbp+q25_cc)</f>
        <v>0.0010000000000332</v>
      </c>
      <c r="D151" s="28" t="n">
        <f aca="false">f_bp-(q26_sfbp+q26_ffbp+q26_hoxbp+q26_fmbp+q26_othbp+q26_cc)</f>
        <v>0.100000000000023</v>
      </c>
      <c r="E151" s="28" t="n">
        <f aca="false">$D151</f>
        <v>0.100000000000023</v>
      </c>
      <c r="F151" s="28" t="n">
        <f aca="false">$D151</f>
        <v>0.100000000000023</v>
      </c>
      <c r="G151" s="28" t="n">
        <f aca="false">$D151</f>
        <v>0.100000000000023</v>
      </c>
    </row>
    <row r="152" customFormat="false" ht="17.15" hidden="false" customHeight="false" outlineLevel="0" collapsed="false">
      <c r="A152" s="6" t="s">
        <v>508</v>
      </c>
    </row>
    <row r="153" customFormat="false" ht="17.15" hidden="false" customHeight="false" outlineLevel="0" collapsed="false">
      <c r="A153" s="4" t="s">
        <v>380</v>
      </c>
      <c r="B153" s="0" t="s">
        <v>169</v>
      </c>
      <c r="C153" s="15" t="n">
        <f aca="false">C141+C143+C145+C137+C147+C150</f>
        <v>1583.719</v>
      </c>
      <c r="D153" s="15" t="n">
        <f aca="false">D141+D143+D145+D137+D147+D150</f>
        <v>1732</v>
      </c>
      <c r="E153" s="15" t="n">
        <f aca="false">E141+E143+E145+E137+E147+E150</f>
        <v>1850.5656</v>
      </c>
      <c r="F153" s="15" t="n">
        <f aca="false">F141+F143+F145+F137+F147+F150</f>
        <v>1921.1613259276</v>
      </c>
      <c r="G153" s="15" t="n">
        <f aca="false">G141+G143+G145+G137+G147+G150</f>
        <v>2024.75432417496</v>
      </c>
      <c r="H153" s="23" t="n">
        <f aca="false">G153*(1+H154)</f>
        <v>2124.53701336304</v>
      </c>
      <c r="I153" s="23" t="n">
        <f aca="false">H153*(1+I154)</f>
        <v>2219.37781258359</v>
      </c>
      <c r="J153" s="23" t="n">
        <f aca="false">I153*(1+J154)</f>
        <v>2308.15292508694</v>
      </c>
      <c r="K153" s="8" t="s">
        <v>509</v>
      </c>
    </row>
    <row r="154" customFormat="false" ht="15" hidden="false" customHeight="false" outlineLevel="0" collapsed="false">
      <c r="A154" s="4" t="s">
        <v>510</v>
      </c>
      <c r="B154" s="0" t="s">
        <v>77</v>
      </c>
      <c r="D154" s="16" t="n">
        <f aca="false">D153/C153-1</f>
        <v>0.0936283519993131</v>
      </c>
      <c r="E154" s="16" t="n">
        <f aca="false">E153/D153-1</f>
        <v>0.0684558891454965</v>
      </c>
      <c r="F154" s="16" t="n">
        <f aca="false">F153/E153-1</f>
        <v>0.0381481888173001</v>
      </c>
      <c r="G154" s="16" t="n">
        <f aca="false">G153/F153-1</f>
        <v>0.0539220714311148</v>
      </c>
      <c r="H154" s="24" t="n">
        <f aca="false">$G154+(fade_gB-$G154)*1/3</f>
        <v>0.0492813809540766</v>
      </c>
      <c r="I154" s="24" t="n">
        <f aca="false">$G154+(fade_gB-$G154)*2/3</f>
        <v>0.0446406904770383</v>
      </c>
      <c r="J154" s="24" t="n">
        <f aca="false">$G154+(fade_gB-$G154)*3/3</f>
        <v>0.04</v>
      </c>
    </row>
    <row r="155" customFormat="false" ht="17.15" hidden="false" customHeight="false" outlineLevel="0" collapsed="false">
      <c r="A155" s="0" t="s">
        <v>511</v>
      </c>
      <c r="B155" s="0" t="s">
        <v>77</v>
      </c>
      <c r="C155" s="16" t="n">
        <f aca="false">C137/C153</f>
        <v>0.0646902638662541</v>
      </c>
      <c r="D155" s="16" t="n">
        <f aca="false">D137/D153</f>
        <v>0.0696304849884527</v>
      </c>
      <c r="E155" s="16" t="n">
        <f aca="false">E137/E153</f>
        <v>0.0948864498507916</v>
      </c>
      <c r="F155" s="16" t="n">
        <f aca="false">F137/F153</f>
        <v>0.093706095109258</v>
      </c>
      <c r="G155" s="16" t="n">
        <f aca="false">G137/G153</f>
        <v>0.106063165299064</v>
      </c>
    </row>
    <row r="156" customFormat="false" ht="15" hidden="false" customHeight="false" outlineLevel="0" collapsed="false">
      <c r="A156" s="4" t="s">
        <v>390</v>
      </c>
      <c r="B156" s="0" t="s">
        <v>169</v>
      </c>
      <c r="C156" s="15" t="n">
        <f aca="false">C142+C144+C146+C139+C148+C149+C151</f>
        <v>181.163</v>
      </c>
      <c r="D156" s="15" t="n">
        <f aca="false">D142+D144+D146+D139+D148+D149+D151</f>
        <v>202</v>
      </c>
      <c r="E156" s="15" t="n">
        <f aca="false">E142+E144+E146+E139+E148+E149+E151</f>
        <v>246.03601</v>
      </c>
      <c r="F156" s="15" t="n">
        <f aca="false">F142+F144+F146+F139+F148+F149+F151</f>
        <v>250.472363028579</v>
      </c>
      <c r="G156" s="15" t="n">
        <f aca="false">G142+G144+G146+G139+G148+G149+G151</f>
        <v>270.666896624625</v>
      </c>
    </row>
    <row r="157" customFormat="false" ht="15" hidden="false" customHeight="false" outlineLevel="0" collapsed="false">
      <c r="A157" s="4" t="s">
        <v>406</v>
      </c>
      <c r="B157" s="0" t="s">
        <v>77</v>
      </c>
      <c r="C157" s="16" t="n">
        <f aca="false">C156/C153</f>
        <v>0.114390873633517</v>
      </c>
      <c r="D157" s="16" t="n">
        <f aca="false">D156/D153</f>
        <v>0.11662817551963</v>
      </c>
      <c r="E157" s="16" t="n">
        <f aca="false">E156/E153</f>
        <v>0.132951790522854</v>
      </c>
      <c r="F157" s="16" t="n">
        <f aca="false">F156/F153</f>
        <v>0.130375497178844</v>
      </c>
      <c r="G157" s="16" t="n">
        <f aca="false">G156/G153</f>
        <v>0.133678883108406</v>
      </c>
    </row>
    <row r="158" customFormat="false" ht="17.15" hidden="false" customHeight="false" outlineLevel="0" collapsed="false">
      <c r="A158" s="0" t="s">
        <v>512</v>
      </c>
      <c r="B158" s="0" t="s">
        <v>77</v>
      </c>
      <c r="C158" s="16" t="n">
        <f aca="false">C139/C156</f>
        <v>0.301386044611758</v>
      </c>
      <c r="D158" s="16" t="n">
        <f aca="false">D139/D156</f>
        <v>0.324257425742574</v>
      </c>
      <c r="E158" s="16" t="n">
        <f aca="false">E139/E156</f>
        <v>0.413820318415991</v>
      </c>
      <c r="F158" s="16" t="n">
        <f aca="false">F139/F156</f>
        <v>0.399858701046196</v>
      </c>
      <c r="G158" s="16" t="n">
        <f aca="false">G139/G156</f>
        <v>0.42113200789274</v>
      </c>
    </row>
    <row r="159" customFormat="false" ht="17.15" hidden="false" customHeight="false" outlineLevel="0" collapsed="false">
      <c r="A159" s="4" t="s">
        <v>407</v>
      </c>
      <c r="B159" s="0" t="s">
        <v>52</v>
      </c>
      <c r="C159" s="21" t="n">
        <f aca="false">q25_ni/q25_bp</f>
        <v>0.743391310587703</v>
      </c>
      <c r="D159" s="21" t="n">
        <f aca="false">q26_ni/q26_bp</f>
        <v>0.611386138613861</v>
      </c>
      <c r="E159" s="21" t="n">
        <f aca="false">ni_bp</f>
        <v>0.62</v>
      </c>
      <c r="F159" s="21" t="n">
        <f aca="false">ni_bp</f>
        <v>0.62</v>
      </c>
      <c r="G159" s="21" t="n">
        <f aca="false">ni_bp</f>
        <v>0.62</v>
      </c>
    </row>
    <row r="160" customFormat="false" ht="15" hidden="false" customHeight="false" outlineLevel="0" collapsed="false">
      <c r="A160" s="4" t="s">
        <v>397</v>
      </c>
      <c r="B160" s="0" t="s">
        <v>169</v>
      </c>
      <c r="C160" s="15" t="n">
        <f aca="false">q25_ni</f>
        <v>134.675</v>
      </c>
      <c r="D160" s="15" t="n">
        <f aca="false">q26_ni</f>
        <v>123.5</v>
      </c>
      <c r="E160" s="15" t="n">
        <f aca="false">E156*E159</f>
        <v>152.5423262</v>
      </c>
      <c r="F160" s="15" t="n">
        <f aca="false">F156*F159</f>
        <v>155.292865077719</v>
      </c>
      <c r="G160" s="15" t="n">
        <f aca="false">G156*G159</f>
        <v>167.813475907268</v>
      </c>
      <c r="H160" s="23" t="n">
        <f aca="false">H153*H164</f>
        <v>170.214103884592</v>
      </c>
      <c r="I160" s="23" t="n">
        <f aca="false">I153*I164</f>
        <v>171.681110769174</v>
      </c>
      <c r="J160" s="23" t="n">
        <f aca="false">J153*J164</f>
        <v>172.171628228515</v>
      </c>
    </row>
    <row r="161" customFormat="false" ht="15" hidden="false" customHeight="false" outlineLevel="0" collapsed="false">
      <c r="A161" s="4" t="s">
        <v>513</v>
      </c>
      <c r="B161" s="4" t="s">
        <v>316</v>
      </c>
      <c r="C161" s="19" t="n">
        <f aca="false">q25_sh</f>
        <v>0.973366579936398</v>
      </c>
      <c r="D161" s="19" t="n">
        <f aca="false">q26_sh</f>
        <v>0.95117067159581</v>
      </c>
      <c r="E161" s="19" t="n">
        <f aca="false">D161*(1+sh_g)</f>
        <v>0.936903111521873</v>
      </c>
      <c r="F161" s="19" t="n">
        <f aca="false">E161*(1+sh_g)</f>
        <v>0.922849564849045</v>
      </c>
      <c r="G161" s="19" t="n">
        <f aca="false">F161*(1+sh_g)</f>
        <v>0.909006821376309</v>
      </c>
      <c r="H161" s="29" t="n">
        <f aca="false">G161*(1+sh_g)</f>
        <v>0.895371719055665</v>
      </c>
      <c r="I161" s="29" t="n">
        <f aca="false">H161*(1+sh_g)</f>
        <v>0.88194114326983</v>
      </c>
      <c r="J161" s="29" t="n">
        <f aca="false">I161*(1+sh_g)</f>
        <v>0.868712026120782</v>
      </c>
    </row>
    <row r="162" customFormat="false" ht="17.15" hidden="false" customHeight="false" outlineLevel="0" collapsed="false">
      <c r="A162" s="0" t="s">
        <v>514</v>
      </c>
      <c r="B162" s="0" t="s">
        <v>207</v>
      </c>
      <c r="C162" s="20" t="n">
        <f aca="false">C160/C161</f>
        <v>138.36</v>
      </c>
      <c r="D162" s="20" t="n">
        <f aca="false">D160/D161</f>
        <v>129.84</v>
      </c>
      <c r="E162" s="20" t="n">
        <f aca="false">E160/E161</f>
        <v>162.815476140554</v>
      </c>
      <c r="F162" s="20" t="n">
        <f aca="false">F160/F161</f>
        <v>168.275384193437</v>
      </c>
      <c r="G162" s="20" t="n">
        <f aca="false">G160/G161</f>
        <v>184.611899449978</v>
      </c>
      <c r="H162" s="27" t="n">
        <f aca="false">H160/H161</f>
        <v>190.104400509896</v>
      </c>
      <c r="I162" s="27" t="n">
        <f aca="false">I160/I161</f>
        <v>194.662775491639</v>
      </c>
      <c r="J162" s="27" t="n">
        <f aca="false">J160/J161</f>
        <v>198.191832335215</v>
      </c>
    </row>
    <row r="163" customFormat="false" ht="17.15" hidden="false" customHeight="false" outlineLevel="0" collapsed="false">
      <c r="A163" s="0" t="s">
        <v>515</v>
      </c>
      <c r="B163" s="0" t="s">
        <v>77</v>
      </c>
      <c r="D163" s="16" t="n">
        <f aca="false">D162/C162-1</f>
        <v>-0.0615784908933218</v>
      </c>
      <c r="E163" s="16" t="n">
        <f aca="false">E162/D162-1</f>
        <v>0.253970087342527</v>
      </c>
      <c r="F163" s="16" t="n">
        <f aca="false">F162/E162-1</f>
        <v>0.0335343309021159</v>
      </c>
      <c r="G163" s="16" t="n">
        <f aca="false">G162/F162-1</f>
        <v>0.0970820261967882</v>
      </c>
      <c r="H163" s="24" t="n">
        <f aca="false">H162/G162-1</f>
        <v>0.0297516090581462</v>
      </c>
      <c r="I163" s="24" t="n">
        <f aca="false">I162/H162-1</f>
        <v>0.0239782717786479</v>
      </c>
      <c r="J163" s="24" t="n">
        <f aca="false">J162/I162-1</f>
        <v>0.0181290790427846</v>
      </c>
    </row>
    <row r="164" customFormat="false" ht="15" hidden="false" customHeight="false" outlineLevel="0" collapsed="false">
      <c r="A164" s="4" t="s">
        <v>516</v>
      </c>
      <c r="B164" s="0" t="s">
        <v>77</v>
      </c>
      <c r="C164" s="25" t="n">
        <f aca="false">C160/C153</f>
        <v>0.0850371814696925</v>
      </c>
      <c r="D164" s="25" t="n">
        <f aca="false">D160/D153</f>
        <v>0.0713048498845266</v>
      </c>
      <c r="E164" s="25" t="n">
        <f aca="false">E160/E153</f>
        <v>0.0824301101241696</v>
      </c>
      <c r="F164" s="25" t="n">
        <f aca="false">F160/F153</f>
        <v>0.0808328082508835</v>
      </c>
      <c r="G164" s="25" t="n">
        <f aca="false">G160/G153</f>
        <v>0.082880907527212</v>
      </c>
      <c r="H164" s="26" t="n">
        <f aca="false">$G164+(fade_mB-$G164)*1/3</f>
        <v>0.0801182106096382</v>
      </c>
      <c r="I164" s="26" t="n">
        <f aca="false">$G164+(fade_mB-$G164)*2/3</f>
        <v>0.0773555136920645</v>
      </c>
      <c r="J164" s="26" t="n">
        <f aca="false">$G164+(fade_mB-$G164)*3/3</f>
        <v>0.0745928167744908</v>
      </c>
    </row>
    <row r="165" customFormat="false" ht="17.15" hidden="false" customHeight="false" outlineLevel="0" collapsed="false">
      <c r="A165" s="0" t="s">
        <v>517</v>
      </c>
      <c r="B165" s="0" t="s">
        <v>207</v>
      </c>
      <c r="D165" s="20" t="n">
        <f aca="false">D139*D159/D161</f>
        <v>42.1015841584158</v>
      </c>
      <c r="E165" s="20" t="n">
        <f aca="false">E139*E159/E161</f>
        <v>67.3763521795352</v>
      </c>
      <c r="F165" s="20" t="n">
        <f aca="false">F139*F159/F161</f>
        <v>67.2863765416371</v>
      </c>
      <c r="G165" s="20" t="n">
        <f aca="false">G139*G159/G161</f>
        <v>77.7459798962621</v>
      </c>
      <c r="K165" s="8" t="s">
        <v>518</v>
      </c>
    </row>
    <row r="166" customFormat="false" ht="17.15" hidden="false" customHeight="false" outlineLevel="0" collapsed="false">
      <c r="A166" s="0" t="s">
        <v>519</v>
      </c>
      <c r="B166" s="0" t="s">
        <v>207</v>
      </c>
      <c r="D166" s="20" t="n">
        <f aca="false">D162-D165</f>
        <v>87.7384158415842</v>
      </c>
      <c r="E166" s="20" t="n">
        <f aca="false">E162-E165</f>
        <v>95.4391239610186</v>
      </c>
      <c r="F166" s="20" t="n">
        <f aca="false">F162-F165</f>
        <v>100.9890076518</v>
      </c>
      <c r="G166" s="20" t="n">
        <f aca="false">G162-G165</f>
        <v>106.865919553716</v>
      </c>
    </row>
    <row r="167" customFormat="false" ht="17.15" hidden="false" customHeight="false" outlineLevel="0" collapsed="false">
      <c r="A167" s="0" t="s">
        <v>520</v>
      </c>
      <c r="B167" s="0" t="s">
        <v>432</v>
      </c>
      <c r="D167" s="15" t="n">
        <f aca="false">D135/D125*1000/150</f>
        <v>23.5087719298246</v>
      </c>
      <c r="E167" s="15" t="n">
        <f aca="false">E135/E125*1000/150</f>
        <v>30.1617621884116</v>
      </c>
      <c r="F167" s="15" t="n">
        <f aca="false">F135/F125*1000/150</f>
        <v>34.6886291333333</v>
      </c>
      <c r="G167" s="15" t="n">
        <f aca="false">G135/G125*1000/150</f>
        <v>39.0428217386667</v>
      </c>
      <c r="K167" s="8" t="s">
        <v>521</v>
      </c>
    </row>
    <row r="170" customFormat="false" ht="17.15" hidden="false" customHeight="false" outlineLevel="0" collapsed="false">
      <c r="A170" s="1" t="s">
        <v>523</v>
      </c>
    </row>
    <row r="171" customFormat="false" ht="17.15" hidden="false" customHeight="false" outlineLevel="0" collapsed="false">
      <c r="A171" s="5" t="s">
        <v>19</v>
      </c>
      <c r="B171" s="5" t="s">
        <v>20</v>
      </c>
      <c r="C171" s="14" t="s">
        <v>374</v>
      </c>
      <c r="D171" s="14" t="s">
        <v>447</v>
      </c>
      <c r="E171" s="14" t="s">
        <v>412</v>
      </c>
      <c r="F171" s="14" t="s">
        <v>413</v>
      </c>
      <c r="G171" s="14" t="s">
        <v>414</v>
      </c>
      <c r="H171" s="14" t="s">
        <v>448</v>
      </c>
      <c r="I171" s="14" t="s">
        <v>449</v>
      </c>
      <c r="J171" s="14" t="s">
        <v>450</v>
      </c>
      <c r="K171" s="5" t="s">
        <v>379</v>
      </c>
    </row>
    <row r="172" customFormat="false" ht="17.15" hidden="false" customHeight="false" outlineLevel="0" collapsed="false">
      <c r="A172" s="6" t="s">
        <v>470</v>
      </c>
    </row>
    <row r="173" customFormat="false" ht="17.15" hidden="false" customHeight="false" outlineLevel="0" collapsed="false">
      <c r="A173" s="0" t="s">
        <v>471</v>
      </c>
      <c r="B173" s="4" t="s">
        <v>30</v>
      </c>
      <c r="D173" s="20" t="n">
        <f aca="false">unv_26</f>
        <v>7.6</v>
      </c>
      <c r="E173" s="20" t="n">
        <f aca="false">unv_27</f>
        <v>9.7</v>
      </c>
      <c r="F173" s="20" t="n">
        <f aca="false">unv_28*um28_C</f>
        <v>5.7</v>
      </c>
      <c r="G173" s="20" t="n">
        <f aca="false">unv_29*um29_C</f>
        <v>6.36</v>
      </c>
      <c r="K173" s="8" t="s">
        <v>472</v>
      </c>
    </row>
    <row r="174" customFormat="false" ht="17.15" hidden="false" customHeight="false" outlineLevel="0" collapsed="false">
      <c r="A174" s="4" t="s">
        <v>473</v>
      </c>
      <c r="B174" s="4" t="s">
        <v>30</v>
      </c>
      <c r="D174" s="20" t="n">
        <f aca="false">uot_26</f>
        <v>7.6</v>
      </c>
      <c r="E174" s="20" t="n">
        <f aca="false">uot_27</f>
        <v>14</v>
      </c>
      <c r="F174" s="20" t="n">
        <f aca="false">uot_28*um28_C</f>
        <v>10.2</v>
      </c>
      <c r="G174" s="20" t="n">
        <f aca="false">uot_29*um29_C</f>
        <v>11.73</v>
      </c>
      <c r="K174" s="8" t="s">
        <v>474</v>
      </c>
    </row>
    <row r="175" customFormat="false" ht="17.15" hidden="false" customHeight="false" outlineLevel="0" collapsed="false">
      <c r="A175" s="4" t="s">
        <v>475</v>
      </c>
      <c r="B175" s="4" t="s">
        <v>30</v>
      </c>
      <c r="D175" s="20" t="n">
        <f aca="false">D173+v_ot*D174</f>
        <v>13.68</v>
      </c>
      <c r="E175" s="20" t="n">
        <f aca="false">E173+v_ot*E174</f>
        <v>20.9</v>
      </c>
      <c r="F175" s="20" t="n">
        <f aca="false">F173+v_ot*F174</f>
        <v>13.86</v>
      </c>
      <c r="G175" s="20" t="n">
        <f aca="false">G173+v_ot*G174</f>
        <v>15.744</v>
      </c>
    </row>
    <row r="176" customFormat="false" ht="17.15" hidden="false" customHeight="false" outlineLevel="0" collapsed="false">
      <c r="A176" s="4" t="s">
        <v>476</v>
      </c>
      <c r="B176" s="0" t="s">
        <v>52</v>
      </c>
      <c r="D176" s="21" t="n">
        <f aca="false">1</f>
        <v>1</v>
      </c>
      <c r="E176" s="21" t="n">
        <f aca="false">D176*(1+g_asp)</f>
        <v>1.18</v>
      </c>
      <c r="F176" s="21" t="n">
        <f aca="false">E176*(1+g_asp)</f>
        <v>1.3924</v>
      </c>
      <c r="G176" s="21" t="n">
        <f aca="false">F176*(1+g_asp)</f>
        <v>1.643032</v>
      </c>
    </row>
    <row r="177" customFormat="false" ht="17.15" hidden="false" customHeight="false" outlineLevel="0" collapsed="false">
      <c r="A177" s="4" t="s">
        <v>477</v>
      </c>
      <c r="B177" s="0" t="s">
        <v>52</v>
      </c>
      <c r="D177" s="18" t="n">
        <f aca="false">1</f>
        <v>1</v>
      </c>
      <c r="E177" s="18" t="n">
        <f aca="false">rel_27</f>
        <v>1</v>
      </c>
      <c r="F177" s="18" t="n">
        <f aca="false">rel_28</f>
        <v>0.97</v>
      </c>
      <c r="G177" s="18" t="n">
        <f aca="false">rel_29</f>
        <v>0.95</v>
      </c>
    </row>
    <row r="178" customFormat="false" ht="17.15" hidden="false" customHeight="false" outlineLevel="0" collapsed="false">
      <c r="A178" s="0" t="s">
        <v>478</v>
      </c>
      <c r="B178" s="0" t="s">
        <v>52</v>
      </c>
      <c r="D178" s="21" t="n">
        <f aca="false">D175/$D175*D176*D177</f>
        <v>1</v>
      </c>
      <c r="E178" s="21" t="n">
        <f aca="false">E175/$D175*E176*E177</f>
        <v>1.80277777777778</v>
      </c>
      <c r="F178" s="21" t="n">
        <f aca="false">F175/$D175*F176*F177</f>
        <v>1.36839942105263</v>
      </c>
      <c r="G178" s="21" t="n">
        <f aca="false">G175/$D175*G176*G177</f>
        <v>1.79638165333333</v>
      </c>
      <c r="K178" s="4" t="s">
        <v>479</v>
      </c>
    </row>
    <row r="179" customFormat="false" ht="17.15" hidden="false" customHeight="false" outlineLevel="0" collapsed="false">
      <c r="A179" s="4" t="s">
        <v>480</v>
      </c>
      <c r="B179" s="0" t="s">
        <v>52</v>
      </c>
      <c r="D179" s="21" t="n">
        <f aca="false">1</f>
        <v>1</v>
      </c>
      <c r="E179" s="21" t="n">
        <f aca="false">D179*(1+g_nai)</f>
        <v>1.03</v>
      </c>
      <c r="F179" s="21" t="n">
        <f aca="false">E179*(1+g_nai)</f>
        <v>1.0609</v>
      </c>
      <c r="G179" s="21" t="n">
        <f aca="false">F179*(1+g_nai)</f>
        <v>1.092727</v>
      </c>
    </row>
    <row r="180" customFormat="false" ht="17.15" hidden="false" customHeight="false" outlineLevel="0" collapsed="false">
      <c r="A180" s="0" t="s">
        <v>481</v>
      </c>
      <c r="B180" s="0" t="s">
        <v>52</v>
      </c>
      <c r="D180" s="21" t="n">
        <f aca="false">ai_sh*D178+(1-ai_sh)*D179</f>
        <v>1</v>
      </c>
      <c r="E180" s="21" t="n">
        <f aca="false">ai_sh*E178+(1-ai_sh)*E179</f>
        <v>1.33911111111111</v>
      </c>
      <c r="F180" s="21" t="n">
        <f aca="false">ai_sh*F178+(1-ai_sh)*F179</f>
        <v>1.18389976842105</v>
      </c>
      <c r="G180" s="21" t="n">
        <f aca="false">ai_sh*G178+(1-ai_sh)*G179</f>
        <v>1.37418886133333</v>
      </c>
    </row>
    <row r="181" customFormat="false" ht="17.15" hidden="false" customHeight="false" outlineLevel="0" collapsed="false">
      <c r="A181" s="4" t="s">
        <v>482</v>
      </c>
      <c r="B181" s="0" t="s">
        <v>52</v>
      </c>
      <c r="D181" s="21" t="n">
        <f aca="false">1</f>
        <v>1</v>
      </c>
      <c r="E181" s="21" t="n">
        <f aca="false">cap_27</f>
        <v>1.3</v>
      </c>
      <c r="F181" s="21" t="n">
        <f aca="false">cap_28</f>
        <v>1.55</v>
      </c>
      <c r="G181" s="21" t="n">
        <f aca="false">cap_29</f>
        <v>1.8</v>
      </c>
      <c r="K181" s="4" t="s">
        <v>483</v>
      </c>
    </row>
    <row r="182" customFormat="false" ht="17.15" hidden="false" customHeight="false" outlineLevel="0" collapsed="false">
      <c r="A182" s="4" t="s">
        <v>484</v>
      </c>
      <c r="B182" s="0" t="s">
        <v>52</v>
      </c>
      <c r="D182" s="21" t="n">
        <f aca="false">MIN(D180,D181)</f>
        <v>1</v>
      </c>
      <c r="E182" s="21" t="n">
        <f aca="false">MIN(E180,E181)</f>
        <v>1.3</v>
      </c>
      <c r="F182" s="21" t="n">
        <f aca="false">MIN(F180,F181)</f>
        <v>1.18389976842105</v>
      </c>
      <c r="G182" s="21" t="n">
        <f aca="false">MIN(G180,G181)</f>
        <v>1.37418886133333</v>
      </c>
    </row>
    <row r="183" customFormat="false" ht="17.15" hidden="false" customHeight="false" outlineLevel="0" collapsed="false">
      <c r="A183" s="4" t="s">
        <v>485</v>
      </c>
      <c r="B183" s="0" t="s">
        <v>77</v>
      </c>
      <c r="D183" s="16" t="n">
        <f aca="false">D182/D180</f>
        <v>1</v>
      </c>
      <c r="E183" s="16" t="n">
        <f aca="false">E182/E180</f>
        <v>0.970793229339529</v>
      </c>
      <c r="F183" s="16" t="n">
        <f aca="false">F182/F180</f>
        <v>1</v>
      </c>
      <c r="G183" s="16" t="n">
        <f aca="false">G182/G180</f>
        <v>1</v>
      </c>
      <c r="K183" s="4" t="s">
        <v>486</v>
      </c>
    </row>
    <row r="184" customFormat="false" ht="17.15" hidden="false" customHeight="false" outlineLevel="0" collapsed="false">
      <c r="A184" s="0" t="s">
        <v>487</v>
      </c>
      <c r="B184" s="0" t="s">
        <v>52</v>
      </c>
      <c r="D184" s="21" t="n">
        <f aca="false">1</f>
        <v>1</v>
      </c>
      <c r="E184" s="21" t="n">
        <f aca="false">pp_27</f>
        <v>1.12</v>
      </c>
      <c r="F184" s="21" t="n">
        <f aca="false">pp_28*sp_C</f>
        <v>1.012</v>
      </c>
      <c r="G184" s="21" t="n">
        <f aca="false">pp_29*sp_C</f>
        <v>0.9856</v>
      </c>
      <c r="K184" s="8" t="s">
        <v>488</v>
      </c>
    </row>
    <row r="185" customFormat="false" ht="17.15" hidden="false" customHeight="false" outlineLevel="0" collapsed="false">
      <c r="A185" s="0" t="s">
        <v>429</v>
      </c>
      <c r="B185" s="0" t="s">
        <v>169</v>
      </c>
      <c r="D185" s="15" t="n">
        <f aca="false">q26_fm*ai_sh</f>
        <v>48.24</v>
      </c>
      <c r="E185" s="15" t="n">
        <f aca="false">q26_fm*ai_sh*E178*E183*E184</f>
        <v>94.5571244606705</v>
      </c>
      <c r="F185" s="15" t="n">
        <f aca="false">q26_fm*ai_sh*F178*F183*F184</f>
        <v>66.8037271284379</v>
      </c>
      <c r="G185" s="15" t="n">
        <f aca="false">q26_fm*ai_sh*G178*G183*G184</f>
        <v>85.4095836630221</v>
      </c>
      <c r="K185" s="8" t="s">
        <v>489</v>
      </c>
    </row>
    <row r="186" customFormat="false" ht="17.15" hidden="false" customHeight="false" outlineLevel="0" collapsed="false">
      <c r="A186" s="0" t="s">
        <v>490</v>
      </c>
      <c r="B186" s="0" t="s">
        <v>169</v>
      </c>
      <c r="D186" s="15" t="n">
        <f aca="false">q26_fm*(1-ai_sh)</f>
        <v>72.36</v>
      </c>
      <c r="E186" s="15" t="n">
        <f aca="false">q26_fm*(1-ai_sh)*E179*E183*E184</f>
        <v>81.0364755393296</v>
      </c>
      <c r="F186" s="15" t="n">
        <f aca="false">q26_fm*(1-ai_sh)*F179*F183*F184</f>
        <v>77.687924688</v>
      </c>
      <c r="G186" s="15" t="n">
        <f aca="false">q26_fm*(1-ai_sh)*G179*G183*G184</f>
        <v>77.931121669632</v>
      </c>
    </row>
    <row r="187" customFormat="false" ht="17.15" hidden="false" customHeight="false" outlineLevel="0" collapsed="false">
      <c r="A187" s="4" t="s">
        <v>491</v>
      </c>
      <c r="B187" s="0" t="s">
        <v>169</v>
      </c>
      <c r="C187" s="15" t="n">
        <f aca="false">q25_fm</f>
        <v>102.4512</v>
      </c>
      <c r="D187" s="15" t="n">
        <f aca="false">D185+D186</f>
        <v>120.6</v>
      </c>
      <c r="E187" s="15" t="n">
        <f aca="false">E185+E186</f>
        <v>175.5936</v>
      </c>
      <c r="F187" s="15" t="n">
        <f aca="false">F185+F186</f>
        <v>144.491651816438</v>
      </c>
      <c r="G187" s="15" t="n">
        <f aca="false">G185+G186</f>
        <v>163.340705332654</v>
      </c>
    </row>
    <row r="188" customFormat="false" ht="17.15" hidden="false" customHeight="false" outlineLevel="0" collapsed="false">
      <c r="A188" s="0" t="s">
        <v>492</v>
      </c>
      <c r="B188" s="0" t="s">
        <v>77</v>
      </c>
      <c r="C188" s="16" t="n">
        <f aca="false">q25_fmbp/q25_fm</f>
        <v>0.532936656671664</v>
      </c>
      <c r="D188" s="16" t="n">
        <f aca="false">q26_fmbp/q26_fm</f>
        <v>0.543117744610282</v>
      </c>
      <c r="E188" s="16" t="n">
        <f aca="false">1-(1-$D188)*(1+c_g)^1/E184</f>
        <v>0.579831497275527</v>
      </c>
      <c r="F188" s="16" t="n">
        <f aca="false">1-(1-$D188)*(1+c_g)^2/F184</f>
        <v>0.521041121795502</v>
      </c>
      <c r="G188" s="16" t="n">
        <f aca="false">1-(1-$D188)*(1+c_g)^3/G184</f>
        <v>0.49345822211319</v>
      </c>
      <c r="K188" s="8" t="s">
        <v>493</v>
      </c>
    </row>
    <row r="189" customFormat="false" ht="17.15" hidden="false" customHeight="false" outlineLevel="0" collapsed="false">
      <c r="A189" s="0" t="s">
        <v>455</v>
      </c>
      <c r="B189" s="0" t="s">
        <v>169</v>
      </c>
      <c r="C189" s="15" t="n">
        <f aca="false">q25_fmbp</f>
        <v>54.6</v>
      </c>
      <c r="D189" s="15" t="n">
        <f aca="false">D187*D188</f>
        <v>65.5</v>
      </c>
      <c r="E189" s="15" t="n">
        <f aca="false">E187*E188</f>
        <v>101.8147</v>
      </c>
      <c r="F189" s="15" t="n">
        <f aca="false">F187*F188</f>
        <v>75.2860923525219</v>
      </c>
      <c r="G189" s="15" t="n">
        <f aca="false">G187*G188</f>
        <v>80.6018140521659</v>
      </c>
    </row>
    <row r="190" customFormat="false" ht="17.15" hidden="false" customHeight="false" outlineLevel="0" collapsed="false">
      <c r="A190" s="6" t="s">
        <v>494</v>
      </c>
    </row>
    <row r="191" customFormat="false" ht="15" hidden="false" customHeight="false" outlineLevel="0" collapsed="false">
      <c r="A191" s="4" t="s">
        <v>495</v>
      </c>
      <c r="B191" s="0" t="s">
        <v>169</v>
      </c>
      <c r="C191" s="15" t="n">
        <f aca="false">q25_sf</f>
        <v>936.926</v>
      </c>
      <c r="D191" s="15" t="n">
        <f aca="false">q26_sf</f>
        <v>998.6</v>
      </c>
      <c r="E191" s="15" t="n">
        <f aca="false">D191*(1+g_sf)</f>
        <v>1038.544</v>
      </c>
      <c r="F191" s="15" t="n">
        <f aca="false">E191*(1+g_sf)</f>
        <v>1080.08576</v>
      </c>
      <c r="G191" s="15" t="n">
        <f aca="false">F191*(1+g_sf)</f>
        <v>1123.2891904</v>
      </c>
    </row>
    <row r="192" customFormat="false" ht="15" hidden="false" customHeight="false" outlineLevel="0" collapsed="false">
      <c r="A192" s="4" t="s">
        <v>496</v>
      </c>
      <c r="B192" s="0" t="s">
        <v>169</v>
      </c>
      <c r="C192" s="15" t="n">
        <f aca="false">q25_sfbp</f>
        <v>143.036</v>
      </c>
      <c r="D192" s="15" t="n">
        <f aca="false">q26_sfbp</f>
        <v>145.9</v>
      </c>
      <c r="E192" s="15" t="n">
        <f aca="false">E191*m_sf</f>
        <v>151.736</v>
      </c>
      <c r="F192" s="15" t="n">
        <f aca="false">F191*m_sf</f>
        <v>157.80544</v>
      </c>
      <c r="G192" s="15" t="n">
        <f aca="false">G191*m_sf</f>
        <v>164.1176576</v>
      </c>
    </row>
    <row r="193" customFormat="false" ht="15" hidden="false" customHeight="false" outlineLevel="0" collapsed="false">
      <c r="A193" s="4" t="s">
        <v>497</v>
      </c>
      <c r="B193" s="0" t="s">
        <v>169</v>
      </c>
      <c r="C193" s="15" t="n">
        <f aca="false">q25_ff</f>
        <v>290.308</v>
      </c>
      <c r="D193" s="15" t="n">
        <f aca="false">q26_ff</f>
        <v>310.6</v>
      </c>
      <c r="E193" s="15" t="n">
        <f aca="false">D193*(1+g_ff)</f>
        <v>319.918</v>
      </c>
      <c r="F193" s="15" t="n">
        <f aca="false">E193*(1+g_ff)</f>
        <v>329.51554</v>
      </c>
      <c r="G193" s="15" t="n">
        <f aca="false">F193*(1+g_ff)</f>
        <v>339.4010062</v>
      </c>
    </row>
    <row r="194" customFormat="false" ht="15" hidden="false" customHeight="false" outlineLevel="0" collapsed="false">
      <c r="A194" s="4" t="s">
        <v>498</v>
      </c>
      <c r="B194" s="0" t="s">
        <v>169</v>
      </c>
      <c r="C194" s="15" t="n">
        <f aca="false">q25_ffbp</f>
        <v>8.457</v>
      </c>
      <c r="D194" s="15" t="n">
        <f aca="false">q26_ffbp</f>
        <v>12.1</v>
      </c>
      <c r="E194" s="15" t="n">
        <f aca="false">E193*m_ff</f>
        <v>14.39631</v>
      </c>
      <c r="F194" s="15" t="n">
        <f aca="false">F193*m_ff</f>
        <v>14.8281993</v>
      </c>
      <c r="G194" s="15" t="n">
        <f aca="false">G193*m_ff</f>
        <v>15.273045279</v>
      </c>
    </row>
    <row r="195" customFormat="false" ht="17.15" hidden="false" customHeight="false" outlineLevel="0" collapsed="false">
      <c r="A195" s="4" t="s">
        <v>499</v>
      </c>
      <c r="B195" s="0" t="s">
        <v>169</v>
      </c>
      <c r="C195" s="15" t="n">
        <f aca="false">q25_hox</f>
        <v>239.0528</v>
      </c>
      <c r="D195" s="15" t="n">
        <f aca="false">q26_hox</f>
        <v>286.2</v>
      </c>
      <c r="E195" s="15" t="n">
        <f aca="false">D195*(1+g_ho)</f>
        <v>300.51</v>
      </c>
      <c r="F195" s="15" t="n">
        <f aca="false">E195*(1+g_ho)</f>
        <v>315.5355</v>
      </c>
      <c r="G195" s="15" t="n">
        <f aca="false">F195*(1+g_ho)</f>
        <v>331.312275</v>
      </c>
    </row>
    <row r="196" customFormat="false" ht="17.15" hidden="false" customHeight="false" outlineLevel="0" collapsed="false">
      <c r="A196" s="4" t="s">
        <v>500</v>
      </c>
      <c r="B196" s="0" t="s">
        <v>169</v>
      </c>
      <c r="C196" s="15" t="n">
        <f aca="false">q25_hoxbp</f>
        <v>11.602</v>
      </c>
      <c r="D196" s="15" t="n">
        <f aca="false">q26_hoxbp</f>
        <v>19.5</v>
      </c>
      <c r="E196" s="15" t="n">
        <f aca="false">E195*m_ho</f>
        <v>20.475</v>
      </c>
      <c r="F196" s="15" t="n">
        <f aca="false">F195*m_ho</f>
        <v>21.49875</v>
      </c>
      <c r="G196" s="15" t="n">
        <f aca="false">G195*m_ho</f>
        <v>22.5736875</v>
      </c>
    </row>
    <row r="197" customFormat="false" ht="17.15" hidden="false" customHeight="false" outlineLevel="0" collapsed="false">
      <c r="A197" s="4" t="s">
        <v>501</v>
      </c>
      <c r="B197" s="0" t="s">
        <v>169</v>
      </c>
      <c r="C197" s="15" t="n">
        <f aca="false">q25_oth</f>
        <v>14.979</v>
      </c>
      <c r="D197" s="15" t="n">
        <f aca="false">q26_oth</f>
        <v>15.8</v>
      </c>
      <c r="E197" s="15" t="n">
        <f aca="false">D197</f>
        <v>15.8</v>
      </c>
      <c r="F197" s="15" t="n">
        <f aca="false">E197</f>
        <v>15.8</v>
      </c>
      <c r="G197" s="15" t="n">
        <f aca="false">F197</f>
        <v>15.8</v>
      </c>
      <c r="K197" s="8" t="s">
        <v>502</v>
      </c>
    </row>
    <row r="198" customFormat="false" ht="15" hidden="false" customHeight="false" outlineLevel="0" collapsed="false">
      <c r="A198" s="4" t="s">
        <v>503</v>
      </c>
      <c r="B198" s="0" t="s">
        <v>169</v>
      </c>
      <c r="C198" s="15" t="n">
        <f aca="false">q25_othbp</f>
        <v>6.064</v>
      </c>
      <c r="D198" s="15" t="n">
        <f aca="false">q26_othbp</f>
        <v>5.1</v>
      </c>
      <c r="E198" s="15" t="n">
        <f aca="false">q26_othbp</f>
        <v>5.1</v>
      </c>
      <c r="F198" s="15" t="n">
        <f aca="false">q26_othbp</f>
        <v>5.1</v>
      </c>
      <c r="G198" s="15" t="n">
        <f aca="false">q26_othbp</f>
        <v>5.1</v>
      </c>
    </row>
    <row r="199" customFormat="false" ht="15" hidden="false" customHeight="false" outlineLevel="0" collapsed="false">
      <c r="A199" s="4" t="s">
        <v>504</v>
      </c>
      <c r="B199" s="0" t="s">
        <v>169</v>
      </c>
      <c r="C199" s="15" t="n">
        <f aca="false">q25_cc</f>
        <v>-42.597</v>
      </c>
      <c r="D199" s="15" t="n">
        <f aca="false">q26_cc</f>
        <v>-46.2</v>
      </c>
      <c r="E199" s="15" t="n">
        <f aca="false">D199*(1+g_cc)</f>
        <v>-47.586</v>
      </c>
      <c r="F199" s="15" t="n">
        <f aca="false">E199*(1+g_cc)</f>
        <v>-49.01358</v>
      </c>
      <c r="G199" s="15" t="n">
        <f aca="false">F199*(1+g_cc)</f>
        <v>-50.4839874</v>
      </c>
    </row>
    <row r="200" customFormat="false" ht="17.15" hidden="false" customHeight="false" outlineLevel="0" collapsed="false">
      <c r="A200" s="4" t="s">
        <v>505</v>
      </c>
      <c r="B200" s="0" t="s">
        <v>169</v>
      </c>
      <c r="C200" s="28" t="n">
        <f aca="false">a_rev-(q25_sf+q25_ff+q25_hox+q25_fm+q25_oth)</f>
        <v>0.00200000000018008</v>
      </c>
      <c r="D200" s="28" t="n">
        <f aca="false">f_rev-(q26_sf+q26_ff+q26_hox+q26_fm+q26_oth)</f>
        <v>0.200000000000045</v>
      </c>
      <c r="E200" s="28" t="n">
        <f aca="false">$D200</f>
        <v>0.200000000000045</v>
      </c>
      <c r="F200" s="28" t="n">
        <f aca="false">$D200</f>
        <v>0.200000000000045</v>
      </c>
      <c r="G200" s="28" t="n">
        <f aca="false">$D200</f>
        <v>0.200000000000045</v>
      </c>
      <c r="K200" s="8" t="s">
        <v>506</v>
      </c>
    </row>
    <row r="201" customFormat="false" ht="15" hidden="false" customHeight="false" outlineLevel="0" collapsed="false">
      <c r="A201" s="4" t="s">
        <v>507</v>
      </c>
      <c r="B201" s="0" t="s">
        <v>169</v>
      </c>
      <c r="C201" s="28" t="n">
        <f aca="false">a_bp-(q25_sfbp+q25_ffbp+q25_hoxbp+q25_fmbp+q25_othbp+q25_cc)</f>
        <v>0.0010000000000332</v>
      </c>
      <c r="D201" s="28" t="n">
        <f aca="false">f_bp-(q26_sfbp+q26_ffbp+q26_hoxbp+q26_fmbp+q26_othbp+q26_cc)</f>
        <v>0.100000000000023</v>
      </c>
      <c r="E201" s="28" t="n">
        <f aca="false">$D201</f>
        <v>0.100000000000023</v>
      </c>
      <c r="F201" s="28" t="n">
        <f aca="false">$D201</f>
        <v>0.100000000000023</v>
      </c>
      <c r="G201" s="28" t="n">
        <f aca="false">$D201</f>
        <v>0.100000000000023</v>
      </c>
    </row>
    <row r="202" customFormat="false" ht="17.15" hidden="false" customHeight="false" outlineLevel="0" collapsed="false">
      <c r="A202" s="6" t="s">
        <v>508</v>
      </c>
    </row>
    <row r="203" customFormat="false" ht="17.15" hidden="false" customHeight="false" outlineLevel="0" collapsed="false">
      <c r="A203" s="4" t="s">
        <v>380</v>
      </c>
      <c r="B203" s="0" t="s">
        <v>169</v>
      </c>
      <c r="C203" s="15" t="n">
        <f aca="false">C191+C193+C195+C187+C197+C200</f>
        <v>1583.719</v>
      </c>
      <c r="D203" s="15" t="n">
        <f aca="false">D191+D193+D195+D187+D197+D200</f>
        <v>1732</v>
      </c>
      <c r="E203" s="15" t="n">
        <f aca="false">E191+E193+E195+E187+E197+E200</f>
        <v>1850.5656</v>
      </c>
      <c r="F203" s="15" t="n">
        <f aca="false">F191+F193+F195+F187+F197+F200</f>
        <v>1885.62845181644</v>
      </c>
      <c r="G203" s="15" t="n">
        <f aca="false">G191+G193+G195+G187+G197+G200</f>
        <v>1973.34317693265</v>
      </c>
      <c r="H203" s="23" t="n">
        <f aca="false">G203*(1+H204)</f>
        <v>2047.695461452</v>
      </c>
      <c r="I203" s="23" t="n">
        <f aca="false">H203*(1+I204)</f>
        <v>2106.74929345373</v>
      </c>
      <c r="J203" s="23" t="n">
        <f aca="false">I203*(1+J204)</f>
        <v>2148.8842793228</v>
      </c>
      <c r="K203" s="8" t="s">
        <v>509</v>
      </c>
    </row>
    <row r="204" customFormat="false" ht="15" hidden="false" customHeight="false" outlineLevel="0" collapsed="false">
      <c r="A204" s="4" t="s">
        <v>510</v>
      </c>
      <c r="B204" s="0" t="s">
        <v>77</v>
      </c>
      <c r="D204" s="16" t="n">
        <f aca="false">D203/C203-1</f>
        <v>0.0936283519993131</v>
      </c>
      <c r="E204" s="16" t="n">
        <f aca="false">E203/D203-1</f>
        <v>0.0684558891454965</v>
      </c>
      <c r="F204" s="16" t="n">
        <f aca="false">F203/E203-1</f>
        <v>0.0189471001819326</v>
      </c>
      <c r="G204" s="16" t="n">
        <f aca="false">G203/F203-1</f>
        <v>0.0465175019138686</v>
      </c>
      <c r="H204" s="24" t="n">
        <f aca="false">$G204+(fade_gC-$G204)*1/3</f>
        <v>0.0376783346092457</v>
      </c>
      <c r="I204" s="24" t="n">
        <f aca="false">$G204+(fade_gC-$G204)*2/3</f>
        <v>0.0288391673046229</v>
      </c>
      <c r="J204" s="24" t="n">
        <f aca="false">$G204+(fade_gC-$G204)*3/3</f>
        <v>0.02</v>
      </c>
    </row>
    <row r="205" customFormat="false" ht="17.15" hidden="false" customHeight="false" outlineLevel="0" collapsed="false">
      <c r="A205" s="0" t="s">
        <v>511</v>
      </c>
      <c r="B205" s="0" t="s">
        <v>77</v>
      </c>
      <c r="C205" s="16" t="n">
        <f aca="false">C187/C203</f>
        <v>0.0646902638662541</v>
      </c>
      <c r="D205" s="16" t="n">
        <f aca="false">D187/D203</f>
        <v>0.0696304849884527</v>
      </c>
      <c r="E205" s="16" t="n">
        <f aca="false">E187/E203</f>
        <v>0.0948864498507916</v>
      </c>
      <c r="F205" s="16" t="n">
        <f aca="false">F187/F203</f>
        <v>0.0766278487563381</v>
      </c>
      <c r="G205" s="16" t="n">
        <f aca="false">G187/G203</f>
        <v>0.0827735931803556</v>
      </c>
    </row>
    <row r="206" customFormat="false" ht="15" hidden="false" customHeight="false" outlineLevel="0" collapsed="false">
      <c r="A206" s="4" t="s">
        <v>390</v>
      </c>
      <c r="B206" s="0" t="s">
        <v>169</v>
      </c>
      <c r="C206" s="15" t="n">
        <f aca="false">C192+C194+C196+C189+C198+C199+C201</f>
        <v>181.163</v>
      </c>
      <c r="D206" s="15" t="n">
        <f aca="false">D192+D194+D196+D189+D198+D199+D201</f>
        <v>202</v>
      </c>
      <c r="E206" s="15" t="n">
        <f aca="false">E192+E194+E196+E189+E198+E199+E201</f>
        <v>246.03601</v>
      </c>
      <c r="F206" s="15" t="n">
        <f aca="false">F192+F194+F196+F189+F198+F199+F201</f>
        <v>225.604901652522</v>
      </c>
      <c r="G206" s="15" t="n">
        <f aca="false">G192+G194+G196+G189+G198+G199+G201</f>
        <v>237.282217031166</v>
      </c>
    </row>
    <row r="207" customFormat="false" ht="15" hidden="false" customHeight="false" outlineLevel="0" collapsed="false">
      <c r="A207" s="4" t="s">
        <v>406</v>
      </c>
      <c r="B207" s="0" t="s">
        <v>77</v>
      </c>
      <c r="C207" s="16" t="n">
        <f aca="false">C206/C203</f>
        <v>0.114390873633517</v>
      </c>
      <c r="D207" s="16" t="n">
        <f aca="false">D206/D203</f>
        <v>0.11662817551963</v>
      </c>
      <c r="E207" s="16" t="n">
        <f aca="false">E206/E203</f>
        <v>0.132951790522854</v>
      </c>
      <c r="F207" s="16" t="n">
        <f aca="false">F206/F203</f>
        <v>0.119644408968901</v>
      </c>
      <c r="G207" s="16" t="n">
        <f aca="false">G206/G203</f>
        <v>0.120243766925525</v>
      </c>
    </row>
    <row r="208" customFormat="false" ht="17.15" hidden="false" customHeight="false" outlineLevel="0" collapsed="false">
      <c r="A208" s="0" t="s">
        <v>512</v>
      </c>
      <c r="B208" s="0" t="s">
        <v>77</v>
      </c>
      <c r="C208" s="16" t="n">
        <f aca="false">C189/C206</f>
        <v>0.301386044611758</v>
      </c>
      <c r="D208" s="16" t="n">
        <f aca="false">D189/D206</f>
        <v>0.324257425742574</v>
      </c>
      <c r="E208" s="16" t="n">
        <f aca="false">E189/E206</f>
        <v>0.413820318415991</v>
      </c>
      <c r="F208" s="16" t="n">
        <f aca="false">F189/F206</f>
        <v>0.333707697842833</v>
      </c>
      <c r="G208" s="16" t="n">
        <f aca="false">G189/G206</f>
        <v>0.339687546166088</v>
      </c>
    </row>
    <row r="209" customFormat="false" ht="17.15" hidden="false" customHeight="false" outlineLevel="0" collapsed="false">
      <c r="A209" s="4" t="s">
        <v>407</v>
      </c>
      <c r="B209" s="0" t="s">
        <v>52</v>
      </c>
      <c r="C209" s="21" t="n">
        <f aca="false">q25_ni/q25_bp</f>
        <v>0.743391310587703</v>
      </c>
      <c r="D209" s="21" t="n">
        <f aca="false">q26_ni/q26_bp</f>
        <v>0.611386138613861</v>
      </c>
      <c r="E209" s="21" t="n">
        <f aca="false">ni_bp</f>
        <v>0.62</v>
      </c>
      <c r="F209" s="21" t="n">
        <f aca="false">ni_bp</f>
        <v>0.62</v>
      </c>
      <c r="G209" s="21" t="n">
        <f aca="false">ni_bp</f>
        <v>0.62</v>
      </c>
    </row>
    <row r="210" customFormat="false" ht="15" hidden="false" customHeight="false" outlineLevel="0" collapsed="false">
      <c r="A210" s="4" t="s">
        <v>397</v>
      </c>
      <c r="B210" s="0" t="s">
        <v>169</v>
      </c>
      <c r="C210" s="15" t="n">
        <f aca="false">q25_ni</f>
        <v>134.675</v>
      </c>
      <c r="D210" s="15" t="n">
        <f aca="false">q26_ni</f>
        <v>123.5</v>
      </c>
      <c r="E210" s="15" t="n">
        <f aca="false">E206*E209</f>
        <v>152.5423262</v>
      </c>
      <c r="F210" s="15" t="n">
        <f aca="false">F206*F209</f>
        <v>139.875039024564</v>
      </c>
      <c r="G210" s="15" t="n">
        <f aca="false">G206*G209</f>
        <v>147.114974559323</v>
      </c>
      <c r="H210" s="23" t="n">
        <f aca="false">H203*H214</f>
        <v>142.48082034368</v>
      </c>
      <c r="I210" s="23" t="n">
        <f aca="false">I203*I214</f>
        <v>136.119145090752</v>
      </c>
      <c r="J210" s="23" t="n">
        <f aca="false">J203*J214</f>
        <v>128.161410454677</v>
      </c>
    </row>
    <row r="211" customFormat="false" ht="15" hidden="false" customHeight="false" outlineLevel="0" collapsed="false">
      <c r="A211" s="4" t="s">
        <v>513</v>
      </c>
      <c r="B211" s="4" t="s">
        <v>316</v>
      </c>
      <c r="C211" s="19" t="n">
        <f aca="false">q25_sh</f>
        <v>0.973366579936398</v>
      </c>
      <c r="D211" s="19" t="n">
        <f aca="false">q26_sh</f>
        <v>0.95117067159581</v>
      </c>
      <c r="E211" s="19" t="n">
        <f aca="false">D211*(1+sh_g)</f>
        <v>0.936903111521873</v>
      </c>
      <c r="F211" s="19" t="n">
        <f aca="false">E211*(1+sh_g)</f>
        <v>0.922849564849045</v>
      </c>
      <c r="G211" s="19" t="n">
        <f aca="false">F211*(1+sh_g)</f>
        <v>0.909006821376309</v>
      </c>
      <c r="H211" s="29" t="n">
        <f aca="false">G211*(1+sh_g)</f>
        <v>0.895371719055665</v>
      </c>
      <c r="I211" s="29" t="n">
        <f aca="false">H211*(1+sh_g)</f>
        <v>0.88194114326983</v>
      </c>
      <c r="J211" s="29" t="n">
        <f aca="false">I211*(1+sh_g)</f>
        <v>0.868712026120782</v>
      </c>
    </row>
    <row r="212" customFormat="false" ht="17.15" hidden="false" customHeight="false" outlineLevel="0" collapsed="false">
      <c r="A212" s="0" t="s">
        <v>514</v>
      </c>
      <c r="B212" s="0" t="s">
        <v>207</v>
      </c>
      <c r="C212" s="20" t="n">
        <f aca="false">C210/C211</f>
        <v>138.36</v>
      </c>
      <c r="D212" s="20" t="n">
        <f aca="false">D210/D211</f>
        <v>129.84</v>
      </c>
      <c r="E212" s="20" t="n">
        <f aca="false">E210/E211</f>
        <v>162.815476140554</v>
      </c>
      <c r="F212" s="20" t="n">
        <f aca="false">F210/F211</f>
        <v>151.568624348264</v>
      </c>
      <c r="G212" s="20" t="n">
        <f aca="false">G210/G211</f>
        <v>161.841441779919</v>
      </c>
      <c r="H212" s="27" t="n">
        <f aca="false">H210/H211</f>
        <v>159.130355930777</v>
      </c>
      <c r="I212" s="27" t="n">
        <f aca="false">I210/I211</f>
        <v>154.340395761655</v>
      </c>
      <c r="J212" s="27" t="n">
        <f aca="false">J210/J211</f>
        <v>147.530374394584</v>
      </c>
    </row>
    <row r="213" customFormat="false" ht="17.15" hidden="false" customHeight="false" outlineLevel="0" collapsed="false">
      <c r="A213" s="0" t="s">
        <v>515</v>
      </c>
      <c r="B213" s="0" t="s">
        <v>77</v>
      </c>
      <c r="D213" s="16" t="n">
        <f aca="false">D212/C212-1</f>
        <v>-0.0615784908933218</v>
      </c>
      <c r="E213" s="16" t="n">
        <f aca="false">E212/D212-1</f>
        <v>0.253970087342527</v>
      </c>
      <c r="F213" s="16" t="n">
        <f aca="false">F212/E212-1</f>
        <v>-0.0690772895727728</v>
      </c>
      <c r="G213" s="16" t="n">
        <f aca="false">G212/F212-1</f>
        <v>0.0677766752573459</v>
      </c>
      <c r="H213" s="24" t="n">
        <f aca="false">H212/G212-1</f>
        <v>-0.0167514934328634</v>
      </c>
      <c r="I213" s="24" t="n">
        <f aca="false">I212/H212-1</f>
        <v>-0.0301008575083326</v>
      </c>
      <c r="J213" s="24" t="n">
        <f aca="false">J212/I212-1</f>
        <v>-0.0441233893010541</v>
      </c>
    </row>
    <row r="214" customFormat="false" ht="15" hidden="false" customHeight="false" outlineLevel="0" collapsed="false">
      <c r="A214" s="4" t="s">
        <v>516</v>
      </c>
      <c r="B214" s="0" t="s">
        <v>77</v>
      </c>
      <c r="C214" s="25" t="n">
        <f aca="false">C210/C203</f>
        <v>0.0850371814696925</v>
      </c>
      <c r="D214" s="25" t="n">
        <f aca="false">D210/D203</f>
        <v>0.0713048498845266</v>
      </c>
      <c r="E214" s="25" t="n">
        <f aca="false">E210/E203</f>
        <v>0.0824301101241696</v>
      </c>
      <c r="F214" s="25" t="n">
        <f aca="false">F210/F203</f>
        <v>0.0741795335607188</v>
      </c>
      <c r="G214" s="25" t="n">
        <f aca="false">G210/G203</f>
        <v>0.0745511354938258</v>
      </c>
      <c r="H214" s="26" t="n">
        <f aca="false">$G214+(fade_mC-$G214)*1/3</f>
        <v>0.0695810597942374</v>
      </c>
      <c r="I214" s="26" t="n">
        <f aca="false">$G214+(fade_mC-$G214)*2/3</f>
        <v>0.064610984094649</v>
      </c>
      <c r="J214" s="26" t="n">
        <f aca="false">$G214+(fade_mC-$G214)*3/3</f>
        <v>0.0596409083950606</v>
      </c>
    </row>
    <row r="215" customFormat="false" ht="17.15" hidden="false" customHeight="false" outlineLevel="0" collapsed="false">
      <c r="A215" s="0" t="s">
        <v>517</v>
      </c>
      <c r="B215" s="0" t="s">
        <v>207</v>
      </c>
      <c r="D215" s="20" t="n">
        <f aca="false">D189*D209/D211</f>
        <v>42.1015841584158</v>
      </c>
      <c r="E215" s="20" t="n">
        <f aca="false">E189*E209/E211</f>
        <v>67.3763521795352</v>
      </c>
      <c r="F215" s="20" t="n">
        <f aca="false">F189*F209/F211</f>
        <v>50.5796166964643</v>
      </c>
      <c r="G215" s="20" t="n">
        <f aca="false">G189*G209/G211</f>
        <v>54.9755222262024</v>
      </c>
      <c r="K215" s="8" t="s">
        <v>518</v>
      </c>
    </row>
    <row r="216" customFormat="false" ht="17.15" hidden="false" customHeight="false" outlineLevel="0" collapsed="false">
      <c r="A216" s="0" t="s">
        <v>519</v>
      </c>
      <c r="B216" s="0" t="s">
        <v>207</v>
      </c>
      <c r="D216" s="20" t="n">
        <f aca="false">D212-D215</f>
        <v>87.7384158415842</v>
      </c>
      <c r="E216" s="20" t="n">
        <f aca="false">E212-E215</f>
        <v>95.4391239610186</v>
      </c>
      <c r="F216" s="20" t="n">
        <f aca="false">F212-F215</f>
        <v>100.989007651799</v>
      </c>
      <c r="G216" s="20" t="n">
        <f aca="false">G212-G215</f>
        <v>106.865919553716</v>
      </c>
    </row>
    <row r="217" customFormat="false" ht="17.15" hidden="false" customHeight="false" outlineLevel="0" collapsed="false">
      <c r="A217" s="0" t="s">
        <v>520</v>
      </c>
      <c r="B217" s="0" t="s">
        <v>432</v>
      </c>
      <c r="D217" s="15" t="n">
        <f aca="false">D185/D175*1000/150</f>
        <v>23.5087719298246</v>
      </c>
      <c r="E217" s="15" t="n">
        <f aca="false">E185/E175*1000/150</f>
        <v>30.1617621884116</v>
      </c>
      <c r="F217" s="15" t="n">
        <f aca="false">F185/F175*1000/150</f>
        <v>32.1326248814035</v>
      </c>
      <c r="G217" s="15" t="n">
        <f aca="false">G185/G175*1000/150</f>
        <v>36.1659822421333</v>
      </c>
      <c r="K217" s="8" t="s">
        <v>521</v>
      </c>
    </row>
    <row r="220" customFormat="false" ht="17.15" hidden="false" customHeight="false" outlineLevel="0" collapsed="false">
      <c r="A220" s="5" t="s">
        <v>19</v>
      </c>
      <c r="B220" s="14" t="s">
        <v>524</v>
      </c>
      <c r="C220" s="14" t="s">
        <v>525</v>
      </c>
      <c r="D220" s="14" t="s">
        <v>526</v>
      </c>
      <c r="E220" s="14" t="s">
        <v>527</v>
      </c>
      <c r="F220" s="14" t="s">
        <v>528</v>
      </c>
      <c r="G220" s="14" t="s">
        <v>529</v>
      </c>
      <c r="H220" s="14" t="s">
        <v>530</v>
      </c>
      <c r="I220" s="14" t="s">
        <v>531</v>
      </c>
      <c r="J220" s="14" t="s">
        <v>532</v>
      </c>
      <c r="K220" s="14" t="s">
        <v>533</v>
      </c>
      <c r="L220" s="14" t="s">
        <v>534</v>
      </c>
      <c r="M220" s="14" t="s">
        <v>535</v>
      </c>
      <c r="N220" s="14" t="s">
        <v>536</v>
      </c>
      <c r="O220" s="14" t="s">
        <v>537</v>
      </c>
      <c r="P220" s="14" t="s">
        <v>538</v>
      </c>
      <c r="Q220" s="14" t="s">
        <v>539</v>
      </c>
      <c r="R220" s="14" t="s">
        <v>540</v>
      </c>
      <c r="S220" s="14" t="s">
        <v>541</v>
      </c>
      <c r="T220" s="14" t="s">
        <v>542</v>
      </c>
      <c r="U220" s="14" t="s">
        <v>543</v>
      </c>
      <c r="V220" s="14" t="s">
        <v>544</v>
      </c>
    </row>
    <row r="221" customFormat="false" ht="15" hidden="false" customHeight="false" outlineLevel="0" collapsed="false">
      <c r="A221" s="4" t="s">
        <v>545</v>
      </c>
      <c r="B221" s="15" t="n">
        <f aca="false">PL!D110+PL!D103*(da_rev-cx_rev)</f>
        <v>106.400027088139</v>
      </c>
      <c r="C221" s="15" t="n">
        <f aca="false">PL!E110+PL!E103*(da_rev-cx_rev)</f>
        <v>134.271759438093</v>
      </c>
      <c r="D221" s="15" t="n">
        <f aca="false">PL!F110+PL!F103*(da_rev-cx_rev)</f>
        <v>150.932616099418</v>
      </c>
      <c r="E221" s="15" t="n">
        <f aca="false">PL!G110+PL!G103*(da_rev-cx_rev)</f>
        <v>160.418172096255</v>
      </c>
      <c r="F221" s="23" t="n">
        <f aca="false">PL!H110+PL!H103*(da_rev-cx_rev)</f>
        <v>168.940689463528</v>
      </c>
      <c r="G221" s="23" t="n">
        <f aca="false">PL!I110+PL!I103*(da_rev-cx_rev)</f>
        <v>178.496556220125</v>
      </c>
      <c r="H221" s="23" t="n">
        <f aca="false">PL!J110+PL!J103*(da_rev-cx_rev)</f>
        <v>189.206349593332</v>
      </c>
      <c r="I221" s="15" t="n">
        <f aca="false">PL!D160+PL!D153*(da_rev-cx_rev)</f>
        <v>106.400027088139</v>
      </c>
      <c r="J221" s="15" t="n">
        <f aca="false">PL!E160+PL!E153*(da_rev-cx_rev)</f>
        <v>134.271759438093</v>
      </c>
      <c r="K221" s="15" t="n">
        <f aca="false">PL!F160+PL!F153*(da_rev-cx_rev)</f>
        <v>136.32530928518</v>
      </c>
      <c r="L221" s="15" t="n">
        <f aca="false">PL!G160+PL!G153*(da_rev-cx_rev)</f>
        <v>147.82315021641</v>
      </c>
      <c r="M221" s="23" t="n">
        <f aca="false">PL!H160+PL!H153*(da_rev-cx_rev)</f>
        <v>149.238627337967</v>
      </c>
      <c r="N221" s="23" t="n">
        <f aca="false">PL!I160+PL!I153*(da_rev-cx_rev)</f>
        <v>149.769274466423</v>
      </c>
      <c r="O221" s="23" t="n">
        <f aca="false">PL!J160+PL!J153*(da_rev-cx_rev)</f>
        <v>149.383318473654</v>
      </c>
      <c r="P221" s="15" t="n">
        <f aca="false">PL!D210+PL!D203*(da_rev-cx_rev)</f>
        <v>106.400027088139</v>
      </c>
      <c r="Q221" s="15" t="n">
        <f aca="false">PL!E210+PL!E203*(da_rev-cx_rev)</f>
        <v>134.271759438093</v>
      </c>
      <c r="R221" s="15" t="n">
        <f aca="false">PL!F210+PL!F203*(da_rev-cx_rev)</f>
        <v>121.258298003838</v>
      </c>
      <c r="S221" s="15" t="n">
        <f aca="false">PL!G210+PL!G203*(da_rev-cx_rev)</f>
        <v>127.632229252536</v>
      </c>
      <c r="T221" s="23" t="n">
        <f aca="false">PL!H210+PL!H203*(da_rev-cx_rev)</f>
        <v>122.263997640117</v>
      </c>
      <c r="U221" s="23" t="n">
        <f aca="false">PL!I210+PL!I203*(da_rev-cx_rev)</f>
        <v>115.319286054873</v>
      </c>
      <c r="V221" s="23" t="n">
        <f aca="false">PL!J210+PL!J203*(da_rev-cx_rev)</f>
        <v>106.945554238081</v>
      </c>
    </row>
    <row r="222" customFormat="false" ht="17.15" hidden="false" customHeight="false" outlineLevel="0" collapsed="false">
      <c r="A222" s="4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547</v>
      </c>
    </row>
    <row r="2" customFormat="false" ht="17.15" hidden="false" customHeight="false" outlineLevel="0" collapsed="false">
      <c r="A2" s="4" t="s">
        <v>548</v>
      </c>
    </row>
    <row r="4" customFormat="false" ht="17.15" hidden="false" customHeight="false" outlineLevel="0" collapsed="false">
      <c r="A4" s="6" t="s">
        <v>549</v>
      </c>
    </row>
    <row r="5" customFormat="false" ht="17.15" hidden="false" customHeight="false" outlineLevel="0" collapsed="false">
      <c r="A5" s="6" t="s">
        <v>550</v>
      </c>
    </row>
    <row r="6" customFormat="false" ht="17.15" hidden="false" customHeight="false" outlineLevel="0" collapsed="false">
      <c r="A6" s="5" t="s">
        <v>19</v>
      </c>
      <c r="B6" s="14" t="s">
        <v>551</v>
      </c>
      <c r="C6" s="14" t="s">
        <v>552</v>
      </c>
      <c r="D6" s="14" t="s">
        <v>553</v>
      </c>
      <c r="E6" s="5" t="s">
        <v>379</v>
      </c>
      <c r="F6" s="5" t="s">
        <v>554</v>
      </c>
    </row>
    <row r="7" customFormat="false" ht="17.15" hidden="false" customHeight="false" outlineLevel="0" collapsed="false">
      <c r="A7" s="4" t="s">
        <v>555</v>
      </c>
      <c r="E7" s="0" t="s">
        <v>556</v>
      </c>
    </row>
    <row r="8" customFormat="false" ht="15" hidden="false" customHeight="false" outlineLevel="0" collapsed="false">
      <c r="A8" s="0" t="s">
        <v>557</v>
      </c>
      <c r="B8" s="20" t="n">
        <f aca="false">PL!E16</f>
        <v>162.815476140554</v>
      </c>
      <c r="C8" s="20" t="n">
        <f aca="false">PL!E32</f>
        <v>162.815476140554</v>
      </c>
      <c r="D8" s="20" t="n">
        <f aca="false">PL!E48</f>
        <v>162.815476140554</v>
      </c>
      <c r="F8" s="30" t="n">
        <v>1</v>
      </c>
    </row>
    <row r="9" customFormat="false" ht="15" hidden="false" customHeight="false" outlineLevel="0" collapsed="false">
      <c r="A9" s="0" t="s">
        <v>558</v>
      </c>
      <c r="B9" s="20" t="n">
        <f aca="false">PL!F16</f>
        <v>184.47594742965</v>
      </c>
      <c r="C9" s="20" t="n">
        <f aca="false">PL!F32</f>
        <v>168.275384193437</v>
      </c>
      <c r="D9" s="20" t="n">
        <f aca="false">PL!F48</f>
        <v>151.568624348264</v>
      </c>
      <c r="F9" s="30" t="n">
        <v>2</v>
      </c>
    </row>
    <row r="10" customFormat="false" ht="15" hidden="false" customHeight="false" outlineLevel="0" collapsed="false">
      <c r="A10" s="0" t="s">
        <v>559</v>
      </c>
      <c r="B10" s="20" t="n">
        <f aca="false">PL!G16</f>
        <v>198.775923353582</v>
      </c>
      <c r="C10" s="20" t="n">
        <f aca="false">PL!G32</f>
        <v>184.611899449978</v>
      </c>
      <c r="D10" s="20" t="n">
        <f aca="false">PL!G48</f>
        <v>161.841441779919</v>
      </c>
      <c r="F10" s="30" t="n">
        <v>3</v>
      </c>
    </row>
    <row r="11" customFormat="false" ht="15" hidden="false" customHeight="false" outlineLevel="0" collapsed="false">
      <c r="A11" s="0" t="s">
        <v>560</v>
      </c>
      <c r="B11" s="20" t="n">
        <f aca="false">PL!H16</f>
        <v>212.524130418138</v>
      </c>
      <c r="C11" s="20" t="n">
        <f aca="false">PL!H32</f>
        <v>190.104400509896</v>
      </c>
      <c r="D11" s="20" t="n">
        <f aca="false">PL!H48</f>
        <v>159.130355930777</v>
      </c>
      <c r="F11" s="30" t="n">
        <v>4</v>
      </c>
    </row>
    <row r="12" customFormat="false" ht="15" hidden="false" customHeight="false" outlineLevel="0" collapsed="false">
      <c r="A12" s="0" t="s">
        <v>561</v>
      </c>
      <c r="B12" s="20" t="n">
        <f aca="false">PL!I16</f>
        <v>227.964697030395</v>
      </c>
      <c r="C12" s="20" t="n">
        <f aca="false">PL!I32</f>
        <v>194.662775491639</v>
      </c>
      <c r="D12" s="20" t="n">
        <f aca="false">PL!I48</f>
        <v>154.340395761655</v>
      </c>
      <c r="F12" s="30" t="n">
        <v>5</v>
      </c>
    </row>
    <row r="13" customFormat="false" ht="15" hidden="false" customHeight="false" outlineLevel="0" collapsed="false">
      <c r="A13" s="0" t="s">
        <v>562</v>
      </c>
      <c r="B13" s="20" t="n">
        <f aca="false">PL!J16</f>
        <v>245.322415078395</v>
      </c>
      <c r="C13" s="20" t="n">
        <f aca="false">PL!J32</f>
        <v>198.191832335215</v>
      </c>
      <c r="D13" s="20" t="n">
        <f aca="false">PL!J48</f>
        <v>147.530374394584</v>
      </c>
      <c r="F13" s="30" t="n">
        <v>6</v>
      </c>
    </row>
    <row r="14" customFormat="false" ht="17.15" hidden="false" customHeight="false" outlineLevel="0" collapsed="false">
      <c r="A14" s="4" t="s">
        <v>563</v>
      </c>
      <c r="E14" s="4" t="s">
        <v>564</v>
      </c>
    </row>
    <row r="15" customFormat="false" ht="17.15" hidden="false" customHeight="false" outlineLevel="0" collapsed="false">
      <c r="A15" s="4" t="s">
        <v>565</v>
      </c>
      <c r="B15" s="16" t="n">
        <f aca="false">MIN(tp_g/tp_roe,0.8)</f>
        <v>0.307929176289454</v>
      </c>
      <c r="E15" s="8" t="s">
        <v>566</v>
      </c>
    </row>
    <row r="16" customFormat="false" ht="15" hidden="false" customHeight="false" outlineLevel="0" collapsed="false">
      <c r="A16" s="0" t="s">
        <v>557</v>
      </c>
      <c r="B16" s="20" t="n">
        <f aca="false">B8*(1-$B$15)</f>
        <v>112.679840685418</v>
      </c>
      <c r="C16" s="20" t="n">
        <f aca="false">C8*(1-$B$15)</f>
        <v>112.679840685418</v>
      </c>
      <c r="D16" s="20" t="n">
        <f aca="false">D8*(1-$B$15)</f>
        <v>112.679840685418</v>
      </c>
    </row>
    <row r="17" customFormat="false" ht="15" hidden="false" customHeight="false" outlineLevel="0" collapsed="false">
      <c r="A17" s="0" t="s">
        <v>558</v>
      </c>
      <c r="B17" s="20" t="n">
        <f aca="false">B9*(1-$B$15)</f>
        <v>127.670420892421</v>
      </c>
      <c r="C17" s="20" t="n">
        <f aca="false">C9*(1-$B$15)</f>
        <v>116.45848374896</v>
      </c>
      <c r="D17" s="20" t="n">
        <f aca="false">D9*(1-$B$15)</f>
        <v>104.896222701377</v>
      </c>
    </row>
    <row r="18" customFormat="false" ht="15" hidden="false" customHeight="false" outlineLevel="0" collapsed="false">
      <c r="A18" s="0" t="s">
        <v>559</v>
      </c>
      <c r="B18" s="20" t="n">
        <f aca="false">B10*(1-$B$15)</f>
        <v>137.567017009138</v>
      </c>
      <c r="C18" s="20" t="n">
        <f aca="false">C10*(1-$B$15)</f>
        <v>127.764509319115</v>
      </c>
      <c r="D18" s="20" t="n">
        <f aca="false">D10*(1-$B$15)</f>
        <v>112.005739923131</v>
      </c>
    </row>
    <row r="19" customFormat="false" ht="15" hidden="false" customHeight="false" outlineLevel="0" collapsed="false">
      <c r="A19" s="0" t="s">
        <v>560</v>
      </c>
      <c r="B19" s="20" t="n">
        <f aca="false">B11*(1-$B$15)</f>
        <v>147.081749996849</v>
      </c>
      <c r="C19" s="20" t="n">
        <f aca="false">C11*(1-$B$15)</f>
        <v>131.565709051883</v>
      </c>
      <c r="D19" s="20" t="n">
        <f aca="false">D11*(1-$B$15)</f>
        <v>110.129476506365</v>
      </c>
    </row>
    <row r="20" customFormat="false" ht="15" hidden="false" customHeight="false" outlineLevel="0" collapsed="false">
      <c r="A20" s="0" t="s">
        <v>561</v>
      </c>
      <c r="B20" s="20" t="n">
        <f aca="false">B12*(1-$B$15)</f>
        <v>157.767715650751</v>
      </c>
      <c r="C20" s="20" t="n">
        <f aca="false">C12*(1-$B$15)</f>
        <v>134.72042738028</v>
      </c>
      <c r="D20" s="20" t="n">
        <f aca="false">D12*(1-$B$15)</f>
        <v>106.81448482658</v>
      </c>
    </row>
    <row r="21" customFormat="false" ht="15" hidden="false" customHeight="false" outlineLevel="0" collapsed="false">
      <c r="A21" s="0" t="s">
        <v>562</v>
      </c>
      <c r="B21" s="20" t="n">
        <f aca="false">B13*(1-$B$15)</f>
        <v>169.780485877965</v>
      </c>
      <c r="C21" s="20" t="n">
        <f aca="false">C13*(1-$B$15)</f>
        <v>137.162784656935</v>
      </c>
      <c r="D21" s="20" t="n">
        <f aca="false">D13*(1-$B$15)</f>
        <v>102.101467729585</v>
      </c>
    </row>
    <row r="22" customFormat="false" ht="17.15" hidden="false" customHeight="false" outlineLevel="0" collapsed="false">
      <c r="A22" s="0" t="s">
        <v>567</v>
      </c>
      <c r="B22" s="31" t="n">
        <f aca="false">MAX(0,SUMPRODUCT(B16:B21,1/(1+tp_r)^$F$8:$F$13)+B21*(1+tp_g)/(tp_r-tp_g)/(1+tp_r)^$F$13)</f>
        <v>2266.73065104621</v>
      </c>
      <c r="C22" s="31" t="n">
        <f aca="false">MAX(0,SUMPRODUCT(C16:C21,1/(1+tp_r)^$F$8:$F$13)+C21*(1+tp_g)/(tp_r-tp_g)/(1+tp_r)^$F$13)</f>
        <v>1887.64116409074</v>
      </c>
      <c r="D22" s="31" t="n">
        <f aca="false">MAX(0,SUMPRODUCT(D16:D21,1/(1+tp_r)^$F$8:$F$13)+D21*(1+tp_g)/(tp_r-tp_g)/(1+tp_r)^$F$13)</f>
        <v>1471.43849481223</v>
      </c>
      <c r="E22" s="8" t="s">
        <v>568</v>
      </c>
    </row>
    <row r="23" customFormat="false" ht="17.15" hidden="false" customHeight="false" outlineLevel="0" collapsed="false">
      <c r="A23" s="0" t="s">
        <v>569</v>
      </c>
      <c r="B23" s="31" t="n">
        <f aca="false">B22*(1+tp_r)</f>
        <v>2493.40371615083</v>
      </c>
      <c r="C23" s="31" t="n">
        <f aca="false">C22*(1+tp_r)</f>
        <v>2076.40528049981</v>
      </c>
      <c r="D23" s="31" t="n">
        <f aca="false">D22*(1+tp_r)</f>
        <v>1618.58234429345</v>
      </c>
    </row>
    <row r="24" customFormat="false" ht="17.15" hidden="false" customHeight="false" outlineLevel="0" collapsed="false">
      <c r="A24" s="0" t="s">
        <v>570</v>
      </c>
      <c r="B24" s="32" t="n">
        <f aca="false">tp_wA*B23+tp_wB*C23+tp_wC*D23</f>
        <v>2109.94022395385</v>
      </c>
      <c r="E24" s="8" t="s">
        <v>571</v>
      </c>
    </row>
    <row r="26" customFormat="false" ht="17.15" hidden="false" customHeight="false" outlineLevel="0" collapsed="false">
      <c r="A26" s="6" t="s">
        <v>572</v>
      </c>
    </row>
    <row r="27" customFormat="false" ht="17.15" hidden="false" customHeight="false" outlineLevel="0" collapsed="false">
      <c r="A27" s="5" t="s">
        <v>573</v>
      </c>
      <c r="B27" s="5" t="s">
        <v>574</v>
      </c>
      <c r="C27" s="5" t="s">
        <v>575</v>
      </c>
      <c r="D27" s="5" t="s">
        <v>576</v>
      </c>
      <c r="E27" s="5" t="s">
        <v>577</v>
      </c>
      <c r="F27" s="5" t="s">
        <v>24</v>
      </c>
    </row>
    <row r="28" customFormat="false" ht="17.15" hidden="false" customHeight="false" outlineLevel="0" collapsed="false">
      <c r="A28" s="4" t="s">
        <v>578</v>
      </c>
      <c r="B28" s="0" t="s">
        <v>579</v>
      </c>
      <c r="C28" s="33" t="n">
        <v>22.86</v>
      </c>
      <c r="D28" s="8" t="s">
        <v>580</v>
      </c>
      <c r="E28" s="8" t="s">
        <v>581</v>
      </c>
      <c r="F28" s="8" t="s">
        <v>170</v>
      </c>
    </row>
    <row r="29" customFormat="false" ht="17.15" hidden="false" customHeight="false" outlineLevel="0" collapsed="false">
      <c r="A29" s="4" t="s">
        <v>582</v>
      </c>
      <c r="B29" s="0" t="s">
        <v>583</v>
      </c>
      <c r="C29" s="33" t="n">
        <v>16.97</v>
      </c>
      <c r="D29" s="8" t="s">
        <v>584</v>
      </c>
      <c r="E29" s="8" t="s">
        <v>581</v>
      </c>
      <c r="F29" s="8" t="s">
        <v>170</v>
      </c>
    </row>
    <row r="30" customFormat="false" ht="17.15" hidden="false" customHeight="false" outlineLevel="0" collapsed="false">
      <c r="A30" s="4" t="s">
        <v>585</v>
      </c>
      <c r="B30" s="0" t="s">
        <v>586</v>
      </c>
      <c r="C30" s="33" t="n">
        <v>17.79</v>
      </c>
      <c r="D30" s="8" t="s">
        <v>587</v>
      </c>
      <c r="E30" s="8" t="s">
        <v>581</v>
      </c>
      <c r="F30" s="8" t="s">
        <v>170</v>
      </c>
    </row>
    <row r="31" customFormat="false" ht="17.15" hidden="false" customHeight="false" outlineLevel="0" collapsed="false">
      <c r="A31" s="0" t="s">
        <v>588</v>
      </c>
      <c r="B31" s="0" t="s">
        <v>589</v>
      </c>
      <c r="C31" s="33" t="n">
        <v>23.4</v>
      </c>
      <c r="D31" s="8" t="s">
        <v>590</v>
      </c>
      <c r="E31" s="8" t="s">
        <v>581</v>
      </c>
      <c r="F31" s="8" t="s">
        <v>170</v>
      </c>
    </row>
    <row r="32" customFormat="false" ht="17.15" hidden="false" customHeight="false" outlineLevel="0" collapsed="false">
      <c r="A32" s="0" t="s">
        <v>591</v>
      </c>
      <c r="B32" s="0" t="s">
        <v>592</v>
      </c>
      <c r="C32" s="33" t="n">
        <v>15.56</v>
      </c>
      <c r="D32" s="8" t="s">
        <v>593</v>
      </c>
      <c r="E32" s="8" t="s">
        <v>581</v>
      </c>
      <c r="F32" s="8" t="s">
        <v>170</v>
      </c>
    </row>
    <row r="33" customFormat="false" ht="17.15" hidden="false" customHeight="false" outlineLevel="0" collapsed="false">
      <c r="A33" s="0" t="s">
        <v>594</v>
      </c>
      <c r="B33" s="0" t="s">
        <v>595</v>
      </c>
      <c r="C33" s="33" t="n">
        <v>17.74</v>
      </c>
      <c r="D33" s="8" t="s">
        <v>593</v>
      </c>
      <c r="E33" s="8" t="s">
        <v>581</v>
      </c>
      <c r="F33" s="8" t="s">
        <v>170</v>
      </c>
    </row>
    <row r="34" customFormat="false" ht="17.15" hidden="false" customHeight="false" outlineLevel="0" collapsed="false">
      <c r="A34" s="4" t="s">
        <v>596</v>
      </c>
      <c r="B34" s="34" t="n">
        <f aca="false">MEDIAN(C28:C33)</f>
        <v>17.765</v>
      </c>
      <c r="E34" s="4" t="s">
        <v>597</v>
      </c>
    </row>
    <row r="35" customFormat="false" ht="17.15" hidden="false" customHeight="false" outlineLevel="0" collapsed="false">
      <c r="A35" s="0" t="s">
        <v>598</v>
      </c>
      <c r="B35" s="20" t="n">
        <f aca="false">tp_wA*(5/12*B8+7/12*B9)+tp_wB*(5/12*C8+7/12*C9)+tp_wC*(5/12*D8+7/12*D9)</f>
        <v>166.886399089136</v>
      </c>
      <c r="E35" s="4" t="s">
        <v>599</v>
      </c>
    </row>
    <row r="36" customFormat="false" ht="17.15" hidden="false" customHeight="false" outlineLevel="0" collapsed="false">
      <c r="A36" s="0" t="s">
        <v>600</v>
      </c>
      <c r="B36" s="32" t="n">
        <f aca="false">B34*B35</f>
        <v>2964.7368798185</v>
      </c>
      <c r="E36" s="4" t="s">
        <v>601</v>
      </c>
    </row>
    <row r="38" customFormat="false" ht="17.15" hidden="false" customHeight="false" outlineLevel="0" collapsed="false">
      <c r="A38" s="6" t="s">
        <v>602</v>
      </c>
    </row>
    <row r="39" customFormat="false" ht="15" hidden="false" customHeight="false" outlineLevel="0" collapsed="false">
      <c r="A39" s="5" t="s">
        <v>19</v>
      </c>
      <c r="B39" s="5" t="s">
        <v>603</v>
      </c>
      <c r="C39" s="5" t="s">
        <v>604</v>
      </c>
      <c r="D39" s="5" t="s">
        <v>604</v>
      </c>
      <c r="E39" s="5" t="s">
        <v>379</v>
      </c>
    </row>
    <row r="40" customFormat="false" ht="17.15" hidden="false" customHeight="false" outlineLevel="0" collapsed="false">
      <c r="A40" s="4" t="s">
        <v>605</v>
      </c>
      <c r="B40" s="32" t="n">
        <f aca="false">tp_w_dcf*B24+(1-tp_w_dcf)*B36</f>
        <v>2537.33855188617</v>
      </c>
      <c r="E40" s="8" t="s">
        <v>606</v>
      </c>
    </row>
    <row r="41" customFormat="false" ht="17.15" hidden="false" customHeight="false" outlineLevel="0" collapsed="false">
      <c r="A41" s="0" t="s">
        <v>607</v>
      </c>
      <c r="B41" s="31" t="n">
        <f aca="false">B36</f>
        <v>2964.7368798185</v>
      </c>
    </row>
    <row r="42" customFormat="false" ht="17.15" hidden="false" customHeight="false" outlineLevel="0" collapsed="false">
      <c r="A42" s="4" t="s">
        <v>608</v>
      </c>
      <c r="B42" s="31" t="n">
        <f aca="false">cons_tp</f>
        <v>6321.43</v>
      </c>
      <c r="E42" s="8" t="s">
        <v>609</v>
      </c>
    </row>
    <row r="43" customFormat="false" ht="17.15" hidden="false" customHeight="false" outlineLevel="0" collapsed="false">
      <c r="A43" s="4" t="s">
        <v>610</v>
      </c>
      <c r="B43" s="16" t="n">
        <f aca="false">B40/px-1</f>
        <v>-0.498945783592778</v>
      </c>
      <c r="E43" s="4" t="s">
        <v>611</v>
      </c>
    </row>
    <row r="44" customFormat="false" ht="17.15" hidden="false" customHeight="false" outlineLevel="0" collapsed="false">
      <c r="A44" s="4" t="s">
        <v>612</v>
      </c>
      <c r="B44" s="16" t="n">
        <f aca="false">B41/px-1</f>
        <v>-0.414546429735683</v>
      </c>
    </row>
    <row r="45" customFormat="false" ht="17.15" hidden="false" customHeight="false" outlineLevel="0" collapsed="false">
      <c r="A45" s="4" t="s">
        <v>613</v>
      </c>
      <c r="B45" s="16" t="n">
        <f aca="false">B35/C45-1</f>
        <v>0.0823992148406441</v>
      </c>
      <c r="C45" s="20" t="n">
        <f aca="false">cons_feps</f>
        <v>154.181929181929</v>
      </c>
      <c r="E45" s="8" t="s">
        <v>614</v>
      </c>
    </row>
    <row r="46" customFormat="false" ht="17.15" hidden="false" customHeight="false" outlineLevel="0" collapsed="false">
      <c r="A46" s="4" t="s">
        <v>615</v>
      </c>
      <c r="B46" s="16" t="n">
        <f aca="false">C46/D46-1</f>
        <v>1.30789818659691</v>
      </c>
      <c r="C46" s="34" t="n">
        <f aca="false">cons_tp/cons_feps</f>
        <v>40.9998112848941</v>
      </c>
      <c r="D46" s="34" t="n">
        <f aca="false">B34</f>
        <v>17.765</v>
      </c>
      <c r="E46" s="8" t="s">
        <v>616</v>
      </c>
    </row>
    <row r="47" customFormat="false" ht="17.15" hidden="false" customHeight="false" outlineLevel="0" collapsed="false">
      <c r="A47" s="4" t="s">
        <v>617</v>
      </c>
      <c r="B47" s="31" t="n">
        <f aca="false">D23</f>
        <v>1618.58234429345</v>
      </c>
      <c r="C47" s="31" t="n">
        <f aca="false">B23</f>
        <v>2493.40371615083</v>
      </c>
      <c r="E47" s="8" t="s">
        <v>618</v>
      </c>
    </row>
    <row r="48" customFormat="false" ht="17.15" hidden="false" customHeight="false" outlineLevel="0" collapsed="false">
      <c r="A48" s="4" t="s">
        <v>619</v>
      </c>
      <c r="B48" s="35" t="n">
        <f aca="false">IF(px/B9&lt;=MIN($B$96:$B$105),0,IF(px/B9&gt;=MAX($B$96:$B$105),1,PERCENTRANK($B$96:$B$105,px/B9)))</f>
        <v>0.602</v>
      </c>
      <c r="C48" s="35" t="n">
        <f aca="false">IF(px/C9&lt;=MIN($B$96:$B$105),0,IF(px/C9&gt;=MAX($B$96:$B$105),1,PERCENTRANK($B$96:$B$105,px/C9)))</f>
        <v>0.664</v>
      </c>
      <c r="D48" s="35" t="n">
        <f aca="false">IF(px/D9&lt;=MIN($B$96:$B$105),0,IF(px/D9&gt;=MAX($B$96:$B$105),1,PERCENTRANK($B$96:$B$105,px/D9)))</f>
        <v>0.696</v>
      </c>
      <c r="E48" s="4" t="s">
        <v>620</v>
      </c>
    </row>
    <row r="49" customFormat="false" ht="17.15" hidden="false" customHeight="false" outlineLevel="0" collapsed="false">
      <c r="A49" s="4" t="s">
        <v>621</v>
      </c>
      <c r="B49" s="36" t="str">
        <f aca="false">IF(B43&gt;0.5,"大於 50%",IF(B43&gt;0.25,"25%–50%",IF(B43&gt;=0,"0%–25%",IF(B43&gt;=-0.25,"0%～−25%",IF(B43&gt;=-0.5,"−25%～−50%","小於 −50%")))))</f>
        <v>−25%～−50%</v>
      </c>
      <c r="E49" s="4" t="s">
        <v>622</v>
      </c>
    </row>
    <row r="50" customFormat="false" ht="17.15" hidden="false" customHeight="false" outlineLevel="0" collapsed="false">
      <c r="A50" s="4" t="s">
        <v>623</v>
      </c>
      <c r="B50" s="36" t="str">
        <f aca="false">IF(B43&gt;0.5,"強力買進",IF(B43&gt;0.25,"買進",IF(B43&gt;=-0.25,"中立",IF(B43&gt;=-0.5,"放空","強力放空"))))</f>
        <v>放空</v>
      </c>
      <c r="E50" s="4" t="s">
        <v>624</v>
      </c>
    </row>
    <row r="51" customFormat="false" ht="17.15" hidden="false" customHeight="false" outlineLevel="0" collapsed="false">
      <c r="A51" s="4" t="s">
        <v>625</v>
      </c>
      <c r="B51" s="0" t="s">
        <v>626</v>
      </c>
    </row>
    <row r="60" customFormat="false" ht="17.15" hidden="false" customHeight="false" outlineLevel="0" collapsed="false">
      <c r="A60" s="6" t="s">
        <v>627</v>
      </c>
    </row>
    <row r="61" customFormat="false" ht="15" hidden="false" customHeight="false" outlineLevel="0" collapsed="false">
      <c r="A61" s="5" t="s">
        <v>19</v>
      </c>
      <c r="B61" s="14" t="s">
        <v>628</v>
      </c>
      <c r="C61" s="14" t="s">
        <v>629</v>
      </c>
      <c r="D61" s="14" t="s">
        <v>630</v>
      </c>
      <c r="E61" s="5" t="s">
        <v>379</v>
      </c>
    </row>
    <row r="62" customFormat="false" ht="17.15" hidden="false" customHeight="false" outlineLevel="0" collapsed="false">
      <c r="A62" s="4" t="s">
        <v>631</v>
      </c>
      <c r="B62" s="31" t="n">
        <f aca="false">px</f>
        <v>5064</v>
      </c>
    </row>
    <row r="63" customFormat="false" ht="17.15" hidden="false" customHeight="false" outlineLevel="0" collapsed="false">
      <c r="A63" s="4" t="s">
        <v>632</v>
      </c>
      <c r="B63" s="34" t="n">
        <f aca="false">px/PL!C16</f>
        <v>36.6001734605377</v>
      </c>
      <c r="C63" s="34" t="n">
        <f aca="false">px/PL!C32</f>
        <v>36.6001734605377</v>
      </c>
      <c r="D63" s="34" t="n">
        <f aca="false">px/PL!C48</f>
        <v>36.6001734605377</v>
      </c>
    </row>
    <row r="64" customFormat="false" ht="17.15" hidden="false" customHeight="false" outlineLevel="0" collapsed="false">
      <c r="A64" s="4" t="s">
        <v>633</v>
      </c>
      <c r="B64" s="34" t="n">
        <f aca="false">px/PL!D16</f>
        <v>39.0018484288355</v>
      </c>
      <c r="C64" s="34" t="n">
        <f aca="false">px/PL!D32</f>
        <v>39.0018484288355</v>
      </c>
      <c r="D64" s="34" t="n">
        <f aca="false">px/PL!D48</f>
        <v>39.0018484288355</v>
      </c>
      <c r="E64" s="8" t="s">
        <v>634</v>
      </c>
    </row>
    <row r="65" customFormat="false" ht="17.15" hidden="false" customHeight="false" outlineLevel="0" collapsed="false">
      <c r="A65" s="4" t="s">
        <v>635</v>
      </c>
      <c r="B65" s="34" t="n">
        <f aca="false">px/PL!E16</f>
        <v>31.1026944123444</v>
      </c>
      <c r="C65" s="34" t="n">
        <f aca="false">px/PL!E32</f>
        <v>31.1026944123444</v>
      </c>
      <c r="D65" s="34" t="n">
        <f aca="false">px/PL!E48</f>
        <v>31.1026944123444</v>
      </c>
      <c r="E65" s="8" t="s">
        <v>636</v>
      </c>
    </row>
    <row r="66" customFormat="false" ht="17.15" hidden="false" customHeight="false" outlineLevel="0" collapsed="false">
      <c r="A66" s="4" t="s">
        <v>637</v>
      </c>
      <c r="B66" s="34" t="n">
        <f aca="false">px/PL!F16</f>
        <v>27.4507331202685</v>
      </c>
      <c r="C66" s="34" t="n">
        <f aca="false">px/PL!F32</f>
        <v>30.0935280835776</v>
      </c>
      <c r="D66" s="34" t="n">
        <f aca="false">px/PL!F48</f>
        <v>33.4106087046373</v>
      </c>
    </row>
    <row r="67" customFormat="false" ht="17.15" hidden="false" customHeight="false" outlineLevel="0" collapsed="false">
      <c r="A67" s="4" t="s">
        <v>638</v>
      </c>
      <c r="B67" s="34" t="n">
        <f aca="false">px/PL!G16</f>
        <v>25.47592240833</v>
      </c>
      <c r="C67" s="34" t="n">
        <f aca="false">px/PL!G32</f>
        <v>27.4305178327474</v>
      </c>
      <c r="D67" s="34" t="n">
        <f aca="false">px/PL!G48</f>
        <v>31.2898843726709</v>
      </c>
    </row>
    <row r="68" customFormat="false" ht="17.15" hidden="false" customHeight="false" outlineLevel="0" collapsed="false">
      <c r="A68" s="4" t="s">
        <v>639</v>
      </c>
      <c r="B68" s="20" t="n">
        <f aca="false">5/12*PL!D32+7/12*PL!E32</f>
        <v>149.075694415323</v>
      </c>
    </row>
    <row r="69" customFormat="false" ht="17.15" hidden="false" customHeight="false" outlineLevel="0" collapsed="false">
      <c r="A69" s="4" t="s">
        <v>640</v>
      </c>
      <c r="B69" s="34" t="n">
        <f aca="false">px/B68</f>
        <v>33.9693202158882</v>
      </c>
    </row>
    <row r="70" customFormat="false" ht="17.15" hidden="false" customHeight="false" outlineLevel="0" collapsed="false">
      <c r="A70" s="0" t="s">
        <v>300</v>
      </c>
      <c r="B70" s="34" t="n">
        <f aca="false">pe_cf</f>
        <v>39.08</v>
      </c>
    </row>
    <row r="71" customFormat="false" ht="17.15" hidden="false" customHeight="false" outlineLevel="0" collapsed="false">
      <c r="A71" s="4" t="s">
        <v>641</v>
      </c>
      <c r="B71" s="34" t="n">
        <f aca="false">fpe</f>
        <v>32.76</v>
      </c>
    </row>
    <row r="73" customFormat="false" ht="17.15" hidden="false" customHeight="false" outlineLevel="0" collapsed="false">
      <c r="A73" s="6" t="s">
        <v>642</v>
      </c>
    </row>
    <row r="74" customFormat="false" ht="17.15" hidden="false" customHeight="false" outlineLevel="0" collapsed="false">
      <c r="A74" s="5" t="s">
        <v>643</v>
      </c>
      <c r="B74" s="5" t="s">
        <v>644</v>
      </c>
      <c r="C74" s="14" t="s">
        <v>645</v>
      </c>
      <c r="D74" s="5" t="s">
        <v>646</v>
      </c>
      <c r="E74" s="5" t="s">
        <v>647</v>
      </c>
      <c r="F74" s="5" t="s">
        <v>379</v>
      </c>
    </row>
    <row r="75" customFormat="false" ht="17.15" hidden="false" customHeight="false" outlineLevel="0" collapsed="false">
      <c r="A75" s="0" t="s">
        <v>628</v>
      </c>
      <c r="B75" s="0" t="n">
        <f aca="false">INDEX({2026,2027,2028,2029},MATCH(MAX(PL!D103:G103),PL!D103:G103,0))</f>
        <v>2029</v>
      </c>
      <c r="C75" s="0" t="str">
        <f aca="false">IF(B75=2029,"中段",IF(2027&lt;B75,"中段",IF(2027=B75,"見頂","谷底")))</f>
        <v>中段</v>
      </c>
      <c r="D75" s="34" t="n">
        <f aca="false">IF(C75="見頂",pe_peak,IF(C75="谷底",pe_trough,pe_mid))</f>
        <v>24.95</v>
      </c>
      <c r="E75" s="0" t="str">
        <f aca="false">IF(B75=2029,"是：營收到觀測期末仍在增加","否")</f>
        <v>是：營收到觀測期末仍在增加</v>
      </c>
      <c r="F75" s="8" t="s">
        <v>648</v>
      </c>
    </row>
    <row r="76" customFormat="false" ht="15" hidden="false" customHeight="false" outlineLevel="0" collapsed="false">
      <c r="A76" s="0" t="s">
        <v>629</v>
      </c>
      <c r="B76" s="0" t="n">
        <f aca="false">INDEX({2026,2027,2028,2029},MATCH(MAX(PL!D153:G153),PL!D153:G153,0))</f>
        <v>2029</v>
      </c>
      <c r="C76" s="0" t="str">
        <f aca="false">IF(B76=2029,"中段",IF(2027&lt;B76,"中段",IF(2027=B76,"見頂","谷底")))</f>
        <v>中段</v>
      </c>
      <c r="D76" s="34" t="n">
        <f aca="false">IF(C76="見頂",pe_peak,IF(C76="谷底",pe_trough,pe_mid))</f>
        <v>24.95</v>
      </c>
      <c r="E76" s="0" t="str">
        <f aca="false">IF(B76=2029,"是：營收到觀測期末仍在增加","否")</f>
        <v>是：營收到觀測期末仍在增加</v>
      </c>
      <c r="F76" s="4" t="s">
        <v>36</v>
      </c>
    </row>
    <row r="77" customFormat="false" ht="15" hidden="false" customHeight="false" outlineLevel="0" collapsed="false">
      <c r="A77" s="0" t="s">
        <v>630</v>
      </c>
      <c r="B77" s="0" t="n">
        <f aca="false">INDEX({2026,2027,2028,2029},MATCH(MAX(PL!D203:G203),PL!D203:G203,0))</f>
        <v>2029</v>
      </c>
      <c r="C77" s="0" t="str">
        <f aca="false">IF(B77=2029,"中段",IF(2027&lt;B77,"中段",IF(2027=B77,"見頂","谷底")))</f>
        <v>中段</v>
      </c>
      <c r="D77" s="34" t="n">
        <f aca="false">IF(C77="見頂",pe_peak,IF(C77="谷底",pe_trough,pe_mid))</f>
        <v>24.95</v>
      </c>
      <c r="E77" s="0" t="str">
        <f aca="false">IF(B77=2029,"是：營收到觀測期末仍在增加","否")</f>
        <v>是：營收到觀測期末仍在增加</v>
      </c>
      <c r="F77" s="4" t="s">
        <v>36</v>
      </c>
    </row>
    <row r="79" customFormat="false" ht="17.15" hidden="false" customHeight="false" outlineLevel="0" collapsed="false">
      <c r="A79" s="6" t="s">
        <v>649</v>
      </c>
    </row>
    <row r="80" customFormat="false" ht="17.15" hidden="false" customHeight="false" outlineLevel="0" collapsed="false">
      <c r="A80" s="5" t="s">
        <v>643</v>
      </c>
      <c r="B80" s="14" t="s">
        <v>650</v>
      </c>
      <c r="C80" s="5" t="s">
        <v>651</v>
      </c>
      <c r="D80" s="5" t="s">
        <v>652</v>
      </c>
      <c r="E80" s="5" t="s">
        <v>653</v>
      </c>
      <c r="F80" s="5" t="s">
        <v>654</v>
      </c>
      <c r="G80" s="5" t="s">
        <v>655</v>
      </c>
    </row>
    <row r="81" customFormat="false" ht="15" hidden="false" customHeight="false" outlineLevel="0" collapsed="false">
      <c r="A81" s="9" t="s">
        <v>628</v>
      </c>
      <c r="B81" s="37" t="n">
        <f aca="false">PL!E16</f>
        <v>162.815476140554</v>
      </c>
      <c r="C81" s="37" t="n">
        <f aca="false">B81</f>
        <v>162.815476140554</v>
      </c>
      <c r="D81" s="38" t="n">
        <f aca="false">D75</f>
        <v>24.95</v>
      </c>
      <c r="E81" s="32" t="n">
        <f aca="false">C81*D81</f>
        <v>4062.24612970682</v>
      </c>
      <c r="F81" s="39" t="n">
        <f aca="false">E81/px-1</f>
        <v>-0.197818694765637</v>
      </c>
      <c r="G81" s="38" t="n">
        <f aca="false">px/C81</f>
        <v>31.1026944123444</v>
      </c>
    </row>
    <row r="82" customFormat="false" ht="15" hidden="false" customHeight="false" outlineLevel="0" collapsed="false">
      <c r="A82" s="9" t="s">
        <v>629</v>
      </c>
      <c r="B82" s="37" t="n">
        <f aca="false">PL!E32</f>
        <v>162.815476140554</v>
      </c>
      <c r="C82" s="37" t="n">
        <f aca="false">B82</f>
        <v>162.815476140554</v>
      </c>
      <c r="D82" s="38" t="n">
        <f aca="false">D76</f>
        <v>24.95</v>
      </c>
      <c r="E82" s="32" t="n">
        <f aca="false">C82*D82</f>
        <v>4062.24612970682</v>
      </c>
      <c r="F82" s="39" t="n">
        <f aca="false">E82/px-1</f>
        <v>-0.197818694765637</v>
      </c>
      <c r="G82" s="38" t="n">
        <f aca="false">px/C82</f>
        <v>31.1026944123444</v>
      </c>
    </row>
    <row r="83" customFormat="false" ht="15" hidden="false" customHeight="false" outlineLevel="0" collapsed="false">
      <c r="A83" s="9" t="s">
        <v>630</v>
      </c>
      <c r="B83" s="37" t="n">
        <f aca="false">PL!E48</f>
        <v>162.815476140554</v>
      </c>
      <c r="C83" s="37" t="n">
        <f aca="false">B83</f>
        <v>162.815476140554</v>
      </c>
      <c r="D83" s="38" t="n">
        <f aca="false">D77</f>
        <v>24.95</v>
      </c>
      <c r="E83" s="32" t="n">
        <f aca="false">C83*D83</f>
        <v>4062.24612970682</v>
      </c>
      <c r="F83" s="39" t="n">
        <f aca="false">E83/px-1</f>
        <v>-0.197818694765637</v>
      </c>
      <c r="G83" s="38" t="n">
        <f aca="false">px/C83</f>
        <v>31.1026944123444</v>
      </c>
    </row>
    <row r="85" customFormat="false" ht="17.15" hidden="false" customHeight="false" outlineLevel="0" collapsed="false">
      <c r="A85" s="6" t="s">
        <v>656</v>
      </c>
    </row>
    <row r="86" customFormat="false" ht="17.15" hidden="false" customHeight="false" outlineLevel="0" collapsed="false">
      <c r="A86" s="14" t="s">
        <v>657</v>
      </c>
      <c r="B86" s="5" t="s">
        <v>658</v>
      </c>
      <c r="C86" s="5" t="s">
        <v>659</v>
      </c>
      <c r="D86" s="5" t="s">
        <v>660</v>
      </c>
      <c r="E86" s="5" t="s">
        <v>661</v>
      </c>
    </row>
    <row r="87" customFormat="false" ht="15" hidden="false" customHeight="false" outlineLevel="0" collapsed="false">
      <c r="A87" s="40" t="n">
        <v>0.6</v>
      </c>
      <c r="B87" s="34" t="n">
        <f aca="false">px*A87/PL!F16</f>
        <v>16.4704398721611</v>
      </c>
      <c r="C87" s="34" t="n">
        <f aca="false">px*A87/PL!F32</f>
        <v>18.0561168501466</v>
      </c>
      <c r="D87" s="34" t="n">
        <f aca="false">px*A87/PL!F48</f>
        <v>20.0463652227824</v>
      </c>
      <c r="E87" s="34" t="n">
        <f aca="false">pe_mid</f>
        <v>24.95</v>
      </c>
    </row>
    <row r="88" customFormat="false" ht="15" hidden="false" customHeight="false" outlineLevel="0" collapsed="false">
      <c r="A88" s="40" t="n">
        <v>0.8</v>
      </c>
      <c r="B88" s="34" t="n">
        <f aca="false">px*A88/PL!F16</f>
        <v>21.9605864962148</v>
      </c>
      <c r="C88" s="34" t="n">
        <f aca="false">px*A88/PL!F32</f>
        <v>24.0748224668621</v>
      </c>
      <c r="D88" s="34" t="n">
        <f aca="false">px*A88/PL!F48</f>
        <v>26.7284869637098</v>
      </c>
      <c r="E88" s="34" t="n">
        <f aca="false">pe_mid</f>
        <v>24.95</v>
      </c>
    </row>
    <row r="89" customFormat="false" ht="15" hidden="false" customHeight="false" outlineLevel="0" collapsed="false">
      <c r="A89" s="40" t="n">
        <v>1</v>
      </c>
      <c r="B89" s="34" t="n">
        <f aca="false">px*A89/PL!F16</f>
        <v>27.4507331202685</v>
      </c>
      <c r="C89" s="34" t="n">
        <f aca="false">px*A89/PL!F32</f>
        <v>30.0935280835776</v>
      </c>
      <c r="D89" s="34" t="n">
        <f aca="false">px*A89/PL!F48</f>
        <v>33.4106087046373</v>
      </c>
      <c r="E89" s="34" t="n">
        <f aca="false">pe_mid</f>
        <v>24.95</v>
      </c>
    </row>
    <row r="90" customFormat="false" ht="15" hidden="false" customHeight="false" outlineLevel="0" collapsed="false">
      <c r="A90" s="40" t="n">
        <v>1.21</v>
      </c>
      <c r="B90" s="34" t="n">
        <f aca="false">px*A90/PL!F16</f>
        <v>33.2153870755249</v>
      </c>
      <c r="C90" s="34" t="n">
        <f aca="false">px*A90/PL!F32</f>
        <v>36.4131689811289</v>
      </c>
      <c r="D90" s="34" t="n">
        <f aca="false">px*A90/PL!F48</f>
        <v>40.4268365326111</v>
      </c>
      <c r="E90" s="34" t="n">
        <f aca="false">pe_mid</f>
        <v>24.95</v>
      </c>
    </row>
    <row r="91" customFormat="false" ht="15" hidden="false" customHeight="false" outlineLevel="0" collapsed="false">
      <c r="A91" s="40" t="n">
        <v>1.5</v>
      </c>
      <c r="B91" s="34" t="n">
        <f aca="false">px*A91/PL!F16</f>
        <v>41.1760996804027</v>
      </c>
      <c r="C91" s="34" t="n">
        <f aca="false">px*A91/PL!F32</f>
        <v>45.1402921253665</v>
      </c>
      <c r="D91" s="34" t="n">
        <f aca="false">px*A91/PL!F48</f>
        <v>50.1159130569559</v>
      </c>
      <c r="E91" s="34" t="n">
        <f aca="false">pe_mid</f>
        <v>24.95</v>
      </c>
    </row>
    <row r="92" customFormat="false" ht="17.15" hidden="false" customHeight="false" outlineLevel="0" collapsed="false">
      <c r="A92" s="4" t="s">
        <v>662</v>
      </c>
    </row>
    <row r="94" customFormat="false" ht="17.15" hidden="false" customHeight="false" outlineLevel="0" collapsed="false">
      <c r="A94" s="6" t="s">
        <v>663</v>
      </c>
    </row>
    <row r="95" customFormat="false" ht="17.15" hidden="false" customHeight="false" outlineLevel="0" collapsed="false">
      <c r="A95" s="5" t="s">
        <v>664</v>
      </c>
      <c r="B95" s="5" t="s">
        <v>665</v>
      </c>
      <c r="C95" s="14" t="s">
        <v>666</v>
      </c>
      <c r="D95" s="14" t="s">
        <v>667</v>
      </c>
    </row>
    <row r="96" customFormat="false" ht="15" hidden="false" customHeight="false" outlineLevel="0" collapsed="false">
      <c r="A96" s="0" t="s">
        <v>668</v>
      </c>
      <c r="B96" s="18" t="n">
        <f aca="false">C96</f>
        <v>18.6</v>
      </c>
      <c r="C96" s="18" t="n">
        <f aca="false">B115</f>
        <v>18.6</v>
      </c>
      <c r="D96" s="18" t="str">
        <f aca="false">IF(C115="","",C115)</f>
        <v/>
      </c>
    </row>
    <row r="97" customFormat="false" ht="15" hidden="false" customHeight="false" outlineLevel="0" collapsed="false">
      <c r="A97" s="0" t="s">
        <v>669</v>
      </c>
      <c r="B97" s="18" t="n">
        <f aca="false">C97</f>
        <v>21.1</v>
      </c>
      <c r="C97" s="18" t="n">
        <f aca="false">B116</f>
        <v>21.1</v>
      </c>
      <c r="D97" s="18" t="str">
        <f aca="false">IF(C116="","",C116)</f>
        <v/>
      </c>
    </row>
    <row r="98" customFormat="false" ht="15" hidden="false" customHeight="false" outlineLevel="0" collapsed="false">
      <c r="A98" s="0" t="s">
        <v>670</v>
      </c>
      <c r="B98" s="18" t="n">
        <f aca="false">C98</f>
        <v>16.4</v>
      </c>
      <c r="C98" s="18" t="n">
        <f aca="false">B117</f>
        <v>16.4</v>
      </c>
      <c r="D98" s="18" t="str">
        <f aca="false">IF(C117="","",C117)</f>
        <v/>
      </c>
    </row>
    <row r="99" customFormat="false" ht="15" hidden="false" customHeight="false" outlineLevel="0" collapsed="false">
      <c r="A99" s="0" t="s">
        <v>671</v>
      </c>
      <c r="B99" s="18" t="n">
        <f aca="false">C99</f>
        <v>30.2</v>
      </c>
      <c r="C99" s="18" t="n">
        <f aca="false">B118</f>
        <v>30.2</v>
      </c>
      <c r="D99" s="18" t="str">
        <f aca="false">IF(C118="","",C118)</f>
        <v/>
      </c>
    </row>
    <row r="100" customFormat="false" ht="15" hidden="false" customHeight="false" outlineLevel="0" collapsed="false">
      <c r="A100" s="0" t="s">
        <v>672</v>
      </c>
      <c r="B100" s="18" t="n">
        <f aca="false">C100</f>
        <v>54.9</v>
      </c>
      <c r="C100" s="18" t="n">
        <f aca="false">B119</f>
        <v>54.9</v>
      </c>
      <c r="D100" s="18" t="str">
        <f aca="false">IF(C119="","",C119)</f>
        <v/>
      </c>
    </row>
    <row r="101" customFormat="false" ht="15" hidden="false" customHeight="false" outlineLevel="0" collapsed="false">
      <c r="A101" s="0" t="s">
        <v>673</v>
      </c>
      <c r="B101" s="18" t="n">
        <f aca="false">C101</f>
        <v>20.3</v>
      </c>
      <c r="C101" s="18" t="n">
        <f aca="false">B120</f>
        <v>20.3</v>
      </c>
      <c r="D101" s="18" t="n">
        <f aca="false">IF(C120="","",C120)</f>
        <v>24.62</v>
      </c>
    </row>
    <row r="102" customFormat="false" ht="15" hidden="false" customHeight="false" outlineLevel="0" collapsed="false">
      <c r="A102" s="0" t="s">
        <v>674</v>
      </c>
      <c r="B102" s="18" t="n">
        <f aca="false">C102</f>
        <v>24.4</v>
      </c>
      <c r="C102" s="18" t="n">
        <f aca="false">B121</f>
        <v>24.4</v>
      </c>
      <c r="D102" s="18" t="n">
        <f aca="false">IF(C121="","",C121)</f>
        <v>25.92</v>
      </c>
    </row>
    <row r="103" customFormat="false" ht="15" hidden="false" customHeight="false" outlineLevel="0" collapsed="false">
      <c r="A103" s="0" t="s">
        <v>675</v>
      </c>
      <c r="B103" s="18" t="n">
        <f aca="false">C103</f>
        <v>25.5</v>
      </c>
      <c r="C103" s="18" t="n">
        <f aca="false">B122</f>
        <v>25.5</v>
      </c>
      <c r="D103" s="18" t="n">
        <f aca="false">IF(C122="","",C122)</f>
        <v>33.45</v>
      </c>
    </row>
    <row r="104" customFormat="false" ht="15" hidden="false" customHeight="false" outlineLevel="0" collapsed="false">
      <c r="A104" s="0" t="s">
        <v>676</v>
      </c>
      <c r="B104" s="18" t="n">
        <f aca="false">C104</f>
        <v>66.4</v>
      </c>
      <c r="C104" s="18" t="n">
        <f aca="false">B123</f>
        <v>66.4</v>
      </c>
      <c r="D104" s="18" t="n">
        <f aca="false">IF(C123="","",C123)</f>
        <v>41.4</v>
      </c>
    </row>
    <row r="105" customFormat="false" ht="15" hidden="false" customHeight="false" outlineLevel="0" collapsed="false">
      <c r="A105" s="0" t="s">
        <v>677</v>
      </c>
      <c r="B105" s="18" t="n">
        <f aca="false">C105</f>
        <v>42.5</v>
      </c>
      <c r="C105" s="18" t="n">
        <f aca="false">B124</f>
        <v>42.5</v>
      </c>
      <c r="D105" s="18" t="n">
        <f aca="false">IF(C124="","",C124)</f>
        <v>31.34</v>
      </c>
    </row>
    <row r="106" customFormat="false" ht="15" hidden="false" customHeight="false" outlineLevel="0" collapsed="false">
      <c r="A106" s="4" t="s">
        <v>678</v>
      </c>
      <c r="B106" s="0" t="n">
        <f aca="false">COUNT($B$96:$B$105)</f>
        <v>10</v>
      </c>
    </row>
    <row r="110" customFormat="false" ht="17.15" hidden="false" customHeight="false" outlineLevel="0" collapsed="false">
      <c r="A110" s="6" t="s">
        <v>679</v>
      </c>
    </row>
    <row r="111" customFormat="false" ht="17.15" hidden="false" customHeight="false" outlineLevel="0" collapsed="false">
      <c r="A111" s="4" t="s">
        <v>680</v>
      </c>
    </row>
    <row r="113" customFormat="false" ht="17.15" hidden="false" customHeight="false" outlineLevel="0" collapsed="false">
      <c r="A113" s="6" t="s">
        <v>681</v>
      </c>
    </row>
    <row r="114" customFormat="false" ht="17.15" hidden="false" customHeight="false" outlineLevel="0" collapsed="false">
      <c r="A114" s="5" t="s">
        <v>664</v>
      </c>
      <c r="B114" s="14" t="s">
        <v>682</v>
      </c>
      <c r="C114" s="14" t="s">
        <v>683</v>
      </c>
      <c r="D114" s="5" t="s">
        <v>684</v>
      </c>
    </row>
    <row r="115" customFormat="false" ht="17.15" hidden="false" customHeight="false" outlineLevel="0" collapsed="false">
      <c r="A115" s="0" t="s">
        <v>668</v>
      </c>
      <c r="B115" s="40" t="n">
        <v>18.6</v>
      </c>
      <c r="D115" s="8" t="s">
        <v>685</v>
      </c>
    </row>
    <row r="116" customFormat="false" ht="15" hidden="false" customHeight="false" outlineLevel="0" collapsed="false">
      <c r="A116" s="0" t="s">
        <v>669</v>
      </c>
      <c r="B116" s="40" t="n">
        <v>21.1</v>
      </c>
    </row>
    <row r="117" customFormat="false" ht="15" hidden="false" customHeight="false" outlineLevel="0" collapsed="false">
      <c r="A117" s="0" t="s">
        <v>670</v>
      </c>
      <c r="B117" s="40" t="n">
        <v>16.4</v>
      </c>
    </row>
    <row r="118" customFormat="false" ht="15" hidden="false" customHeight="false" outlineLevel="0" collapsed="false">
      <c r="A118" s="0" t="s">
        <v>671</v>
      </c>
      <c r="B118" s="40" t="n">
        <v>30.2</v>
      </c>
    </row>
    <row r="119" customFormat="false" ht="15" hidden="false" customHeight="false" outlineLevel="0" collapsed="false">
      <c r="A119" s="0" t="s">
        <v>672</v>
      </c>
      <c r="B119" s="40" t="n">
        <v>54.9</v>
      </c>
    </row>
    <row r="120" customFormat="false" ht="15" hidden="false" customHeight="false" outlineLevel="0" collapsed="false">
      <c r="A120" s="0" t="s">
        <v>673</v>
      </c>
      <c r="B120" s="40" t="n">
        <v>20.3</v>
      </c>
      <c r="C120" s="40" t="n">
        <v>24.62</v>
      </c>
    </row>
    <row r="121" customFormat="false" ht="15" hidden="false" customHeight="false" outlineLevel="0" collapsed="false">
      <c r="A121" s="0" t="s">
        <v>674</v>
      </c>
      <c r="B121" s="40" t="n">
        <v>24.4</v>
      </c>
      <c r="C121" s="40" t="n">
        <v>25.92</v>
      </c>
    </row>
    <row r="122" customFormat="false" ht="15" hidden="false" customHeight="false" outlineLevel="0" collapsed="false">
      <c r="A122" s="0" t="s">
        <v>675</v>
      </c>
      <c r="B122" s="40" t="n">
        <v>25.5</v>
      </c>
      <c r="C122" s="40" t="n">
        <v>33.45</v>
      </c>
    </row>
    <row r="123" customFormat="false" ht="15" hidden="false" customHeight="false" outlineLevel="0" collapsed="false">
      <c r="A123" s="0" t="s">
        <v>676</v>
      </c>
      <c r="B123" s="40" t="n">
        <v>66.4</v>
      </c>
      <c r="C123" s="40" t="n">
        <v>41.4</v>
      </c>
    </row>
    <row r="124" customFormat="false" ht="15" hidden="false" customHeight="false" outlineLevel="0" collapsed="false">
      <c r="A124" s="0" t="s">
        <v>677</v>
      </c>
      <c r="B124" s="40" t="n">
        <v>42.5</v>
      </c>
      <c r="C124" s="40" t="n">
        <v>31.34</v>
      </c>
    </row>
    <row r="125" customFormat="false" ht="17.15" hidden="false" customHeight="false" outlineLevel="0" collapsed="false">
      <c r="A125" s="0" t="s">
        <v>686</v>
      </c>
      <c r="B125" s="18" t="n">
        <f aca="false">PERCENTILE(B115:B124,0.25)</f>
        <v>20.5</v>
      </c>
      <c r="C125" s="18" t="n">
        <f aca="false">PERCENTILE(C115:C124,0.25)</f>
        <v>25.92</v>
      </c>
    </row>
    <row r="126" customFormat="false" ht="15" hidden="false" customHeight="false" outlineLevel="0" collapsed="false">
      <c r="A126" s="4" t="s">
        <v>687</v>
      </c>
      <c r="B126" s="18" t="n">
        <f aca="false">MEDIAN(B115:B124)</f>
        <v>24.95</v>
      </c>
      <c r="C126" s="18" t="n">
        <f aca="false">MEDIAN(C115:C124)</f>
        <v>31.34</v>
      </c>
    </row>
    <row r="127" customFormat="false" ht="17.15" hidden="false" customHeight="false" outlineLevel="0" collapsed="false">
      <c r="A127" s="0" t="s">
        <v>688</v>
      </c>
      <c r="B127" s="18" t="n">
        <f aca="false">PERCENTILE(B115:B124,0.75)</f>
        <v>39.425</v>
      </c>
      <c r="C127" s="18" t="n">
        <f aca="false">PERCENTILE(C115:C124,0.75)</f>
        <v>33.45</v>
      </c>
    </row>
    <row r="128" customFormat="false" ht="15" hidden="false" customHeight="false" outlineLevel="0" collapsed="false">
      <c r="A128" s="4" t="s">
        <v>689</v>
      </c>
      <c r="B128" s="18" t="n">
        <f aca="false">MIN(B115:B124)</f>
        <v>16.4</v>
      </c>
      <c r="C128" s="18" t="n">
        <f aca="false">MIN(C115:C124)</f>
        <v>24.62</v>
      </c>
    </row>
    <row r="129" customFormat="false" ht="15" hidden="false" customHeight="false" outlineLevel="0" collapsed="false">
      <c r="A129" s="4" t="s">
        <v>690</v>
      </c>
      <c r="B129" s="18" t="n">
        <f aca="false">MAX(B115:B124)</f>
        <v>66.4</v>
      </c>
      <c r="C129" s="18" t="n">
        <f aca="false">MAX(C115:C124)</f>
        <v>41.4</v>
      </c>
    </row>
    <row r="130" customFormat="false" ht="17.15" hidden="false" customHeight="false" outlineLevel="0" collapsed="false">
      <c r="A130" s="1" t="s">
        <v>691</v>
      </c>
      <c r="B130" s="18" t="n">
        <f aca="false">ROUND(AVERAGE(B125),2)</f>
        <v>20.5</v>
      </c>
    </row>
    <row r="131" customFormat="false" ht="17.15" hidden="false" customHeight="false" outlineLevel="0" collapsed="false">
      <c r="A131" s="1" t="s">
        <v>692</v>
      </c>
      <c r="B131" s="18" t="n">
        <f aca="false">ROUND(AVERAGE(B126),2)</f>
        <v>24.95</v>
      </c>
    </row>
    <row r="132" customFormat="false" ht="17.15" hidden="false" customHeight="false" outlineLevel="0" collapsed="false">
      <c r="A132" s="1" t="s">
        <v>693</v>
      </c>
      <c r="B132" s="18" t="n">
        <f aca="false">ROUND(AVERAGE(B127),2)</f>
        <v>39.43</v>
      </c>
    </row>
    <row r="133" customFormat="false" ht="17.15" hidden="false" customHeight="false" outlineLevel="0" collapsed="false">
      <c r="A133" s="1" t="s">
        <v>694</v>
      </c>
      <c r="B133" s="18" t="n">
        <f aca="false">ROUND(MIN(B128),2)</f>
        <v>16.4</v>
      </c>
    </row>
    <row r="134" customFormat="false" ht="17.15" hidden="false" customHeight="false" outlineLevel="0" collapsed="false">
      <c r="A134" s="1" t="s">
        <v>695</v>
      </c>
      <c r="B134" s="18" t="n">
        <f aca="false">ROUND(MAX(B129),2)</f>
        <v>66.4</v>
      </c>
    </row>
    <row r="136" customFormat="false" ht="17.15" hidden="false" customHeight="false" outlineLevel="0" collapsed="false">
      <c r="A136" s="6" t="s">
        <v>696</v>
      </c>
    </row>
    <row r="137" customFormat="false" ht="17.15" hidden="false" customHeight="false" outlineLevel="0" collapsed="false">
      <c r="A137" s="5" t="s">
        <v>697</v>
      </c>
      <c r="B137" s="5" t="s">
        <v>698</v>
      </c>
      <c r="C137" s="5" t="s">
        <v>699</v>
      </c>
      <c r="D137" s="5" t="s">
        <v>22</v>
      </c>
      <c r="E137" s="5" t="s">
        <v>700</v>
      </c>
      <c r="F137" s="5" t="s">
        <v>653</v>
      </c>
      <c r="G137" s="5" t="s">
        <v>701</v>
      </c>
      <c r="H137" s="5" t="s">
        <v>702</v>
      </c>
    </row>
    <row r="138" customFormat="false" ht="17.15" hidden="false" customHeight="false" outlineLevel="0" collapsed="false">
      <c r="A138" s="4" t="s">
        <v>703</v>
      </c>
      <c r="B138" s="0" t="s">
        <v>704</v>
      </c>
      <c r="C138" s="18" t="n">
        <f aca="false">B130</f>
        <v>20.5</v>
      </c>
      <c r="D138" s="8" t="s">
        <v>705</v>
      </c>
      <c r="E138" s="20" t="n">
        <f aca="false">C82</f>
        <v>162.815476140554</v>
      </c>
      <c r="F138" s="15" t="n">
        <f aca="false">C138*E138</f>
        <v>3337.71726088135</v>
      </c>
      <c r="G138" s="16" t="n">
        <f aca="false">F138/px-1</f>
        <v>-0.340893115939702</v>
      </c>
      <c r="H138" s="18" t="n">
        <f aca="false">px/E138</f>
        <v>31.1026944123444</v>
      </c>
    </row>
    <row r="139" customFormat="false" ht="17.15" hidden="false" customHeight="false" outlineLevel="0" collapsed="false">
      <c r="A139" s="4" t="s">
        <v>706</v>
      </c>
      <c r="B139" s="4" t="s">
        <v>707</v>
      </c>
      <c r="C139" s="18" t="n">
        <f aca="false">B131</f>
        <v>24.95</v>
      </c>
      <c r="D139" s="8" t="s">
        <v>705</v>
      </c>
      <c r="E139" s="20" t="n">
        <f aca="false">C82</f>
        <v>162.815476140554</v>
      </c>
      <c r="F139" s="15" t="n">
        <f aca="false">C139*E139</f>
        <v>4062.24612970682</v>
      </c>
      <c r="G139" s="16" t="n">
        <f aca="false">F139/px-1</f>
        <v>-0.197818694765637</v>
      </c>
      <c r="H139" s="18" t="n">
        <f aca="false">px/E139</f>
        <v>31.1026944123444</v>
      </c>
    </row>
    <row r="140" customFormat="false" ht="17.15" hidden="false" customHeight="false" outlineLevel="0" collapsed="false">
      <c r="A140" s="4" t="s">
        <v>708</v>
      </c>
      <c r="B140" s="0" t="s">
        <v>709</v>
      </c>
      <c r="C140" s="18" t="n">
        <f aca="false">B132</f>
        <v>39.43</v>
      </c>
      <c r="D140" s="8" t="s">
        <v>705</v>
      </c>
      <c r="E140" s="20" t="n">
        <f aca="false">C82</f>
        <v>162.815476140554</v>
      </c>
      <c r="F140" s="15" t="n">
        <f aca="false">C140*E140</f>
        <v>6419.81422422203</v>
      </c>
      <c r="G140" s="16" t="n">
        <f aca="false">F140/px-1</f>
        <v>0.267735826268174</v>
      </c>
      <c r="H140" s="18" t="n">
        <f aca="false">px/E140</f>
        <v>31.1026944123444</v>
      </c>
    </row>
    <row r="144" customFormat="false" ht="17.15" hidden="false" customHeight="false" outlineLevel="0" collapsed="false">
      <c r="A144" s="6" t="s">
        <v>710</v>
      </c>
    </row>
    <row r="145" customFormat="false" ht="17.15" hidden="false" customHeight="false" outlineLevel="0" collapsed="false">
      <c r="A145" s="5" t="s">
        <v>711</v>
      </c>
      <c r="B145" s="5" t="s">
        <v>574</v>
      </c>
      <c r="C145" s="5" t="s">
        <v>575</v>
      </c>
      <c r="D145" s="5" t="s">
        <v>576</v>
      </c>
      <c r="E145" s="5" t="s">
        <v>577</v>
      </c>
      <c r="F145" s="5" t="s">
        <v>24</v>
      </c>
    </row>
    <row r="146" customFormat="false" ht="17.15" hidden="false" customHeight="false" outlineLevel="0" collapsed="false">
      <c r="A146" s="0" t="s">
        <v>712</v>
      </c>
      <c r="B146" s="0" t="s">
        <v>713</v>
      </c>
      <c r="C146" s="33" t="n">
        <v>20.86</v>
      </c>
      <c r="D146" s="8" t="s">
        <v>580</v>
      </c>
      <c r="E146" s="8" t="s">
        <v>581</v>
      </c>
      <c r="F146" s="8" t="s">
        <v>170</v>
      </c>
    </row>
    <row r="147" customFormat="false" ht="17.15" hidden="false" customHeight="false" outlineLevel="0" collapsed="false">
      <c r="A147" s="4" t="s">
        <v>714</v>
      </c>
      <c r="B147" s="0" t="s">
        <v>715</v>
      </c>
      <c r="C147" s="33" t="n">
        <v>20.85</v>
      </c>
      <c r="D147" s="8" t="s">
        <v>716</v>
      </c>
      <c r="E147" s="8" t="s">
        <v>581</v>
      </c>
      <c r="F147" s="8" t="s">
        <v>170</v>
      </c>
    </row>
    <row r="148" customFormat="false" ht="17.15" hidden="false" customHeight="false" outlineLevel="0" collapsed="false">
      <c r="A148" s="4" t="s">
        <v>717</v>
      </c>
      <c r="B148" s="0" t="s">
        <v>718</v>
      </c>
      <c r="C148" s="33" t="n">
        <v>24.44</v>
      </c>
      <c r="D148" s="8" t="s">
        <v>587</v>
      </c>
      <c r="E148" s="8" t="s">
        <v>581</v>
      </c>
      <c r="F148" s="8" t="s">
        <v>170</v>
      </c>
    </row>
    <row r="149" customFormat="false" ht="17.15" hidden="false" customHeight="false" outlineLevel="0" collapsed="false">
      <c r="A149" s="4" t="s">
        <v>719</v>
      </c>
      <c r="B149" s="0" t="s">
        <v>720</v>
      </c>
      <c r="C149" s="33" t="n">
        <v>18.85</v>
      </c>
      <c r="D149" s="8" t="s">
        <v>721</v>
      </c>
      <c r="E149" s="8" t="s">
        <v>581</v>
      </c>
      <c r="F149" s="8" t="s">
        <v>170</v>
      </c>
    </row>
    <row r="150" customFormat="false" ht="17.15" hidden="false" customHeight="false" outlineLevel="0" collapsed="false">
      <c r="A150" s="0" t="s">
        <v>722</v>
      </c>
      <c r="B150" s="0" t="s">
        <v>723</v>
      </c>
      <c r="C150" s="33" t="n">
        <v>46.82</v>
      </c>
      <c r="D150" s="8" t="s">
        <v>593</v>
      </c>
      <c r="E150" s="8" t="s">
        <v>581</v>
      </c>
      <c r="F150" s="8" t="s">
        <v>170</v>
      </c>
    </row>
    <row r="151" customFormat="false" ht="17.15" hidden="false" customHeight="false" outlineLevel="0" collapsed="false">
      <c r="A151" s="4" t="s">
        <v>724</v>
      </c>
      <c r="B151" s="34" t="n">
        <f aca="false">MEDIAN(C146:C150)</f>
        <v>20.86</v>
      </c>
      <c r="E151" s="4" t="s">
        <v>725</v>
      </c>
    </row>
    <row r="152" customFormat="false" ht="17.15" hidden="false" customHeight="false" outlineLevel="0" collapsed="false">
      <c r="A152" s="0" t="s">
        <v>726</v>
      </c>
      <c r="B152" s="20" t="n">
        <f aca="false">tp_wA*(5/12*PL!E115+7/12*PL!F115)+tp_wB*(5/12*PL!E165+7/12*PL!F165)+tp_wC*(5/12*PL!E215+7/12*PL!F215)</f>
        <v>68.2098429751618</v>
      </c>
      <c r="E152" s="8" t="s">
        <v>727</v>
      </c>
    </row>
    <row r="153" customFormat="false" ht="17.15" hidden="false" customHeight="false" outlineLevel="0" collapsed="false">
      <c r="A153" s="0" t="s">
        <v>728</v>
      </c>
      <c r="B153" s="20" t="n">
        <f aca="false">tp_wA*(5/12*PL!E116+7/12*PL!F116)+tp_wB*(5/12*PL!E166+7/12*PL!F166)+tp_wC*(5/12*PL!E216+7/12*PL!F216)</f>
        <v>98.6765561139741</v>
      </c>
      <c r="E153" s="8" t="s">
        <v>729</v>
      </c>
    </row>
    <row r="154" customFormat="false" ht="17.15" hidden="false" customHeight="false" outlineLevel="0" collapsed="false">
      <c r="A154" s="0" t="s">
        <v>730</v>
      </c>
      <c r="B154" s="31" t="n">
        <f aca="false">B153*B34+B152*B151</f>
        <v>3175.84634382663</v>
      </c>
      <c r="E154" s="4" t="s">
        <v>731</v>
      </c>
    </row>
    <row r="155" customFormat="false" ht="17.15" hidden="false" customHeight="false" outlineLevel="0" collapsed="false">
      <c r="A155" s="0" t="s">
        <v>732</v>
      </c>
      <c r="B155" s="16" t="n">
        <f aca="false">B154/px-1</f>
        <v>-0.372858146953668</v>
      </c>
    </row>
    <row r="156" customFormat="false" ht="17.15" hidden="false" customHeight="false" outlineLevel="0" collapsed="false">
      <c r="A156" s="4" t="s">
        <v>733</v>
      </c>
      <c r="B156" s="20" t="n">
        <f aca="false">5/12*PL!D166+7/12*PL!E166</f>
        <v>92.2304955779209</v>
      </c>
    </row>
    <row r="157" customFormat="false" ht="17.15" hidden="false" customHeight="false" outlineLevel="0" collapsed="false">
      <c r="A157" s="4" t="s">
        <v>734</v>
      </c>
      <c r="B157" s="20" t="n">
        <f aca="false">5/12*PL!D165+7/12*PL!E165</f>
        <v>56.8451988374021</v>
      </c>
    </row>
    <row r="158" customFormat="false" ht="17.15" hidden="false" customHeight="false" outlineLevel="0" collapsed="false">
      <c r="A158" s="4" t="s">
        <v>735</v>
      </c>
      <c r="B158" s="31" t="n">
        <f aca="false">B156*B34</f>
        <v>1638.47475394176</v>
      </c>
    </row>
    <row r="159" customFormat="false" ht="17.15" hidden="false" customHeight="false" outlineLevel="0" collapsed="false">
      <c r="A159" s="4" t="s">
        <v>736</v>
      </c>
      <c r="B159" s="31" t="n">
        <f aca="false">px-B158</f>
        <v>3425.52524605824</v>
      </c>
    </row>
    <row r="160" customFormat="false" ht="17.15" hidden="false" customHeight="false" outlineLevel="0" collapsed="false">
      <c r="A160" s="0" t="s">
        <v>737</v>
      </c>
      <c r="B160" s="16" t="n">
        <f aca="false">B159/px</f>
        <v>0.6764465335818</v>
      </c>
    </row>
    <row r="161" customFormat="false" ht="17.15" hidden="false" customHeight="false" outlineLevel="0" collapsed="false">
      <c r="A161" s="4" t="s">
        <v>738</v>
      </c>
      <c r="B161" s="34" t="n">
        <f aca="false">B159/B157</f>
        <v>60.2605904476908</v>
      </c>
      <c r="E161" s="4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740</v>
      </c>
    </row>
    <row r="3" customFormat="false" ht="17.15" hidden="false" customHeight="false" outlineLevel="0" collapsed="false">
      <c r="A3" s="5" t="s">
        <v>19</v>
      </c>
      <c r="B3" s="5" t="s">
        <v>741</v>
      </c>
      <c r="C3" s="5" t="s">
        <v>742</v>
      </c>
      <c r="D3" s="5" t="s">
        <v>743</v>
      </c>
      <c r="E3" s="5" t="s">
        <v>744</v>
      </c>
      <c r="F3" s="5" t="s">
        <v>745</v>
      </c>
      <c r="G3" s="5" t="s">
        <v>746</v>
      </c>
      <c r="H3" s="5" t="s">
        <v>747</v>
      </c>
      <c r="I3" s="5" t="s">
        <v>748</v>
      </c>
      <c r="J3" s="5" t="s">
        <v>379</v>
      </c>
    </row>
    <row r="4" customFormat="false" ht="17.15" hidden="false" customHeight="false" outlineLevel="0" collapsed="false">
      <c r="A4" s="6" t="s">
        <v>749</v>
      </c>
    </row>
    <row r="5" customFormat="false" ht="17.15" hidden="false" customHeight="false" outlineLevel="0" collapsed="false">
      <c r="A5" s="0" t="s">
        <v>750</v>
      </c>
      <c r="B5" s="15" t="n">
        <f aca="false">c_rev26</f>
        <v>1730</v>
      </c>
      <c r="C5" s="15" t="n">
        <f aca="false">PL!D103</f>
        <v>1732</v>
      </c>
      <c r="D5" s="16" t="n">
        <f aca="false">C5/B5-1</f>
        <v>0.0011560693641619</v>
      </c>
      <c r="E5" s="15" t="n">
        <f aca="false">PL!D153</f>
        <v>1732</v>
      </c>
      <c r="F5" s="16" t="n">
        <f aca="false">E5/B5-1</f>
        <v>0.0011560693641619</v>
      </c>
      <c r="G5" s="15" t="n">
        <f aca="false">PL!D203</f>
        <v>1732</v>
      </c>
      <c r="H5" s="16" t="n">
        <f aca="false">G5/B5-1</f>
        <v>0.0011560693641619</v>
      </c>
      <c r="I5" s="8" t="s">
        <v>751</v>
      </c>
      <c r="J5" s="4" t="s">
        <v>752</v>
      </c>
    </row>
    <row r="6" customFormat="false" ht="17.15" hidden="false" customHeight="false" outlineLevel="0" collapsed="false">
      <c r="A6" s="0" t="s">
        <v>753</v>
      </c>
      <c r="B6" s="20" t="n">
        <f aca="false">c_eps26</f>
        <v>145.441826720648</v>
      </c>
      <c r="C6" s="20" t="n">
        <f aca="false">PL!D112</f>
        <v>129.84</v>
      </c>
      <c r="D6" s="16" t="n">
        <f aca="false">C6/B6-1</f>
        <v>-0.107271938701749</v>
      </c>
      <c r="E6" s="20" t="n">
        <f aca="false">PL!D162</f>
        <v>129.84</v>
      </c>
      <c r="F6" s="16" t="n">
        <f aca="false">E6/B6-1</f>
        <v>-0.107271938701749</v>
      </c>
      <c r="G6" s="20" t="n">
        <f aca="false">PL!D212</f>
        <v>129.84</v>
      </c>
      <c r="H6" s="16" t="n">
        <f aca="false">G6/B6-1</f>
        <v>-0.107271938701749</v>
      </c>
      <c r="I6" s="8" t="s">
        <v>754</v>
      </c>
      <c r="J6" s="4" t="s">
        <v>755</v>
      </c>
    </row>
    <row r="7" customFormat="false" ht="17.15" hidden="false" customHeight="false" outlineLevel="0" collapsed="false">
      <c r="A7" s="0" t="s">
        <v>756</v>
      </c>
      <c r="B7" s="15" t="n">
        <f aca="false">c_rev27</f>
        <v>1840</v>
      </c>
      <c r="C7" s="15" t="n">
        <f aca="false">PL!E103</f>
        <v>1850.5656</v>
      </c>
      <c r="D7" s="16" t="n">
        <f aca="false">C7/B7-1</f>
        <v>0.00574217391304344</v>
      </c>
      <c r="E7" s="15" t="n">
        <f aca="false">PL!E153</f>
        <v>1850.5656</v>
      </c>
      <c r="F7" s="16" t="n">
        <f aca="false">E7/B7-1</f>
        <v>0.00574217391304344</v>
      </c>
      <c r="G7" s="15" t="n">
        <f aca="false">PL!E203</f>
        <v>1850.5656</v>
      </c>
      <c r="H7" s="16" t="n">
        <f aca="false">G7/B7-1</f>
        <v>0.00574217391304344</v>
      </c>
      <c r="I7" s="8" t="s">
        <v>757</v>
      </c>
    </row>
    <row r="8" customFormat="false" ht="17.15" hidden="false" customHeight="false" outlineLevel="0" collapsed="false">
      <c r="A8" s="0" t="s">
        <v>758</v>
      </c>
      <c r="B8" s="20" t="n">
        <f aca="false">c_eps27</f>
        <v>179.809730374737</v>
      </c>
      <c r="C8" s="20" t="n">
        <f aca="false">PL!E112</f>
        <v>162.815476140554</v>
      </c>
      <c r="D8" s="16" t="n">
        <f aca="false">C8/B8-1</f>
        <v>-0.0945124282137895</v>
      </c>
      <c r="E8" s="20" t="n">
        <f aca="false">PL!E162</f>
        <v>162.815476140554</v>
      </c>
      <c r="F8" s="16" t="n">
        <f aca="false">E8/B8-1</f>
        <v>-0.0945124282137895</v>
      </c>
      <c r="G8" s="20" t="n">
        <f aca="false">PL!E212</f>
        <v>162.815476140554</v>
      </c>
      <c r="H8" s="16" t="n">
        <f aca="false">G8/B8-1</f>
        <v>-0.0945124282137895</v>
      </c>
      <c r="I8" s="8" t="s">
        <v>759</v>
      </c>
      <c r="J8" s="4" t="s">
        <v>286</v>
      </c>
    </row>
    <row r="9" customFormat="false" ht="17.15" hidden="false" customHeight="false" outlineLevel="0" collapsed="false">
      <c r="A9" s="0" t="s">
        <v>760</v>
      </c>
      <c r="C9" s="20" t="n">
        <f aca="false">PL!F112</f>
        <v>184.47594742965</v>
      </c>
      <c r="E9" s="20" t="n">
        <f aca="false">PL!F162</f>
        <v>168.275384193437</v>
      </c>
      <c r="G9" s="20" t="n">
        <f aca="false">PL!F212</f>
        <v>151.568624348264</v>
      </c>
      <c r="I9" s="4" t="s">
        <v>761</v>
      </c>
      <c r="J9" s="4" t="s">
        <v>762</v>
      </c>
    </row>
    <row r="10" customFormat="false" ht="17.15" hidden="false" customHeight="false" outlineLevel="0" collapsed="false">
      <c r="A10" s="6" t="s">
        <v>763</v>
      </c>
    </row>
    <row r="11" customFormat="false" ht="17.15" hidden="false" customHeight="false" outlineLevel="0" collapsed="false">
      <c r="A11" s="0" t="s">
        <v>764</v>
      </c>
      <c r="B11" s="15" t="n">
        <f aca="false">q1_fm*4</f>
        <v>132.4</v>
      </c>
      <c r="C11" s="15" t="n">
        <f aca="false">PL!D87</f>
        <v>120.6</v>
      </c>
      <c r="D11" s="16" t="n">
        <f aca="false">C11/B11-1</f>
        <v>-0.0891238670694865</v>
      </c>
      <c r="E11" s="15" t="n">
        <f aca="false">PL!D137</f>
        <v>120.6</v>
      </c>
      <c r="F11" s="16" t="n">
        <f aca="false">E11/B11-1</f>
        <v>-0.0891238670694865</v>
      </c>
      <c r="G11" s="15" t="n">
        <f aca="false">PL!D187</f>
        <v>120.6</v>
      </c>
      <c r="H11" s="16" t="n">
        <f aca="false">G11/B11-1</f>
        <v>-0.0891238670694865</v>
      </c>
      <c r="I11" s="4" t="s">
        <v>765</v>
      </c>
      <c r="J11" s="4" t="s">
        <v>766</v>
      </c>
    </row>
    <row r="12" customFormat="false" ht="17.15" hidden="false" customHeight="false" outlineLevel="0" collapsed="false">
      <c r="A12" s="0" t="s">
        <v>767</v>
      </c>
      <c r="B12" s="15" t="n">
        <f aca="false">q1_fmbp*4</f>
        <v>76.4</v>
      </c>
      <c r="C12" s="15" t="n">
        <f aca="false">PL!D89</f>
        <v>65.5</v>
      </c>
      <c r="D12" s="16" t="n">
        <f aca="false">C12/B12-1</f>
        <v>-0.142670157068063</v>
      </c>
      <c r="E12" s="15" t="n">
        <f aca="false">PL!D139</f>
        <v>65.5</v>
      </c>
      <c r="F12" s="16" t="n">
        <f aca="false">E12/B12-1</f>
        <v>-0.142670157068063</v>
      </c>
      <c r="G12" s="15" t="n">
        <f aca="false">PL!D189</f>
        <v>65.5</v>
      </c>
      <c r="H12" s="16" t="n">
        <f aca="false">G12/B12-1</f>
        <v>-0.142670157068063</v>
      </c>
      <c r="I12" s="4" t="s">
        <v>36</v>
      </c>
    </row>
    <row r="13" customFormat="false" ht="17.15" hidden="false" customHeight="false" outlineLevel="0" collapsed="false">
      <c r="A13" s="0" t="s">
        <v>768</v>
      </c>
      <c r="B13" s="16" t="n">
        <v>0.66</v>
      </c>
      <c r="C13" s="16" t="n">
        <f aca="false">PL!E88</f>
        <v>0.579831497275527</v>
      </c>
      <c r="D13" s="16" t="n">
        <f aca="false">C13/B13-1</f>
        <v>-0.121467428370413</v>
      </c>
      <c r="E13" s="16" t="n">
        <f aca="false">PL!E138</f>
        <v>0.579831497275527</v>
      </c>
      <c r="F13" s="16" t="n">
        <f aca="false">E13/B13-1</f>
        <v>-0.121467428370413</v>
      </c>
      <c r="G13" s="16" t="n">
        <f aca="false">PL!E188</f>
        <v>0.579831497275527</v>
      </c>
      <c r="H13" s="16" t="n">
        <f aca="false">G13/B13-1</f>
        <v>-0.121467428370413</v>
      </c>
      <c r="I13" s="8" t="s">
        <v>769</v>
      </c>
      <c r="J13" s="8" t="s">
        <v>770</v>
      </c>
    </row>
    <row r="14" customFormat="false" ht="17.15" hidden="false" customHeight="false" outlineLevel="0" collapsed="false">
      <c r="A14" s="0" t="s">
        <v>771</v>
      </c>
      <c r="C14" s="16" t="n">
        <f aca="false">PL!E87/PL!C87-1</f>
        <v>0.713924287856072</v>
      </c>
      <c r="E14" s="16" t="n">
        <f aca="false">PL!E137/PL!C137-1</f>
        <v>0.713924287856072</v>
      </c>
      <c r="G14" s="16" t="n">
        <f aca="false">PL!E187/PL!C187-1</f>
        <v>0.713924287856072</v>
      </c>
      <c r="I14" s="8" t="s">
        <v>772</v>
      </c>
    </row>
    <row r="15" customFormat="false" ht="17.15" hidden="false" customHeight="false" outlineLevel="0" collapsed="false">
      <c r="A15" s="0" t="s">
        <v>773</v>
      </c>
      <c r="B15" s="15" t="n">
        <v>77</v>
      </c>
      <c r="C15" s="15" t="n">
        <f aca="false">PL!G87</f>
        <v>243.1296</v>
      </c>
      <c r="D15" s="16" t="n">
        <f aca="false">C15/B15-1</f>
        <v>2.15752727272727</v>
      </c>
      <c r="E15" s="15" t="n">
        <f aca="false">PL!G137</f>
        <v>214.751852574963</v>
      </c>
      <c r="F15" s="16" t="n">
        <f aca="false">E15/B15-1</f>
        <v>1.78898509837615</v>
      </c>
      <c r="G15" s="15" t="n">
        <f aca="false">PL!G187</f>
        <v>163.340705332654</v>
      </c>
      <c r="H15" s="16" t="n">
        <f aca="false">G15/B15-1</f>
        <v>1.12130786146304</v>
      </c>
      <c r="I15" s="8" t="s">
        <v>774</v>
      </c>
      <c r="J15" s="4" t="s">
        <v>775</v>
      </c>
    </row>
    <row r="16" customFormat="false" ht="17.15" hidden="false" customHeight="false" outlineLevel="0" collapsed="false">
      <c r="A16" s="6" t="s">
        <v>776</v>
      </c>
    </row>
    <row r="17" customFormat="false" ht="17.15" hidden="false" customHeight="false" outlineLevel="0" collapsed="false">
      <c r="A17" s="0" t="s">
        <v>777</v>
      </c>
      <c r="B17" s="16" t="n">
        <v>0.1</v>
      </c>
      <c r="C17" s="16" t="n">
        <f aca="false">Units!D17</f>
        <v>0.118717115433123</v>
      </c>
      <c r="D17" s="16" t="n">
        <f aca="false">C17/B17-1</f>
        <v>0.187171154331234</v>
      </c>
      <c r="E17" s="16" t="n">
        <f aca="false">Units!D17</f>
        <v>0.118717115433123</v>
      </c>
      <c r="F17" s="16" t="n">
        <f aca="false">E17/B17-1</f>
        <v>0.187171154331234</v>
      </c>
      <c r="G17" s="16" t="n">
        <f aca="false">Units!D17</f>
        <v>0.118717115433123</v>
      </c>
      <c r="H17" s="16" t="n">
        <f aca="false">G17/B17-1</f>
        <v>0.187171154331234</v>
      </c>
      <c r="I17" s="8" t="s">
        <v>778</v>
      </c>
      <c r="J17" s="8" t="s">
        <v>779</v>
      </c>
    </row>
    <row r="18" customFormat="false" ht="17.15" hidden="false" customHeight="false" outlineLevel="0" collapsed="false">
      <c r="A18" s="0" t="s">
        <v>780</v>
      </c>
      <c r="C18" s="16" t="n">
        <f aca="false">Units!D19</f>
        <v>0.348175110236595</v>
      </c>
      <c r="E18" s="16" t="n">
        <f aca="false">Units!D19</f>
        <v>0.348175110236595</v>
      </c>
      <c r="G18" s="16" t="n">
        <f aca="false">Units!D19</f>
        <v>0.348175110236595</v>
      </c>
      <c r="I18" s="8" t="s">
        <v>781</v>
      </c>
      <c r="J18" s="4" t="s">
        <v>782</v>
      </c>
    </row>
    <row r="19" customFormat="false" ht="17.15" hidden="false" customHeight="false" outlineLevel="0" collapsed="false">
      <c r="A19" s="6" t="s">
        <v>783</v>
      </c>
    </row>
    <row r="20" customFormat="false" ht="17.15" hidden="false" customHeight="false" outlineLevel="0" collapsed="false">
      <c r="A20" s="0" t="s">
        <v>784</v>
      </c>
      <c r="C20" s="16" t="n">
        <f aca="false">PL!D88</f>
        <v>0.543117744610282</v>
      </c>
      <c r="E20" s="16" t="n">
        <f aca="false">PL!D138</f>
        <v>0.543117744610282</v>
      </c>
      <c r="G20" s="16" t="n">
        <f aca="false">PL!D188</f>
        <v>0.543117744610282</v>
      </c>
      <c r="I20" s="4" t="s">
        <v>785</v>
      </c>
    </row>
    <row r="21" customFormat="false" ht="17.15" hidden="false" customHeight="false" outlineLevel="0" collapsed="false">
      <c r="A21" s="0" t="s">
        <v>786</v>
      </c>
      <c r="C21" s="15" t="n">
        <f aca="false">PL!D85</f>
        <v>48.24</v>
      </c>
      <c r="E21" s="15" t="n">
        <f aca="false">PL!D135</f>
        <v>48.24</v>
      </c>
      <c r="G21" s="15" t="n">
        <f aca="false">PL!D185</f>
        <v>48.24</v>
      </c>
      <c r="I21" s="8" t="s">
        <v>787</v>
      </c>
      <c r="J21" s="4" t="s">
        <v>788</v>
      </c>
    </row>
    <row r="22" customFormat="false" ht="17.15" hidden="false" customHeight="false" outlineLevel="0" collapsed="false">
      <c r="A22" s="0" t="s">
        <v>789</v>
      </c>
      <c r="C22" s="15" t="n">
        <f aca="false">PL!D117</f>
        <v>23.5087719298246</v>
      </c>
      <c r="E22" s="15" t="n">
        <f aca="false">PL!D167</f>
        <v>23.5087719298246</v>
      </c>
      <c r="G22" s="15" t="n">
        <f aca="false">PL!D217</f>
        <v>23.5087719298246</v>
      </c>
      <c r="I22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790</v>
      </c>
    </row>
    <row r="3" customFormat="false" ht="17.15" hidden="false" customHeight="false" outlineLevel="0" collapsed="false">
      <c r="A3" s="5" t="s">
        <v>791</v>
      </c>
      <c r="B3" s="5" t="s">
        <v>792</v>
      </c>
      <c r="C3" s="14" t="s">
        <v>793</v>
      </c>
      <c r="D3" s="14" t="s">
        <v>794</v>
      </c>
      <c r="E3" s="14" t="s">
        <v>650</v>
      </c>
      <c r="F3" s="14" t="s">
        <v>795</v>
      </c>
      <c r="G3" s="14" t="s">
        <v>796</v>
      </c>
      <c r="H3" s="14" t="s">
        <v>797</v>
      </c>
      <c r="I3" s="14" t="s">
        <v>798</v>
      </c>
      <c r="J3" s="14" t="s">
        <v>799</v>
      </c>
    </row>
    <row r="4" customFormat="false" ht="17.15" hidden="false" customHeight="false" outlineLevel="0" collapsed="false">
      <c r="A4" s="4" t="s">
        <v>800</v>
      </c>
      <c r="B4" s="0" t="s">
        <v>801</v>
      </c>
      <c r="C4" s="15" t="n">
        <f aca="false">PL!E103</f>
        <v>1850.5656</v>
      </c>
      <c r="D4" s="16" t="n">
        <f aca="false">PL!E107</f>
        <v>0.132951790522854</v>
      </c>
      <c r="E4" s="20" t="n">
        <f aca="false">PL!E112</f>
        <v>162.815476140554</v>
      </c>
      <c r="F4" s="16" t="n">
        <f aca="false">E4/E$4-1</f>
        <v>0</v>
      </c>
      <c r="G4" s="15" t="n">
        <f aca="false">PL!F103</f>
        <v>1955.94074307053</v>
      </c>
      <c r="H4" s="16" t="n">
        <f aca="false">PL!F107</f>
        <v>0.140385831426233</v>
      </c>
      <c r="I4" s="20" t="n">
        <f aca="false">PL!F112</f>
        <v>184.47594742965</v>
      </c>
      <c r="J4" s="16" t="n">
        <f aca="false">I4/I$4-1</f>
        <v>0</v>
      </c>
    </row>
    <row r="5" customFormat="false" ht="17.15" hidden="false" customHeight="false" outlineLevel="0" collapsed="false">
      <c r="A5" s="0" t="s">
        <v>802</v>
      </c>
      <c r="B5" s="0" t="s">
        <v>803</v>
      </c>
      <c r="C5" s="15" t="n">
        <f aca="false">E83</f>
        <v>1845.410352</v>
      </c>
      <c r="D5" s="16" t="n">
        <f aca="false">E87</f>
        <v>0.131703409255251</v>
      </c>
      <c r="E5" s="20" t="n">
        <f aca="false">E92</f>
        <v>160.837375544513</v>
      </c>
      <c r="F5" s="16" t="n">
        <f aca="false">E5/E$4-1</f>
        <v>-0.0121493401175979</v>
      </c>
      <c r="G5" s="15" t="n">
        <f aca="false">F83</f>
        <v>1939.0238125529</v>
      </c>
      <c r="H5" s="16" t="n">
        <f aca="false">F87</f>
        <v>0.136563381831767</v>
      </c>
      <c r="I5" s="20" t="n">
        <f aca="false">F92</f>
        <v>177.900915616161</v>
      </c>
      <c r="J5" s="16" t="n">
        <f aca="false">I5/I$4-1</f>
        <v>-0.0356416752704112</v>
      </c>
    </row>
    <row r="6" customFormat="false" ht="17.15" hidden="false" customHeight="false" outlineLevel="0" collapsed="false">
      <c r="A6" s="0" t="s">
        <v>804</v>
      </c>
      <c r="B6" s="0" t="s">
        <v>805</v>
      </c>
      <c r="C6" s="15" t="n">
        <f aca="false">E133</f>
        <v>1850.5656</v>
      </c>
      <c r="D6" s="16" t="n">
        <f aca="false">E137</f>
        <v>0.132951790522854</v>
      </c>
      <c r="E6" s="20" t="n">
        <f aca="false">E142</f>
        <v>162.815476140554</v>
      </c>
      <c r="F6" s="16" t="n">
        <f aca="false">E6/E$4-1</f>
        <v>0</v>
      </c>
      <c r="G6" s="15" t="n">
        <f aca="false">F133</f>
        <v>1956.1063</v>
      </c>
      <c r="H6" s="16" t="n">
        <f aca="false">F137</f>
        <v>0.140422913008358</v>
      </c>
      <c r="I6" s="20" t="n">
        <f aca="false">F142</f>
        <v>184.540293741004</v>
      </c>
      <c r="J6" s="16" t="n">
        <f aca="false">I6/I$4-1</f>
        <v>0.000348805967661514</v>
      </c>
    </row>
    <row r="7" customFormat="false" ht="17.15" hidden="false" customHeight="false" outlineLevel="0" collapsed="false">
      <c r="A7" s="4" t="s">
        <v>806</v>
      </c>
      <c r="B7" s="0" t="s">
        <v>807</v>
      </c>
      <c r="C7" s="15" t="n">
        <f aca="false">E183</f>
        <v>1849.244896</v>
      </c>
      <c r="D7" s="16" t="n">
        <f aca="false">E187</f>
        <v>0.132632635489628</v>
      </c>
      <c r="E7" s="20" t="n">
        <f aca="false">E192</f>
        <v>162.308713833562</v>
      </c>
      <c r="F7" s="16" t="n">
        <f aca="false">E7/E$4-1</f>
        <v>-0.0031124947026161</v>
      </c>
      <c r="G7" s="15" t="n">
        <f aca="false">F183</f>
        <v>1939.36673331053</v>
      </c>
      <c r="H7" s="16" t="n">
        <f aca="false">F187</f>
        <v>0.136641528367048</v>
      </c>
      <c r="I7" s="20" t="n">
        <f aca="false">F192</f>
        <v>178.034197176228</v>
      </c>
      <c r="J7" s="16" t="n">
        <f aca="false">I7/I$4-1</f>
        <v>-0.0349191878029447</v>
      </c>
    </row>
    <row r="8" customFormat="false" ht="17.15" hidden="false" customHeight="false" outlineLevel="0" collapsed="false">
      <c r="A8" s="4" t="s">
        <v>808</v>
      </c>
      <c r="B8" s="0" t="s">
        <v>809</v>
      </c>
      <c r="C8" s="15" t="n">
        <f aca="false">E233</f>
        <v>1850.5656</v>
      </c>
      <c r="D8" s="16" t="n">
        <f aca="false">E237</f>
        <v>0.132951790522854</v>
      </c>
      <c r="E8" s="20" t="n">
        <f aca="false">E242</f>
        <v>162.815476140554</v>
      </c>
      <c r="F8" s="16" t="n">
        <f aca="false">E8/E$4-1</f>
        <v>0</v>
      </c>
      <c r="G8" s="15" t="n">
        <f aca="false">F233</f>
        <v>1956.1063</v>
      </c>
      <c r="H8" s="16" t="n">
        <f aca="false">F237</f>
        <v>0.140422913008358</v>
      </c>
      <c r="I8" s="20" t="n">
        <f aca="false">F242</f>
        <v>184.540293741004</v>
      </c>
      <c r="J8" s="16" t="n">
        <f aca="false">I8/I$4-1</f>
        <v>0.000348805967661514</v>
      </c>
    </row>
    <row r="9" customFormat="false" ht="17.15" hidden="false" customHeight="false" outlineLevel="0" collapsed="false">
      <c r="A9" s="4" t="s">
        <v>810</v>
      </c>
      <c r="B9" s="4" t="s">
        <v>811</v>
      </c>
      <c r="C9" s="15" t="n">
        <f aca="false">E283</f>
        <v>1850.5656</v>
      </c>
      <c r="D9" s="16" t="n">
        <f aca="false">E287</f>
        <v>0.132951790522854</v>
      </c>
      <c r="E9" s="20" t="n">
        <f aca="false">E292</f>
        <v>162.815476140554</v>
      </c>
      <c r="F9" s="16" t="n">
        <f aca="false">E9/E$4-1</f>
        <v>0</v>
      </c>
      <c r="G9" s="15" t="n">
        <f aca="false">F283</f>
        <v>1950.80591310013</v>
      </c>
      <c r="H9" s="16" t="n">
        <f aca="false">F287</f>
        <v>0.13923260297508</v>
      </c>
      <c r="I9" s="20" t="n">
        <f aca="false">F292</f>
        <v>182.480214789085</v>
      </c>
      <c r="J9" s="16" t="n">
        <f aca="false">I9/I$4-1</f>
        <v>-0.0108183894343504</v>
      </c>
    </row>
    <row r="10" customFormat="false" ht="17.15" hidden="false" customHeight="false" outlineLevel="0" collapsed="false">
      <c r="A10" s="4" t="s">
        <v>812</v>
      </c>
      <c r="B10" s="4" t="s">
        <v>813</v>
      </c>
      <c r="C10" s="15" t="n">
        <f aca="false">E333</f>
        <v>1850.5656</v>
      </c>
      <c r="D10" s="16" t="n">
        <f aca="false">E337</f>
        <v>0.132951790522854</v>
      </c>
      <c r="E10" s="20" t="n">
        <f aca="false">E342</f>
        <v>162.815476140554</v>
      </c>
      <c r="F10" s="16" t="n">
        <f aca="false">E10/E$4-1</f>
        <v>0</v>
      </c>
      <c r="G10" s="15" t="n">
        <f aca="false">F333</f>
        <v>1956.1063</v>
      </c>
      <c r="H10" s="16" t="n">
        <f aca="false">F337</f>
        <v>0.140422913008358</v>
      </c>
      <c r="I10" s="20" t="n">
        <f aca="false">F342</f>
        <v>184.540293741004</v>
      </c>
      <c r="J10" s="16" t="n">
        <f aca="false">I10/I$4-1</f>
        <v>0.000348805967661514</v>
      </c>
    </row>
    <row r="11" customFormat="false" ht="17.15" hidden="false" customHeight="false" outlineLevel="0" collapsed="false">
      <c r="A11" s="4" t="s">
        <v>814</v>
      </c>
      <c r="B11" s="0" t="s">
        <v>815</v>
      </c>
      <c r="C11" s="15" t="n">
        <f aca="false">E383</f>
        <v>1830.3048</v>
      </c>
      <c r="D11" s="16" t="n">
        <f aca="false">E387</f>
        <v>0.128004996763381</v>
      </c>
      <c r="E11" s="20" t="n">
        <f aca="false">E392</f>
        <v>155.0412816583</v>
      </c>
      <c r="F11" s="16" t="n">
        <f aca="false">E11/E$4-1</f>
        <v>-0.0477484982787684</v>
      </c>
      <c r="G11" s="15" t="n">
        <f aca="false">F383</f>
        <v>1921.4338</v>
      </c>
      <c r="H11" s="16" t="n">
        <f aca="false">F387</f>
        <v>0.132517468101165</v>
      </c>
      <c r="I11" s="20" t="n">
        <f aca="false">F392</f>
        <v>171.064279855648</v>
      </c>
      <c r="J11" s="16" t="n">
        <f aca="false">I11/I$4-1</f>
        <v>-0.0727014429841405</v>
      </c>
    </row>
    <row r="12" customFormat="false" ht="17.15" hidden="false" customHeight="false" outlineLevel="0" collapsed="false">
      <c r="A12" s="4" t="s">
        <v>816</v>
      </c>
      <c r="B12" s="0" t="s">
        <v>817</v>
      </c>
      <c r="C12" s="15" t="n">
        <f aca="false">E433</f>
        <v>1855.848416</v>
      </c>
      <c r="D12" s="16" t="n">
        <f aca="false">E437</f>
        <v>0.134223868158374</v>
      </c>
      <c r="E12" s="20" t="n">
        <f aca="false">E442</f>
        <v>164.842525368519</v>
      </c>
      <c r="F12" s="16" t="n">
        <f aca="false">E12/E$4-1</f>
        <v>0.0124499788104639</v>
      </c>
      <c r="G12" s="15" t="n">
        <f aca="false">F433</f>
        <v>1955.94074307053</v>
      </c>
      <c r="H12" s="16" t="n">
        <f aca="false">F437</f>
        <v>0.140385831426233</v>
      </c>
      <c r="I12" s="20" t="n">
        <f aca="false">F442</f>
        <v>184.47594742965</v>
      </c>
      <c r="J12" s="16" t="n">
        <f aca="false">I12/I$4-1</f>
        <v>0</v>
      </c>
    </row>
    <row r="13" customFormat="false" ht="17.15" hidden="false" customHeight="false" outlineLevel="0" collapsed="false">
      <c r="A13" s="0" t="s">
        <v>818</v>
      </c>
      <c r="B13" s="0" t="s">
        <v>819</v>
      </c>
      <c r="C13" s="15" t="n">
        <f aca="false">E483</f>
        <v>1831.752</v>
      </c>
      <c r="D13" s="16" t="n">
        <f aca="false">E487</f>
        <v>0.124046492101551</v>
      </c>
      <c r="E13" s="20" t="n">
        <f aca="false">E492</f>
        <v>150.365488669541</v>
      </c>
      <c r="F13" s="16" t="n">
        <f aca="false">E13/E$4-1</f>
        <v>-0.0764668554005571</v>
      </c>
      <c r="G13" s="15" t="n">
        <f aca="false">F483</f>
        <v>1918.58353558</v>
      </c>
      <c r="H13" s="16" t="n">
        <f aca="false">F487</f>
        <v>0.123648074502087</v>
      </c>
      <c r="I13" s="20" t="n">
        <f aca="false">F492</f>
        <v>159.378174697954</v>
      </c>
      <c r="J13" s="16" t="n">
        <f aca="false">I13/I$4-1</f>
        <v>-0.136049024717803</v>
      </c>
    </row>
    <row r="14" customFormat="false" ht="17.15" hidden="false" customHeight="false" outlineLevel="0" collapsed="false">
      <c r="A14" s="0" t="s">
        <v>820</v>
      </c>
      <c r="B14" s="0" t="s">
        <v>821</v>
      </c>
      <c r="C14" s="15" t="n">
        <f aca="false">E533</f>
        <v>1863.108</v>
      </c>
      <c r="D14" s="16" t="n">
        <f aca="false">E537</f>
        <v>0.138788739031768</v>
      </c>
      <c r="E14" s="20" t="n">
        <f aca="false">E542</f>
        <v>171.115467787895</v>
      </c>
      <c r="F14" s="16" t="n">
        <f aca="false">E14/E$4-1</f>
        <v>0.0509779036003712</v>
      </c>
      <c r="G14" s="15" t="n">
        <f aca="false">F533</f>
        <v>1983.95864868842</v>
      </c>
      <c r="H14" s="16" t="n">
        <f aca="false">F537</f>
        <v>0.152525494044114</v>
      </c>
      <c r="I14" s="20" t="n">
        <f aca="false">F542</f>
        <v>203.299276978422</v>
      </c>
      <c r="J14" s="16" t="n">
        <f aca="false">I14/I$4-1</f>
        <v>0.102036768538352</v>
      </c>
    </row>
    <row r="15" customFormat="false" ht="17.15" hidden="false" customHeight="false" outlineLevel="0" collapsed="false">
      <c r="A15" s="4" t="s">
        <v>822</v>
      </c>
      <c r="B15" s="4" t="s">
        <v>823</v>
      </c>
      <c r="C15" s="15" t="n">
        <f aca="false">E583</f>
        <v>1850.5656</v>
      </c>
      <c r="D15" s="16" t="n">
        <f aca="false">E587</f>
        <v>0.132951790522854</v>
      </c>
      <c r="E15" s="20" t="n">
        <f aca="false">E592</f>
        <v>162.815476140554</v>
      </c>
      <c r="F15" s="16" t="n">
        <f aca="false">E15/E$4-1</f>
        <v>0</v>
      </c>
      <c r="G15" s="15" t="n">
        <f aca="false">F583</f>
        <v>1944.20156890316</v>
      </c>
      <c r="H15" s="16" t="n">
        <f aca="false">F587</f>
        <v>0.137740381161986</v>
      </c>
      <c r="I15" s="20" t="n">
        <f aca="false">F592</f>
        <v>179.91333227118</v>
      </c>
      <c r="J15" s="16" t="n">
        <f aca="false">I15/I$4-1</f>
        <v>-0.0247328457831084</v>
      </c>
    </row>
    <row r="16" customFormat="false" ht="17.15" hidden="false" customHeight="false" outlineLevel="0" collapsed="false">
      <c r="A16" s="4" t="s">
        <v>824</v>
      </c>
      <c r="B16" s="0" t="s">
        <v>825</v>
      </c>
      <c r="C16" s="15" t="n">
        <f aca="false">E633</f>
        <v>1850.5656</v>
      </c>
      <c r="D16" s="16" t="n">
        <f aca="false">E637</f>
        <v>0.131790577972486</v>
      </c>
      <c r="E16" s="20" t="n">
        <f aca="false">E642</f>
        <v>161.393431551721</v>
      </c>
      <c r="F16" s="16" t="n">
        <f aca="false">E16/E$4-1</f>
        <v>-0.00873408733949155</v>
      </c>
      <c r="G16" s="15" t="n">
        <f aca="false">F633</f>
        <v>1955.94074307053</v>
      </c>
      <c r="H16" s="16" t="n">
        <f aca="false">F637</f>
        <v>0.137650181333899</v>
      </c>
      <c r="I16" s="20" t="n">
        <f aca="false">F642</f>
        <v>180.881128511728</v>
      </c>
      <c r="J16" s="16" t="n">
        <f aca="false">I16/I$4-1</f>
        <v>-0.0194866537779569</v>
      </c>
    </row>
    <row r="17" customFormat="false" ht="17.15" hidden="false" customHeight="false" outlineLevel="0" collapsed="false">
      <c r="A17" s="4" t="s">
        <v>826</v>
      </c>
      <c r="B17" s="0" t="s">
        <v>827</v>
      </c>
      <c r="C17" s="15" t="n">
        <f aca="false">E683</f>
        <v>1850.5656</v>
      </c>
      <c r="D17" s="16" t="n">
        <f aca="false">E687</f>
        <v>0.132951790522854</v>
      </c>
      <c r="E17" s="20" t="n">
        <f aca="false">E692</f>
        <v>162.815476140554</v>
      </c>
      <c r="F17" s="16" t="n">
        <f aca="false">E17/E$4-1</f>
        <v>0</v>
      </c>
      <c r="G17" s="15" t="n">
        <f aca="false">F683</f>
        <v>1947.57773607053</v>
      </c>
      <c r="H17" s="16" t="n">
        <f aca="false">F687</f>
        <v>0.138504475337477</v>
      </c>
      <c r="I17" s="20" t="n">
        <f aca="false">F692</f>
        <v>181.225532880502</v>
      </c>
      <c r="J17" s="16" t="n">
        <f aca="false">I17/I$4-1</f>
        <v>-0.0176197200471747</v>
      </c>
    </row>
    <row r="18" customFormat="false" ht="17.15" hidden="false" customHeight="false" outlineLevel="0" collapsed="false">
      <c r="A18" s="4" t="s">
        <v>828</v>
      </c>
      <c r="B18" s="0" t="s">
        <v>829</v>
      </c>
      <c r="C18" s="15" t="n">
        <f aca="false">E733</f>
        <v>1850.5656</v>
      </c>
      <c r="D18" s="16" t="n">
        <f aca="false">E737</f>
        <v>0.126719879587084</v>
      </c>
      <c r="E18" s="20" t="n">
        <f aca="false">E742</f>
        <v>155.183750819047</v>
      </c>
      <c r="F18" s="16" t="n">
        <f aca="false">E18/E$4-1</f>
        <v>-0.0468734637665437</v>
      </c>
      <c r="G18" s="15" t="n">
        <f aca="false">F733</f>
        <v>1955.94074307053</v>
      </c>
      <c r="H18" s="16" t="n">
        <f aca="false">F737</f>
        <v>0.134253814164211</v>
      </c>
      <c r="I18" s="20" t="n">
        <f aca="false">F742</f>
        <v>176.418085161257</v>
      </c>
      <c r="J18" s="16" t="n">
        <f aca="false">I18/I$4-1</f>
        <v>-0.0436797445990399</v>
      </c>
    </row>
    <row r="19" customFormat="false" ht="17.15" hidden="false" customHeight="false" outlineLevel="0" collapsed="false">
      <c r="A19" s="4" t="s">
        <v>830</v>
      </c>
      <c r="B19" s="0" t="s">
        <v>831</v>
      </c>
      <c r="C19" s="15" t="n">
        <f aca="false">E783</f>
        <v>1850.5656</v>
      </c>
      <c r="D19" s="16" t="n">
        <f aca="false">E787</f>
        <v>0.137943950757541</v>
      </c>
      <c r="E19" s="20" t="n">
        <f aca="false">E792</f>
        <v>168.928977450946</v>
      </c>
      <c r="F19" s="16" t="n">
        <f aca="false">E19/E$4-1</f>
        <v>0.0375486498907214</v>
      </c>
      <c r="G19" s="15" t="n">
        <f aca="false">F783</f>
        <v>1955.94074307053</v>
      </c>
      <c r="H19" s="16" t="n">
        <f aca="false">F787</f>
        <v>0.145297970423306</v>
      </c>
      <c r="I19" s="20" t="n">
        <f aca="false">F792</f>
        <v>190.930811757374</v>
      </c>
      <c r="J19" s="16" t="n">
        <f aca="false">I19/I$4-1</f>
        <v>0.0349902760639615</v>
      </c>
    </row>
    <row r="20" customFormat="false" ht="17.15" hidden="false" customHeight="false" outlineLevel="0" collapsed="false">
      <c r="A20" s="4" t="s">
        <v>832</v>
      </c>
      <c r="B20" s="0" t="s">
        <v>833</v>
      </c>
      <c r="C20" s="15" t="n">
        <f aca="false">E833</f>
        <v>1830.5936</v>
      </c>
      <c r="D20" s="16" t="n">
        <f aca="false">E837</f>
        <v>0.132808292348449</v>
      </c>
      <c r="E20" s="20" t="n">
        <f aca="false">E842</f>
        <v>160.88447604273</v>
      </c>
      <c r="F20" s="16" t="n">
        <f aca="false">E20/E$4-1</f>
        <v>-0.0118600525183284</v>
      </c>
      <c r="G20" s="15" t="n">
        <f aca="false">F833</f>
        <v>1914.79842307053</v>
      </c>
      <c r="H20" s="16" t="n">
        <f aca="false">F837</f>
        <v>0.140262956246704</v>
      </c>
      <c r="I20" s="20" t="n">
        <f aca="false">F842</f>
        <v>180.437510676841</v>
      </c>
      <c r="J20" s="16" t="n">
        <f aca="false">I20/I$4-1</f>
        <v>-0.0218913999850787</v>
      </c>
    </row>
    <row r="21" customFormat="false" ht="17.15" hidden="false" customHeight="false" outlineLevel="0" collapsed="false">
      <c r="A21" s="4" t="s">
        <v>834</v>
      </c>
      <c r="B21" s="0" t="s">
        <v>835</v>
      </c>
      <c r="C21" s="15" t="n">
        <f aca="false">E883</f>
        <v>1850.5656</v>
      </c>
      <c r="D21" s="16" t="n">
        <f aca="false">E887</f>
        <v>0.135544927453531</v>
      </c>
      <c r="E21" s="20" t="n">
        <f aca="false">E892</f>
        <v>165.991084550229</v>
      </c>
      <c r="F21" s="16" t="n">
        <f aca="false">E21/E$4-1</f>
        <v>0.019504340035428</v>
      </c>
      <c r="G21" s="15" t="n">
        <f aca="false">F883</f>
        <v>1955.94074307053</v>
      </c>
      <c r="H21" s="16" t="n">
        <f aca="false">F887</f>
        <v>0.142912867645255</v>
      </c>
      <c r="I21" s="20" t="n">
        <f aca="false">F892</f>
        <v>187.796634396113</v>
      </c>
      <c r="J21" s="16" t="n">
        <f aca="false">I21/I$4-1</f>
        <v>0.018000650018231</v>
      </c>
    </row>
    <row r="22" customFormat="false" ht="17.15" hidden="false" customHeight="false" outlineLevel="0" collapsed="false">
      <c r="A22" s="4" t="s">
        <v>836</v>
      </c>
      <c r="B22" s="0" t="s">
        <v>837</v>
      </c>
      <c r="C22" s="15" t="n">
        <f aca="false">E933</f>
        <v>1850.5656</v>
      </c>
      <c r="D22" s="16" t="n">
        <f aca="false">E937</f>
        <v>0.132951790522854</v>
      </c>
      <c r="E22" s="20" t="n">
        <f aca="false">E942</f>
        <v>152.311251873421</v>
      </c>
      <c r="F22" s="16" t="n">
        <f aca="false">E22/E$4-1</f>
        <v>-0.0645161290322581</v>
      </c>
      <c r="G22" s="15" t="n">
        <f aca="false">F933</f>
        <v>1955.94074307053</v>
      </c>
      <c r="H22" s="16" t="n">
        <f aca="false">F937</f>
        <v>0.140385831426233</v>
      </c>
      <c r="I22" s="20" t="n">
        <f aca="false">F942</f>
        <v>172.574273401931</v>
      </c>
      <c r="J22" s="16" t="n">
        <f aca="false">I22/I$4-1</f>
        <v>-0.0645161290322582</v>
      </c>
    </row>
    <row r="23" customFormat="false" ht="17.15" hidden="false" customHeight="false" outlineLevel="0" collapsed="false">
      <c r="A23" s="4" t="s">
        <v>838</v>
      </c>
      <c r="B23" s="0" t="s">
        <v>839</v>
      </c>
      <c r="C23" s="15" t="n">
        <f aca="false">E983</f>
        <v>1850.5656</v>
      </c>
      <c r="D23" s="16" t="n">
        <f aca="false">E987</f>
        <v>0.132951790522854</v>
      </c>
      <c r="E23" s="20" t="n">
        <f aca="false">E992</f>
        <v>173.319700407686</v>
      </c>
      <c r="F23" s="16" t="n">
        <f aca="false">E23/E$4-1</f>
        <v>0.064516129032258</v>
      </c>
      <c r="G23" s="15" t="n">
        <f aca="false">F983</f>
        <v>1955.94074307053</v>
      </c>
      <c r="H23" s="16" t="n">
        <f aca="false">F987</f>
        <v>0.140385831426233</v>
      </c>
      <c r="I23" s="20" t="n">
        <f aca="false">F992</f>
        <v>196.377621457369</v>
      </c>
      <c r="J23" s="16" t="n">
        <f aca="false">I23/I$4-1</f>
        <v>0.064516129032258</v>
      </c>
    </row>
    <row r="24" customFormat="false" ht="17.15" hidden="false" customHeight="false" outlineLevel="0" collapsed="false">
      <c r="A24" s="4" t="s">
        <v>840</v>
      </c>
      <c r="B24" s="4" t="s">
        <v>841</v>
      </c>
      <c r="C24" s="15" t="n">
        <f aca="false">E1033</f>
        <v>1850.5656</v>
      </c>
      <c r="D24" s="16" t="n">
        <f aca="false">E1037</f>
        <v>0.132951790522854</v>
      </c>
      <c r="E24" s="20" t="n">
        <f aca="false">E1042</f>
        <v>165.333241235511</v>
      </c>
      <c r="F24" s="16" t="n">
        <f aca="false">E24/E$4-1</f>
        <v>0.0154639175257731</v>
      </c>
      <c r="G24" s="15" t="n">
        <f aca="false">F1033</f>
        <v>1955.94074307053</v>
      </c>
      <c r="H24" s="16" t="n">
        <f aca="false">F1037</f>
        <v>0.140385831426233</v>
      </c>
      <c r="I24" s="20" t="n">
        <f aca="false">F1042</f>
        <v>190.225503342472</v>
      </c>
      <c r="J24" s="16" t="n">
        <f aca="false">I24/I$4-1</f>
        <v>0.0311669677967903</v>
      </c>
    </row>
    <row r="25" customFormat="false" ht="17.15" hidden="false" customHeight="false" outlineLevel="0" collapsed="false">
      <c r="A25" s="4" t="s">
        <v>842</v>
      </c>
      <c r="B25" s="0" t="s">
        <v>843</v>
      </c>
      <c r="C25" s="15" t="n">
        <f aca="false">PL!E153</f>
        <v>1850.5656</v>
      </c>
      <c r="D25" s="16" t="n">
        <f aca="false">PL!E157</f>
        <v>0.132951790522854</v>
      </c>
      <c r="E25" s="20" t="n">
        <f aca="false">PL!E162</f>
        <v>162.815476140554</v>
      </c>
      <c r="F25" s="16" t="n">
        <f aca="false">E25/E$4-1</f>
        <v>0</v>
      </c>
      <c r="G25" s="15" t="n">
        <f aca="false">PL!F153</f>
        <v>1921.1613259276</v>
      </c>
      <c r="H25" s="16" t="n">
        <f aca="false">PL!F157</f>
        <v>0.130375497178844</v>
      </c>
      <c r="I25" s="20" t="n">
        <f aca="false">PL!F162</f>
        <v>168.275384193437</v>
      </c>
      <c r="J25" s="16" t="n">
        <f aca="false">I25/I$4-1</f>
        <v>-0.0878193795014471</v>
      </c>
    </row>
    <row r="26" customFormat="false" ht="17.15" hidden="false" customHeight="false" outlineLevel="0" collapsed="false">
      <c r="A26" s="4" t="s">
        <v>844</v>
      </c>
      <c r="B26" s="0" t="s">
        <v>845</v>
      </c>
      <c r="C26" s="15" t="n">
        <f aca="false">PL!E203</f>
        <v>1850.5656</v>
      </c>
      <c r="D26" s="16" t="n">
        <f aca="false">PL!E207</f>
        <v>0.132951790522854</v>
      </c>
      <c r="E26" s="20" t="n">
        <f aca="false">PL!E212</f>
        <v>162.815476140554</v>
      </c>
      <c r="F26" s="16" t="n">
        <f aca="false">E26/E$4-1</f>
        <v>0</v>
      </c>
      <c r="G26" s="15" t="n">
        <f aca="false">PL!F203</f>
        <v>1885.62845181644</v>
      </c>
      <c r="H26" s="16" t="n">
        <f aca="false">PL!F207</f>
        <v>0.119644408968901</v>
      </c>
      <c r="I26" s="20" t="n">
        <f aca="false">PL!F212</f>
        <v>151.568624348264</v>
      </c>
      <c r="J26" s="16" t="n">
        <f aca="false">I26/I$4-1</f>
        <v>-0.178382729780724</v>
      </c>
    </row>
    <row r="28" customFormat="false" ht="17.15" hidden="false" customHeight="false" outlineLevel="0" collapsed="false">
      <c r="A28" s="4" t="s">
        <v>846</v>
      </c>
    </row>
    <row r="30" customFormat="false" ht="17.15" hidden="false" customHeight="false" outlineLevel="0" collapsed="false">
      <c r="A30" s="1" t="s">
        <v>847</v>
      </c>
    </row>
    <row r="31" customFormat="false" ht="17.15" hidden="false" customHeight="false" outlineLevel="0" collapsed="false">
      <c r="A31" s="5" t="s">
        <v>791</v>
      </c>
      <c r="B31" s="5" t="s">
        <v>792</v>
      </c>
      <c r="C31" s="14" t="s">
        <v>848</v>
      </c>
      <c r="D31" s="14" t="s">
        <v>849</v>
      </c>
      <c r="E31" s="5" t="s">
        <v>850</v>
      </c>
      <c r="F31" s="5" t="s">
        <v>851</v>
      </c>
    </row>
    <row r="32" customFormat="false" ht="17.15" hidden="false" customHeight="false" outlineLevel="0" collapsed="false">
      <c r="A32" s="4" t="s">
        <v>22</v>
      </c>
      <c r="B32" s="0" t="s">
        <v>852</v>
      </c>
      <c r="C32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2" s="31" t="n">
        <f aca="false">Val!B36</f>
        <v>2964.7368798185</v>
      </c>
      <c r="E32" s="31" t="n">
        <f aca="false">tp_w_dcf*C32+(1-tp_w_dcf)*D32</f>
        <v>2537.33855188617</v>
      </c>
      <c r="F32" s="16" t="n">
        <f aca="false">E32/E$32-1</f>
        <v>0</v>
      </c>
    </row>
    <row r="33" customFormat="false" ht="17.15" hidden="false" customHeight="false" outlineLevel="0" collapsed="false">
      <c r="A33" s="4" t="s">
        <v>853</v>
      </c>
      <c r="B33" s="0" t="s">
        <v>854</v>
      </c>
      <c r="C33" s="31" t="n">
        <f aca="false">(tp_wA*MAX(0,Val!B8*(1-MIN(tp_g/tp_roe,0.8))/(1+(tp_r+0.01))^Val!$F$8+Val!B9*(1-MIN(tp_g/tp_roe,0.8))/(1+(tp_r+0.01))^Val!$F$9+Val!B10*(1-MIN(tp_g/tp_roe,0.8))/(1+(tp_r+0.01))^Val!$F$10+Val!B11*(1-MIN(tp_g/tp_roe,0.8))/(1+(tp_r+0.01))^Val!$F$11+Val!B12*(1-MIN(tp_g/tp_roe,0.8))/(1+(tp_r+0.01))^Val!$F$12+Val!B13*(1-MIN(tp_g/tp_roe,0.8))/(1+(tp_r+0.01))^Val!$F$13+Val!B13*(1-MIN(tp_g/tp_roe,0.8))*(1+tp_g)/((tp_r+0.01)-tp_g)/(1+(tp_r+0.01))^Val!$F$13)+tp_wB*MAX(0,Val!C8*(1-MIN(tp_g/tp_roe,0.8))/(1+(tp_r+0.01))^Val!$F$8+Val!C9*(1-MIN(tp_g/tp_roe,0.8))/(1+(tp_r+0.01))^Val!$F$9+Val!C10*(1-MIN(tp_g/tp_roe,0.8))/(1+(tp_r+0.01))^Val!$F$10+Val!C11*(1-MIN(tp_g/tp_roe,0.8))/(1+(tp_r+0.01))^Val!$F$11+Val!C12*(1-MIN(tp_g/tp_roe,0.8))/(1+(tp_r+0.01))^Val!$F$12+Val!C13*(1-MIN(tp_g/tp_roe,0.8))/(1+(tp_r+0.01))^Val!$F$13+Val!C13*(1-MIN(tp_g/tp_roe,0.8))*(1+tp_g)/((tp_r+0.01)-tp_g)/(1+(tp_r+0.01))^Val!$F$13)+tp_wC*MAX(0,Val!D8*(1-MIN(tp_g/tp_roe,0.8))/(1+(tp_r+0.01))^Val!$F$8+Val!D9*(1-MIN(tp_g/tp_roe,0.8))/(1+(tp_r+0.01))^Val!$F$9+Val!D10*(1-MIN(tp_g/tp_roe,0.8))/(1+(tp_r+0.01))^Val!$F$10+Val!D11*(1-MIN(tp_g/tp_roe,0.8))/(1+(tp_r+0.01))^Val!$F$11+Val!D12*(1-MIN(tp_g/tp_roe,0.8))/(1+(tp_r+0.01))^Val!$F$12+Val!D13*(1-MIN(tp_g/tp_roe,0.8))/(1+(tp_r+0.01))^Val!$F$13+Val!D13*(1-MIN(tp_g/tp_roe,0.8))*(1+tp_g)/((tp_r+0.01)-tp_g)/(1+(tp_r+0.01))^Val!$F$13))*(1+(tp_r+0.01))</f>
        <v>1825.01881942649</v>
      </c>
      <c r="D33" s="31" t="n">
        <f aca="false">Val!B36</f>
        <v>2964.7368798185</v>
      </c>
      <c r="E33" s="31" t="n">
        <f aca="false">tp_w_dcf*C33+(1-tp_w_dcf)*D33</f>
        <v>2394.87784962249</v>
      </c>
      <c r="F33" s="16" t="n">
        <f aca="false">E33/E$32-1</f>
        <v>-0.0561457209396746</v>
      </c>
    </row>
    <row r="34" customFormat="false" ht="17.15" hidden="false" customHeight="false" outlineLevel="0" collapsed="false">
      <c r="A34" s="4" t="s">
        <v>855</v>
      </c>
      <c r="B34" s="0" t="s">
        <v>856</v>
      </c>
      <c r="C34" s="31" t="n">
        <f aca="false">(tp_wA*MAX(0,Val!B8*(1-MIN(tp_g/tp_roe,0.8))/(1+(tp_r-0.01))^Val!$F$8+Val!B9*(1-MIN(tp_g/tp_roe,0.8))/(1+(tp_r-0.01))^Val!$F$9+Val!B10*(1-MIN(tp_g/tp_roe,0.8))/(1+(tp_r-0.01))^Val!$F$10+Val!B11*(1-MIN(tp_g/tp_roe,0.8))/(1+(tp_r-0.01))^Val!$F$11+Val!B12*(1-MIN(tp_g/tp_roe,0.8))/(1+(tp_r-0.01))^Val!$F$12+Val!B13*(1-MIN(tp_g/tp_roe,0.8))/(1+(tp_r-0.01))^Val!$F$13+Val!B13*(1-MIN(tp_g/tp_roe,0.8))*(1+tp_g)/((tp_r-0.01)-tp_g)/(1+(tp_r-0.01))^Val!$F$13)+tp_wB*MAX(0,Val!C8*(1-MIN(tp_g/tp_roe,0.8))/(1+(tp_r-0.01))^Val!$F$8+Val!C9*(1-MIN(tp_g/tp_roe,0.8))/(1+(tp_r-0.01))^Val!$F$9+Val!C10*(1-MIN(tp_g/tp_roe,0.8))/(1+(tp_r-0.01))^Val!$F$10+Val!C11*(1-MIN(tp_g/tp_roe,0.8))/(1+(tp_r-0.01))^Val!$F$11+Val!C12*(1-MIN(tp_g/tp_roe,0.8))/(1+(tp_r-0.01))^Val!$F$12+Val!C13*(1-MIN(tp_g/tp_roe,0.8))/(1+(tp_r-0.01))^Val!$F$13+Val!C13*(1-MIN(tp_g/tp_roe,0.8))*(1+tp_g)/((tp_r-0.01)-tp_g)/(1+(tp_r-0.01))^Val!$F$13)+tp_wC*MAX(0,Val!D8*(1-MIN(tp_g/tp_roe,0.8))/(1+(tp_r-0.01))^Val!$F$8+Val!D9*(1-MIN(tp_g/tp_roe,0.8))/(1+(tp_r-0.01))^Val!$F$9+Val!D10*(1-MIN(tp_g/tp_roe,0.8))/(1+(tp_r-0.01))^Val!$F$10+Val!D11*(1-MIN(tp_g/tp_roe,0.8))/(1+(tp_r-0.01))^Val!$F$11+Val!D12*(1-MIN(tp_g/tp_roe,0.8))/(1+(tp_r-0.01))^Val!$F$12+Val!D13*(1-MIN(tp_g/tp_roe,0.8))/(1+(tp_r-0.01))^Val!$F$13+Val!D13*(1-MIN(tp_g/tp_roe,0.8))*(1+tp_g)/((tp_r-0.01)-tp_g)/(1+(tp_r-0.01))^Val!$F$13))*(1+(tp_r-0.01))</f>
        <v>2508.78785347222</v>
      </c>
      <c r="D34" s="31" t="n">
        <f aca="false">Val!B36</f>
        <v>2964.7368798185</v>
      </c>
      <c r="E34" s="31" t="n">
        <f aca="false">tp_w_dcf*C34+(1-tp_w_dcf)*D34</f>
        <v>2736.76236664536</v>
      </c>
      <c r="F34" s="16" t="n">
        <f aca="false">E34/E$32-1</f>
        <v>0.07859566655421</v>
      </c>
    </row>
    <row r="35" customFormat="false" ht="17.15" hidden="false" customHeight="false" outlineLevel="0" collapsed="false">
      <c r="A35" s="4" t="s">
        <v>857</v>
      </c>
      <c r="B35" s="0" t="s">
        <v>858</v>
      </c>
      <c r="C35" s="31" t="n">
        <f aca="false">(tp_wA*MAX(0,Val!B8*(1-MIN((tp_g+0.01)/tp_roe,0.8))/(1+tp_r)^Val!$F$8+Val!B9*(1-MIN((tp_g+0.01)/tp_roe,0.8))/(1+tp_r)^Val!$F$9+Val!B10*(1-MIN((tp_g+0.01)/tp_roe,0.8))/(1+tp_r)^Val!$F$10+Val!B11*(1-MIN((tp_g+0.01)/tp_roe,0.8))/(1+tp_r)^Val!$F$11+Val!B12*(1-MIN((tp_g+0.01)/tp_roe,0.8))/(1+tp_r)^Val!$F$12+Val!B13*(1-MIN((tp_g+0.01)/tp_roe,0.8))/(1+tp_r)^Val!$F$13+Val!B13*(1-MIN((tp_g+0.01)/tp_roe,0.8))*(1+(tp_g+0.01))/(tp_r-(tp_g+0.01))/(1+tp_r)^Val!$F$13)+tp_wB*MAX(0,Val!C8*(1-MIN((tp_g+0.01)/tp_roe,0.8))/(1+tp_r)^Val!$F$8+Val!C9*(1-MIN((tp_g+0.01)/tp_roe,0.8))/(1+tp_r)^Val!$F$9+Val!C10*(1-MIN((tp_g+0.01)/tp_roe,0.8))/(1+tp_r)^Val!$F$10+Val!C11*(1-MIN((tp_g+0.01)/tp_roe,0.8))/(1+tp_r)^Val!$F$11+Val!C12*(1-MIN((tp_g+0.01)/tp_roe,0.8))/(1+tp_r)^Val!$F$12+Val!C13*(1-MIN((tp_g+0.01)/tp_roe,0.8))/(1+tp_r)^Val!$F$13+Val!C13*(1-MIN((tp_g+0.01)/tp_roe,0.8))*(1+(tp_g+0.01))/(tp_r-(tp_g+0.01))/(1+tp_r)^Val!$F$13)+tp_wC*MAX(0,Val!D8*(1-MIN((tp_g+0.01)/tp_roe,0.8))/(1+tp_r)^Val!$F$8+Val!D9*(1-MIN((tp_g+0.01)/tp_roe,0.8))/(1+tp_r)^Val!$F$9+Val!D10*(1-MIN((tp_g+0.01)/tp_roe,0.8))/(1+tp_r)^Val!$F$10+Val!D11*(1-MIN((tp_g+0.01)/tp_roe,0.8))/(1+tp_r)^Val!$F$11+Val!D12*(1-MIN((tp_g+0.01)/tp_roe,0.8))/(1+tp_r)^Val!$F$12+Val!D13*(1-MIN((tp_g+0.01)/tp_roe,0.8))/(1+tp_r)^Val!$F$13+Val!D13*(1-MIN((tp_g+0.01)/tp_roe,0.8))*(1+(tp_g+0.01))/(tp_r-(tp_g+0.01))/(1+tp_r)^Val!$F$13))*(1+tp_r)</f>
        <v>2158.3965085016</v>
      </c>
      <c r="D35" s="31" t="n">
        <f aca="false">Val!B36</f>
        <v>2964.7368798185</v>
      </c>
      <c r="E35" s="31" t="n">
        <f aca="false">tp_w_dcf*C35+(1-tp_w_dcf)*D35</f>
        <v>2561.56669416005</v>
      </c>
      <c r="F35" s="16" t="n">
        <f aca="false">E35/E$32-1</f>
        <v>0.00954864389533894</v>
      </c>
    </row>
    <row r="36" customFormat="false" ht="17.15" hidden="false" customHeight="false" outlineLevel="0" collapsed="false">
      <c r="A36" s="4" t="s">
        <v>859</v>
      </c>
      <c r="B36" s="0" t="s">
        <v>860</v>
      </c>
      <c r="C36" s="31" t="n">
        <f aca="false">(tp_wA*MAX(0,Val!B8*(1-MIN((tp_g-0.01)/tp_roe,0.8))/(1+tp_r)^Val!$F$8+Val!B9*(1-MIN((tp_g-0.01)/tp_roe,0.8))/(1+tp_r)^Val!$F$9+Val!B10*(1-MIN((tp_g-0.01)/tp_roe,0.8))/(1+tp_r)^Val!$F$10+Val!B11*(1-MIN((tp_g-0.01)/tp_roe,0.8))/(1+tp_r)^Val!$F$11+Val!B12*(1-MIN((tp_g-0.01)/tp_roe,0.8))/(1+tp_r)^Val!$F$12+Val!B13*(1-MIN((tp_g-0.01)/tp_roe,0.8))/(1+tp_r)^Val!$F$13+Val!B13*(1-MIN((tp_g-0.01)/tp_roe,0.8))*(1+(tp_g-0.01))/(tp_r-(tp_g-0.01))/(1+tp_r)^Val!$F$13)+tp_wB*MAX(0,Val!C8*(1-MIN((tp_g-0.01)/tp_roe,0.8))/(1+tp_r)^Val!$F$8+Val!C9*(1-MIN((tp_g-0.01)/tp_roe,0.8))/(1+tp_r)^Val!$F$9+Val!C10*(1-MIN((tp_g-0.01)/tp_roe,0.8))/(1+tp_r)^Val!$F$10+Val!C11*(1-MIN((tp_g-0.01)/tp_roe,0.8))/(1+tp_r)^Val!$F$11+Val!C12*(1-MIN((tp_g-0.01)/tp_roe,0.8))/(1+tp_r)^Val!$F$12+Val!C13*(1-MIN((tp_g-0.01)/tp_roe,0.8))/(1+tp_r)^Val!$F$13+Val!C13*(1-MIN((tp_g-0.01)/tp_roe,0.8))*(1+(tp_g-0.01))/(tp_r-(tp_g-0.01))/(1+tp_r)^Val!$F$13)+tp_wC*MAX(0,Val!D8*(1-MIN((tp_g-0.01)/tp_roe,0.8))/(1+tp_r)^Val!$F$8+Val!D9*(1-MIN((tp_g-0.01)/tp_roe,0.8))/(1+tp_r)^Val!$F$9+Val!D10*(1-MIN((tp_g-0.01)/tp_roe,0.8))/(1+tp_r)^Val!$F$10+Val!D11*(1-MIN((tp_g-0.01)/tp_roe,0.8))/(1+tp_r)^Val!$F$11+Val!D12*(1-MIN((tp_g-0.01)/tp_roe,0.8))/(1+tp_r)^Val!$F$12+Val!D13*(1-MIN((tp_g-0.01)/tp_roe,0.8))/(1+tp_r)^Val!$F$13+Val!D13*(1-MIN((tp_g-0.01)/tp_roe,0.8))*(1+(tp_g-0.01))/(tp_r-(tp_g-0.01))/(1+tp_r)^Val!$F$13))*(1+tp_r)</f>
        <v>2091.7586771708</v>
      </c>
      <c r="D36" s="31" t="n">
        <f aca="false">Val!B36</f>
        <v>2964.7368798185</v>
      </c>
      <c r="E36" s="31" t="n">
        <f aca="false">tp_w_dcf*C36+(1-tp_w_dcf)*D36</f>
        <v>2528.24777849465</v>
      </c>
      <c r="F36" s="16" t="n">
        <f aca="false">E36/E$32-1</f>
        <v>-0.00358279874980261</v>
      </c>
    </row>
    <row r="37" customFormat="false" ht="17.15" hidden="false" customHeight="false" outlineLevel="0" collapsed="false">
      <c r="A37" s="0" t="s">
        <v>861</v>
      </c>
      <c r="C37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7" s="31" t="n">
        <f aca="false">Val!B36</f>
        <v>2964.7368798185</v>
      </c>
      <c r="E37" s="31" t="n">
        <f aca="false">0.3*C37+(1-0.3)*D37</f>
        <v>2708.2978830591</v>
      </c>
      <c r="F37" s="16" t="n">
        <f aca="false">E37/E$32-1</f>
        <v>0.0673774223175085</v>
      </c>
    </row>
    <row r="38" customFormat="false" ht="17.15" hidden="false" customHeight="false" outlineLevel="0" collapsed="false">
      <c r="A38" s="0" t="s">
        <v>862</v>
      </c>
      <c r="C38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8" s="31" t="n">
        <f aca="false">Val!B36</f>
        <v>2964.7368798185</v>
      </c>
      <c r="E38" s="31" t="n">
        <f aca="false">0.7*C38+(1-0.7)*D38</f>
        <v>2366.37922071324</v>
      </c>
      <c r="F38" s="16" t="n">
        <f aca="false">E38/E$32-1</f>
        <v>-0.0673774223175087</v>
      </c>
    </row>
    <row r="50" customFormat="false" ht="17.15" hidden="false" customHeight="false" outlineLevel="0" collapsed="false">
      <c r="A50" s="1" t="s">
        <v>863</v>
      </c>
    </row>
    <row r="51" customFormat="false" ht="17.15" hidden="false" customHeight="false" outlineLevel="0" collapsed="false">
      <c r="A51" s="5" t="s">
        <v>19</v>
      </c>
      <c r="B51" s="5" t="s">
        <v>20</v>
      </c>
      <c r="C51" s="14" t="s">
        <v>374</v>
      </c>
      <c r="D51" s="14" t="s">
        <v>447</v>
      </c>
      <c r="E51" s="14" t="s">
        <v>412</v>
      </c>
      <c r="F51" s="14" t="s">
        <v>413</v>
      </c>
      <c r="G51" s="14" t="s">
        <v>414</v>
      </c>
      <c r="H51" s="14" t="s">
        <v>448</v>
      </c>
      <c r="I51" s="14" t="s">
        <v>449</v>
      </c>
      <c r="J51" s="14" t="s">
        <v>450</v>
      </c>
      <c r="K51" s="5" t="s">
        <v>379</v>
      </c>
    </row>
    <row r="52" customFormat="false" ht="17.15" hidden="false" customHeight="false" outlineLevel="0" collapsed="false">
      <c r="A52" s="6" t="s">
        <v>470</v>
      </c>
    </row>
    <row r="53" customFormat="false" ht="17.15" hidden="false" customHeight="false" outlineLevel="0" collapsed="false">
      <c r="A53" s="0" t="s">
        <v>471</v>
      </c>
      <c r="B53" s="4" t="s">
        <v>30</v>
      </c>
      <c r="D53" s="20" t="n">
        <f aca="false">unv_26</f>
        <v>7.6</v>
      </c>
      <c r="E53" s="20" t="n">
        <f aca="false">unv_27</f>
        <v>9.7</v>
      </c>
      <c r="F53" s="20" t="n">
        <f aca="false">unv_28*um28_A</f>
        <v>9.5</v>
      </c>
      <c r="G53" s="20" t="n">
        <f aca="false">unv_29*um29_A</f>
        <v>10.6</v>
      </c>
      <c r="K53" s="8" t="s">
        <v>472</v>
      </c>
    </row>
    <row r="54" customFormat="false" ht="17.15" hidden="false" customHeight="false" outlineLevel="0" collapsed="false">
      <c r="A54" s="4" t="s">
        <v>473</v>
      </c>
      <c r="B54" s="4" t="s">
        <v>30</v>
      </c>
      <c r="D54" s="20" t="n">
        <f aca="false">uot_26</f>
        <v>7.6</v>
      </c>
      <c r="E54" s="20" t="n">
        <f aca="false">uot_27</f>
        <v>14</v>
      </c>
      <c r="F54" s="20" t="n">
        <f aca="false">uot_28*um28_A</f>
        <v>17</v>
      </c>
      <c r="G54" s="20" t="n">
        <f aca="false">uot_29*um29_A</f>
        <v>19.55</v>
      </c>
      <c r="K54" s="8" t="s">
        <v>474</v>
      </c>
    </row>
    <row r="55" customFormat="false" ht="17.15" hidden="false" customHeight="false" outlineLevel="0" collapsed="false">
      <c r="A55" s="4" t="s">
        <v>475</v>
      </c>
      <c r="B55" s="4" t="s">
        <v>30</v>
      </c>
      <c r="D55" s="20" t="n">
        <f aca="false">D53+v_ot*D54</f>
        <v>13.68</v>
      </c>
      <c r="E55" s="20" t="n">
        <f aca="false">E53+v_ot*E54</f>
        <v>20.9</v>
      </c>
      <c r="F55" s="20" t="n">
        <f aca="false">F53+v_ot*F54</f>
        <v>23.1</v>
      </c>
      <c r="G55" s="20" t="n">
        <f aca="false">G53+v_ot*G54</f>
        <v>26.24</v>
      </c>
    </row>
    <row r="56" customFormat="false" ht="17.15" hidden="false" customHeight="false" outlineLevel="0" collapsed="false">
      <c r="A56" s="4" t="s">
        <v>476</v>
      </c>
      <c r="B56" s="0" t="s">
        <v>52</v>
      </c>
      <c r="D56" s="21" t="n">
        <f aca="false">1</f>
        <v>1</v>
      </c>
      <c r="E56" s="21" t="n">
        <f aca="false">D56*(1+g_asp)</f>
        <v>1.18</v>
      </c>
      <c r="F56" s="21" t="n">
        <f aca="false">E56*(1+g_asp)</f>
        <v>1.3924</v>
      </c>
      <c r="G56" s="21" t="n">
        <f aca="false">F56*(1+g_asp)</f>
        <v>1.643032</v>
      </c>
    </row>
    <row r="57" customFormat="false" ht="17.15" hidden="false" customHeight="false" outlineLevel="0" collapsed="false">
      <c r="A57" s="4" t="s">
        <v>477</v>
      </c>
      <c r="B57" s="0" t="s">
        <v>52</v>
      </c>
      <c r="D57" s="18" t="n">
        <f aca="false">1</f>
        <v>1</v>
      </c>
      <c r="E57" s="18" t="n">
        <f aca="false">rel_27</f>
        <v>1</v>
      </c>
      <c r="F57" s="18" t="n">
        <f aca="false">rel_28</f>
        <v>0.97</v>
      </c>
      <c r="G57" s="18" t="n">
        <f aca="false">rel_29</f>
        <v>0.95</v>
      </c>
    </row>
    <row r="58" customFormat="false" ht="17.15" hidden="false" customHeight="false" outlineLevel="0" collapsed="false">
      <c r="A58" s="0" t="s">
        <v>478</v>
      </c>
      <c r="B58" s="0" t="s">
        <v>52</v>
      </c>
      <c r="D58" s="21" t="n">
        <f aca="false">D55/$D55*D56*D57</f>
        <v>1</v>
      </c>
      <c r="E58" s="21" t="n">
        <f aca="false">E55/$D55*E56*E57</f>
        <v>1.80277777777778</v>
      </c>
      <c r="F58" s="21" t="n">
        <f aca="false">F55/$D55*F56*F57</f>
        <v>2.28066570175439</v>
      </c>
      <c r="G58" s="21" t="n">
        <f aca="false">G55/$D55*G56*G57</f>
        <v>2.99396942222222</v>
      </c>
      <c r="K58" s="4" t="s">
        <v>479</v>
      </c>
    </row>
    <row r="59" customFormat="false" ht="17.15" hidden="false" customHeight="false" outlineLevel="0" collapsed="false">
      <c r="A59" s="4" t="s">
        <v>480</v>
      </c>
      <c r="B59" s="0" t="s">
        <v>52</v>
      </c>
      <c r="D59" s="21" t="n">
        <f aca="false">1</f>
        <v>1</v>
      </c>
      <c r="E59" s="21" t="n">
        <f aca="false">D59*(1+g_nai)</f>
        <v>1.03</v>
      </c>
      <c r="F59" s="21" t="n">
        <f aca="false">E59*(1+g_nai)</f>
        <v>1.0609</v>
      </c>
      <c r="G59" s="21" t="n">
        <f aca="false">F59*(1+g_nai)</f>
        <v>1.092727</v>
      </c>
    </row>
    <row r="60" customFormat="false" ht="17.15" hidden="false" customHeight="false" outlineLevel="0" collapsed="false">
      <c r="A60" s="0" t="s">
        <v>481</v>
      </c>
      <c r="B60" s="0" t="s">
        <v>52</v>
      </c>
      <c r="D60" s="21" t="n">
        <f aca="false">ai_sh_lo*D58+(1-ai_sh_lo)*D59</f>
        <v>1</v>
      </c>
      <c r="E60" s="21" t="n">
        <f aca="false">ai_sh_lo*E58+(1-ai_sh_lo)*E59</f>
        <v>1.26183333333333</v>
      </c>
      <c r="F60" s="21" t="n">
        <f aca="false">ai_sh_lo*F58+(1-ai_sh_lo)*F59</f>
        <v>1.42682971052632</v>
      </c>
      <c r="G60" s="21" t="n">
        <f aca="false">ai_sh_lo*G58+(1-ai_sh_lo)*G59</f>
        <v>1.66309972666667</v>
      </c>
    </row>
    <row r="61" customFormat="false" ht="17.15" hidden="false" customHeight="false" outlineLevel="0" collapsed="false">
      <c r="A61" s="4" t="s">
        <v>482</v>
      </c>
      <c r="B61" s="0" t="s">
        <v>52</v>
      </c>
      <c r="D61" s="21" t="n">
        <f aca="false">1</f>
        <v>1</v>
      </c>
      <c r="E61" s="21" t="n">
        <f aca="false">cap_27</f>
        <v>1.3</v>
      </c>
      <c r="F61" s="21" t="n">
        <f aca="false">cap_28</f>
        <v>1.55</v>
      </c>
      <c r="G61" s="21" t="n">
        <f aca="false">cap_29</f>
        <v>1.8</v>
      </c>
      <c r="K61" s="4" t="s">
        <v>483</v>
      </c>
    </row>
    <row r="62" customFormat="false" ht="17.15" hidden="false" customHeight="false" outlineLevel="0" collapsed="false">
      <c r="A62" s="4" t="s">
        <v>484</v>
      </c>
      <c r="B62" s="0" t="s">
        <v>52</v>
      </c>
      <c r="D62" s="21" t="n">
        <f aca="false">MIN(D60,D61)</f>
        <v>1</v>
      </c>
      <c r="E62" s="21" t="n">
        <f aca="false">MIN(E60,E61)</f>
        <v>1.26183333333333</v>
      </c>
      <c r="F62" s="21" t="n">
        <f aca="false">MIN(F60,F61)</f>
        <v>1.42682971052632</v>
      </c>
      <c r="G62" s="21" t="n">
        <f aca="false">MIN(G60,G61)</f>
        <v>1.66309972666667</v>
      </c>
    </row>
    <row r="63" customFormat="false" ht="17.15" hidden="false" customHeight="false" outlineLevel="0" collapsed="false">
      <c r="A63" s="4" t="s">
        <v>485</v>
      </c>
      <c r="B63" s="0" t="s">
        <v>77</v>
      </c>
      <c r="D63" s="16" t="n">
        <f aca="false">D62/D60</f>
        <v>1</v>
      </c>
      <c r="E63" s="16" t="n">
        <f aca="false">E62/E60</f>
        <v>1</v>
      </c>
      <c r="F63" s="16" t="n">
        <f aca="false">F62/F60</f>
        <v>1</v>
      </c>
      <c r="G63" s="16" t="n">
        <f aca="false">G62/G60</f>
        <v>1</v>
      </c>
      <c r="K63" s="4" t="s">
        <v>486</v>
      </c>
    </row>
    <row r="64" customFormat="false" ht="17.15" hidden="false" customHeight="false" outlineLevel="0" collapsed="false">
      <c r="A64" s="0" t="s">
        <v>487</v>
      </c>
      <c r="B64" s="0" t="s">
        <v>52</v>
      </c>
      <c r="D64" s="21" t="n">
        <f aca="false">1</f>
        <v>1</v>
      </c>
      <c r="E64" s="21" t="n">
        <f aca="false">pp_27</f>
        <v>1.12</v>
      </c>
      <c r="F64" s="21" t="n">
        <f aca="false">pp_28*sp_A</f>
        <v>1.15</v>
      </c>
      <c r="G64" s="21" t="n">
        <f aca="false">pp_29*sp_A</f>
        <v>1.12</v>
      </c>
      <c r="K64" s="8" t="s">
        <v>488</v>
      </c>
    </row>
    <row r="65" customFormat="false" ht="17.15" hidden="false" customHeight="false" outlineLevel="0" collapsed="false">
      <c r="A65" s="0" t="s">
        <v>429</v>
      </c>
      <c r="B65" s="0" t="s">
        <v>169</v>
      </c>
      <c r="D65" s="15" t="n">
        <f aca="false">q26_fm*ai_sh_lo</f>
        <v>36.18</v>
      </c>
      <c r="E65" s="15" t="n">
        <f aca="false">q26_fm*ai_sh_lo*E58*E63*E64</f>
        <v>73.05144</v>
      </c>
      <c r="F65" s="15" t="n">
        <f aca="false">q26_fm*ai_sh_lo*F58*F63*F64</f>
        <v>94.8916578528947</v>
      </c>
      <c r="G65" s="15" t="n">
        <f aca="false">q26_fm*ai_sh_lo*G58*G63*G64</f>
        <v>121.32043133952</v>
      </c>
      <c r="K65" s="8" t="s">
        <v>489</v>
      </c>
    </row>
    <row r="66" customFormat="false" ht="17.15" hidden="false" customHeight="false" outlineLevel="0" collapsed="false">
      <c r="A66" s="0" t="s">
        <v>490</v>
      </c>
      <c r="B66" s="0" t="s">
        <v>169</v>
      </c>
      <c r="D66" s="15" t="n">
        <f aca="false">q26_fm*(1-ai_sh_lo)</f>
        <v>84.42</v>
      </c>
      <c r="E66" s="15" t="n">
        <f aca="false">q26_fm*(1-ai_sh_lo)*E59*E63*E64</f>
        <v>97.386912</v>
      </c>
      <c r="F66" s="15" t="n">
        <f aca="false">q26_fm*(1-ai_sh_lo)*F59*F63*F64</f>
        <v>102.9953547</v>
      </c>
      <c r="G66" s="15" t="n">
        <f aca="false">q26_fm*(1-ai_sh_lo)*G59*G63*G64</f>
        <v>103.3177749408</v>
      </c>
    </row>
    <row r="67" customFormat="false" ht="17.15" hidden="false" customHeight="false" outlineLevel="0" collapsed="false">
      <c r="A67" s="4" t="s">
        <v>491</v>
      </c>
      <c r="B67" s="0" t="s">
        <v>169</v>
      </c>
      <c r="C67" s="15" t="n">
        <f aca="false">q25_fm</f>
        <v>102.4512</v>
      </c>
      <c r="D67" s="15" t="n">
        <f aca="false">D65+D66</f>
        <v>120.6</v>
      </c>
      <c r="E67" s="15" t="n">
        <f aca="false">E65+E66</f>
        <v>170.438352</v>
      </c>
      <c r="F67" s="15" t="n">
        <f aca="false">F65+F66</f>
        <v>197.887012552895</v>
      </c>
      <c r="G67" s="15" t="n">
        <f aca="false">G65+G66</f>
        <v>224.63820628032</v>
      </c>
    </row>
    <row r="68" customFormat="false" ht="17.15" hidden="false" customHeight="false" outlineLevel="0" collapsed="false">
      <c r="A68" s="0" t="s">
        <v>492</v>
      </c>
      <c r="B68" s="0" t="s">
        <v>77</v>
      </c>
      <c r="C68" s="16" t="n">
        <f aca="false">q25_fmbp/q25_fm</f>
        <v>0.532936656671664</v>
      </c>
      <c r="D68" s="16" t="n">
        <f aca="false">q26_fmbp/q26_fm</f>
        <v>0.543117744610282</v>
      </c>
      <c r="E68" s="16" t="n">
        <f aca="false">1-(1-$D68)*(1+c_g)^1/E64</f>
        <v>0.579831497275527</v>
      </c>
      <c r="F68" s="16" t="n">
        <f aca="false">1-(1-$D68)*(1+c_g)^2/F64</f>
        <v>0.578516187180042</v>
      </c>
      <c r="G68" s="16" t="n">
        <f aca="false">1-(1-$D68)*(1+c_g)^3/G64</f>
        <v>0.554243235459607</v>
      </c>
      <c r="K68" s="8" t="s">
        <v>493</v>
      </c>
    </row>
    <row r="69" customFormat="false" ht="17.15" hidden="false" customHeight="false" outlineLevel="0" collapsed="false">
      <c r="A69" s="0" t="s">
        <v>455</v>
      </c>
      <c r="B69" s="0" t="s">
        <v>169</v>
      </c>
      <c r="C69" s="15" t="n">
        <f aca="false">q25_fmbp</f>
        <v>54.6</v>
      </c>
      <c r="D69" s="15" t="n">
        <f aca="false">D67*D68</f>
        <v>65.5</v>
      </c>
      <c r="E69" s="15" t="n">
        <f aca="false">E67*E68</f>
        <v>98.8255248333334</v>
      </c>
      <c r="F69" s="15" t="n">
        <f aca="false">F67*F68</f>
        <v>114.48083999455</v>
      </c>
      <c r="G69" s="15" t="n">
        <f aca="false">G67*G68</f>
        <v>124.504206256647</v>
      </c>
    </row>
    <row r="70" customFormat="false" ht="17.15" hidden="false" customHeight="false" outlineLevel="0" collapsed="false">
      <c r="A70" s="6" t="s">
        <v>494</v>
      </c>
    </row>
    <row r="71" customFormat="false" ht="15" hidden="false" customHeight="false" outlineLevel="0" collapsed="false">
      <c r="A71" s="4" t="s">
        <v>495</v>
      </c>
      <c r="B71" s="0" t="s">
        <v>169</v>
      </c>
      <c r="C71" s="15" t="n">
        <f aca="false">q25_sf</f>
        <v>936.926</v>
      </c>
      <c r="D71" s="15" t="n">
        <f aca="false">q26_sf</f>
        <v>998.6</v>
      </c>
      <c r="E71" s="15" t="n">
        <f aca="false">D71*(1+g_sf)</f>
        <v>1038.544</v>
      </c>
      <c r="F71" s="15" t="n">
        <f aca="false">E71*(1+g_sf)</f>
        <v>1080.08576</v>
      </c>
      <c r="G71" s="15" t="n">
        <f aca="false">F71*(1+g_sf)</f>
        <v>1123.2891904</v>
      </c>
    </row>
    <row r="72" customFormat="false" ht="15" hidden="false" customHeight="false" outlineLevel="0" collapsed="false">
      <c r="A72" s="4" t="s">
        <v>496</v>
      </c>
      <c r="B72" s="0" t="s">
        <v>169</v>
      </c>
      <c r="C72" s="15" t="n">
        <f aca="false">q25_sfbp</f>
        <v>143.036</v>
      </c>
      <c r="D72" s="15" t="n">
        <f aca="false">q26_sfbp</f>
        <v>145.9</v>
      </c>
      <c r="E72" s="15" t="n">
        <f aca="false">E71*m_sf</f>
        <v>151.736</v>
      </c>
      <c r="F72" s="15" t="n">
        <f aca="false">F71*m_sf</f>
        <v>157.80544</v>
      </c>
      <c r="G72" s="15" t="n">
        <f aca="false">G71*m_sf</f>
        <v>164.1176576</v>
      </c>
    </row>
    <row r="73" customFormat="false" ht="15" hidden="false" customHeight="false" outlineLevel="0" collapsed="false">
      <c r="A73" s="4" t="s">
        <v>497</v>
      </c>
      <c r="B73" s="0" t="s">
        <v>169</v>
      </c>
      <c r="C73" s="15" t="n">
        <f aca="false">q25_ff</f>
        <v>290.308</v>
      </c>
      <c r="D73" s="15" t="n">
        <f aca="false">q26_ff</f>
        <v>310.6</v>
      </c>
      <c r="E73" s="15" t="n">
        <f aca="false">D73*(1+g_ff)</f>
        <v>319.918</v>
      </c>
      <c r="F73" s="15" t="n">
        <f aca="false">E73*(1+g_ff)</f>
        <v>329.51554</v>
      </c>
      <c r="G73" s="15" t="n">
        <f aca="false">F73*(1+g_ff)</f>
        <v>339.4010062</v>
      </c>
    </row>
    <row r="74" customFormat="false" ht="15" hidden="false" customHeight="false" outlineLevel="0" collapsed="false">
      <c r="A74" s="4" t="s">
        <v>498</v>
      </c>
      <c r="B74" s="0" t="s">
        <v>169</v>
      </c>
      <c r="C74" s="15" t="n">
        <f aca="false">q25_ffbp</f>
        <v>8.457</v>
      </c>
      <c r="D74" s="15" t="n">
        <f aca="false">q26_ffbp</f>
        <v>12.1</v>
      </c>
      <c r="E74" s="15" t="n">
        <f aca="false">E73*m_ff</f>
        <v>14.39631</v>
      </c>
      <c r="F74" s="15" t="n">
        <f aca="false">F73*m_ff</f>
        <v>14.8281993</v>
      </c>
      <c r="G74" s="15" t="n">
        <f aca="false">G73*m_ff</f>
        <v>15.273045279</v>
      </c>
    </row>
    <row r="75" customFormat="false" ht="17.15" hidden="false" customHeight="false" outlineLevel="0" collapsed="false">
      <c r="A75" s="4" t="s">
        <v>499</v>
      </c>
      <c r="B75" s="0" t="s">
        <v>169</v>
      </c>
      <c r="C75" s="15" t="n">
        <f aca="false">q25_hox</f>
        <v>239.0528</v>
      </c>
      <c r="D75" s="15" t="n">
        <f aca="false">q26_hox</f>
        <v>286.2</v>
      </c>
      <c r="E75" s="15" t="n">
        <f aca="false">D75*(1+g_ho)</f>
        <v>300.51</v>
      </c>
      <c r="F75" s="15" t="n">
        <f aca="false">E75*(1+g_ho)</f>
        <v>315.5355</v>
      </c>
      <c r="G75" s="15" t="n">
        <f aca="false">F75*(1+g_ho)</f>
        <v>331.312275</v>
      </c>
    </row>
    <row r="76" customFormat="false" ht="17.15" hidden="false" customHeight="false" outlineLevel="0" collapsed="false">
      <c r="A76" s="4" t="s">
        <v>500</v>
      </c>
      <c r="B76" s="0" t="s">
        <v>169</v>
      </c>
      <c r="C76" s="15" t="n">
        <f aca="false">q25_hoxbp</f>
        <v>11.602</v>
      </c>
      <c r="D76" s="15" t="n">
        <f aca="false">q26_hoxbp</f>
        <v>19.5</v>
      </c>
      <c r="E76" s="15" t="n">
        <f aca="false">E75*m_ho</f>
        <v>20.475</v>
      </c>
      <c r="F76" s="15" t="n">
        <f aca="false">F75*m_ho</f>
        <v>21.49875</v>
      </c>
      <c r="G76" s="15" t="n">
        <f aca="false">G75*m_ho</f>
        <v>22.5736875</v>
      </c>
    </row>
    <row r="77" customFormat="false" ht="17.15" hidden="false" customHeight="false" outlineLevel="0" collapsed="false">
      <c r="A77" s="4" t="s">
        <v>501</v>
      </c>
      <c r="B77" s="0" t="s">
        <v>169</v>
      </c>
      <c r="C77" s="15" t="n">
        <f aca="false">q25_oth</f>
        <v>14.979</v>
      </c>
      <c r="D77" s="15" t="n">
        <f aca="false">q26_oth</f>
        <v>15.8</v>
      </c>
      <c r="E77" s="15" t="n">
        <f aca="false">D77</f>
        <v>15.8</v>
      </c>
      <c r="F77" s="15" t="n">
        <f aca="false">E77</f>
        <v>15.8</v>
      </c>
      <c r="G77" s="15" t="n">
        <f aca="false">F77</f>
        <v>15.8</v>
      </c>
      <c r="K77" s="8" t="s">
        <v>502</v>
      </c>
    </row>
    <row r="78" customFormat="false" ht="15" hidden="false" customHeight="false" outlineLevel="0" collapsed="false">
      <c r="A78" s="4" t="s">
        <v>503</v>
      </c>
      <c r="B78" s="0" t="s">
        <v>169</v>
      </c>
      <c r="C78" s="15" t="n">
        <f aca="false">q25_othbp</f>
        <v>6.064</v>
      </c>
      <c r="D78" s="15" t="n">
        <f aca="false">q26_othbp</f>
        <v>5.1</v>
      </c>
      <c r="E78" s="15" t="n">
        <f aca="false">q26_othbp</f>
        <v>5.1</v>
      </c>
      <c r="F78" s="15" t="n">
        <f aca="false">q26_othbp</f>
        <v>5.1</v>
      </c>
      <c r="G78" s="15" t="n">
        <f aca="false">q26_othbp</f>
        <v>5.1</v>
      </c>
    </row>
    <row r="79" customFormat="false" ht="15" hidden="false" customHeight="false" outlineLevel="0" collapsed="false">
      <c r="A79" s="4" t="s">
        <v>504</v>
      </c>
      <c r="B79" s="0" t="s">
        <v>169</v>
      </c>
      <c r="C79" s="15" t="n">
        <f aca="false">q25_cc</f>
        <v>-42.597</v>
      </c>
      <c r="D79" s="15" t="n">
        <f aca="false">q26_cc</f>
        <v>-46.2</v>
      </c>
      <c r="E79" s="15" t="n">
        <f aca="false">D79*(1+g_cc)</f>
        <v>-47.586</v>
      </c>
      <c r="F79" s="15" t="n">
        <f aca="false">E79*(1+g_cc)</f>
        <v>-49.01358</v>
      </c>
      <c r="G79" s="15" t="n">
        <f aca="false">F79*(1+g_cc)</f>
        <v>-50.4839874</v>
      </c>
    </row>
    <row r="80" customFormat="false" ht="17.15" hidden="false" customHeight="false" outlineLevel="0" collapsed="false">
      <c r="A80" s="4" t="s">
        <v>505</v>
      </c>
      <c r="B80" s="0" t="s">
        <v>169</v>
      </c>
      <c r="C80" s="28" t="n">
        <f aca="false">a_rev-(q25_sf+q25_ff+q25_hox+q25_fm+q25_oth)</f>
        <v>0.00200000000018008</v>
      </c>
      <c r="D80" s="28" t="n">
        <f aca="false">f_rev-(q26_sf+q26_ff+q26_hox+q26_fm+q26_oth)</f>
        <v>0.200000000000045</v>
      </c>
      <c r="E80" s="28" t="n">
        <f aca="false">$D80</f>
        <v>0.200000000000045</v>
      </c>
      <c r="F80" s="28" t="n">
        <f aca="false">$D80</f>
        <v>0.200000000000045</v>
      </c>
      <c r="G80" s="28" t="n">
        <f aca="false">$D80</f>
        <v>0.200000000000045</v>
      </c>
      <c r="K80" s="8" t="s">
        <v>506</v>
      </c>
    </row>
    <row r="81" customFormat="false" ht="15" hidden="false" customHeight="false" outlineLevel="0" collapsed="false">
      <c r="A81" s="4" t="s">
        <v>507</v>
      </c>
      <c r="B81" s="0" t="s">
        <v>169</v>
      </c>
      <c r="C81" s="28" t="n">
        <f aca="false">a_bp-(q25_sfbp+q25_ffbp+q25_hoxbp+q25_fmbp+q25_othbp+q25_cc)</f>
        <v>0.0010000000000332</v>
      </c>
      <c r="D81" s="28" t="n">
        <f aca="false">f_bp-(q26_sfbp+q26_ffbp+q26_hoxbp+q26_fmbp+q26_othbp+q26_cc)</f>
        <v>0.100000000000023</v>
      </c>
      <c r="E81" s="28" t="n">
        <f aca="false">$D81</f>
        <v>0.100000000000023</v>
      </c>
      <c r="F81" s="28" t="n">
        <f aca="false">$D81</f>
        <v>0.100000000000023</v>
      </c>
      <c r="G81" s="28" t="n">
        <f aca="false">$D81</f>
        <v>0.100000000000023</v>
      </c>
    </row>
    <row r="82" customFormat="false" ht="17.15" hidden="false" customHeight="false" outlineLevel="0" collapsed="false">
      <c r="A82" s="6" t="s">
        <v>508</v>
      </c>
    </row>
    <row r="83" customFormat="false" ht="17.15" hidden="false" customHeight="false" outlineLevel="0" collapsed="false">
      <c r="A83" s="4" t="s">
        <v>380</v>
      </c>
      <c r="B83" s="0" t="s">
        <v>169</v>
      </c>
      <c r="C83" s="15" t="n">
        <f aca="false">C71+C73+C75+C67+C77+C80</f>
        <v>1583.719</v>
      </c>
      <c r="D83" s="15" t="n">
        <f aca="false">D71+D73+D75+D67+D77+D80</f>
        <v>1732</v>
      </c>
      <c r="E83" s="15" t="n">
        <f aca="false">E71+E73+E75+E67+E77+E80</f>
        <v>1845.410352</v>
      </c>
      <c r="F83" s="15" t="n">
        <f aca="false">F71+F73+F75+F67+F77+F80</f>
        <v>1939.0238125529</v>
      </c>
      <c r="G83" s="15" t="n">
        <f aca="false">G71+G73+G75+G67+G77+G80</f>
        <v>2034.64067788032</v>
      </c>
      <c r="H83" s="23" t="n">
        <f aca="false">G83*(1+H84)</f>
        <v>2142.22143179469</v>
      </c>
      <c r="I83" s="23" t="n">
        <f aca="false">H83*(1+I84)</f>
        <v>2263.12259483591</v>
      </c>
      <c r="J83" s="23" t="n">
        <f aca="false">I83*(1+J84)</f>
        <v>2398.90995052606</v>
      </c>
      <c r="K83" s="8" t="s">
        <v>509</v>
      </c>
    </row>
    <row r="84" customFormat="false" ht="15" hidden="false" customHeight="false" outlineLevel="0" collapsed="false">
      <c r="A84" s="4" t="s">
        <v>510</v>
      </c>
      <c r="B84" s="0" t="s">
        <v>77</v>
      </c>
      <c r="D84" s="16" t="n">
        <f aca="false">D83/C83-1</f>
        <v>0.0936283519993131</v>
      </c>
      <c r="E84" s="16" t="n">
        <f aca="false">E83/D83-1</f>
        <v>0.0654794180138567</v>
      </c>
      <c r="F84" s="16" t="n">
        <f aca="false">F83/E83-1</f>
        <v>0.0507277205047862</v>
      </c>
      <c r="G84" s="16" t="n">
        <f aca="false">G83/F83-1</f>
        <v>0.0493118571873221</v>
      </c>
      <c r="H84" s="24" t="n">
        <f aca="false">$G84+(fade_gA-$G84)*1/3</f>
        <v>0.0528745714582147</v>
      </c>
      <c r="I84" s="24" t="n">
        <f aca="false">$G84+(fade_gA-$G84)*2/3</f>
        <v>0.0564372857291074</v>
      </c>
      <c r="J84" s="24" t="n">
        <f aca="false">$G84+(fade_gA-$G84)*3/3</f>
        <v>0.06</v>
      </c>
    </row>
    <row r="85" customFormat="false" ht="17.15" hidden="false" customHeight="false" outlineLevel="0" collapsed="false">
      <c r="A85" s="0" t="s">
        <v>511</v>
      </c>
      <c r="B85" s="0" t="s">
        <v>77</v>
      </c>
      <c r="C85" s="16" t="n">
        <f aca="false">C67/C83</f>
        <v>0.0646902638662541</v>
      </c>
      <c r="D85" s="16" t="n">
        <f aca="false">D67/D83</f>
        <v>0.0696304849884527</v>
      </c>
      <c r="E85" s="16" t="n">
        <f aca="false">E67/E83</f>
        <v>0.0923579689554055</v>
      </c>
      <c r="F85" s="16" t="n">
        <f aca="false">F67/F83</f>
        <v>0.102054967696533</v>
      </c>
      <c r="G85" s="16" t="n">
        <f aca="false">G67/G83</f>
        <v>0.110406819603325</v>
      </c>
    </row>
    <row r="86" customFormat="false" ht="15" hidden="false" customHeight="false" outlineLevel="0" collapsed="false">
      <c r="A86" s="4" t="s">
        <v>390</v>
      </c>
      <c r="B86" s="0" t="s">
        <v>169</v>
      </c>
      <c r="C86" s="15" t="n">
        <f aca="false">C72+C74+C76+C69+C78+C79+C81</f>
        <v>181.163</v>
      </c>
      <c r="D86" s="15" t="n">
        <f aca="false">D72+D74+D76+D69+D78+D79+D81</f>
        <v>202</v>
      </c>
      <c r="E86" s="15" t="n">
        <f aca="false">E72+E74+E76+E69+E78+E79+E81</f>
        <v>243.046834833333</v>
      </c>
      <c r="F86" s="15" t="n">
        <f aca="false">F72+F74+F76+F69+F78+F79+F81</f>
        <v>264.79964929455</v>
      </c>
      <c r="G86" s="15" t="n">
        <f aca="false">G72+G74+G76+G69+G78+G79+G81</f>
        <v>281.184609235647</v>
      </c>
    </row>
    <row r="87" customFormat="false" ht="15" hidden="false" customHeight="false" outlineLevel="0" collapsed="false">
      <c r="A87" s="4" t="s">
        <v>406</v>
      </c>
      <c r="B87" s="0" t="s">
        <v>77</v>
      </c>
      <c r="C87" s="16" t="n">
        <f aca="false">C86/C83</f>
        <v>0.114390873633517</v>
      </c>
      <c r="D87" s="16" t="n">
        <f aca="false">D86/D83</f>
        <v>0.11662817551963</v>
      </c>
      <c r="E87" s="16" t="n">
        <f aca="false">E86/E83</f>
        <v>0.131703409255251</v>
      </c>
      <c r="F87" s="16" t="n">
        <f aca="false">F86/F83</f>
        <v>0.136563381831767</v>
      </c>
      <c r="G87" s="16" t="n">
        <f aca="false">G86/G83</f>
        <v>0.13819865703687</v>
      </c>
    </row>
    <row r="88" customFormat="false" ht="17.15" hidden="false" customHeight="false" outlineLevel="0" collapsed="false">
      <c r="A88" s="0" t="s">
        <v>512</v>
      </c>
      <c r="B88" s="0" t="s">
        <v>77</v>
      </c>
      <c r="C88" s="16" t="n">
        <f aca="false">C69/C86</f>
        <v>0.301386044611758</v>
      </c>
      <c r="D88" s="16" t="n">
        <f aca="false">D69/D86</f>
        <v>0.324257425742574</v>
      </c>
      <c r="E88" s="16" t="n">
        <f aca="false">E69/E86</f>
        <v>0.406611034046594</v>
      </c>
      <c r="F88" s="16" t="n">
        <f aca="false">F69/F86</f>
        <v>0.432330028757731</v>
      </c>
      <c r="G88" s="16" t="n">
        <f aca="false">G69/G86</f>
        <v>0.442784569877742</v>
      </c>
    </row>
    <row r="89" customFormat="false" ht="17.15" hidden="false" customHeight="false" outlineLevel="0" collapsed="false">
      <c r="A89" s="4" t="s">
        <v>407</v>
      </c>
      <c r="B89" s="0" t="s">
        <v>52</v>
      </c>
      <c r="C89" s="21" t="n">
        <f aca="false">q25_ni/q25_bp</f>
        <v>0.743391310587703</v>
      </c>
      <c r="D89" s="21" t="n">
        <f aca="false">q26_ni/q26_bp</f>
        <v>0.611386138613861</v>
      </c>
      <c r="E89" s="21" t="n">
        <f aca="false">ni_bp</f>
        <v>0.62</v>
      </c>
      <c r="F89" s="21" t="n">
        <f aca="false">ni_bp</f>
        <v>0.62</v>
      </c>
      <c r="G89" s="21" t="n">
        <f aca="false">ni_bp</f>
        <v>0.62</v>
      </c>
    </row>
    <row r="90" customFormat="false" ht="15" hidden="false" customHeight="false" outlineLevel="0" collapsed="false">
      <c r="A90" s="4" t="s">
        <v>397</v>
      </c>
      <c r="B90" s="0" t="s">
        <v>169</v>
      </c>
      <c r="C90" s="15" t="n">
        <f aca="false">q25_ni</f>
        <v>134.675</v>
      </c>
      <c r="D90" s="15" t="n">
        <f aca="false">q26_ni</f>
        <v>123.5</v>
      </c>
      <c r="E90" s="15" t="n">
        <f aca="false">E86*E89</f>
        <v>150.689037596667</v>
      </c>
      <c r="F90" s="15" t="n">
        <f aca="false">F86*F89</f>
        <v>164.175782562621</v>
      </c>
      <c r="G90" s="15" t="n">
        <f aca="false">G86*G89</f>
        <v>174.334457726101</v>
      </c>
      <c r="H90" s="23" t="n">
        <f aca="false">H83*H94</f>
        <v>185.211245021432</v>
      </c>
      <c r="I90" s="23" t="n">
        <f aca="false">I83*I94</f>
        <v>197.416617897906</v>
      </c>
      <c r="J90" s="23" t="n">
        <f aca="false">J83*J94</f>
        <v>211.119321067994</v>
      </c>
    </row>
    <row r="91" customFormat="false" ht="15" hidden="false" customHeight="false" outlineLevel="0" collapsed="false">
      <c r="A91" s="4" t="s">
        <v>513</v>
      </c>
      <c r="B91" s="4" t="s">
        <v>316</v>
      </c>
      <c r="C91" s="19" t="n">
        <f aca="false">q25_sh</f>
        <v>0.973366579936398</v>
      </c>
      <c r="D91" s="19" t="n">
        <f aca="false">q26_sh</f>
        <v>0.95117067159581</v>
      </c>
      <c r="E91" s="19" t="n">
        <f aca="false">D91*(1+sh_g)</f>
        <v>0.936903111521873</v>
      </c>
      <c r="F91" s="19" t="n">
        <f aca="false">E91*(1+sh_g)</f>
        <v>0.922849564849045</v>
      </c>
      <c r="G91" s="19" t="n">
        <f aca="false">F91*(1+sh_g)</f>
        <v>0.909006821376309</v>
      </c>
      <c r="H91" s="29" t="n">
        <f aca="false">G91*(1+sh_g)</f>
        <v>0.895371719055665</v>
      </c>
      <c r="I91" s="29" t="n">
        <f aca="false">H91*(1+sh_g)</f>
        <v>0.88194114326983</v>
      </c>
      <c r="J91" s="29" t="n">
        <f aca="false">I91*(1+sh_g)</f>
        <v>0.868712026120782</v>
      </c>
    </row>
    <row r="92" customFormat="false" ht="17.15" hidden="false" customHeight="false" outlineLevel="0" collapsed="false">
      <c r="A92" s="0" t="s">
        <v>514</v>
      </c>
      <c r="B92" s="0" t="s">
        <v>207</v>
      </c>
      <c r="C92" s="20" t="n">
        <f aca="false">C90/C91</f>
        <v>138.36</v>
      </c>
      <c r="D92" s="20" t="n">
        <f aca="false">D90/D91</f>
        <v>129.84</v>
      </c>
      <c r="E92" s="20" t="n">
        <f aca="false">E90/E91</f>
        <v>160.837375544513</v>
      </c>
      <c r="F92" s="20" t="n">
        <f aca="false">F90/F91</f>
        <v>177.900915616161</v>
      </c>
      <c r="G92" s="20" t="n">
        <f aca="false">G90/G91</f>
        <v>191.785642996765</v>
      </c>
      <c r="H92" s="27" t="n">
        <f aca="false">H90/H91</f>
        <v>206.854026187885</v>
      </c>
      <c r="I92" s="27" t="n">
        <f aca="false">I90/I91</f>
        <v>223.843302248012</v>
      </c>
      <c r="J92" s="27" t="n">
        <f aca="false">J90/J91</f>
        <v>243.025668714112</v>
      </c>
    </row>
    <row r="93" customFormat="false" ht="17.15" hidden="false" customHeight="false" outlineLevel="0" collapsed="false">
      <c r="A93" s="0" t="s">
        <v>515</v>
      </c>
      <c r="B93" s="0" t="s">
        <v>77</v>
      </c>
      <c r="D93" s="16" t="n">
        <f aca="false">D92/C92-1</f>
        <v>-0.0615784908933218</v>
      </c>
      <c r="E93" s="16" t="n">
        <f aca="false">E92/D92-1</f>
        <v>0.238735178254109</v>
      </c>
      <c r="F93" s="16" t="n">
        <f aca="false">F92/E92-1</f>
        <v>0.106091883269539</v>
      </c>
      <c r="G93" s="16" t="n">
        <f aca="false">G92/F92-1</f>
        <v>0.0780475318663452</v>
      </c>
      <c r="H93" s="24" t="n">
        <f aca="false">H92/G92-1</f>
        <v>0.0785688801083688</v>
      </c>
      <c r="I93" s="24" t="n">
        <f aca="false">I92/H92-1</f>
        <v>0.0821317156509995</v>
      </c>
      <c r="J93" s="24" t="n">
        <f aca="false">J92/I92-1</f>
        <v>0.0856955123224801</v>
      </c>
    </row>
    <row r="94" customFormat="false" ht="15" hidden="false" customHeight="false" outlineLevel="0" collapsed="false">
      <c r="A94" s="4" t="s">
        <v>516</v>
      </c>
      <c r="B94" s="0" t="s">
        <v>77</v>
      </c>
      <c r="C94" s="25" t="n">
        <f aca="false">C90/C83</f>
        <v>0.0850371814696925</v>
      </c>
      <c r="D94" s="25" t="n">
        <f aca="false">D90/D83</f>
        <v>0.0713048498845266</v>
      </c>
      <c r="E94" s="25" t="n">
        <f aca="false">E90/E83</f>
        <v>0.0816561137382558</v>
      </c>
      <c r="F94" s="25" t="n">
        <f aca="false">F90/F83</f>
        <v>0.0846692967356956</v>
      </c>
      <c r="G94" s="25" t="n">
        <f aca="false">G90/G83</f>
        <v>0.0856831673628594</v>
      </c>
      <c r="H94" s="26" t="n">
        <f aca="false">$G94+(fade_mA-$G94)*1/3</f>
        <v>0.0864575632903956</v>
      </c>
      <c r="I94" s="26" t="n">
        <f aca="false">$G94+(fade_mA-$G94)*2/3</f>
        <v>0.0872319592179318</v>
      </c>
      <c r="J94" s="26" t="n">
        <f aca="false">$G94+(fade_mA-$G94)*3/3</f>
        <v>0.088006355145468</v>
      </c>
    </row>
    <row r="95" customFormat="false" ht="17.15" hidden="false" customHeight="false" outlineLevel="0" collapsed="false">
      <c r="A95" s="0" t="s">
        <v>517</v>
      </c>
      <c r="B95" s="0" t="s">
        <v>207</v>
      </c>
      <c r="D95" s="20" t="n">
        <f aca="false">D69*D89/D91</f>
        <v>42.1015841584158</v>
      </c>
      <c r="E95" s="20" t="n">
        <f aca="false">E69*E89/E91</f>
        <v>65.3982515834949</v>
      </c>
      <c r="F95" s="20" t="n">
        <f aca="false">F69*F89/F91</f>
        <v>76.9119079643615</v>
      </c>
      <c r="G95" s="20" t="n">
        <f aca="false">G69*G89/G91</f>
        <v>84.919723443049</v>
      </c>
      <c r="K95" s="8" t="s">
        <v>518</v>
      </c>
    </row>
    <row r="96" customFormat="false" ht="17.15" hidden="false" customHeight="false" outlineLevel="0" collapsed="false">
      <c r="A96" s="0" t="s">
        <v>519</v>
      </c>
      <c r="B96" s="0" t="s">
        <v>207</v>
      </c>
      <c r="D96" s="20" t="n">
        <f aca="false">D92-D95</f>
        <v>87.7384158415842</v>
      </c>
      <c r="E96" s="20" t="n">
        <f aca="false">E92-E95</f>
        <v>95.4391239610185</v>
      </c>
      <c r="F96" s="20" t="n">
        <f aca="false">F92-F95</f>
        <v>100.989007651799</v>
      </c>
      <c r="G96" s="20" t="n">
        <f aca="false">G92-G95</f>
        <v>106.865919553716</v>
      </c>
    </row>
    <row r="97" customFormat="false" ht="17.15" hidden="false" customHeight="false" outlineLevel="0" collapsed="false">
      <c r="A97" s="0" t="s">
        <v>520</v>
      </c>
      <c r="B97" s="0" t="s">
        <v>432</v>
      </c>
      <c r="D97" s="15" t="n">
        <f aca="false">D65/D55*1000/150</f>
        <v>17.6315789473684</v>
      </c>
      <c r="E97" s="15" t="n">
        <f aca="false">E65/E55*1000/150</f>
        <v>23.3018947368421</v>
      </c>
      <c r="F97" s="15" t="n">
        <f aca="false">F65/F55*1000/150</f>
        <v>27.3857598421053</v>
      </c>
      <c r="G97" s="15" t="n">
        <f aca="false">G65/G55*1000/150</f>
        <v>30.82328032</v>
      </c>
      <c r="K97" s="8" t="s">
        <v>521</v>
      </c>
    </row>
    <row r="100" customFormat="false" ht="17.15" hidden="false" customHeight="false" outlineLevel="0" collapsed="false">
      <c r="A100" s="1" t="s">
        <v>864</v>
      </c>
    </row>
    <row r="101" customFormat="false" ht="17.15" hidden="false" customHeight="false" outlineLevel="0" collapsed="false">
      <c r="A101" s="5" t="s">
        <v>19</v>
      </c>
      <c r="B101" s="5" t="s">
        <v>20</v>
      </c>
      <c r="C101" s="14" t="s">
        <v>374</v>
      </c>
      <c r="D101" s="14" t="s">
        <v>447</v>
      </c>
      <c r="E101" s="14" t="s">
        <v>412</v>
      </c>
      <c r="F101" s="14" t="s">
        <v>413</v>
      </c>
      <c r="G101" s="14" t="s">
        <v>414</v>
      </c>
      <c r="H101" s="14" t="s">
        <v>448</v>
      </c>
      <c r="I101" s="14" t="s">
        <v>449</v>
      </c>
      <c r="J101" s="14" t="s">
        <v>450</v>
      </c>
      <c r="K101" s="5" t="s">
        <v>379</v>
      </c>
    </row>
    <row r="102" customFormat="false" ht="17.15" hidden="false" customHeight="false" outlineLevel="0" collapsed="false">
      <c r="A102" s="6" t="s">
        <v>470</v>
      </c>
    </row>
    <row r="103" customFormat="false" ht="17.15" hidden="false" customHeight="false" outlineLevel="0" collapsed="false">
      <c r="A103" s="0" t="s">
        <v>471</v>
      </c>
      <c r="B103" s="4" t="s">
        <v>30</v>
      </c>
      <c r="D103" s="20" t="n">
        <f aca="false">unv_26</f>
        <v>7.6</v>
      </c>
      <c r="E103" s="20" t="n">
        <f aca="false">unv_27</f>
        <v>9.7</v>
      </c>
      <c r="F103" s="20" t="n">
        <f aca="false">unv_28*um28_A</f>
        <v>9.5</v>
      </c>
      <c r="G103" s="20" t="n">
        <f aca="false">unv_29*um29_A</f>
        <v>10.6</v>
      </c>
      <c r="K103" s="8" t="s">
        <v>472</v>
      </c>
    </row>
    <row r="104" customFormat="false" ht="17.15" hidden="false" customHeight="false" outlineLevel="0" collapsed="false">
      <c r="A104" s="4" t="s">
        <v>473</v>
      </c>
      <c r="B104" s="4" t="s">
        <v>30</v>
      </c>
      <c r="D104" s="20" t="n">
        <f aca="false">uot_26</f>
        <v>7.6</v>
      </c>
      <c r="E104" s="20" t="n">
        <f aca="false">uot_27</f>
        <v>14</v>
      </c>
      <c r="F104" s="20" t="n">
        <f aca="false">uot_28*um28_A</f>
        <v>17</v>
      </c>
      <c r="G104" s="20" t="n">
        <f aca="false">uot_29*um29_A</f>
        <v>19.55</v>
      </c>
      <c r="K104" s="8" t="s">
        <v>474</v>
      </c>
    </row>
    <row r="105" customFormat="false" ht="17.15" hidden="false" customHeight="false" outlineLevel="0" collapsed="false">
      <c r="A105" s="4" t="s">
        <v>475</v>
      </c>
      <c r="B105" s="4" t="s">
        <v>30</v>
      </c>
      <c r="D105" s="20" t="n">
        <f aca="false">D103+v_ot*D104</f>
        <v>13.68</v>
      </c>
      <c r="E105" s="20" t="n">
        <f aca="false">E103+v_ot*E104</f>
        <v>20.9</v>
      </c>
      <c r="F105" s="20" t="n">
        <f aca="false">F103+v_ot*F104</f>
        <v>23.1</v>
      </c>
      <c r="G105" s="20" t="n">
        <f aca="false">G103+v_ot*G104</f>
        <v>26.24</v>
      </c>
    </row>
    <row r="106" customFormat="false" ht="17.15" hidden="false" customHeight="false" outlineLevel="0" collapsed="false">
      <c r="A106" s="4" t="s">
        <v>476</v>
      </c>
      <c r="B106" s="0" t="s">
        <v>52</v>
      </c>
      <c r="D106" s="21" t="n">
        <f aca="false">1</f>
        <v>1</v>
      </c>
      <c r="E106" s="21" t="n">
        <f aca="false">D106*(1+g_asp)</f>
        <v>1.18</v>
      </c>
      <c r="F106" s="21" t="n">
        <f aca="false">E106*(1+g_asp)</f>
        <v>1.3924</v>
      </c>
      <c r="G106" s="21" t="n">
        <f aca="false">F106*(1+g_asp)</f>
        <v>1.643032</v>
      </c>
    </row>
    <row r="107" customFormat="false" ht="17.15" hidden="false" customHeight="false" outlineLevel="0" collapsed="false">
      <c r="A107" s="4" t="s">
        <v>477</v>
      </c>
      <c r="B107" s="0" t="s">
        <v>52</v>
      </c>
      <c r="D107" s="18" t="n">
        <f aca="false">1</f>
        <v>1</v>
      </c>
      <c r="E107" s="18" t="n">
        <f aca="false">rel_27</f>
        <v>1</v>
      </c>
      <c r="F107" s="18" t="n">
        <f aca="false">rel_28</f>
        <v>0.97</v>
      </c>
      <c r="G107" s="18" t="n">
        <f aca="false">rel_29</f>
        <v>0.95</v>
      </c>
    </row>
    <row r="108" customFormat="false" ht="17.15" hidden="false" customHeight="false" outlineLevel="0" collapsed="false">
      <c r="A108" s="0" t="s">
        <v>478</v>
      </c>
      <c r="B108" s="0" t="s">
        <v>52</v>
      </c>
      <c r="D108" s="21" t="n">
        <f aca="false">D105/$D105*D106*D107</f>
        <v>1</v>
      </c>
      <c r="E108" s="21" t="n">
        <f aca="false">E105/$D105*E106*E107</f>
        <v>1.80277777777778</v>
      </c>
      <c r="F108" s="21" t="n">
        <f aca="false">F105/$D105*F106*F107</f>
        <v>2.28066570175439</v>
      </c>
      <c r="G108" s="21" t="n">
        <f aca="false">G105/$D105*G106*G107</f>
        <v>2.99396942222222</v>
      </c>
      <c r="K108" s="4" t="s">
        <v>479</v>
      </c>
    </row>
    <row r="109" customFormat="false" ht="17.15" hidden="false" customHeight="false" outlineLevel="0" collapsed="false">
      <c r="A109" s="4" t="s">
        <v>480</v>
      </c>
      <c r="B109" s="0" t="s">
        <v>52</v>
      </c>
      <c r="D109" s="21" t="n">
        <f aca="false">1</f>
        <v>1</v>
      </c>
      <c r="E109" s="21" t="n">
        <f aca="false">D109*(1+g_nai)</f>
        <v>1.03</v>
      </c>
      <c r="F109" s="21" t="n">
        <f aca="false">E109*(1+g_nai)</f>
        <v>1.0609</v>
      </c>
      <c r="G109" s="21" t="n">
        <f aca="false">F109*(1+g_nai)</f>
        <v>1.092727</v>
      </c>
    </row>
    <row r="110" customFormat="false" ht="17.15" hidden="false" customHeight="false" outlineLevel="0" collapsed="false">
      <c r="A110" s="0" t="s">
        <v>481</v>
      </c>
      <c r="B110" s="0" t="s">
        <v>52</v>
      </c>
      <c r="D110" s="21" t="n">
        <f aca="false">ai_sh_hi*D108+(1-ai_sh_hi)*D109</f>
        <v>1</v>
      </c>
      <c r="E110" s="21" t="n">
        <f aca="false">ai_sh_hi*E108+(1-ai_sh_hi)*E109</f>
        <v>1.41638888888889</v>
      </c>
      <c r="F110" s="21" t="n">
        <f aca="false">ai_sh_hi*F108+(1-ai_sh_hi)*F109</f>
        <v>1.67078285087719</v>
      </c>
      <c r="G110" s="21" t="n">
        <f aca="false">ai_sh_hi*G108+(1-ai_sh_hi)*G109</f>
        <v>2.04334821111111</v>
      </c>
    </row>
    <row r="111" customFormat="false" ht="17.15" hidden="false" customHeight="false" outlineLevel="0" collapsed="false">
      <c r="A111" s="4" t="s">
        <v>482</v>
      </c>
      <c r="B111" s="0" t="s">
        <v>52</v>
      </c>
      <c r="D111" s="21" t="n">
        <f aca="false">1</f>
        <v>1</v>
      </c>
      <c r="E111" s="21" t="n">
        <f aca="false">cap_27</f>
        <v>1.3</v>
      </c>
      <c r="F111" s="21" t="n">
        <f aca="false">cap_28</f>
        <v>1.55</v>
      </c>
      <c r="G111" s="21" t="n">
        <f aca="false">cap_29</f>
        <v>1.8</v>
      </c>
      <c r="K111" s="4" t="s">
        <v>483</v>
      </c>
    </row>
    <row r="112" customFormat="false" ht="17.15" hidden="false" customHeight="false" outlineLevel="0" collapsed="false">
      <c r="A112" s="4" t="s">
        <v>484</v>
      </c>
      <c r="B112" s="0" t="s">
        <v>52</v>
      </c>
      <c r="D112" s="21" t="n">
        <f aca="false">MIN(D110,D111)</f>
        <v>1</v>
      </c>
      <c r="E112" s="21" t="n">
        <f aca="false">MIN(E110,E111)</f>
        <v>1.3</v>
      </c>
      <c r="F112" s="21" t="n">
        <f aca="false">MIN(F110,F111)</f>
        <v>1.55</v>
      </c>
      <c r="G112" s="21" t="n">
        <f aca="false">MIN(G110,G111)</f>
        <v>1.8</v>
      </c>
    </row>
    <row r="113" customFormat="false" ht="17.15" hidden="false" customHeight="false" outlineLevel="0" collapsed="false">
      <c r="A113" s="4" t="s">
        <v>485</v>
      </c>
      <c r="B113" s="0" t="s">
        <v>77</v>
      </c>
      <c r="D113" s="16" t="n">
        <f aca="false">D112/D110</f>
        <v>1</v>
      </c>
      <c r="E113" s="16" t="n">
        <f aca="false">E112/E110</f>
        <v>0.917827024906845</v>
      </c>
      <c r="F113" s="16" t="n">
        <f aca="false">F112/F110</f>
        <v>0.927708827742768</v>
      </c>
      <c r="G113" s="16" t="n">
        <f aca="false">G112/G110</f>
        <v>0.880907125967147</v>
      </c>
      <c r="K113" s="4" t="s">
        <v>486</v>
      </c>
    </row>
    <row r="114" customFormat="false" ht="17.15" hidden="false" customHeight="false" outlineLevel="0" collapsed="false">
      <c r="A114" s="0" t="s">
        <v>487</v>
      </c>
      <c r="B114" s="0" t="s">
        <v>52</v>
      </c>
      <c r="D114" s="21" t="n">
        <f aca="false">1</f>
        <v>1</v>
      </c>
      <c r="E114" s="21" t="n">
        <f aca="false">pp_27</f>
        <v>1.12</v>
      </c>
      <c r="F114" s="21" t="n">
        <f aca="false">pp_28*sp_A</f>
        <v>1.15</v>
      </c>
      <c r="G114" s="21" t="n">
        <f aca="false">pp_29*sp_A</f>
        <v>1.12</v>
      </c>
      <c r="K114" s="8" t="s">
        <v>488</v>
      </c>
    </row>
    <row r="115" customFormat="false" ht="17.15" hidden="false" customHeight="false" outlineLevel="0" collapsed="false">
      <c r="A115" s="0" t="s">
        <v>429</v>
      </c>
      <c r="B115" s="0" t="s">
        <v>169</v>
      </c>
      <c r="D115" s="15" t="n">
        <f aca="false">q26_fm*ai_sh_hi</f>
        <v>60.3</v>
      </c>
      <c r="E115" s="15" t="n">
        <f aca="false">q26_fm*ai_sh_hi*E108*E113*E114</f>
        <v>111.747643067268</v>
      </c>
      <c r="F115" s="15" t="n">
        <f aca="false">q26_fm*ai_sh_hi*F108*F113*F114</f>
        <v>146.719714448795</v>
      </c>
      <c r="G115" s="15" t="n">
        <f aca="false">q26_fm*ai_sh_hi*G108*G113*G114</f>
        <v>178.120054153985</v>
      </c>
      <c r="K115" s="8" t="s">
        <v>489</v>
      </c>
    </row>
    <row r="116" customFormat="false" ht="17.15" hidden="false" customHeight="false" outlineLevel="0" collapsed="false">
      <c r="A116" s="0" t="s">
        <v>490</v>
      </c>
      <c r="B116" s="0" t="s">
        <v>169</v>
      </c>
      <c r="D116" s="15" t="n">
        <f aca="false">q26_fm*(1-ai_sh_hi)</f>
        <v>60.3</v>
      </c>
      <c r="E116" s="15" t="n">
        <f aca="false">q26_fm*(1-ai_sh_hi)*E109*E113*E114</f>
        <v>63.8459569327319</v>
      </c>
      <c r="F116" s="15" t="n">
        <f aca="false">q26_fm*(1-ai_sh_hi)*F109*F113*F114</f>
        <v>68.2497855512054</v>
      </c>
      <c r="G116" s="15" t="n">
        <f aca="false">q26_fm*(1-ai_sh_hi)*G109*G113*G114</f>
        <v>65.0095458460148</v>
      </c>
    </row>
    <row r="117" customFormat="false" ht="17.15" hidden="false" customHeight="false" outlineLevel="0" collapsed="false">
      <c r="A117" s="4" t="s">
        <v>491</v>
      </c>
      <c r="B117" s="0" t="s">
        <v>169</v>
      </c>
      <c r="C117" s="15" t="n">
        <f aca="false">q25_fm</f>
        <v>102.4512</v>
      </c>
      <c r="D117" s="15" t="n">
        <f aca="false">D115+D116</f>
        <v>120.6</v>
      </c>
      <c r="E117" s="15" t="n">
        <f aca="false">E115+E116</f>
        <v>175.5936</v>
      </c>
      <c r="F117" s="15" t="n">
        <f aca="false">F115+F116</f>
        <v>214.9695</v>
      </c>
      <c r="G117" s="15" t="n">
        <f aca="false">G115+G116</f>
        <v>243.1296</v>
      </c>
    </row>
    <row r="118" customFormat="false" ht="17.15" hidden="false" customHeight="false" outlineLevel="0" collapsed="false">
      <c r="A118" s="0" t="s">
        <v>492</v>
      </c>
      <c r="B118" s="0" t="s">
        <v>77</v>
      </c>
      <c r="C118" s="16" t="n">
        <f aca="false">q25_fmbp/q25_fm</f>
        <v>0.532936656671664</v>
      </c>
      <c r="D118" s="16" t="n">
        <f aca="false">q26_fmbp/q26_fm</f>
        <v>0.543117744610282</v>
      </c>
      <c r="E118" s="16" t="n">
        <f aca="false">1-(1-$D118)*(1+c_g)^1/E114</f>
        <v>0.579831497275527</v>
      </c>
      <c r="F118" s="16" t="n">
        <f aca="false">1-(1-$D118)*(1+c_g)^2/F114</f>
        <v>0.578516187180042</v>
      </c>
      <c r="G118" s="16" t="n">
        <f aca="false">1-(1-$D118)*(1+c_g)^3/G114</f>
        <v>0.554243235459607</v>
      </c>
      <c r="K118" s="8" t="s">
        <v>493</v>
      </c>
    </row>
    <row r="119" customFormat="false" ht="17.15" hidden="false" customHeight="false" outlineLevel="0" collapsed="false">
      <c r="A119" s="0" t="s">
        <v>455</v>
      </c>
      <c r="B119" s="0" t="s">
        <v>169</v>
      </c>
      <c r="C119" s="15" t="n">
        <f aca="false">q25_fmbp</f>
        <v>54.6</v>
      </c>
      <c r="D119" s="15" t="n">
        <f aca="false">D117*D118</f>
        <v>65.5</v>
      </c>
      <c r="E119" s="15" t="n">
        <f aca="false">E117*E118</f>
        <v>101.8147</v>
      </c>
      <c r="F119" s="15" t="n">
        <f aca="false">F117*F118</f>
        <v>124.3633355</v>
      </c>
      <c r="G119" s="15" t="n">
        <f aca="false">G117*G118</f>
        <v>134.75293614</v>
      </c>
    </row>
    <row r="120" customFormat="false" ht="17.15" hidden="false" customHeight="false" outlineLevel="0" collapsed="false">
      <c r="A120" s="6" t="s">
        <v>494</v>
      </c>
    </row>
    <row r="121" customFormat="false" ht="15" hidden="false" customHeight="false" outlineLevel="0" collapsed="false">
      <c r="A121" s="4" t="s">
        <v>495</v>
      </c>
      <c r="B121" s="0" t="s">
        <v>169</v>
      </c>
      <c r="C121" s="15" t="n">
        <f aca="false">q25_sf</f>
        <v>936.926</v>
      </c>
      <c r="D121" s="15" t="n">
        <f aca="false">q26_sf</f>
        <v>998.6</v>
      </c>
      <c r="E121" s="15" t="n">
        <f aca="false">D121*(1+g_sf)</f>
        <v>1038.544</v>
      </c>
      <c r="F121" s="15" t="n">
        <f aca="false">E121*(1+g_sf)</f>
        <v>1080.08576</v>
      </c>
      <c r="G121" s="15" t="n">
        <f aca="false">F121*(1+g_sf)</f>
        <v>1123.2891904</v>
      </c>
    </row>
    <row r="122" customFormat="false" ht="15" hidden="false" customHeight="false" outlineLevel="0" collapsed="false">
      <c r="A122" s="4" t="s">
        <v>496</v>
      </c>
      <c r="B122" s="0" t="s">
        <v>169</v>
      </c>
      <c r="C122" s="15" t="n">
        <f aca="false">q25_sfbp</f>
        <v>143.036</v>
      </c>
      <c r="D122" s="15" t="n">
        <f aca="false">q26_sfbp</f>
        <v>145.9</v>
      </c>
      <c r="E122" s="15" t="n">
        <f aca="false">E121*m_sf</f>
        <v>151.736</v>
      </c>
      <c r="F122" s="15" t="n">
        <f aca="false">F121*m_sf</f>
        <v>157.80544</v>
      </c>
      <c r="G122" s="15" t="n">
        <f aca="false">G121*m_sf</f>
        <v>164.1176576</v>
      </c>
    </row>
    <row r="123" customFormat="false" ht="15" hidden="false" customHeight="false" outlineLevel="0" collapsed="false">
      <c r="A123" s="4" t="s">
        <v>497</v>
      </c>
      <c r="B123" s="0" t="s">
        <v>169</v>
      </c>
      <c r="C123" s="15" t="n">
        <f aca="false">q25_ff</f>
        <v>290.308</v>
      </c>
      <c r="D123" s="15" t="n">
        <f aca="false">q26_ff</f>
        <v>310.6</v>
      </c>
      <c r="E123" s="15" t="n">
        <f aca="false">D123*(1+g_ff)</f>
        <v>319.918</v>
      </c>
      <c r="F123" s="15" t="n">
        <f aca="false">E123*(1+g_ff)</f>
        <v>329.51554</v>
      </c>
      <c r="G123" s="15" t="n">
        <f aca="false">F123*(1+g_ff)</f>
        <v>339.4010062</v>
      </c>
    </row>
    <row r="124" customFormat="false" ht="15" hidden="false" customHeight="false" outlineLevel="0" collapsed="false">
      <c r="A124" s="4" t="s">
        <v>498</v>
      </c>
      <c r="B124" s="0" t="s">
        <v>169</v>
      </c>
      <c r="C124" s="15" t="n">
        <f aca="false">q25_ffbp</f>
        <v>8.457</v>
      </c>
      <c r="D124" s="15" t="n">
        <f aca="false">q26_ffbp</f>
        <v>12.1</v>
      </c>
      <c r="E124" s="15" t="n">
        <f aca="false">E123*m_ff</f>
        <v>14.39631</v>
      </c>
      <c r="F124" s="15" t="n">
        <f aca="false">F123*m_ff</f>
        <v>14.8281993</v>
      </c>
      <c r="G124" s="15" t="n">
        <f aca="false">G123*m_ff</f>
        <v>15.273045279</v>
      </c>
    </row>
    <row r="125" customFormat="false" ht="17.15" hidden="false" customHeight="false" outlineLevel="0" collapsed="false">
      <c r="A125" s="4" t="s">
        <v>499</v>
      </c>
      <c r="B125" s="0" t="s">
        <v>169</v>
      </c>
      <c r="C125" s="15" t="n">
        <f aca="false">q25_hox</f>
        <v>239.0528</v>
      </c>
      <c r="D125" s="15" t="n">
        <f aca="false">q26_hox</f>
        <v>286.2</v>
      </c>
      <c r="E125" s="15" t="n">
        <f aca="false">D125*(1+g_ho)</f>
        <v>300.51</v>
      </c>
      <c r="F125" s="15" t="n">
        <f aca="false">E125*(1+g_ho)</f>
        <v>315.5355</v>
      </c>
      <c r="G125" s="15" t="n">
        <f aca="false">F125*(1+g_ho)</f>
        <v>331.312275</v>
      </c>
    </row>
    <row r="126" customFormat="false" ht="17.15" hidden="false" customHeight="false" outlineLevel="0" collapsed="false">
      <c r="A126" s="4" t="s">
        <v>500</v>
      </c>
      <c r="B126" s="0" t="s">
        <v>169</v>
      </c>
      <c r="C126" s="15" t="n">
        <f aca="false">q25_hoxbp</f>
        <v>11.602</v>
      </c>
      <c r="D126" s="15" t="n">
        <f aca="false">q26_hoxbp</f>
        <v>19.5</v>
      </c>
      <c r="E126" s="15" t="n">
        <f aca="false">E125*m_ho</f>
        <v>20.475</v>
      </c>
      <c r="F126" s="15" t="n">
        <f aca="false">F125*m_ho</f>
        <v>21.49875</v>
      </c>
      <c r="G126" s="15" t="n">
        <f aca="false">G125*m_ho</f>
        <v>22.5736875</v>
      </c>
    </row>
    <row r="127" customFormat="false" ht="17.15" hidden="false" customHeight="false" outlineLevel="0" collapsed="false">
      <c r="A127" s="4" t="s">
        <v>501</v>
      </c>
      <c r="B127" s="0" t="s">
        <v>169</v>
      </c>
      <c r="C127" s="15" t="n">
        <f aca="false">q25_oth</f>
        <v>14.979</v>
      </c>
      <c r="D127" s="15" t="n">
        <f aca="false">q26_oth</f>
        <v>15.8</v>
      </c>
      <c r="E127" s="15" t="n">
        <f aca="false">D127</f>
        <v>15.8</v>
      </c>
      <c r="F127" s="15" t="n">
        <f aca="false">E127</f>
        <v>15.8</v>
      </c>
      <c r="G127" s="15" t="n">
        <f aca="false">F127</f>
        <v>15.8</v>
      </c>
      <c r="K127" s="8" t="s">
        <v>502</v>
      </c>
    </row>
    <row r="128" customFormat="false" ht="15" hidden="false" customHeight="false" outlineLevel="0" collapsed="false">
      <c r="A128" s="4" t="s">
        <v>503</v>
      </c>
      <c r="B128" s="0" t="s">
        <v>169</v>
      </c>
      <c r="C128" s="15" t="n">
        <f aca="false">q25_othbp</f>
        <v>6.064</v>
      </c>
      <c r="D128" s="15" t="n">
        <f aca="false">q26_othbp</f>
        <v>5.1</v>
      </c>
      <c r="E128" s="15" t="n">
        <f aca="false">q26_othbp</f>
        <v>5.1</v>
      </c>
      <c r="F128" s="15" t="n">
        <f aca="false">q26_othbp</f>
        <v>5.1</v>
      </c>
      <c r="G128" s="15" t="n">
        <f aca="false">q26_othbp</f>
        <v>5.1</v>
      </c>
    </row>
    <row r="129" customFormat="false" ht="15" hidden="false" customHeight="false" outlineLevel="0" collapsed="false">
      <c r="A129" s="4" t="s">
        <v>504</v>
      </c>
      <c r="B129" s="0" t="s">
        <v>169</v>
      </c>
      <c r="C129" s="15" t="n">
        <f aca="false">q25_cc</f>
        <v>-42.597</v>
      </c>
      <c r="D129" s="15" t="n">
        <f aca="false">q26_cc</f>
        <v>-46.2</v>
      </c>
      <c r="E129" s="15" t="n">
        <f aca="false">D129*(1+g_cc)</f>
        <v>-47.586</v>
      </c>
      <c r="F129" s="15" t="n">
        <f aca="false">E129*(1+g_cc)</f>
        <v>-49.01358</v>
      </c>
      <c r="G129" s="15" t="n">
        <f aca="false">F129*(1+g_cc)</f>
        <v>-50.4839874</v>
      </c>
    </row>
    <row r="130" customFormat="false" ht="17.15" hidden="false" customHeight="false" outlineLevel="0" collapsed="false">
      <c r="A130" s="4" t="s">
        <v>505</v>
      </c>
      <c r="B130" s="0" t="s">
        <v>169</v>
      </c>
      <c r="C130" s="28" t="n">
        <f aca="false">a_rev-(q25_sf+q25_ff+q25_hox+q25_fm+q25_oth)</f>
        <v>0.00200000000018008</v>
      </c>
      <c r="D130" s="28" t="n">
        <f aca="false">f_rev-(q26_sf+q26_ff+q26_hox+q26_fm+q26_oth)</f>
        <v>0.200000000000045</v>
      </c>
      <c r="E130" s="28" t="n">
        <f aca="false">$D130</f>
        <v>0.200000000000045</v>
      </c>
      <c r="F130" s="28" t="n">
        <f aca="false">$D130</f>
        <v>0.200000000000045</v>
      </c>
      <c r="G130" s="28" t="n">
        <f aca="false">$D130</f>
        <v>0.200000000000045</v>
      </c>
      <c r="K130" s="8" t="s">
        <v>506</v>
      </c>
    </row>
    <row r="131" customFormat="false" ht="15" hidden="false" customHeight="false" outlineLevel="0" collapsed="false">
      <c r="A131" s="4" t="s">
        <v>507</v>
      </c>
      <c r="B131" s="0" t="s">
        <v>169</v>
      </c>
      <c r="C131" s="28" t="n">
        <f aca="false">a_bp-(q25_sfbp+q25_ffbp+q25_hoxbp+q25_fmbp+q25_othbp+q25_cc)</f>
        <v>0.0010000000000332</v>
      </c>
      <c r="D131" s="28" t="n">
        <f aca="false">f_bp-(q26_sfbp+q26_ffbp+q26_hoxbp+q26_fmbp+q26_othbp+q26_cc)</f>
        <v>0.100000000000023</v>
      </c>
      <c r="E131" s="28" t="n">
        <f aca="false">$D131</f>
        <v>0.100000000000023</v>
      </c>
      <c r="F131" s="28" t="n">
        <f aca="false">$D131</f>
        <v>0.100000000000023</v>
      </c>
      <c r="G131" s="28" t="n">
        <f aca="false">$D131</f>
        <v>0.100000000000023</v>
      </c>
    </row>
    <row r="132" customFormat="false" ht="17.15" hidden="false" customHeight="false" outlineLevel="0" collapsed="false">
      <c r="A132" s="6" t="s">
        <v>508</v>
      </c>
    </row>
    <row r="133" customFormat="false" ht="17.15" hidden="false" customHeight="false" outlineLevel="0" collapsed="false">
      <c r="A133" s="4" t="s">
        <v>380</v>
      </c>
      <c r="B133" s="0" t="s">
        <v>169</v>
      </c>
      <c r="C133" s="15" t="n">
        <f aca="false">C121+C123+C125+C117+C127+C130</f>
        <v>1583.719</v>
      </c>
      <c r="D133" s="15" t="n">
        <f aca="false">D121+D123+D125+D117+D127+D130</f>
        <v>1732</v>
      </c>
      <c r="E133" s="15" t="n">
        <f aca="false">E121+E123+E125+E117+E127+E130</f>
        <v>1850.5656</v>
      </c>
      <c r="F133" s="15" t="n">
        <f aca="false">F121+F123+F125+F117+F127+F130</f>
        <v>1956.1063</v>
      </c>
      <c r="G133" s="15" t="n">
        <f aca="false">G121+G123+G125+G117+G127+G130</f>
        <v>2053.1320716</v>
      </c>
      <c r="H133" s="23" t="n">
        <f aca="false">G133*(1+H134)</f>
        <v>2162.08697548001</v>
      </c>
      <c r="I133" s="23" t="n">
        <f aca="false">H133*(1+I134)</f>
        <v>2284.31802729425</v>
      </c>
      <c r="J133" s="23" t="n">
        <f aca="false">I133*(1+J134)</f>
        <v>2421.3771089319</v>
      </c>
      <c r="K133" s="8" t="s">
        <v>509</v>
      </c>
    </row>
    <row r="134" customFormat="false" ht="15" hidden="false" customHeight="false" outlineLevel="0" collapsed="false">
      <c r="A134" s="4" t="s">
        <v>510</v>
      </c>
      <c r="B134" s="0" t="s">
        <v>77</v>
      </c>
      <c r="D134" s="16" t="n">
        <f aca="false">D133/C133-1</f>
        <v>0.0936283519993131</v>
      </c>
      <c r="E134" s="16" t="n">
        <f aca="false">E133/D133-1</f>
        <v>0.0684558891454965</v>
      </c>
      <c r="F134" s="16" t="n">
        <f aca="false">F133/E133-1</f>
        <v>0.0570315907741936</v>
      </c>
      <c r="G134" s="16" t="n">
        <f aca="false">G133/F133-1</f>
        <v>0.0496014820871442</v>
      </c>
      <c r="H134" s="24" t="n">
        <f aca="false">$G134+(fade_gA-$G134)*1/3</f>
        <v>0.0530676547247628</v>
      </c>
      <c r="I134" s="24" t="n">
        <f aca="false">$G134+(fade_gA-$G134)*2/3</f>
        <v>0.0565338273623814</v>
      </c>
      <c r="J134" s="24" t="n">
        <f aca="false">$G134+(fade_gA-$G134)*3/3</f>
        <v>0.06</v>
      </c>
    </row>
    <row r="135" customFormat="false" ht="17.15" hidden="false" customHeight="false" outlineLevel="0" collapsed="false">
      <c r="A135" s="0" t="s">
        <v>511</v>
      </c>
      <c r="B135" s="0" t="s">
        <v>77</v>
      </c>
      <c r="C135" s="16" t="n">
        <f aca="false">C117/C133</f>
        <v>0.0646902638662541</v>
      </c>
      <c r="D135" s="16" t="n">
        <f aca="false">D117/D133</f>
        <v>0.0696304849884527</v>
      </c>
      <c r="E135" s="16" t="n">
        <f aca="false">E117/E133</f>
        <v>0.0948864498507916</v>
      </c>
      <c r="F135" s="16" t="n">
        <f aca="false">F117/F133</f>
        <v>0.109896634963039</v>
      </c>
      <c r="G135" s="16" t="n">
        <f aca="false">G117/G133</f>
        <v>0.118418879799842</v>
      </c>
    </row>
    <row r="136" customFormat="false" ht="15" hidden="false" customHeight="false" outlineLevel="0" collapsed="false">
      <c r="A136" s="4" t="s">
        <v>390</v>
      </c>
      <c r="B136" s="0" t="s">
        <v>169</v>
      </c>
      <c r="C136" s="15" t="n">
        <f aca="false">C122+C124+C126+C119+C128+C129+C131</f>
        <v>181.163</v>
      </c>
      <c r="D136" s="15" t="n">
        <f aca="false">D122+D124+D126+D119+D128+D129+D131</f>
        <v>202</v>
      </c>
      <c r="E136" s="15" t="n">
        <f aca="false">E122+E124+E126+E119+E128+E129+E131</f>
        <v>246.03601</v>
      </c>
      <c r="F136" s="15" t="n">
        <f aca="false">F122+F124+F126+F119+F128+F129+F131</f>
        <v>274.6821448</v>
      </c>
      <c r="G136" s="15" t="n">
        <f aca="false">G122+G124+G126+G119+G128+G129+G131</f>
        <v>291.433339119</v>
      </c>
    </row>
    <row r="137" customFormat="false" ht="15" hidden="false" customHeight="false" outlineLevel="0" collapsed="false">
      <c r="A137" s="4" t="s">
        <v>406</v>
      </c>
      <c r="B137" s="0" t="s">
        <v>77</v>
      </c>
      <c r="C137" s="16" t="n">
        <f aca="false">C136/C133</f>
        <v>0.114390873633517</v>
      </c>
      <c r="D137" s="16" t="n">
        <f aca="false">D136/D133</f>
        <v>0.11662817551963</v>
      </c>
      <c r="E137" s="16" t="n">
        <f aca="false">E136/E133</f>
        <v>0.132951790522854</v>
      </c>
      <c r="F137" s="16" t="n">
        <f aca="false">F136/F133</f>
        <v>0.140422913008358</v>
      </c>
      <c r="G137" s="16" t="n">
        <f aca="false">G136/G133</f>
        <v>0.141945734105594</v>
      </c>
    </row>
    <row r="138" customFormat="false" ht="17.15" hidden="false" customHeight="false" outlineLevel="0" collapsed="false">
      <c r="A138" s="0" t="s">
        <v>512</v>
      </c>
      <c r="B138" s="0" t="s">
        <v>77</v>
      </c>
      <c r="C138" s="16" t="n">
        <f aca="false">C119/C136</f>
        <v>0.301386044611758</v>
      </c>
      <c r="D138" s="16" t="n">
        <f aca="false">D119/D136</f>
        <v>0.324257425742574</v>
      </c>
      <c r="E138" s="16" t="n">
        <f aca="false">E119/E136</f>
        <v>0.413820318415991</v>
      </c>
      <c r="F138" s="16" t="n">
        <f aca="false">F119/F136</f>
        <v>0.452753620336519</v>
      </c>
      <c r="G138" s="16" t="n">
        <f aca="false">G119/G136</f>
        <v>0.462379961562931</v>
      </c>
    </row>
    <row r="139" customFormat="false" ht="17.15" hidden="false" customHeight="false" outlineLevel="0" collapsed="false">
      <c r="A139" s="4" t="s">
        <v>407</v>
      </c>
      <c r="B139" s="0" t="s">
        <v>52</v>
      </c>
      <c r="C139" s="21" t="n">
        <f aca="false">q25_ni/q25_bp</f>
        <v>0.743391310587703</v>
      </c>
      <c r="D139" s="21" t="n">
        <f aca="false">q26_ni/q26_bp</f>
        <v>0.611386138613861</v>
      </c>
      <c r="E139" s="21" t="n">
        <f aca="false">ni_bp</f>
        <v>0.62</v>
      </c>
      <c r="F139" s="21" t="n">
        <f aca="false">ni_bp</f>
        <v>0.62</v>
      </c>
      <c r="G139" s="21" t="n">
        <f aca="false">ni_bp</f>
        <v>0.62</v>
      </c>
    </row>
    <row r="140" customFormat="false" ht="15" hidden="false" customHeight="false" outlineLevel="0" collapsed="false">
      <c r="A140" s="4" t="s">
        <v>397</v>
      </c>
      <c r="B140" s="0" t="s">
        <v>169</v>
      </c>
      <c r="C140" s="15" t="n">
        <f aca="false">q25_ni</f>
        <v>134.675</v>
      </c>
      <c r="D140" s="15" t="n">
        <f aca="false">q26_ni</f>
        <v>123.5</v>
      </c>
      <c r="E140" s="15" t="n">
        <f aca="false">E136*E139</f>
        <v>152.5423262</v>
      </c>
      <c r="F140" s="15" t="n">
        <f aca="false">F136*F139</f>
        <v>170.302929776</v>
      </c>
      <c r="G140" s="15" t="n">
        <f aca="false">G136*G139</f>
        <v>180.68867025378</v>
      </c>
      <c r="H140" s="23" t="n">
        <f aca="false">H133*H144</f>
        <v>190.277394219484</v>
      </c>
      <c r="I140" s="23" t="n">
        <f aca="false">I133*I144</f>
        <v>201.034503575252</v>
      </c>
      <c r="J140" s="23" t="n">
        <f aca="false">J133*J144</f>
        <v>213.096573789767</v>
      </c>
    </row>
    <row r="141" customFormat="false" ht="15" hidden="false" customHeight="false" outlineLevel="0" collapsed="false">
      <c r="A141" s="4" t="s">
        <v>513</v>
      </c>
      <c r="B141" s="4" t="s">
        <v>316</v>
      </c>
      <c r="C141" s="19" t="n">
        <f aca="false">q25_sh</f>
        <v>0.973366579936398</v>
      </c>
      <c r="D141" s="19" t="n">
        <f aca="false">q26_sh</f>
        <v>0.95117067159581</v>
      </c>
      <c r="E141" s="19" t="n">
        <f aca="false">D141*(1+sh_g)</f>
        <v>0.936903111521873</v>
      </c>
      <c r="F141" s="19" t="n">
        <f aca="false">E141*(1+sh_g)</f>
        <v>0.922849564849045</v>
      </c>
      <c r="G141" s="19" t="n">
        <f aca="false">F141*(1+sh_g)</f>
        <v>0.909006821376309</v>
      </c>
      <c r="H141" s="29" t="n">
        <f aca="false">G141*(1+sh_g)</f>
        <v>0.895371719055665</v>
      </c>
      <c r="I141" s="29" t="n">
        <f aca="false">H141*(1+sh_g)</f>
        <v>0.88194114326983</v>
      </c>
      <c r="J141" s="29" t="n">
        <f aca="false">I141*(1+sh_g)</f>
        <v>0.868712026120782</v>
      </c>
    </row>
    <row r="142" customFormat="false" ht="17.15" hidden="false" customHeight="false" outlineLevel="0" collapsed="false">
      <c r="A142" s="0" t="s">
        <v>514</v>
      </c>
      <c r="B142" s="0" t="s">
        <v>207</v>
      </c>
      <c r="C142" s="20" t="n">
        <f aca="false">C140/C141</f>
        <v>138.36</v>
      </c>
      <c r="D142" s="20" t="n">
        <f aca="false">D140/D141</f>
        <v>129.84</v>
      </c>
      <c r="E142" s="20" t="n">
        <f aca="false">E140/E141</f>
        <v>162.815476140554</v>
      </c>
      <c r="F142" s="20" t="n">
        <f aca="false">F140/F141</f>
        <v>184.540293741004</v>
      </c>
      <c r="G142" s="20" t="n">
        <f aca="false">G140/G141</f>
        <v>198.775923353582</v>
      </c>
      <c r="H142" s="27" t="n">
        <f aca="false">H140/H141</f>
        <v>212.512178093102</v>
      </c>
      <c r="I142" s="27" t="n">
        <f aca="false">I140/I141</f>
        <v>227.945487189666</v>
      </c>
      <c r="J142" s="27" t="n">
        <f aca="false">J140/J141</f>
        <v>245.301742559438</v>
      </c>
    </row>
    <row r="143" customFormat="false" ht="17.15" hidden="false" customHeight="false" outlineLevel="0" collapsed="false">
      <c r="A143" s="0" t="s">
        <v>515</v>
      </c>
      <c r="B143" s="0" t="s">
        <v>77</v>
      </c>
      <c r="D143" s="16" t="n">
        <f aca="false">D142/C142-1</f>
        <v>-0.0615784908933218</v>
      </c>
      <c r="E143" s="16" t="n">
        <f aca="false">E142/D142-1</f>
        <v>0.253970087342527</v>
      </c>
      <c r="F143" s="16" t="n">
        <f aca="false">F142/E142-1</f>
        <v>0.133432141190899</v>
      </c>
      <c r="G143" s="16" t="n">
        <f aca="false">G142/F142-1</f>
        <v>0.0771410369193262</v>
      </c>
      <c r="H143" s="24" t="n">
        <f aca="false">H142/G142-1</f>
        <v>0.0691042179946833</v>
      </c>
      <c r="I143" s="24" t="n">
        <f aca="false">I142/H142-1</f>
        <v>0.0726231749871891</v>
      </c>
      <c r="J143" s="24" t="n">
        <f aca="false">J142/I142-1</f>
        <v>0.0761421319796956</v>
      </c>
    </row>
    <row r="144" customFormat="false" ht="15" hidden="false" customHeight="false" outlineLevel="0" collapsed="false">
      <c r="A144" s="4" t="s">
        <v>516</v>
      </c>
      <c r="B144" s="0" t="s">
        <v>77</v>
      </c>
      <c r="C144" s="25" t="n">
        <f aca="false">C140/C133</f>
        <v>0.0850371814696925</v>
      </c>
      <c r="D144" s="25" t="n">
        <f aca="false">D140/D133</f>
        <v>0.0713048498845266</v>
      </c>
      <c r="E144" s="25" t="n">
        <f aca="false">E140/E133</f>
        <v>0.0824301101241696</v>
      </c>
      <c r="F144" s="25" t="n">
        <f aca="false">F140/F133</f>
        <v>0.0870622060651816</v>
      </c>
      <c r="G144" s="25" t="n">
        <f aca="false">G140/G133</f>
        <v>0.088006355145468</v>
      </c>
      <c r="H144" s="26" t="n">
        <f aca="false">$G144+(fade_mA-$G144)*1/3</f>
        <v>0.088006355145468</v>
      </c>
      <c r="I144" s="26" t="n">
        <f aca="false">$G144+(fade_mA-$G144)*2/3</f>
        <v>0.088006355145468</v>
      </c>
      <c r="J144" s="26" t="n">
        <f aca="false">$G144+(fade_mA-$G144)*3/3</f>
        <v>0.088006355145468</v>
      </c>
    </row>
    <row r="145" customFormat="false" ht="17.15" hidden="false" customHeight="false" outlineLevel="0" collapsed="false">
      <c r="A145" s="0" t="s">
        <v>517</v>
      </c>
      <c r="B145" s="0" t="s">
        <v>207</v>
      </c>
      <c r="D145" s="20" t="n">
        <f aca="false">D119*D139/D141</f>
        <v>42.1015841584158</v>
      </c>
      <c r="E145" s="20" t="n">
        <f aca="false">E119*E139/E141</f>
        <v>67.3763521795352</v>
      </c>
      <c r="F145" s="20" t="n">
        <f aca="false">F119*F139/F141</f>
        <v>83.551286089204</v>
      </c>
      <c r="G145" s="20" t="n">
        <f aca="false">G119*G139/G141</f>
        <v>91.9100037998653</v>
      </c>
      <c r="K145" s="8" t="s">
        <v>518</v>
      </c>
    </row>
    <row r="146" customFormat="false" ht="17.15" hidden="false" customHeight="false" outlineLevel="0" collapsed="false">
      <c r="A146" s="0" t="s">
        <v>519</v>
      </c>
      <c r="B146" s="0" t="s">
        <v>207</v>
      </c>
      <c r="D146" s="20" t="n">
        <f aca="false">D142-D145</f>
        <v>87.7384158415842</v>
      </c>
      <c r="E146" s="20" t="n">
        <f aca="false">E142-E145</f>
        <v>95.4391239610186</v>
      </c>
      <c r="F146" s="20" t="n">
        <f aca="false">F142-F145</f>
        <v>100.9890076518</v>
      </c>
      <c r="G146" s="20" t="n">
        <f aca="false">G142-G145</f>
        <v>106.865919553716</v>
      </c>
    </row>
    <row r="147" customFormat="false" ht="17.15" hidden="false" customHeight="false" outlineLevel="0" collapsed="false">
      <c r="A147" s="0" t="s">
        <v>520</v>
      </c>
      <c r="B147" s="0" t="s">
        <v>432</v>
      </c>
      <c r="D147" s="15" t="n">
        <f aca="false">D115/D105*1000/150</f>
        <v>29.3859649122807</v>
      </c>
      <c r="E147" s="15" t="n">
        <f aca="false">E115/E105*1000/150</f>
        <v>35.6451812016804</v>
      </c>
      <c r="F147" s="15" t="n">
        <f aca="false">F115/F105*1000/150</f>
        <v>42.3433519332741</v>
      </c>
      <c r="G147" s="15" t="n">
        <f aca="false">G115/G105*1000/150</f>
        <v>45.2540787992849</v>
      </c>
      <c r="K147" s="8" t="s">
        <v>521</v>
      </c>
    </row>
    <row r="150" customFormat="false" ht="17.15" hidden="false" customHeight="false" outlineLevel="0" collapsed="false">
      <c r="A150" s="1" t="s">
        <v>865</v>
      </c>
    </row>
    <row r="151" customFormat="false" ht="17.15" hidden="false" customHeight="false" outlineLevel="0" collapsed="false">
      <c r="A151" s="5" t="s">
        <v>19</v>
      </c>
      <c r="B151" s="5" t="s">
        <v>20</v>
      </c>
      <c r="C151" s="14" t="s">
        <v>374</v>
      </c>
      <c r="D151" s="14" t="s">
        <v>447</v>
      </c>
      <c r="E151" s="14" t="s">
        <v>412</v>
      </c>
      <c r="F151" s="14" t="s">
        <v>413</v>
      </c>
      <c r="G151" s="14" t="s">
        <v>414</v>
      </c>
      <c r="H151" s="14" t="s">
        <v>448</v>
      </c>
      <c r="I151" s="14" t="s">
        <v>449</v>
      </c>
      <c r="J151" s="14" t="s">
        <v>450</v>
      </c>
      <c r="K151" s="5" t="s">
        <v>379</v>
      </c>
    </row>
    <row r="152" customFormat="false" ht="17.15" hidden="false" customHeight="false" outlineLevel="0" collapsed="false">
      <c r="A152" s="6" t="s">
        <v>470</v>
      </c>
    </row>
    <row r="153" customFormat="false" ht="17.15" hidden="false" customHeight="false" outlineLevel="0" collapsed="false">
      <c r="A153" s="0" t="s">
        <v>471</v>
      </c>
      <c r="B153" s="4" t="s">
        <v>30</v>
      </c>
      <c r="D153" s="20" t="n">
        <f aca="false">unv_26</f>
        <v>7.6</v>
      </c>
      <c r="E153" s="20" t="n">
        <f aca="false">unv_27</f>
        <v>9.7</v>
      </c>
      <c r="F153" s="20" t="n">
        <f aca="false">unv_28*um28_A</f>
        <v>9.5</v>
      </c>
      <c r="G153" s="20" t="n">
        <f aca="false">unv_29*um29_A</f>
        <v>10.6</v>
      </c>
      <c r="K153" s="8" t="s">
        <v>472</v>
      </c>
    </row>
    <row r="154" customFormat="false" ht="17.15" hidden="false" customHeight="false" outlineLevel="0" collapsed="false">
      <c r="A154" s="4" t="s">
        <v>473</v>
      </c>
      <c r="B154" s="4" t="s">
        <v>30</v>
      </c>
      <c r="D154" s="20" t="n">
        <f aca="false">uot_26</f>
        <v>7.6</v>
      </c>
      <c r="E154" s="20" t="n">
        <f aca="false">uot_27</f>
        <v>14</v>
      </c>
      <c r="F154" s="20" t="n">
        <f aca="false">uot_28*um28_A</f>
        <v>17</v>
      </c>
      <c r="G154" s="20" t="n">
        <f aca="false">uot_29*um29_A</f>
        <v>19.55</v>
      </c>
      <c r="K154" s="8" t="s">
        <v>474</v>
      </c>
    </row>
    <row r="155" customFormat="false" ht="17.15" hidden="false" customHeight="false" outlineLevel="0" collapsed="false">
      <c r="A155" s="4" t="s">
        <v>475</v>
      </c>
      <c r="B155" s="4" t="s">
        <v>30</v>
      </c>
      <c r="D155" s="20" t="n">
        <f aca="false">D153+v_ot*D154</f>
        <v>13.68</v>
      </c>
      <c r="E155" s="20" t="n">
        <f aca="false">E153+v_ot*E154</f>
        <v>20.9</v>
      </c>
      <c r="F155" s="20" t="n">
        <f aca="false">F153+v_ot*F154</f>
        <v>23.1</v>
      </c>
      <c r="G155" s="20" t="n">
        <f aca="false">G153+v_ot*G154</f>
        <v>26.24</v>
      </c>
    </row>
    <row r="156" customFormat="false" ht="17.15" hidden="false" customHeight="false" outlineLevel="0" collapsed="false">
      <c r="A156" s="4" t="s">
        <v>476</v>
      </c>
      <c r="B156" s="0" t="s">
        <v>52</v>
      </c>
      <c r="D156" s="21" t="n">
        <f aca="false">1</f>
        <v>1</v>
      </c>
      <c r="E156" s="21" t="n">
        <f aca="false">D156*(1+g_asp_lo)</f>
        <v>1.1</v>
      </c>
      <c r="F156" s="21" t="n">
        <f aca="false">E156*(1+g_asp_lo)</f>
        <v>1.21</v>
      </c>
      <c r="G156" s="21" t="n">
        <f aca="false">F156*(1+g_asp_lo)</f>
        <v>1.331</v>
      </c>
    </row>
    <row r="157" customFormat="false" ht="17.15" hidden="false" customHeight="false" outlineLevel="0" collapsed="false">
      <c r="A157" s="4" t="s">
        <v>477</v>
      </c>
      <c r="B157" s="0" t="s">
        <v>52</v>
      </c>
      <c r="D157" s="18" t="n">
        <f aca="false">1</f>
        <v>1</v>
      </c>
      <c r="E157" s="18" t="n">
        <f aca="false">rel_27</f>
        <v>1</v>
      </c>
      <c r="F157" s="18" t="n">
        <f aca="false">rel_28</f>
        <v>0.97</v>
      </c>
      <c r="G157" s="18" t="n">
        <f aca="false">rel_29</f>
        <v>0.95</v>
      </c>
    </row>
    <row r="158" customFormat="false" ht="17.15" hidden="false" customHeight="false" outlineLevel="0" collapsed="false">
      <c r="A158" s="0" t="s">
        <v>478</v>
      </c>
      <c r="B158" s="0" t="s">
        <v>52</v>
      </c>
      <c r="D158" s="21" t="n">
        <f aca="false">D155/$D155*D156*D157</f>
        <v>1</v>
      </c>
      <c r="E158" s="21" t="n">
        <f aca="false">E155/$D155*E156*E157</f>
        <v>1.68055555555556</v>
      </c>
      <c r="F158" s="21" t="n">
        <f aca="false">F155/$D155*F156*F157</f>
        <v>1.98190570175439</v>
      </c>
      <c r="G158" s="21" t="n">
        <f aca="false">G155/$D155*G156*G157</f>
        <v>2.42537777777778</v>
      </c>
      <c r="K158" s="4" t="s">
        <v>479</v>
      </c>
    </row>
    <row r="159" customFormat="false" ht="17.15" hidden="false" customHeight="false" outlineLevel="0" collapsed="false">
      <c r="A159" s="4" t="s">
        <v>480</v>
      </c>
      <c r="B159" s="0" t="s">
        <v>52</v>
      </c>
      <c r="D159" s="21" t="n">
        <f aca="false">1</f>
        <v>1</v>
      </c>
      <c r="E159" s="21" t="n">
        <f aca="false">D159*(1+g_nai)</f>
        <v>1.03</v>
      </c>
      <c r="F159" s="21" t="n">
        <f aca="false">E159*(1+g_nai)</f>
        <v>1.0609</v>
      </c>
      <c r="G159" s="21" t="n">
        <f aca="false">F159*(1+g_nai)</f>
        <v>1.092727</v>
      </c>
    </row>
    <row r="160" customFormat="false" ht="17.15" hidden="false" customHeight="false" outlineLevel="0" collapsed="false">
      <c r="A160" s="0" t="s">
        <v>481</v>
      </c>
      <c r="B160" s="0" t="s">
        <v>52</v>
      </c>
      <c r="D160" s="21" t="n">
        <f aca="false">ai_sh*D158+(1-ai_sh)*D159</f>
        <v>1</v>
      </c>
      <c r="E160" s="21" t="n">
        <f aca="false">ai_sh*E158+(1-ai_sh)*E159</f>
        <v>1.29022222222222</v>
      </c>
      <c r="F160" s="21" t="n">
        <f aca="false">ai_sh*F158+(1-ai_sh)*F159</f>
        <v>1.42930228070175</v>
      </c>
      <c r="G160" s="21" t="n">
        <f aca="false">ai_sh*G158+(1-ai_sh)*G159</f>
        <v>1.62578731111111</v>
      </c>
    </row>
    <row r="161" customFormat="false" ht="17.15" hidden="false" customHeight="false" outlineLevel="0" collapsed="false">
      <c r="A161" s="4" t="s">
        <v>482</v>
      </c>
      <c r="B161" s="0" t="s">
        <v>52</v>
      </c>
      <c r="D161" s="21" t="n">
        <f aca="false">1</f>
        <v>1</v>
      </c>
      <c r="E161" s="21" t="n">
        <f aca="false">cap_27</f>
        <v>1.3</v>
      </c>
      <c r="F161" s="21" t="n">
        <f aca="false">cap_28</f>
        <v>1.55</v>
      </c>
      <c r="G161" s="21" t="n">
        <f aca="false">cap_29</f>
        <v>1.8</v>
      </c>
      <c r="K161" s="4" t="s">
        <v>483</v>
      </c>
    </row>
    <row r="162" customFormat="false" ht="17.15" hidden="false" customHeight="false" outlineLevel="0" collapsed="false">
      <c r="A162" s="4" t="s">
        <v>484</v>
      </c>
      <c r="B162" s="0" t="s">
        <v>52</v>
      </c>
      <c r="D162" s="21" t="n">
        <f aca="false">MIN(D160,D161)</f>
        <v>1</v>
      </c>
      <c r="E162" s="21" t="n">
        <f aca="false">MIN(E160,E161)</f>
        <v>1.29022222222222</v>
      </c>
      <c r="F162" s="21" t="n">
        <f aca="false">MIN(F160,F161)</f>
        <v>1.42930228070175</v>
      </c>
      <c r="G162" s="21" t="n">
        <f aca="false">MIN(G160,G161)</f>
        <v>1.62578731111111</v>
      </c>
    </row>
    <row r="163" customFormat="false" ht="17.15" hidden="false" customHeight="false" outlineLevel="0" collapsed="false">
      <c r="A163" s="4" t="s">
        <v>485</v>
      </c>
      <c r="B163" s="0" t="s">
        <v>77</v>
      </c>
      <c r="D163" s="16" t="n">
        <f aca="false">D162/D160</f>
        <v>1</v>
      </c>
      <c r="E163" s="16" t="n">
        <f aca="false">E162/E160</f>
        <v>1</v>
      </c>
      <c r="F163" s="16" t="n">
        <f aca="false">F162/F160</f>
        <v>1</v>
      </c>
      <c r="G163" s="16" t="n">
        <f aca="false">G162/G160</f>
        <v>1</v>
      </c>
      <c r="K163" s="4" t="s">
        <v>486</v>
      </c>
    </row>
    <row r="164" customFormat="false" ht="17.15" hidden="false" customHeight="false" outlineLevel="0" collapsed="false">
      <c r="A164" s="0" t="s">
        <v>487</v>
      </c>
      <c r="B164" s="0" t="s">
        <v>52</v>
      </c>
      <c r="D164" s="21" t="n">
        <f aca="false">1</f>
        <v>1</v>
      </c>
      <c r="E164" s="21" t="n">
        <f aca="false">pp_27</f>
        <v>1.12</v>
      </c>
      <c r="F164" s="21" t="n">
        <f aca="false">pp_28*sp_A</f>
        <v>1.15</v>
      </c>
      <c r="G164" s="21" t="n">
        <f aca="false">pp_29*sp_A</f>
        <v>1.12</v>
      </c>
      <c r="K164" s="8" t="s">
        <v>488</v>
      </c>
    </row>
    <row r="165" customFormat="false" ht="17.15" hidden="false" customHeight="false" outlineLevel="0" collapsed="false">
      <c r="A165" s="0" t="s">
        <v>429</v>
      </c>
      <c r="B165" s="0" t="s">
        <v>169</v>
      </c>
      <c r="D165" s="15" t="n">
        <f aca="false">q26_fm*ai_sh</f>
        <v>48.24</v>
      </c>
      <c r="E165" s="15" t="n">
        <f aca="false">q26_fm*ai_sh*E158*E163*E164</f>
        <v>90.7984</v>
      </c>
      <c r="F165" s="15" t="n">
        <f aca="false">q26_fm*ai_sh*F158*F163*F164</f>
        <v>109.948200710526</v>
      </c>
      <c r="G165" s="15" t="n">
        <f aca="false">q26_fm*ai_sh*G158*G163*G164</f>
        <v>131.04025088</v>
      </c>
      <c r="K165" s="8" t="s">
        <v>489</v>
      </c>
    </row>
    <row r="166" customFormat="false" ht="17.15" hidden="false" customHeight="false" outlineLevel="0" collapsed="false">
      <c r="A166" s="0" t="s">
        <v>490</v>
      </c>
      <c r="B166" s="0" t="s">
        <v>169</v>
      </c>
      <c r="D166" s="15" t="n">
        <f aca="false">q26_fm*(1-ai_sh)</f>
        <v>72.36</v>
      </c>
      <c r="E166" s="15" t="n">
        <f aca="false">q26_fm*(1-ai_sh)*E159*E163*E164</f>
        <v>83.474496</v>
      </c>
      <c r="F166" s="15" t="n">
        <f aca="false">q26_fm*(1-ai_sh)*F159*F163*F164</f>
        <v>88.2817326</v>
      </c>
      <c r="G166" s="15" t="n">
        <f aca="false">q26_fm*(1-ai_sh)*G159*G163*G164</f>
        <v>88.5580928064</v>
      </c>
    </row>
    <row r="167" customFormat="false" ht="17.15" hidden="false" customHeight="false" outlineLevel="0" collapsed="false">
      <c r="A167" s="4" t="s">
        <v>491</v>
      </c>
      <c r="B167" s="0" t="s">
        <v>169</v>
      </c>
      <c r="C167" s="15" t="n">
        <f aca="false">q25_fm</f>
        <v>102.4512</v>
      </c>
      <c r="D167" s="15" t="n">
        <f aca="false">D165+D166</f>
        <v>120.6</v>
      </c>
      <c r="E167" s="15" t="n">
        <f aca="false">E165+E166</f>
        <v>174.272896</v>
      </c>
      <c r="F167" s="15" t="n">
        <f aca="false">F165+F166</f>
        <v>198.229933310526</v>
      </c>
      <c r="G167" s="15" t="n">
        <f aca="false">G165+G166</f>
        <v>219.5983436864</v>
      </c>
    </row>
    <row r="168" customFormat="false" ht="17.15" hidden="false" customHeight="false" outlineLevel="0" collapsed="false">
      <c r="A168" s="0" t="s">
        <v>492</v>
      </c>
      <c r="B168" s="0" t="s">
        <v>77</v>
      </c>
      <c r="C168" s="16" t="n">
        <f aca="false">q25_fmbp/q25_fm</f>
        <v>0.532936656671664</v>
      </c>
      <c r="D168" s="16" t="n">
        <f aca="false">q26_fmbp/q26_fm</f>
        <v>0.543117744610282</v>
      </c>
      <c r="E168" s="16" t="n">
        <f aca="false">1-(1-$D168)*(1+c_g)^1/E164</f>
        <v>0.579831497275527</v>
      </c>
      <c r="F168" s="16" t="n">
        <f aca="false">1-(1-$D168)*(1+c_g)^2/F164</f>
        <v>0.578516187180042</v>
      </c>
      <c r="G168" s="16" t="n">
        <f aca="false">1-(1-$D168)*(1+c_g)^3/G164</f>
        <v>0.554243235459607</v>
      </c>
      <c r="K168" s="8" t="s">
        <v>493</v>
      </c>
    </row>
    <row r="169" customFormat="false" ht="17.15" hidden="false" customHeight="false" outlineLevel="0" collapsed="false">
      <c r="A169" s="0" t="s">
        <v>455</v>
      </c>
      <c r="B169" s="0" t="s">
        <v>169</v>
      </c>
      <c r="C169" s="15" t="n">
        <f aca="false">q25_fmbp</f>
        <v>54.6</v>
      </c>
      <c r="D169" s="15" t="n">
        <f aca="false">D167*D168</f>
        <v>65.5</v>
      </c>
      <c r="E169" s="15" t="n">
        <f aca="false">E167*E168</f>
        <v>101.048914222222</v>
      </c>
      <c r="F169" s="15" t="n">
        <f aca="false">F167*F168</f>
        <v>114.67922520376</v>
      </c>
      <c r="G169" s="15" t="n">
        <f aca="false">G167*G168</f>
        <v>121.710896506321</v>
      </c>
    </row>
    <row r="170" customFormat="false" ht="17.15" hidden="false" customHeight="false" outlineLevel="0" collapsed="false">
      <c r="A170" s="6" t="s">
        <v>494</v>
      </c>
    </row>
    <row r="171" customFormat="false" ht="15" hidden="false" customHeight="false" outlineLevel="0" collapsed="false">
      <c r="A171" s="4" t="s">
        <v>495</v>
      </c>
      <c r="B171" s="0" t="s">
        <v>169</v>
      </c>
      <c r="C171" s="15" t="n">
        <f aca="false">q25_sf</f>
        <v>936.926</v>
      </c>
      <c r="D171" s="15" t="n">
        <f aca="false">q26_sf</f>
        <v>998.6</v>
      </c>
      <c r="E171" s="15" t="n">
        <f aca="false">D171*(1+g_sf)</f>
        <v>1038.544</v>
      </c>
      <c r="F171" s="15" t="n">
        <f aca="false">E171*(1+g_sf)</f>
        <v>1080.08576</v>
      </c>
      <c r="G171" s="15" t="n">
        <f aca="false">F171*(1+g_sf)</f>
        <v>1123.2891904</v>
      </c>
    </row>
    <row r="172" customFormat="false" ht="15" hidden="false" customHeight="false" outlineLevel="0" collapsed="false">
      <c r="A172" s="4" t="s">
        <v>496</v>
      </c>
      <c r="B172" s="0" t="s">
        <v>169</v>
      </c>
      <c r="C172" s="15" t="n">
        <f aca="false">q25_sfbp</f>
        <v>143.036</v>
      </c>
      <c r="D172" s="15" t="n">
        <f aca="false">q26_sfbp</f>
        <v>145.9</v>
      </c>
      <c r="E172" s="15" t="n">
        <f aca="false">E171*m_sf</f>
        <v>151.736</v>
      </c>
      <c r="F172" s="15" t="n">
        <f aca="false">F171*m_sf</f>
        <v>157.80544</v>
      </c>
      <c r="G172" s="15" t="n">
        <f aca="false">G171*m_sf</f>
        <v>164.1176576</v>
      </c>
    </row>
    <row r="173" customFormat="false" ht="15" hidden="false" customHeight="false" outlineLevel="0" collapsed="false">
      <c r="A173" s="4" t="s">
        <v>497</v>
      </c>
      <c r="B173" s="0" t="s">
        <v>169</v>
      </c>
      <c r="C173" s="15" t="n">
        <f aca="false">q25_ff</f>
        <v>290.308</v>
      </c>
      <c r="D173" s="15" t="n">
        <f aca="false">q26_ff</f>
        <v>310.6</v>
      </c>
      <c r="E173" s="15" t="n">
        <f aca="false">D173*(1+g_ff)</f>
        <v>319.918</v>
      </c>
      <c r="F173" s="15" t="n">
        <f aca="false">E173*(1+g_ff)</f>
        <v>329.51554</v>
      </c>
      <c r="G173" s="15" t="n">
        <f aca="false">F173*(1+g_ff)</f>
        <v>339.4010062</v>
      </c>
    </row>
    <row r="174" customFormat="false" ht="15" hidden="false" customHeight="false" outlineLevel="0" collapsed="false">
      <c r="A174" s="4" t="s">
        <v>498</v>
      </c>
      <c r="B174" s="0" t="s">
        <v>169</v>
      </c>
      <c r="C174" s="15" t="n">
        <f aca="false">q25_ffbp</f>
        <v>8.457</v>
      </c>
      <c r="D174" s="15" t="n">
        <f aca="false">q26_ffbp</f>
        <v>12.1</v>
      </c>
      <c r="E174" s="15" t="n">
        <f aca="false">E173*m_ff</f>
        <v>14.39631</v>
      </c>
      <c r="F174" s="15" t="n">
        <f aca="false">F173*m_ff</f>
        <v>14.8281993</v>
      </c>
      <c r="G174" s="15" t="n">
        <f aca="false">G173*m_ff</f>
        <v>15.273045279</v>
      </c>
    </row>
    <row r="175" customFormat="false" ht="17.15" hidden="false" customHeight="false" outlineLevel="0" collapsed="false">
      <c r="A175" s="4" t="s">
        <v>499</v>
      </c>
      <c r="B175" s="0" t="s">
        <v>169</v>
      </c>
      <c r="C175" s="15" t="n">
        <f aca="false">q25_hox</f>
        <v>239.0528</v>
      </c>
      <c r="D175" s="15" t="n">
        <f aca="false">q26_hox</f>
        <v>286.2</v>
      </c>
      <c r="E175" s="15" t="n">
        <f aca="false">D175*(1+g_ho)</f>
        <v>300.51</v>
      </c>
      <c r="F175" s="15" t="n">
        <f aca="false">E175*(1+g_ho)</f>
        <v>315.5355</v>
      </c>
      <c r="G175" s="15" t="n">
        <f aca="false">F175*(1+g_ho)</f>
        <v>331.312275</v>
      </c>
    </row>
    <row r="176" customFormat="false" ht="17.15" hidden="false" customHeight="false" outlineLevel="0" collapsed="false">
      <c r="A176" s="4" t="s">
        <v>500</v>
      </c>
      <c r="B176" s="0" t="s">
        <v>169</v>
      </c>
      <c r="C176" s="15" t="n">
        <f aca="false">q25_hoxbp</f>
        <v>11.602</v>
      </c>
      <c r="D176" s="15" t="n">
        <f aca="false">q26_hoxbp</f>
        <v>19.5</v>
      </c>
      <c r="E176" s="15" t="n">
        <f aca="false">E175*m_ho</f>
        <v>20.475</v>
      </c>
      <c r="F176" s="15" t="n">
        <f aca="false">F175*m_ho</f>
        <v>21.49875</v>
      </c>
      <c r="G176" s="15" t="n">
        <f aca="false">G175*m_ho</f>
        <v>22.5736875</v>
      </c>
    </row>
    <row r="177" customFormat="false" ht="17.15" hidden="false" customHeight="false" outlineLevel="0" collapsed="false">
      <c r="A177" s="4" t="s">
        <v>501</v>
      </c>
      <c r="B177" s="0" t="s">
        <v>169</v>
      </c>
      <c r="C177" s="15" t="n">
        <f aca="false">q25_oth</f>
        <v>14.979</v>
      </c>
      <c r="D177" s="15" t="n">
        <f aca="false">q26_oth</f>
        <v>15.8</v>
      </c>
      <c r="E177" s="15" t="n">
        <f aca="false">D177</f>
        <v>15.8</v>
      </c>
      <c r="F177" s="15" t="n">
        <f aca="false">E177</f>
        <v>15.8</v>
      </c>
      <c r="G177" s="15" t="n">
        <f aca="false">F177</f>
        <v>15.8</v>
      </c>
      <c r="K177" s="8" t="s">
        <v>502</v>
      </c>
    </row>
    <row r="178" customFormat="false" ht="15" hidden="false" customHeight="false" outlineLevel="0" collapsed="false">
      <c r="A178" s="4" t="s">
        <v>503</v>
      </c>
      <c r="B178" s="0" t="s">
        <v>169</v>
      </c>
      <c r="C178" s="15" t="n">
        <f aca="false">q25_othbp</f>
        <v>6.064</v>
      </c>
      <c r="D178" s="15" t="n">
        <f aca="false">q26_othbp</f>
        <v>5.1</v>
      </c>
      <c r="E178" s="15" t="n">
        <f aca="false">q26_othbp</f>
        <v>5.1</v>
      </c>
      <c r="F178" s="15" t="n">
        <f aca="false">q26_othbp</f>
        <v>5.1</v>
      </c>
      <c r="G178" s="15" t="n">
        <f aca="false">q26_othbp</f>
        <v>5.1</v>
      </c>
    </row>
    <row r="179" customFormat="false" ht="15" hidden="false" customHeight="false" outlineLevel="0" collapsed="false">
      <c r="A179" s="4" t="s">
        <v>504</v>
      </c>
      <c r="B179" s="0" t="s">
        <v>169</v>
      </c>
      <c r="C179" s="15" t="n">
        <f aca="false">q25_cc</f>
        <v>-42.597</v>
      </c>
      <c r="D179" s="15" t="n">
        <f aca="false">q26_cc</f>
        <v>-46.2</v>
      </c>
      <c r="E179" s="15" t="n">
        <f aca="false">D179*(1+g_cc)</f>
        <v>-47.586</v>
      </c>
      <c r="F179" s="15" t="n">
        <f aca="false">E179*(1+g_cc)</f>
        <v>-49.01358</v>
      </c>
      <c r="G179" s="15" t="n">
        <f aca="false">F179*(1+g_cc)</f>
        <v>-50.4839874</v>
      </c>
    </row>
    <row r="180" customFormat="false" ht="17.15" hidden="false" customHeight="false" outlineLevel="0" collapsed="false">
      <c r="A180" s="4" t="s">
        <v>505</v>
      </c>
      <c r="B180" s="0" t="s">
        <v>169</v>
      </c>
      <c r="C180" s="28" t="n">
        <f aca="false">a_rev-(q25_sf+q25_ff+q25_hox+q25_fm+q25_oth)</f>
        <v>0.00200000000018008</v>
      </c>
      <c r="D180" s="28" t="n">
        <f aca="false">f_rev-(q26_sf+q26_ff+q26_hox+q26_fm+q26_oth)</f>
        <v>0.200000000000045</v>
      </c>
      <c r="E180" s="28" t="n">
        <f aca="false">$D180</f>
        <v>0.200000000000045</v>
      </c>
      <c r="F180" s="28" t="n">
        <f aca="false">$D180</f>
        <v>0.200000000000045</v>
      </c>
      <c r="G180" s="28" t="n">
        <f aca="false">$D180</f>
        <v>0.200000000000045</v>
      </c>
      <c r="K180" s="8" t="s">
        <v>506</v>
      </c>
    </row>
    <row r="181" customFormat="false" ht="15" hidden="false" customHeight="false" outlineLevel="0" collapsed="false">
      <c r="A181" s="4" t="s">
        <v>507</v>
      </c>
      <c r="B181" s="0" t="s">
        <v>169</v>
      </c>
      <c r="C181" s="28" t="n">
        <f aca="false">a_bp-(q25_sfbp+q25_ffbp+q25_hoxbp+q25_fmbp+q25_othbp+q25_cc)</f>
        <v>0.0010000000000332</v>
      </c>
      <c r="D181" s="28" t="n">
        <f aca="false">f_bp-(q26_sfbp+q26_ffbp+q26_hoxbp+q26_fmbp+q26_othbp+q26_cc)</f>
        <v>0.100000000000023</v>
      </c>
      <c r="E181" s="28" t="n">
        <f aca="false">$D181</f>
        <v>0.100000000000023</v>
      </c>
      <c r="F181" s="28" t="n">
        <f aca="false">$D181</f>
        <v>0.100000000000023</v>
      </c>
      <c r="G181" s="28" t="n">
        <f aca="false">$D181</f>
        <v>0.100000000000023</v>
      </c>
    </row>
    <row r="182" customFormat="false" ht="17.15" hidden="false" customHeight="false" outlineLevel="0" collapsed="false">
      <c r="A182" s="6" t="s">
        <v>508</v>
      </c>
    </row>
    <row r="183" customFormat="false" ht="17.15" hidden="false" customHeight="false" outlineLevel="0" collapsed="false">
      <c r="A183" s="4" t="s">
        <v>380</v>
      </c>
      <c r="B183" s="0" t="s">
        <v>169</v>
      </c>
      <c r="C183" s="15" t="n">
        <f aca="false">C171+C173+C175+C167+C177+C180</f>
        <v>1583.719</v>
      </c>
      <c r="D183" s="15" t="n">
        <f aca="false">D171+D173+D175+D167+D177+D180</f>
        <v>1732</v>
      </c>
      <c r="E183" s="15" t="n">
        <f aca="false">E171+E173+E175+E167+E177+E180</f>
        <v>1849.244896</v>
      </c>
      <c r="F183" s="15" t="n">
        <f aca="false">F171+F173+F175+F167+F177+F180</f>
        <v>1939.36673331053</v>
      </c>
      <c r="G183" s="15" t="n">
        <f aca="false">G171+G173+G175+G167+G177+G180</f>
        <v>2029.6008152864</v>
      </c>
      <c r="H183" s="23" t="n">
        <f aca="false">G183*(1+H184)</f>
        <v>2133.14780316412</v>
      </c>
      <c r="I183" s="23" t="n">
        <f aca="false">H183*(1+I184)</f>
        <v>2251.55713206299</v>
      </c>
      <c r="J183" s="23" t="n">
        <f aca="false">I183*(1+J184)</f>
        <v>2386.65055998677</v>
      </c>
      <c r="K183" s="8" t="s">
        <v>509</v>
      </c>
    </row>
    <row r="184" customFormat="false" ht="15" hidden="false" customHeight="false" outlineLevel="0" collapsed="false">
      <c r="A184" s="4" t="s">
        <v>510</v>
      </c>
      <c r="B184" s="0" t="s">
        <v>77</v>
      </c>
      <c r="D184" s="16" t="n">
        <f aca="false">D183/C183-1</f>
        <v>0.0936283519993131</v>
      </c>
      <c r="E184" s="16" t="n">
        <f aca="false">E183/D183-1</f>
        <v>0.0676933579676673</v>
      </c>
      <c r="F184" s="16" t="n">
        <f aca="false">F183/E183-1</f>
        <v>0.0487343982970909</v>
      </c>
      <c r="G184" s="16" t="n">
        <f aca="false">G183/F183-1</f>
        <v>0.0465276012143629</v>
      </c>
      <c r="H184" s="24" t="n">
        <f aca="false">$G184+(fade_gA-$G184)*1/3</f>
        <v>0.0510184008095753</v>
      </c>
      <c r="I184" s="24" t="n">
        <f aca="false">$G184+(fade_gA-$G184)*2/3</f>
        <v>0.0555092004047877</v>
      </c>
      <c r="J184" s="24" t="n">
        <f aca="false">$G184+(fade_gA-$G184)*3/3</f>
        <v>0.06</v>
      </c>
    </row>
    <row r="185" customFormat="false" ht="17.15" hidden="false" customHeight="false" outlineLevel="0" collapsed="false">
      <c r="A185" s="0" t="s">
        <v>511</v>
      </c>
      <c r="B185" s="0" t="s">
        <v>77</v>
      </c>
      <c r="C185" s="16" t="n">
        <f aca="false">C167/C183</f>
        <v>0.0646902638662541</v>
      </c>
      <c r="D185" s="16" t="n">
        <f aca="false">D167/D183</f>
        <v>0.0696304849884527</v>
      </c>
      <c r="E185" s="16" t="n">
        <f aca="false">E167/E183</f>
        <v>0.094240030823911</v>
      </c>
      <c r="F185" s="16" t="n">
        <f aca="false">F167/F183</f>
        <v>0.102213743231609</v>
      </c>
      <c r="G185" s="16" t="n">
        <f aca="false">G167/G183</f>
        <v>0.108197800292769</v>
      </c>
    </row>
    <row r="186" customFormat="false" ht="15" hidden="false" customHeight="false" outlineLevel="0" collapsed="false">
      <c r="A186" s="4" t="s">
        <v>390</v>
      </c>
      <c r="B186" s="0" t="s">
        <v>169</v>
      </c>
      <c r="C186" s="15" t="n">
        <f aca="false">C172+C174+C176+C169+C178+C179+C181</f>
        <v>181.163</v>
      </c>
      <c r="D186" s="15" t="n">
        <f aca="false">D172+D174+D176+D169+D178+D179+D181</f>
        <v>202</v>
      </c>
      <c r="E186" s="15" t="n">
        <f aca="false">E172+E174+E176+E169+E178+E179+E181</f>
        <v>245.270224222222</v>
      </c>
      <c r="F186" s="15" t="n">
        <f aca="false">F172+F174+F176+F169+F178+F179+F181</f>
        <v>264.99803450376</v>
      </c>
      <c r="G186" s="15" t="n">
        <f aca="false">G172+G174+G176+G169+G178+G179+G181</f>
        <v>278.391299485321</v>
      </c>
    </row>
    <row r="187" customFormat="false" ht="15" hidden="false" customHeight="false" outlineLevel="0" collapsed="false">
      <c r="A187" s="4" t="s">
        <v>406</v>
      </c>
      <c r="B187" s="0" t="s">
        <v>77</v>
      </c>
      <c r="C187" s="16" t="n">
        <f aca="false">C186/C183</f>
        <v>0.114390873633517</v>
      </c>
      <c r="D187" s="16" t="n">
        <f aca="false">D186/D183</f>
        <v>0.11662817551963</v>
      </c>
      <c r="E187" s="16" t="n">
        <f aca="false">E186/E183</f>
        <v>0.132632635489628</v>
      </c>
      <c r="F187" s="16" t="n">
        <f aca="false">F186/F183</f>
        <v>0.136641528367048</v>
      </c>
      <c r="G187" s="16" t="n">
        <f aca="false">G186/G183</f>
        <v>0.137165543780114</v>
      </c>
    </row>
    <row r="188" customFormat="false" ht="17.15" hidden="false" customHeight="false" outlineLevel="0" collapsed="false">
      <c r="A188" s="0" t="s">
        <v>512</v>
      </c>
      <c r="B188" s="0" t="s">
        <v>77</v>
      </c>
      <c r="C188" s="16" t="n">
        <f aca="false">C169/C186</f>
        <v>0.301386044611758</v>
      </c>
      <c r="D188" s="16" t="n">
        <f aca="false">D169/D186</f>
        <v>0.324257425742574</v>
      </c>
      <c r="E188" s="16" t="n">
        <f aca="false">E169/E186</f>
        <v>0.411990140844283</v>
      </c>
      <c r="F188" s="16" t="n">
        <f aca="false">F169/F186</f>
        <v>0.432755002951287</v>
      </c>
      <c r="G188" s="16" t="n">
        <f aca="false">G169/G186</f>
        <v>0.437193607455892</v>
      </c>
    </row>
    <row r="189" customFormat="false" ht="17.15" hidden="false" customHeight="false" outlineLevel="0" collapsed="false">
      <c r="A189" s="4" t="s">
        <v>407</v>
      </c>
      <c r="B189" s="0" t="s">
        <v>52</v>
      </c>
      <c r="C189" s="21" t="n">
        <f aca="false">q25_ni/q25_bp</f>
        <v>0.743391310587703</v>
      </c>
      <c r="D189" s="21" t="n">
        <f aca="false">q26_ni/q26_bp</f>
        <v>0.611386138613861</v>
      </c>
      <c r="E189" s="21" t="n">
        <f aca="false">ni_bp</f>
        <v>0.62</v>
      </c>
      <c r="F189" s="21" t="n">
        <f aca="false">ni_bp</f>
        <v>0.62</v>
      </c>
      <c r="G189" s="21" t="n">
        <f aca="false">ni_bp</f>
        <v>0.62</v>
      </c>
    </row>
    <row r="190" customFormat="false" ht="15" hidden="false" customHeight="false" outlineLevel="0" collapsed="false">
      <c r="A190" s="4" t="s">
        <v>397</v>
      </c>
      <c r="B190" s="0" t="s">
        <v>169</v>
      </c>
      <c r="C190" s="15" t="n">
        <f aca="false">q25_ni</f>
        <v>134.675</v>
      </c>
      <c r="D190" s="15" t="n">
        <f aca="false">q26_ni</f>
        <v>123.5</v>
      </c>
      <c r="E190" s="15" t="n">
        <f aca="false">E186*E189</f>
        <v>152.067539017778</v>
      </c>
      <c r="F190" s="15" t="n">
        <f aca="false">F186*F189</f>
        <v>164.298781392331</v>
      </c>
      <c r="G190" s="15" t="n">
        <f aca="false">G186*G189</f>
        <v>172.602605680899</v>
      </c>
      <c r="H190" s="23" t="n">
        <f aca="false">H183*H194</f>
        <v>183.515864113215</v>
      </c>
      <c r="I190" s="23" t="n">
        <f aca="false">I183*I194</f>
        <v>195.92700979319</v>
      </c>
      <c r="J190" s="23" t="n">
        <f aca="false">J183*J194</f>
        <v>210.040416790326</v>
      </c>
    </row>
    <row r="191" customFormat="false" ht="15" hidden="false" customHeight="false" outlineLevel="0" collapsed="false">
      <c r="A191" s="4" t="s">
        <v>513</v>
      </c>
      <c r="B191" s="4" t="s">
        <v>316</v>
      </c>
      <c r="C191" s="19" t="n">
        <f aca="false">q25_sh</f>
        <v>0.973366579936398</v>
      </c>
      <c r="D191" s="19" t="n">
        <f aca="false">q26_sh</f>
        <v>0.95117067159581</v>
      </c>
      <c r="E191" s="19" t="n">
        <f aca="false">D191*(1+sh_g)</f>
        <v>0.936903111521873</v>
      </c>
      <c r="F191" s="19" t="n">
        <f aca="false">E191*(1+sh_g)</f>
        <v>0.922849564849045</v>
      </c>
      <c r="G191" s="19" t="n">
        <f aca="false">F191*(1+sh_g)</f>
        <v>0.909006821376309</v>
      </c>
      <c r="H191" s="29" t="n">
        <f aca="false">G191*(1+sh_g)</f>
        <v>0.895371719055665</v>
      </c>
      <c r="I191" s="29" t="n">
        <f aca="false">H191*(1+sh_g)</f>
        <v>0.88194114326983</v>
      </c>
      <c r="J191" s="29" t="n">
        <f aca="false">I191*(1+sh_g)</f>
        <v>0.868712026120782</v>
      </c>
    </row>
    <row r="192" customFormat="false" ht="17.15" hidden="false" customHeight="false" outlineLevel="0" collapsed="false">
      <c r="A192" s="0" t="s">
        <v>514</v>
      </c>
      <c r="B192" s="0" t="s">
        <v>207</v>
      </c>
      <c r="C192" s="20" t="n">
        <f aca="false">C190/C191</f>
        <v>138.36</v>
      </c>
      <c r="D192" s="20" t="n">
        <f aca="false">D190/D191</f>
        <v>129.84</v>
      </c>
      <c r="E192" s="20" t="n">
        <f aca="false">E190/E191</f>
        <v>162.308713833562</v>
      </c>
      <c r="F192" s="20" t="n">
        <f aca="false">F190/F191</f>
        <v>178.034197176228</v>
      </c>
      <c r="G192" s="20" t="n">
        <f aca="false">G190/G191</f>
        <v>189.880429521491</v>
      </c>
      <c r="H192" s="27" t="n">
        <f aca="false">H190/H191</f>
        <v>204.960532265601</v>
      </c>
      <c r="I192" s="27" t="n">
        <f aca="false">I190/I191</f>
        <v>222.154291460747</v>
      </c>
      <c r="J192" s="27" t="n">
        <f aca="false">J190/J191</f>
        <v>241.783710222429</v>
      </c>
    </row>
    <row r="193" customFormat="false" ht="17.15" hidden="false" customHeight="false" outlineLevel="0" collapsed="false">
      <c r="A193" s="0" t="s">
        <v>515</v>
      </c>
      <c r="B193" s="0" t="s">
        <v>77</v>
      </c>
      <c r="D193" s="16" t="n">
        <f aca="false">D192/C192-1</f>
        <v>-0.0615784908933218</v>
      </c>
      <c r="E193" s="16" t="n">
        <f aca="false">E192/D192-1</f>
        <v>0.250067112088434</v>
      </c>
      <c r="F193" s="16" t="n">
        <f aca="false">F192/E192-1</f>
        <v>0.0968862544175611</v>
      </c>
      <c r="G193" s="16" t="n">
        <f aca="false">G192/F192-1</f>
        <v>0.0665390836881601</v>
      </c>
      <c r="H193" s="24" t="n">
        <f aca="false">H192/G192-1</f>
        <v>0.0794189416050524</v>
      </c>
      <c r="I193" s="24" t="n">
        <f aca="false">I192/H192-1</f>
        <v>0.0838881466840911</v>
      </c>
      <c r="J193" s="24" t="n">
        <f aca="false">J192/I192-1</f>
        <v>0.0883593948719637</v>
      </c>
    </row>
    <row r="194" customFormat="false" ht="15" hidden="false" customHeight="false" outlineLevel="0" collapsed="false">
      <c r="A194" s="4" t="s">
        <v>516</v>
      </c>
      <c r="B194" s="0" t="s">
        <v>77</v>
      </c>
      <c r="C194" s="25" t="n">
        <f aca="false">C190/C183</f>
        <v>0.0850371814696925</v>
      </c>
      <c r="D194" s="25" t="n">
        <f aca="false">D190/D183</f>
        <v>0.0713048498845266</v>
      </c>
      <c r="E194" s="25" t="n">
        <f aca="false">E190/E183</f>
        <v>0.0822322340035691</v>
      </c>
      <c r="F194" s="25" t="n">
        <f aca="false">F190/F183</f>
        <v>0.0847177475875698</v>
      </c>
      <c r="G194" s="25" t="n">
        <f aca="false">G190/G183</f>
        <v>0.0850426371436705</v>
      </c>
      <c r="H194" s="26" t="n">
        <f aca="false">$G194+(fade_mA-$G194)*1/3</f>
        <v>0.0860305431442697</v>
      </c>
      <c r="I194" s="26" t="n">
        <f aca="false">$G194+(fade_mA-$G194)*2/3</f>
        <v>0.0870184491448688</v>
      </c>
      <c r="J194" s="26" t="n">
        <f aca="false">$G194+(fade_mA-$G194)*3/3</f>
        <v>0.088006355145468</v>
      </c>
    </row>
    <row r="195" customFormat="false" ht="17.15" hidden="false" customHeight="false" outlineLevel="0" collapsed="false">
      <c r="A195" s="0" t="s">
        <v>517</v>
      </c>
      <c r="B195" s="0" t="s">
        <v>207</v>
      </c>
      <c r="D195" s="20" t="n">
        <f aca="false">D169*D189/D191</f>
        <v>42.1015841584158</v>
      </c>
      <c r="E195" s="20" t="n">
        <f aca="false">E169*E189/E191</f>
        <v>66.8695898725438</v>
      </c>
      <c r="F195" s="20" t="n">
        <f aca="false">F169*F189/F191</f>
        <v>77.0451895244284</v>
      </c>
      <c r="G195" s="20" t="n">
        <f aca="false">G169*G189/G191</f>
        <v>83.014509967775</v>
      </c>
      <c r="K195" s="8" t="s">
        <v>518</v>
      </c>
    </row>
    <row r="196" customFormat="false" ht="17.15" hidden="false" customHeight="false" outlineLevel="0" collapsed="false">
      <c r="A196" s="0" t="s">
        <v>519</v>
      </c>
      <c r="B196" s="0" t="s">
        <v>207</v>
      </c>
      <c r="D196" s="20" t="n">
        <f aca="false">D192-D195</f>
        <v>87.7384158415842</v>
      </c>
      <c r="E196" s="20" t="n">
        <f aca="false">E192-E195</f>
        <v>95.4391239610185</v>
      </c>
      <c r="F196" s="20" t="n">
        <f aca="false">F192-F195</f>
        <v>100.9890076518</v>
      </c>
      <c r="G196" s="20" t="n">
        <f aca="false">G192-G195</f>
        <v>106.865919553716</v>
      </c>
    </row>
    <row r="197" customFormat="false" ht="17.15" hidden="false" customHeight="false" outlineLevel="0" collapsed="false">
      <c r="A197" s="0" t="s">
        <v>520</v>
      </c>
      <c r="B197" s="0" t="s">
        <v>432</v>
      </c>
      <c r="D197" s="15" t="n">
        <f aca="false">D165/D155*1000/150</f>
        <v>23.5087719298246</v>
      </c>
      <c r="E197" s="15" t="n">
        <f aca="false">E165/E155*1000/150</f>
        <v>28.9628070175439</v>
      </c>
      <c r="F197" s="15" t="n">
        <f aca="false">F165/F155*1000/150</f>
        <v>31.7310824561404</v>
      </c>
      <c r="G197" s="15" t="n">
        <f aca="false">G165/G155*1000/150</f>
        <v>33.2927466666667</v>
      </c>
      <c r="K197" s="8" t="s">
        <v>521</v>
      </c>
    </row>
    <row r="200" customFormat="false" ht="17.15" hidden="false" customHeight="false" outlineLevel="0" collapsed="false">
      <c r="A200" s="1" t="s">
        <v>866</v>
      </c>
    </row>
    <row r="201" customFormat="false" ht="17.15" hidden="false" customHeight="false" outlineLevel="0" collapsed="false">
      <c r="A201" s="5" t="s">
        <v>19</v>
      </c>
      <c r="B201" s="5" t="s">
        <v>20</v>
      </c>
      <c r="C201" s="14" t="s">
        <v>374</v>
      </c>
      <c r="D201" s="14" t="s">
        <v>447</v>
      </c>
      <c r="E201" s="14" t="s">
        <v>412</v>
      </c>
      <c r="F201" s="14" t="s">
        <v>413</v>
      </c>
      <c r="G201" s="14" t="s">
        <v>414</v>
      </c>
      <c r="H201" s="14" t="s">
        <v>448</v>
      </c>
      <c r="I201" s="14" t="s">
        <v>449</v>
      </c>
      <c r="J201" s="14" t="s">
        <v>450</v>
      </c>
      <c r="K201" s="5" t="s">
        <v>379</v>
      </c>
    </row>
    <row r="202" customFormat="false" ht="17.15" hidden="false" customHeight="false" outlineLevel="0" collapsed="false">
      <c r="A202" s="6" t="s">
        <v>470</v>
      </c>
    </row>
    <row r="203" customFormat="false" ht="17.15" hidden="false" customHeight="false" outlineLevel="0" collapsed="false">
      <c r="A203" s="0" t="s">
        <v>471</v>
      </c>
      <c r="B203" s="4" t="s">
        <v>30</v>
      </c>
      <c r="D203" s="20" t="n">
        <f aca="false">unv_26</f>
        <v>7.6</v>
      </c>
      <c r="E203" s="20" t="n">
        <f aca="false">unv_27</f>
        <v>9.7</v>
      </c>
      <c r="F203" s="20" t="n">
        <f aca="false">unv_28*um28_A</f>
        <v>9.5</v>
      </c>
      <c r="G203" s="20" t="n">
        <f aca="false">unv_29*um29_A</f>
        <v>10.6</v>
      </c>
      <c r="K203" s="8" t="s">
        <v>472</v>
      </c>
    </row>
    <row r="204" customFormat="false" ht="17.15" hidden="false" customHeight="false" outlineLevel="0" collapsed="false">
      <c r="A204" s="4" t="s">
        <v>473</v>
      </c>
      <c r="B204" s="4" t="s">
        <v>30</v>
      </c>
      <c r="D204" s="20" t="n">
        <f aca="false">uot_26</f>
        <v>7.6</v>
      </c>
      <c r="E204" s="20" t="n">
        <f aca="false">uot_27</f>
        <v>14</v>
      </c>
      <c r="F204" s="20" t="n">
        <f aca="false">uot_28*um28_A</f>
        <v>17</v>
      </c>
      <c r="G204" s="20" t="n">
        <f aca="false">uot_29*um29_A</f>
        <v>19.55</v>
      </c>
      <c r="K204" s="8" t="s">
        <v>474</v>
      </c>
    </row>
    <row r="205" customFormat="false" ht="17.15" hidden="false" customHeight="false" outlineLevel="0" collapsed="false">
      <c r="A205" s="4" t="s">
        <v>475</v>
      </c>
      <c r="B205" s="4" t="s">
        <v>30</v>
      </c>
      <c r="D205" s="20" t="n">
        <f aca="false">D203+v_ot*D204</f>
        <v>13.68</v>
      </c>
      <c r="E205" s="20" t="n">
        <f aca="false">E203+v_ot*E204</f>
        <v>20.9</v>
      </c>
      <c r="F205" s="20" t="n">
        <f aca="false">F203+v_ot*F204</f>
        <v>23.1</v>
      </c>
      <c r="G205" s="20" t="n">
        <f aca="false">G203+v_ot*G204</f>
        <v>26.24</v>
      </c>
    </row>
    <row r="206" customFormat="false" ht="17.15" hidden="false" customHeight="false" outlineLevel="0" collapsed="false">
      <c r="A206" s="4" t="s">
        <v>476</v>
      </c>
      <c r="B206" s="0" t="s">
        <v>52</v>
      </c>
      <c r="D206" s="21" t="n">
        <f aca="false">1</f>
        <v>1</v>
      </c>
      <c r="E206" s="21" t="n">
        <f aca="false">D206*(1+g_asp_hi)</f>
        <v>1.22</v>
      </c>
      <c r="F206" s="21" t="n">
        <f aca="false">E206*(1+g_asp_hi)</f>
        <v>1.4884</v>
      </c>
      <c r="G206" s="21" t="n">
        <f aca="false">F206*(1+g_asp_hi)</f>
        <v>1.815848</v>
      </c>
    </row>
    <row r="207" customFormat="false" ht="17.15" hidden="false" customHeight="false" outlineLevel="0" collapsed="false">
      <c r="A207" s="4" t="s">
        <v>477</v>
      </c>
      <c r="B207" s="0" t="s">
        <v>52</v>
      </c>
      <c r="D207" s="18" t="n">
        <f aca="false">1</f>
        <v>1</v>
      </c>
      <c r="E207" s="18" t="n">
        <f aca="false">rel_27</f>
        <v>1</v>
      </c>
      <c r="F207" s="18" t="n">
        <f aca="false">rel_28</f>
        <v>0.97</v>
      </c>
      <c r="G207" s="18" t="n">
        <f aca="false">rel_29</f>
        <v>0.95</v>
      </c>
    </row>
    <row r="208" customFormat="false" ht="17.15" hidden="false" customHeight="false" outlineLevel="0" collapsed="false">
      <c r="A208" s="0" t="s">
        <v>478</v>
      </c>
      <c r="B208" s="0" t="s">
        <v>52</v>
      </c>
      <c r="D208" s="21" t="n">
        <f aca="false">D205/$D205*D206*D207</f>
        <v>1</v>
      </c>
      <c r="E208" s="21" t="n">
        <f aca="false">E205/$D205*E206*E207</f>
        <v>1.86388888888889</v>
      </c>
      <c r="F208" s="21" t="n">
        <f aca="false">F205/$D205*F206*F207</f>
        <v>2.43790780701754</v>
      </c>
      <c r="G208" s="21" t="n">
        <f aca="false">G205/$D205*G206*G207</f>
        <v>3.30887857777778</v>
      </c>
      <c r="K208" s="4" t="s">
        <v>479</v>
      </c>
    </row>
    <row r="209" customFormat="false" ht="17.15" hidden="false" customHeight="false" outlineLevel="0" collapsed="false">
      <c r="A209" s="4" t="s">
        <v>480</v>
      </c>
      <c r="B209" s="0" t="s">
        <v>52</v>
      </c>
      <c r="D209" s="21" t="n">
        <f aca="false">1</f>
        <v>1</v>
      </c>
      <c r="E209" s="21" t="n">
        <f aca="false">D209*(1+g_nai)</f>
        <v>1.03</v>
      </c>
      <c r="F209" s="21" t="n">
        <f aca="false">E209*(1+g_nai)</f>
        <v>1.0609</v>
      </c>
      <c r="G209" s="21" t="n">
        <f aca="false">F209*(1+g_nai)</f>
        <v>1.092727</v>
      </c>
    </row>
    <row r="210" customFormat="false" ht="17.15" hidden="false" customHeight="false" outlineLevel="0" collapsed="false">
      <c r="A210" s="0" t="s">
        <v>481</v>
      </c>
      <c r="B210" s="0" t="s">
        <v>52</v>
      </c>
      <c r="D210" s="21" t="n">
        <f aca="false">ai_sh*D208+(1-ai_sh)*D209</f>
        <v>1</v>
      </c>
      <c r="E210" s="21" t="n">
        <f aca="false">ai_sh*E208+(1-ai_sh)*E209</f>
        <v>1.36355555555556</v>
      </c>
      <c r="F210" s="21" t="n">
        <f aca="false">ai_sh*F208+(1-ai_sh)*F209</f>
        <v>1.61170312280702</v>
      </c>
      <c r="G210" s="21" t="n">
        <f aca="false">ai_sh*G208+(1-ai_sh)*G209</f>
        <v>1.97918763111111</v>
      </c>
    </row>
    <row r="211" customFormat="false" ht="17.15" hidden="false" customHeight="false" outlineLevel="0" collapsed="false">
      <c r="A211" s="4" t="s">
        <v>482</v>
      </c>
      <c r="B211" s="0" t="s">
        <v>52</v>
      </c>
      <c r="D211" s="21" t="n">
        <f aca="false">1</f>
        <v>1</v>
      </c>
      <c r="E211" s="21" t="n">
        <f aca="false">cap_27</f>
        <v>1.3</v>
      </c>
      <c r="F211" s="21" t="n">
        <f aca="false">cap_28</f>
        <v>1.55</v>
      </c>
      <c r="G211" s="21" t="n">
        <f aca="false">cap_29</f>
        <v>1.8</v>
      </c>
      <c r="K211" s="4" t="s">
        <v>483</v>
      </c>
    </row>
    <row r="212" customFormat="false" ht="17.15" hidden="false" customHeight="false" outlineLevel="0" collapsed="false">
      <c r="A212" s="4" t="s">
        <v>484</v>
      </c>
      <c r="B212" s="0" t="s">
        <v>52</v>
      </c>
      <c r="D212" s="21" t="n">
        <f aca="false">MIN(D210,D211)</f>
        <v>1</v>
      </c>
      <c r="E212" s="21" t="n">
        <f aca="false">MIN(E210,E211)</f>
        <v>1.3</v>
      </c>
      <c r="F212" s="21" t="n">
        <f aca="false">MIN(F210,F211)</f>
        <v>1.55</v>
      </c>
      <c r="G212" s="21" t="n">
        <f aca="false">MIN(G210,G211)</f>
        <v>1.8</v>
      </c>
    </row>
    <row r="213" customFormat="false" ht="17.15" hidden="false" customHeight="false" outlineLevel="0" collapsed="false">
      <c r="A213" s="4" t="s">
        <v>485</v>
      </c>
      <c r="B213" s="0" t="s">
        <v>77</v>
      </c>
      <c r="D213" s="16" t="n">
        <f aca="false">D212/D210</f>
        <v>1</v>
      </c>
      <c r="E213" s="16" t="n">
        <f aca="false">E212/E210</f>
        <v>0.953389830508475</v>
      </c>
      <c r="F213" s="16" t="n">
        <f aca="false">F212/F210</f>
        <v>0.961715577804706</v>
      </c>
      <c r="G213" s="16" t="n">
        <f aca="false">G212/G210</f>
        <v>0.909464050656725</v>
      </c>
      <c r="K213" s="4" t="s">
        <v>486</v>
      </c>
    </row>
    <row r="214" customFormat="false" ht="17.15" hidden="false" customHeight="false" outlineLevel="0" collapsed="false">
      <c r="A214" s="0" t="s">
        <v>487</v>
      </c>
      <c r="B214" s="0" t="s">
        <v>52</v>
      </c>
      <c r="D214" s="21" t="n">
        <f aca="false">1</f>
        <v>1</v>
      </c>
      <c r="E214" s="21" t="n">
        <f aca="false">pp_27</f>
        <v>1.12</v>
      </c>
      <c r="F214" s="21" t="n">
        <f aca="false">pp_28*sp_A</f>
        <v>1.15</v>
      </c>
      <c r="G214" s="21" t="n">
        <f aca="false">pp_29*sp_A</f>
        <v>1.12</v>
      </c>
      <c r="K214" s="8" t="s">
        <v>488</v>
      </c>
    </row>
    <row r="215" customFormat="false" ht="17.15" hidden="false" customHeight="false" outlineLevel="0" collapsed="false">
      <c r="A215" s="0" t="s">
        <v>429</v>
      </c>
      <c r="B215" s="0" t="s">
        <v>169</v>
      </c>
      <c r="D215" s="15" t="n">
        <f aca="false">q26_fm*ai_sh</f>
        <v>48.24</v>
      </c>
      <c r="E215" s="15" t="n">
        <f aca="false">q26_fm*ai_sh*E208*E213*E214</f>
        <v>96.0098644067797</v>
      </c>
      <c r="F215" s="15" t="n">
        <f aca="false">q26_fm*ai_sh*F208*F213*F214</f>
        <v>130.06758252299</v>
      </c>
      <c r="G215" s="15" t="n">
        <f aca="false">q26_fm*ai_sh*G208*G213*G214</f>
        <v>162.589198197857</v>
      </c>
      <c r="K215" s="8" t="s">
        <v>489</v>
      </c>
    </row>
    <row r="216" customFormat="false" ht="17.15" hidden="false" customHeight="false" outlineLevel="0" collapsed="false">
      <c r="A216" s="0" t="s">
        <v>490</v>
      </c>
      <c r="B216" s="0" t="s">
        <v>169</v>
      </c>
      <c r="D216" s="15" t="n">
        <f aca="false">q26_fm*(1-ai_sh)</f>
        <v>72.36</v>
      </c>
      <c r="E216" s="15" t="n">
        <f aca="false">q26_fm*(1-ai_sh)*E209*E213*E214</f>
        <v>79.5837355932204</v>
      </c>
      <c r="F216" s="15" t="n">
        <f aca="false">q26_fm*(1-ai_sh)*F209*F213*F214</f>
        <v>84.9019174770096</v>
      </c>
      <c r="G216" s="15" t="n">
        <f aca="false">q26_fm*(1-ai_sh)*G209*G213*G214</f>
        <v>80.5404018021428</v>
      </c>
    </row>
    <row r="217" customFormat="false" ht="17.15" hidden="false" customHeight="false" outlineLevel="0" collapsed="false">
      <c r="A217" s="4" t="s">
        <v>491</v>
      </c>
      <c r="B217" s="0" t="s">
        <v>169</v>
      </c>
      <c r="C217" s="15" t="n">
        <f aca="false">q25_fm</f>
        <v>102.4512</v>
      </c>
      <c r="D217" s="15" t="n">
        <f aca="false">D215+D216</f>
        <v>120.6</v>
      </c>
      <c r="E217" s="15" t="n">
        <f aca="false">E215+E216</f>
        <v>175.5936</v>
      </c>
      <c r="F217" s="15" t="n">
        <f aca="false">F215+F216</f>
        <v>214.9695</v>
      </c>
      <c r="G217" s="15" t="n">
        <f aca="false">G215+G216</f>
        <v>243.1296</v>
      </c>
    </row>
    <row r="218" customFormat="false" ht="17.15" hidden="false" customHeight="false" outlineLevel="0" collapsed="false">
      <c r="A218" s="0" t="s">
        <v>492</v>
      </c>
      <c r="B218" s="0" t="s">
        <v>77</v>
      </c>
      <c r="C218" s="16" t="n">
        <f aca="false">q25_fmbp/q25_fm</f>
        <v>0.532936656671664</v>
      </c>
      <c r="D218" s="16" t="n">
        <f aca="false">q26_fmbp/q26_fm</f>
        <v>0.543117744610282</v>
      </c>
      <c r="E218" s="16" t="n">
        <f aca="false">1-(1-$D218)*(1+c_g)^1/E214</f>
        <v>0.579831497275527</v>
      </c>
      <c r="F218" s="16" t="n">
        <f aca="false">1-(1-$D218)*(1+c_g)^2/F214</f>
        <v>0.578516187180042</v>
      </c>
      <c r="G218" s="16" t="n">
        <f aca="false">1-(1-$D218)*(1+c_g)^3/G214</f>
        <v>0.554243235459607</v>
      </c>
      <c r="K218" s="8" t="s">
        <v>493</v>
      </c>
    </row>
    <row r="219" customFormat="false" ht="17.15" hidden="false" customHeight="false" outlineLevel="0" collapsed="false">
      <c r="A219" s="0" t="s">
        <v>455</v>
      </c>
      <c r="B219" s="0" t="s">
        <v>169</v>
      </c>
      <c r="C219" s="15" t="n">
        <f aca="false">q25_fmbp</f>
        <v>54.6</v>
      </c>
      <c r="D219" s="15" t="n">
        <f aca="false">D217*D218</f>
        <v>65.5</v>
      </c>
      <c r="E219" s="15" t="n">
        <f aca="false">E217*E218</f>
        <v>101.8147</v>
      </c>
      <c r="F219" s="15" t="n">
        <f aca="false">F217*F218</f>
        <v>124.3633355</v>
      </c>
      <c r="G219" s="15" t="n">
        <f aca="false">G217*G218</f>
        <v>134.75293614</v>
      </c>
    </row>
    <row r="220" customFormat="false" ht="17.15" hidden="false" customHeight="false" outlineLevel="0" collapsed="false">
      <c r="A220" s="6" t="s">
        <v>494</v>
      </c>
    </row>
    <row r="221" customFormat="false" ht="15" hidden="false" customHeight="false" outlineLevel="0" collapsed="false">
      <c r="A221" s="4" t="s">
        <v>495</v>
      </c>
      <c r="B221" s="0" t="s">
        <v>169</v>
      </c>
      <c r="C221" s="15" t="n">
        <f aca="false">q25_sf</f>
        <v>936.926</v>
      </c>
      <c r="D221" s="15" t="n">
        <f aca="false">q26_sf</f>
        <v>998.6</v>
      </c>
      <c r="E221" s="15" t="n">
        <f aca="false">D221*(1+g_sf)</f>
        <v>1038.544</v>
      </c>
      <c r="F221" s="15" t="n">
        <f aca="false">E221*(1+g_sf)</f>
        <v>1080.08576</v>
      </c>
      <c r="G221" s="15" t="n">
        <f aca="false">F221*(1+g_sf)</f>
        <v>1123.2891904</v>
      </c>
    </row>
    <row r="222" customFormat="false" ht="15" hidden="false" customHeight="false" outlineLevel="0" collapsed="false">
      <c r="A222" s="4" t="s">
        <v>496</v>
      </c>
      <c r="B222" s="0" t="s">
        <v>169</v>
      </c>
      <c r="C222" s="15" t="n">
        <f aca="false">q25_sfbp</f>
        <v>143.036</v>
      </c>
      <c r="D222" s="15" t="n">
        <f aca="false">q26_sfbp</f>
        <v>145.9</v>
      </c>
      <c r="E222" s="15" t="n">
        <f aca="false">E221*m_sf</f>
        <v>151.736</v>
      </c>
      <c r="F222" s="15" t="n">
        <f aca="false">F221*m_sf</f>
        <v>157.80544</v>
      </c>
      <c r="G222" s="15" t="n">
        <f aca="false">G221*m_sf</f>
        <v>164.1176576</v>
      </c>
    </row>
    <row r="223" customFormat="false" ht="15" hidden="false" customHeight="false" outlineLevel="0" collapsed="false">
      <c r="A223" s="4" t="s">
        <v>497</v>
      </c>
      <c r="B223" s="0" t="s">
        <v>169</v>
      </c>
      <c r="C223" s="15" t="n">
        <f aca="false">q25_ff</f>
        <v>290.308</v>
      </c>
      <c r="D223" s="15" t="n">
        <f aca="false">q26_ff</f>
        <v>310.6</v>
      </c>
      <c r="E223" s="15" t="n">
        <f aca="false">D223*(1+g_ff)</f>
        <v>319.918</v>
      </c>
      <c r="F223" s="15" t="n">
        <f aca="false">E223*(1+g_ff)</f>
        <v>329.51554</v>
      </c>
      <c r="G223" s="15" t="n">
        <f aca="false">F223*(1+g_ff)</f>
        <v>339.4010062</v>
      </c>
    </row>
    <row r="224" customFormat="false" ht="15" hidden="false" customHeight="false" outlineLevel="0" collapsed="false">
      <c r="A224" s="4" t="s">
        <v>498</v>
      </c>
      <c r="B224" s="0" t="s">
        <v>169</v>
      </c>
      <c r="C224" s="15" t="n">
        <f aca="false">q25_ffbp</f>
        <v>8.457</v>
      </c>
      <c r="D224" s="15" t="n">
        <f aca="false">q26_ffbp</f>
        <v>12.1</v>
      </c>
      <c r="E224" s="15" t="n">
        <f aca="false">E223*m_ff</f>
        <v>14.39631</v>
      </c>
      <c r="F224" s="15" t="n">
        <f aca="false">F223*m_ff</f>
        <v>14.8281993</v>
      </c>
      <c r="G224" s="15" t="n">
        <f aca="false">G223*m_ff</f>
        <v>15.273045279</v>
      </c>
    </row>
    <row r="225" customFormat="false" ht="17.15" hidden="false" customHeight="false" outlineLevel="0" collapsed="false">
      <c r="A225" s="4" t="s">
        <v>499</v>
      </c>
      <c r="B225" s="0" t="s">
        <v>169</v>
      </c>
      <c r="C225" s="15" t="n">
        <f aca="false">q25_hox</f>
        <v>239.0528</v>
      </c>
      <c r="D225" s="15" t="n">
        <f aca="false">q26_hox</f>
        <v>286.2</v>
      </c>
      <c r="E225" s="15" t="n">
        <f aca="false">D225*(1+g_ho)</f>
        <v>300.51</v>
      </c>
      <c r="F225" s="15" t="n">
        <f aca="false">E225*(1+g_ho)</f>
        <v>315.5355</v>
      </c>
      <c r="G225" s="15" t="n">
        <f aca="false">F225*(1+g_ho)</f>
        <v>331.312275</v>
      </c>
    </row>
    <row r="226" customFormat="false" ht="17.15" hidden="false" customHeight="false" outlineLevel="0" collapsed="false">
      <c r="A226" s="4" t="s">
        <v>500</v>
      </c>
      <c r="B226" s="0" t="s">
        <v>169</v>
      </c>
      <c r="C226" s="15" t="n">
        <f aca="false">q25_hoxbp</f>
        <v>11.602</v>
      </c>
      <c r="D226" s="15" t="n">
        <f aca="false">q26_hoxbp</f>
        <v>19.5</v>
      </c>
      <c r="E226" s="15" t="n">
        <f aca="false">E225*m_ho</f>
        <v>20.475</v>
      </c>
      <c r="F226" s="15" t="n">
        <f aca="false">F225*m_ho</f>
        <v>21.49875</v>
      </c>
      <c r="G226" s="15" t="n">
        <f aca="false">G225*m_ho</f>
        <v>22.5736875</v>
      </c>
    </row>
    <row r="227" customFormat="false" ht="17.15" hidden="false" customHeight="false" outlineLevel="0" collapsed="false">
      <c r="A227" s="4" t="s">
        <v>501</v>
      </c>
      <c r="B227" s="0" t="s">
        <v>169</v>
      </c>
      <c r="C227" s="15" t="n">
        <f aca="false">q25_oth</f>
        <v>14.979</v>
      </c>
      <c r="D227" s="15" t="n">
        <f aca="false">q26_oth</f>
        <v>15.8</v>
      </c>
      <c r="E227" s="15" t="n">
        <f aca="false">D227</f>
        <v>15.8</v>
      </c>
      <c r="F227" s="15" t="n">
        <f aca="false">E227</f>
        <v>15.8</v>
      </c>
      <c r="G227" s="15" t="n">
        <f aca="false">F227</f>
        <v>15.8</v>
      </c>
      <c r="K227" s="8" t="s">
        <v>502</v>
      </c>
    </row>
    <row r="228" customFormat="false" ht="15" hidden="false" customHeight="false" outlineLevel="0" collapsed="false">
      <c r="A228" s="4" t="s">
        <v>503</v>
      </c>
      <c r="B228" s="0" t="s">
        <v>169</v>
      </c>
      <c r="C228" s="15" t="n">
        <f aca="false">q25_othbp</f>
        <v>6.064</v>
      </c>
      <c r="D228" s="15" t="n">
        <f aca="false">q26_othbp</f>
        <v>5.1</v>
      </c>
      <c r="E228" s="15" t="n">
        <f aca="false">q26_othbp</f>
        <v>5.1</v>
      </c>
      <c r="F228" s="15" t="n">
        <f aca="false">q26_othbp</f>
        <v>5.1</v>
      </c>
      <c r="G228" s="15" t="n">
        <f aca="false">q26_othbp</f>
        <v>5.1</v>
      </c>
    </row>
    <row r="229" customFormat="false" ht="15" hidden="false" customHeight="false" outlineLevel="0" collapsed="false">
      <c r="A229" s="4" t="s">
        <v>504</v>
      </c>
      <c r="B229" s="0" t="s">
        <v>169</v>
      </c>
      <c r="C229" s="15" t="n">
        <f aca="false">q25_cc</f>
        <v>-42.597</v>
      </c>
      <c r="D229" s="15" t="n">
        <f aca="false">q26_cc</f>
        <v>-46.2</v>
      </c>
      <c r="E229" s="15" t="n">
        <f aca="false">D229*(1+g_cc)</f>
        <v>-47.586</v>
      </c>
      <c r="F229" s="15" t="n">
        <f aca="false">E229*(1+g_cc)</f>
        <v>-49.01358</v>
      </c>
      <c r="G229" s="15" t="n">
        <f aca="false">F229*(1+g_cc)</f>
        <v>-50.4839874</v>
      </c>
    </row>
    <row r="230" customFormat="false" ht="17.15" hidden="false" customHeight="false" outlineLevel="0" collapsed="false">
      <c r="A230" s="4" t="s">
        <v>505</v>
      </c>
      <c r="B230" s="0" t="s">
        <v>169</v>
      </c>
      <c r="C230" s="28" t="n">
        <f aca="false">a_rev-(q25_sf+q25_ff+q25_hox+q25_fm+q25_oth)</f>
        <v>0.00200000000018008</v>
      </c>
      <c r="D230" s="28" t="n">
        <f aca="false">f_rev-(q26_sf+q26_ff+q26_hox+q26_fm+q26_oth)</f>
        <v>0.200000000000045</v>
      </c>
      <c r="E230" s="28" t="n">
        <f aca="false">$D230</f>
        <v>0.200000000000045</v>
      </c>
      <c r="F230" s="28" t="n">
        <f aca="false">$D230</f>
        <v>0.200000000000045</v>
      </c>
      <c r="G230" s="28" t="n">
        <f aca="false">$D230</f>
        <v>0.200000000000045</v>
      </c>
      <c r="K230" s="8" t="s">
        <v>506</v>
      </c>
    </row>
    <row r="231" customFormat="false" ht="15" hidden="false" customHeight="false" outlineLevel="0" collapsed="false">
      <c r="A231" s="4" t="s">
        <v>507</v>
      </c>
      <c r="B231" s="0" t="s">
        <v>169</v>
      </c>
      <c r="C231" s="28" t="n">
        <f aca="false">a_bp-(q25_sfbp+q25_ffbp+q25_hoxbp+q25_fmbp+q25_othbp+q25_cc)</f>
        <v>0.0010000000000332</v>
      </c>
      <c r="D231" s="28" t="n">
        <f aca="false">f_bp-(q26_sfbp+q26_ffbp+q26_hoxbp+q26_fmbp+q26_othbp+q26_cc)</f>
        <v>0.100000000000023</v>
      </c>
      <c r="E231" s="28" t="n">
        <f aca="false">$D231</f>
        <v>0.100000000000023</v>
      </c>
      <c r="F231" s="28" t="n">
        <f aca="false">$D231</f>
        <v>0.100000000000023</v>
      </c>
      <c r="G231" s="28" t="n">
        <f aca="false">$D231</f>
        <v>0.100000000000023</v>
      </c>
    </row>
    <row r="232" customFormat="false" ht="17.15" hidden="false" customHeight="false" outlineLevel="0" collapsed="false">
      <c r="A232" s="6" t="s">
        <v>508</v>
      </c>
    </row>
    <row r="233" customFormat="false" ht="17.15" hidden="false" customHeight="false" outlineLevel="0" collapsed="false">
      <c r="A233" s="4" t="s">
        <v>380</v>
      </c>
      <c r="B233" s="0" t="s">
        <v>169</v>
      </c>
      <c r="C233" s="15" t="n">
        <f aca="false">C221+C223+C225+C217+C227+C230</f>
        <v>1583.719</v>
      </c>
      <c r="D233" s="15" t="n">
        <f aca="false">D221+D223+D225+D217+D227+D230</f>
        <v>1732</v>
      </c>
      <c r="E233" s="15" t="n">
        <f aca="false">E221+E223+E225+E217+E227+E230</f>
        <v>1850.5656</v>
      </c>
      <c r="F233" s="15" t="n">
        <f aca="false">F221+F223+F225+F217+F227+F230</f>
        <v>1956.1063</v>
      </c>
      <c r="G233" s="15" t="n">
        <f aca="false">G221+G223+G225+G217+G227+G230</f>
        <v>2053.1320716</v>
      </c>
      <c r="H233" s="23" t="n">
        <f aca="false">G233*(1+H234)</f>
        <v>2162.08697548001</v>
      </c>
      <c r="I233" s="23" t="n">
        <f aca="false">H233*(1+I234)</f>
        <v>2284.31802729425</v>
      </c>
      <c r="J233" s="23" t="n">
        <f aca="false">I233*(1+J234)</f>
        <v>2421.3771089319</v>
      </c>
      <c r="K233" s="8" t="s">
        <v>509</v>
      </c>
    </row>
    <row r="234" customFormat="false" ht="15" hidden="false" customHeight="false" outlineLevel="0" collapsed="false">
      <c r="A234" s="4" t="s">
        <v>510</v>
      </c>
      <c r="B234" s="0" t="s">
        <v>77</v>
      </c>
      <c r="D234" s="16" t="n">
        <f aca="false">D233/C233-1</f>
        <v>0.0936283519993131</v>
      </c>
      <c r="E234" s="16" t="n">
        <f aca="false">E233/D233-1</f>
        <v>0.0684558891454965</v>
      </c>
      <c r="F234" s="16" t="n">
        <f aca="false">F233/E233-1</f>
        <v>0.0570315907741936</v>
      </c>
      <c r="G234" s="16" t="n">
        <f aca="false">G233/F233-1</f>
        <v>0.0496014820871442</v>
      </c>
      <c r="H234" s="24" t="n">
        <f aca="false">$G234+(fade_gA-$G234)*1/3</f>
        <v>0.0530676547247628</v>
      </c>
      <c r="I234" s="24" t="n">
        <f aca="false">$G234+(fade_gA-$G234)*2/3</f>
        <v>0.0565338273623814</v>
      </c>
      <c r="J234" s="24" t="n">
        <f aca="false">$G234+(fade_gA-$G234)*3/3</f>
        <v>0.06</v>
      </c>
    </row>
    <row r="235" customFormat="false" ht="17.15" hidden="false" customHeight="false" outlineLevel="0" collapsed="false">
      <c r="A235" s="0" t="s">
        <v>511</v>
      </c>
      <c r="B235" s="0" t="s">
        <v>77</v>
      </c>
      <c r="C235" s="16" t="n">
        <f aca="false">C217/C233</f>
        <v>0.0646902638662541</v>
      </c>
      <c r="D235" s="16" t="n">
        <f aca="false">D217/D233</f>
        <v>0.0696304849884527</v>
      </c>
      <c r="E235" s="16" t="n">
        <f aca="false">E217/E233</f>
        <v>0.0948864498507916</v>
      </c>
      <c r="F235" s="16" t="n">
        <f aca="false">F217/F233</f>
        <v>0.109896634963039</v>
      </c>
      <c r="G235" s="16" t="n">
        <f aca="false">G217/G233</f>
        <v>0.118418879799842</v>
      </c>
    </row>
    <row r="236" customFormat="false" ht="15" hidden="false" customHeight="false" outlineLevel="0" collapsed="false">
      <c r="A236" s="4" t="s">
        <v>390</v>
      </c>
      <c r="B236" s="0" t="s">
        <v>169</v>
      </c>
      <c r="C236" s="15" t="n">
        <f aca="false">C222+C224+C226+C219+C228+C229+C231</f>
        <v>181.163</v>
      </c>
      <c r="D236" s="15" t="n">
        <f aca="false">D222+D224+D226+D219+D228+D229+D231</f>
        <v>202</v>
      </c>
      <c r="E236" s="15" t="n">
        <f aca="false">E222+E224+E226+E219+E228+E229+E231</f>
        <v>246.03601</v>
      </c>
      <c r="F236" s="15" t="n">
        <f aca="false">F222+F224+F226+F219+F228+F229+F231</f>
        <v>274.6821448</v>
      </c>
      <c r="G236" s="15" t="n">
        <f aca="false">G222+G224+G226+G219+G228+G229+G231</f>
        <v>291.433339119</v>
      </c>
    </row>
    <row r="237" customFormat="false" ht="15" hidden="false" customHeight="false" outlineLevel="0" collapsed="false">
      <c r="A237" s="4" t="s">
        <v>406</v>
      </c>
      <c r="B237" s="0" t="s">
        <v>77</v>
      </c>
      <c r="C237" s="16" t="n">
        <f aca="false">C236/C233</f>
        <v>0.114390873633517</v>
      </c>
      <c r="D237" s="16" t="n">
        <f aca="false">D236/D233</f>
        <v>0.11662817551963</v>
      </c>
      <c r="E237" s="16" t="n">
        <f aca="false">E236/E233</f>
        <v>0.132951790522854</v>
      </c>
      <c r="F237" s="16" t="n">
        <f aca="false">F236/F233</f>
        <v>0.140422913008358</v>
      </c>
      <c r="G237" s="16" t="n">
        <f aca="false">G236/G233</f>
        <v>0.141945734105594</v>
      </c>
    </row>
    <row r="238" customFormat="false" ht="17.15" hidden="false" customHeight="false" outlineLevel="0" collapsed="false">
      <c r="A238" s="0" t="s">
        <v>512</v>
      </c>
      <c r="B238" s="0" t="s">
        <v>77</v>
      </c>
      <c r="C238" s="16" t="n">
        <f aca="false">C219/C236</f>
        <v>0.301386044611758</v>
      </c>
      <c r="D238" s="16" t="n">
        <f aca="false">D219/D236</f>
        <v>0.324257425742574</v>
      </c>
      <c r="E238" s="16" t="n">
        <f aca="false">E219/E236</f>
        <v>0.413820318415991</v>
      </c>
      <c r="F238" s="16" t="n">
        <f aca="false">F219/F236</f>
        <v>0.452753620336519</v>
      </c>
      <c r="G238" s="16" t="n">
        <f aca="false">G219/G236</f>
        <v>0.462379961562931</v>
      </c>
    </row>
    <row r="239" customFormat="false" ht="17.15" hidden="false" customHeight="false" outlineLevel="0" collapsed="false">
      <c r="A239" s="4" t="s">
        <v>407</v>
      </c>
      <c r="B239" s="0" t="s">
        <v>52</v>
      </c>
      <c r="C239" s="21" t="n">
        <f aca="false">q25_ni/q25_bp</f>
        <v>0.743391310587703</v>
      </c>
      <c r="D239" s="21" t="n">
        <f aca="false">q26_ni/q26_bp</f>
        <v>0.611386138613861</v>
      </c>
      <c r="E239" s="21" t="n">
        <f aca="false">ni_bp</f>
        <v>0.62</v>
      </c>
      <c r="F239" s="21" t="n">
        <f aca="false">ni_bp</f>
        <v>0.62</v>
      </c>
      <c r="G239" s="21" t="n">
        <f aca="false">ni_bp</f>
        <v>0.62</v>
      </c>
    </row>
    <row r="240" customFormat="false" ht="15" hidden="false" customHeight="false" outlineLevel="0" collapsed="false">
      <c r="A240" s="4" t="s">
        <v>397</v>
      </c>
      <c r="B240" s="0" t="s">
        <v>169</v>
      </c>
      <c r="C240" s="15" t="n">
        <f aca="false">q25_ni</f>
        <v>134.675</v>
      </c>
      <c r="D240" s="15" t="n">
        <f aca="false">q26_ni</f>
        <v>123.5</v>
      </c>
      <c r="E240" s="15" t="n">
        <f aca="false">E236*E239</f>
        <v>152.5423262</v>
      </c>
      <c r="F240" s="15" t="n">
        <f aca="false">F236*F239</f>
        <v>170.302929776</v>
      </c>
      <c r="G240" s="15" t="n">
        <f aca="false">G236*G239</f>
        <v>180.68867025378</v>
      </c>
      <c r="H240" s="23" t="n">
        <f aca="false">H233*H244</f>
        <v>190.277394219484</v>
      </c>
      <c r="I240" s="23" t="n">
        <f aca="false">I233*I244</f>
        <v>201.034503575252</v>
      </c>
      <c r="J240" s="23" t="n">
        <f aca="false">J233*J244</f>
        <v>213.096573789767</v>
      </c>
    </row>
    <row r="241" customFormat="false" ht="15" hidden="false" customHeight="false" outlineLevel="0" collapsed="false">
      <c r="A241" s="4" t="s">
        <v>513</v>
      </c>
      <c r="B241" s="4" t="s">
        <v>316</v>
      </c>
      <c r="C241" s="19" t="n">
        <f aca="false">q25_sh</f>
        <v>0.973366579936398</v>
      </c>
      <c r="D241" s="19" t="n">
        <f aca="false">q26_sh</f>
        <v>0.95117067159581</v>
      </c>
      <c r="E241" s="19" t="n">
        <f aca="false">D241*(1+sh_g)</f>
        <v>0.936903111521873</v>
      </c>
      <c r="F241" s="19" t="n">
        <f aca="false">E241*(1+sh_g)</f>
        <v>0.922849564849045</v>
      </c>
      <c r="G241" s="19" t="n">
        <f aca="false">F241*(1+sh_g)</f>
        <v>0.909006821376309</v>
      </c>
      <c r="H241" s="29" t="n">
        <f aca="false">G241*(1+sh_g)</f>
        <v>0.895371719055665</v>
      </c>
      <c r="I241" s="29" t="n">
        <f aca="false">H241*(1+sh_g)</f>
        <v>0.88194114326983</v>
      </c>
      <c r="J241" s="29" t="n">
        <f aca="false">I241*(1+sh_g)</f>
        <v>0.868712026120782</v>
      </c>
    </row>
    <row r="242" customFormat="false" ht="17.15" hidden="false" customHeight="false" outlineLevel="0" collapsed="false">
      <c r="A242" s="0" t="s">
        <v>514</v>
      </c>
      <c r="B242" s="0" t="s">
        <v>207</v>
      </c>
      <c r="C242" s="20" t="n">
        <f aca="false">C240/C241</f>
        <v>138.36</v>
      </c>
      <c r="D242" s="20" t="n">
        <f aca="false">D240/D241</f>
        <v>129.84</v>
      </c>
      <c r="E242" s="20" t="n">
        <f aca="false">E240/E241</f>
        <v>162.815476140554</v>
      </c>
      <c r="F242" s="20" t="n">
        <f aca="false">F240/F241</f>
        <v>184.540293741004</v>
      </c>
      <c r="G242" s="20" t="n">
        <f aca="false">G240/G241</f>
        <v>198.775923353582</v>
      </c>
      <c r="H242" s="27" t="n">
        <f aca="false">H240/H241</f>
        <v>212.512178093102</v>
      </c>
      <c r="I242" s="27" t="n">
        <f aca="false">I240/I241</f>
        <v>227.945487189666</v>
      </c>
      <c r="J242" s="27" t="n">
        <f aca="false">J240/J241</f>
        <v>245.301742559437</v>
      </c>
    </row>
    <row r="243" customFormat="false" ht="17.15" hidden="false" customHeight="false" outlineLevel="0" collapsed="false">
      <c r="A243" s="0" t="s">
        <v>515</v>
      </c>
      <c r="B243" s="0" t="s">
        <v>77</v>
      </c>
      <c r="D243" s="16" t="n">
        <f aca="false">D242/C242-1</f>
        <v>-0.0615784908933218</v>
      </c>
      <c r="E243" s="16" t="n">
        <f aca="false">E242/D242-1</f>
        <v>0.253970087342527</v>
      </c>
      <c r="F243" s="16" t="n">
        <f aca="false">F242/E242-1</f>
        <v>0.133432141190899</v>
      </c>
      <c r="G243" s="16" t="n">
        <f aca="false">G242/F242-1</f>
        <v>0.0771410369193262</v>
      </c>
      <c r="H243" s="24" t="n">
        <f aca="false">H242/G242-1</f>
        <v>0.0691042179946833</v>
      </c>
      <c r="I243" s="24" t="n">
        <f aca="false">I242/H242-1</f>
        <v>0.0726231749871891</v>
      </c>
      <c r="J243" s="24" t="n">
        <f aca="false">J242/I242-1</f>
        <v>0.0761421319796956</v>
      </c>
    </row>
    <row r="244" customFormat="false" ht="15" hidden="false" customHeight="false" outlineLevel="0" collapsed="false">
      <c r="A244" s="4" t="s">
        <v>516</v>
      </c>
      <c r="B244" s="0" t="s">
        <v>77</v>
      </c>
      <c r="C244" s="25" t="n">
        <f aca="false">C240/C233</f>
        <v>0.0850371814696925</v>
      </c>
      <c r="D244" s="25" t="n">
        <f aca="false">D240/D233</f>
        <v>0.0713048498845266</v>
      </c>
      <c r="E244" s="25" t="n">
        <f aca="false">E240/E233</f>
        <v>0.0824301101241696</v>
      </c>
      <c r="F244" s="25" t="n">
        <f aca="false">F240/F233</f>
        <v>0.0870622060651816</v>
      </c>
      <c r="G244" s="25" t="n">
        <f aca="false">G240/G233</f>
        <v>0.088006355145468</v>
      </c>
      <c r="H244" s="26" t="n">
        <f aca="false">$G244+(fade_mA-$G244)*1/3</f>
        <v>0.088006355145468</v>
      </c>
      <c r="I244" s="26" t="n">
        <f aca="false">$G244+(fade_mA-$G244)*2/3</f>
        <v>0.088006355145468</v>
      </c>
      <c r="J244" s="26" t="n">
        <f aca="false">$G244+(fade_mA-$G244)*3/3</f>
        <v>0.088006355145468</v>
      </c>
    </row>
    <row r="245" customFormat="false" ht="17.15" hidden="false" customHeight="false" outlineLevel="0" collapsed="false">
      <c r="A245" s="0" t="s">
        <v>517</v>
      </c>
      <c r="B245" s="0" t="s">
        <v>207</v>
      </c>
      <c r="D245" s="20" t="n">
        <f aca="false">D219*D239/D241</f>
        <v>42.1015841584158</v>
      </c>
      <c r="E245" s="20" t="n">
        <f aca="false">E219*E239/E241</f>
        <v>67.3763521795352</v>
      </c>
      <c r="F245" s="20" t="n">
        <f aca="false">F219*F239/F241</f>
        <v>83.551286089204</v>
      </c>
      <c r="G245" s="20" t="n">
        <f aca="false">G219*G239/G241</f>
        <v>91.9100037998652</v>
      </c>
      <c r="K245" s="8" t="s">
        <v>518</v>
      </c>
    </row>
    <row r="246" customFormat="false" ht="17.15" hidden="false" customHeight="false" outlineLevel="0" collapsed="false">
      <c r="A246" s="0" t="s">
        <v>519</v>
      </c>
      <c r="B246" s="0" t="s">
        <v>207</v>
      </c>
      <c r="D246" s="20" t="n">
        <f aca="false">D242-D245</f>
        <v>87.7384158415842</v>
      </c>
      <c r="E246" s="20" t="n">
        <f aca="false">E242-E245</f>
        <v>95.4391239610186</v>
      </c>
      <c r="F246" s="20" t="n">
        <f aca="false">F242-F245</f>
        <v>100.9890076518</v>
      </c>
      <c r="G246" s="20" t="n">
        <f aca="false">G242-G245</f>
        <v>106.865919553716</v>
      </c>
    </row>
    <row r="247" customFormat="false" ht="17.15" hidden="false" customHeight="false" outlineLevel="0" collapsed="false">
      <c r="A247" s="0" t="s">
        <v>520</v>
      </c>
      <c r="B247" s="0" t="s">
        <v>432</v>
      </c>
      <c r="D247" s="15" t="n">
        <f aca="false">D215/D205*1000/150</f>
        <v>23.5087719298246</v>
      </c>
      <c r="E247" s="15" t="n">
        <f aca="false">E215/E205*1000/150</f>
        <v>30.6251561106155</v>
      </c>
      <c r="F247" s="15" t="n">
        <f aca="false">F215/F205*1000/150</f>
        <v>37.5375418536769</v>
      </c>
      <c r="G247" s="15" t="n">
        <f aca="false">G215/G205*1000/150</f>
        <v>41.3082312494556</v>
      </c>
      <c r="K247" s="8" t="s">
        <v>521</v>
      </c>
    </row>
    <row r="250" customFormat="false" ht="17.15" hidden="false" customHeight="false" outlineLevel="0" collapsed="false">
      <c r="A250" s="1" t="s">
        <v>867</v>
      </c>
    </row>
    <row r="251" customFormat="false" ht="17.15" hidden="false" customHeight="false" outlineLevel="0" collapsed="false">
      <c r="A251" s="5" t="s">
        <v>19</v>
      </c>
      <c r="B251" s="5" t="s">
        <v>20</v>
      </c>
      <c r="C251" s="14" t="s">
        <v>374</v>
      </c>
      <c r="D251" s="14" t="s">
        <v>447</v>
      </c>
      <c r="E251" s="14" t="s">
        <v>412</v>
      </c>
      <c r="F251" s="14" t="s">
        <v>413</v>
      </c>
      <c r="G251" s="14" t="s">
        <v>414</v>
      </c>
      <c r="H251" s="14" t="s">
        <v>448</v>
      </c>
      <c r="I251" s="14" t="s">
        <v>449</v>
      </c>
      <c r="J251" s="14" t="s">
        <v>450</v>
      </c>
      <c r="K251" s="5" t="s">
        <v>379</v>
      </c>
    </row>
    <row r="252" customFormat="false" ht="17.15" hidden="false" customHeight="false" outlineLevel="0" collapsed="false">
      <c r="A252" s="6" t="s">
        <v>470</v>
      </c>
    </row>
    <row r="253" customFormat="false" ht="17.15" hidden="false" customHeight="false" outlineLevel="0" collapsed="false">
      <c r="A253" s="0" t="s">
        <v>471</v>
      </c>
      <c r="B253" s="4" t="s">
        <v>30</v>
      </c>
      <c r="D253" s="20" t="n">
        <f aca="false">unv_26</f>
        <v>7.6</v>
      </c>
      <c r="E253" s="20" t="n">
        <f aca="false">unv_27</f>
        <v>9.7</v>
      </c>
      <c r="F253" s="20" t="n">
        <f aca="false">unv_28*um28_A</f>
        <v>9.5</v>
      </c>
      <c r="G253" s="20" t="n">
        <f aca="false">unv_29*um29_A</f>
        <v>10.6</v>
      </c>
      <c r="K253" s="8" t="s">
        <v>472</v>
      </c>
    </row>
    <row r="254" customFormat="false" ht="17.15" hidden="false" customHeight="false" outlineLevel="0" collapsed="false">
      <c r="A254" s="4" t="s">
        <v>473</v>
      </c>
      <c r="B254" s="4" t="s">
        <v>30</v>
      </c>
      <c r="D254" s="20" t="n">
        <f aca="false">uot_26</f>
        <v>7.6</v>
      </c>
      <c r="E254" s="20" t="n">
        <f aca="false">uot_27</f>
        <v>14</v>
      </c>
      <c r="F254" s="20" t="n">
        <f aca="false">uot_28*um28_A</f>
        <v>17</v>
      </c>
      <c r="G254" s="20" t="n">
        <f aca="false">uot_29*um29_A</f>
        <v>19.55</v>
      </c>
      <c r="K254" s="8" t="s">
        <v>474</v>
      </c>
    </row>
    <row r="255" customFormat="false" ht="17.15" hidden="false" customHeight="false" outlineLevel="0" collapsed="false">
      <c r="A255" s="4" t="s">
        <v>475</v>
      </c>
      <c r="B255" s="4" t="s">
        <v>30</v>
      </c>
      <c r="D255" s="20" t="n">
        <f aca="false">D253+v_ot_lo*D254</f>
        <v>12.16</v>
      </c>
      <c r="E255" s="20" t="n">
        <f aca="false">E253+v_ot_lo*E254</f>
        <v>18.1</v>
      </c>
      <c r="F255" s="20" t="n">
        <f aca="false">F253+v_ot_lo*F254</f>
        <v>19.7</v>
      </c>
      <c r="G255" s="20" t="n">
        <f aca="false">G253+v_ot_lo*G254</f>
        <v>22.33</v>
      </c>
    </row>
    <row r="256" customFormat="false" ht="17.15" hidden="false" customHeight="false" outlineLevel="0" collapsed="false">
      <c r="A256" s="4" t="s">
        <v>476</v>
      </c>
      <c r="B256" s="0" t="s">
        <v>52</v>
      </c>
      <c r="D256" s="21" t="n">
        <f aca="false">1</f>
        <v>1</v>
      </c>
      <c r="E256" s="21" t="n">
        <f aca="false">D256*(1+g_asp)</f>
        <v>1.18</v>
      </c>
      <c r="F256" s="21" t="n">
        <f aca="false">E256*(1+g_asp)</f>
        <v>1.3924</v>
      </c>
      <c r="G256" s="21" t="n">
        <f aca="false">F256*(1+g_asp)</f>
        <v>1.643032</v>
      </c>
    </row>
    <row r="257" customFormat="false" ht="17.15" hidden="false" customHeight="false" outlineLevel="0" collapsed="false">
      <c r="A257" s="4" t="s">
        <v>477</v>
      </c>
      <c r="B257" s="0" t="s">
        <v>52</v>
      </c>
      <c r="D257" s="18" t="n">
        <f aca="false">1</f>
        <v>1</v>
      </c>
      <c r="E257" s="18" t="n">
        <f aca="false">rel_27</f>
        <v>1</v>
      </c>
      <c r="F257" s="18" t="n">
        <f aca="false">rel_28</f>
        <v>0.97</v>
      </c>
      <c r="G257" s="18" t="n">
        <f aca="false">rel_29</f>
        <v>0.95</v>
      </c>
    </row>
    <row r="258" customFormat="false" ht="17.15" hidden="false" customHeight="false" outlineLevel="0" collapsed="false">
      <c r="A258" s="0" t="s">
        <v>478</v>
      </c>
      <c r="B258" s="0" t="s">
        <v>52</v>
      </c>
      <c r="D258" s="21" t="n">
        <f aca="false">D255/$D255*D256*D257</f>
        <v>1</v>
      </c>
      <c r="E258" s="21" t="n">
        <f aca="false">E255/$D255*E256*E257</f>
        <v>1.75641447368421</v>
      </c>
      <c r="F258" s="21" t="n">
        <f aca="false">F255/$D255*F256*F257</f>
        <v>2.18810621710526</v>
      </c>
      <c r="G258" s="21" t="n">
        <f aca="false">G255/$D255*G256*G257</f>
        <v>2.86632066875</v>
      </c>
      <c r="K258" s="4" t="s">
        <v>479</v>
      </c>
    </row>
    <row r="259" customFormat="false" ht="17.15" hidden="false" customHeight="false" outlineLevel="0" collapsed="false">
      <c r="A259" s="4" t="s">
        <v>480</v>
      </c>
      <c r="B259" s="0" t="s">
        <v>52</v>
      </c>
      <c r="D259" s="21" t="n">
        <f aca="false">1</f>
        <v>1</v>
      </c>
      <c r="E259" s="21" t="n">
        <f aca="false">D259*(1+g_nai)</f>
        <v>1.03</v>
      </c>
      <c r="F259" s="21" t="n">
        <f aca="false">E259*(1+g_nai)</f>
        <v>1.0609</v>
      </c>
      <c r="G259" s="21" t="n">
        <f aca="false">F259*(1+g_nai)</f>
        <v>1.092727</v>
      </c>
    </row>
    <row r="260" customFormat="false" ht="17.15" hidden="false" customHeight="false" outlineLevel="0" collapsed="false">
      <c r="A260" s="0" t="s">
        <v>481</v>
      </c>
      <c r="B260" s="0" t="s">
        <v>52</v>
      </c>
      <c r="D260" s="21" t="n">
        <f aca="false">ai_sh*D258+(1-ai_sh)*D259</f>
        <v>1</v>
      </c>
      <c r="E260" s="21" t="n">
        <f aca="false">ai_sh*E258+(1-ai_sh)*E259</f>
        <v>1.32056578947368</v>
      </c>
      <c r="F260" s="21" t="n">
        <f aca="false">ai_sh*F258+(1-ai_sh)*F259</f>
        <v>1.51178248684211</v>
      </c>
      <c r="G260" s="21" t="n">
        <f aca="false">ai_sh*G258+(1-ai_sh)*G259</f>
        <v>1.8021644675</v>
      </c>
    </row>
    <row r="261" customFormat="false" ht="17.15" hidden="false" customHeight="false" outlineLevel="0" collapsed="false">
      <c r="A261" s="4" t="s">
        <v>482</v>
      </c>
      <c r="B261" s="0" t="s">
        <v>52</v>
      </c>
      <c r="D261" s="21" t="n">
        <f aca="false">1</f>
        <v>1</v>
      </c>
      <c r="E261" s="21" t="n">
        <f aca="false">cap_27</f>
        <v>1.3</v>
      </c>
      <c r="F261" s="21" t="n">
        <f aca="false">cap_28</f>
        <v>1.55</v>
      </c>
      <c r="G261" s="21" t="n">
        <f aca="false">cap_29</f>
        <v>1.8</v>
      </c>
      <c r="K261" s="4" t="s">
        <v>483</v>
      </c>
    </row>
    <row r="262" customFormat="false" ht="17.15" hidden="false" customHeight="false" outlineLevel="0" collapsed="false">
      <c r="A262" s="4" t="s">
        <v>484</v>
      </c>
      <c r="B262" s="0" t="s">
        <v>52</v>
      </c>
      <c r="D262" s="21" t="n">
        <f aca="false">MIN(D260,D261)</f>
        <v>1</v>
      </c>
      <c r="E262" s="21" t="n">
        <f aca="false">MIN(E260,E261)</f>
        <v>1.3</v>
      </c>
      <c r="F262" s="21" t="n">
        <f aca="false">MIN(F260,F261)</f>
        <v>1.51178248684211</v>
      </c>
      <c r="G262" s="21" t="n">
        <f aca="false">MIN(G260,G261)</f>
        <v>1.8</v>
      </c>
    </row>
    <row r="263" customFormat="false" ht="17.15" hidden="false" customHeight="false" outlineLevel="0" collapsed="false">
      <c r="A263" s="4" t="s">
        <v>485</v>
      </c>
      <c r="B263" s="0" t="s">
        <v>77</v>
      </c>
      <c r="D263" s="16" t="n">
        <f aca="false">D262/D260</f>
        <v>1</v>
      </c>
      <c r="E263" s="16" t="n">
        <f aca="false">E262/E260</f>
        <v>0.984426531689965</v>
      </c>
      <c r="F263" s="16" t="n">
        <f aca="false">F262/F260</f>
        <v>1</v>
      </c>
      <c r="G263" s="16" t="n">
        <f aca="false">G262/G260</f>
        <v>0.998798962281727</v>
      </c>
      <c r="K263" s="4" t="s">
        <v>486</v>
      </c>
    </row>
    <row r="264" customFormat="false" ht="17.15" hidden="false" customHeight="false" outlineLevel="0" collapsed="false">
      <c r="A264" s="0" t="s">
        <v>487</v>
      </c>
      <c r="B264" s="0" t="s">
        <v>52</v>
      </c>
      <c r="D264" s="21" t="n">
        <f aca="false">1</f>
        <v>1</v>
      </c>
      <c r="E264" s="21" t="n">
        <f aca="false">pp_27</f>
        <v>1.12</v>
      </c>
      <c r="F264" s="21" t="n">
        <f aca="false">pp_28*sp_A</f>
        <v>1.15</v>
      </c>
      <c r="G264" s="21" t="n">
        <f aca="false">pp_29*sp_A</f>
        <v>1.12</v>
      </c>
      <c r="K264" s="8" t="s">
        <v>488</v>
      </c>
    </row>
    <row r="265" customFormat="false" ht="17.15" hidden="false" customHeight="false" outlineLevel="0" collapsed="false">
      <c r="A265" s="0" t="s">
        <v>429</v>
      </c>
      <c r="B265" s="0" t="s">
        <v>169</v>
      </c>
      <c r="D265" s="15" t="n">
        <f aca="false">q26_fm*ai_sh</f>
        <v>48.24</v>
      </c>
      <c r="E265" s="15" t="n">
        <f aca="false">q26_fm*ai_sh*E258*E263*E264</f>
        <v>93.4190914181521</v>
      </c>
      <c r="F265" s="15" t="n">
        <f aca="false">q26_fm*ai_sh*F258*F263*F264</f>
        <v>121.387380500132</v>
      </c>
      <c r="G265" s="15" t="n">
        <f aca="false">q26_fm*ai_sh*G258*G263*G264</f>
        <v>154.677868803319</v>
      </c>
      <c r="K265" s="8" t="s">
        <v>489</v>
      </c>
    </row>
    <row r="266" customFormat="false" ht="17.15" hidden="false" customHeight="false" outlineLevel="0" collapsed="false">
      <c r="A266" s="0" t="s">
        <v>490</v>
      </c>
      <c r="B266" s="0" t="s">
        <v>169</v>
      </c>
      <c r="D266" s="15" t="n">
        <f aca="false">q26_fm*(1-ai_sh)</f>
        <v>72.36</v>
      </c>
      <c r="E266" s="15" t="n">
        <f aca="false">q26_fm*(1-ai_sh)*E259*E263*E264</f>
        <v>82.1745085818479</v>
      </c>
      <c r="F266" s="15" t="n">
        <f aca="false">q26_fm*(1-ai_sh)*F259*F263*F264</f>
        <v>88.2817326</v>
      </c>
      <c r="G266" s="15" t="n">
        <f aca="false">q26_fm*(1-ai_sh)*G259*G263*G264</f>
        <v>88.4517311966812</v>
      </c>
    </row>
    <row r="267" customFormat="false" ht="17.15" hidden="false" customHeight="false" outlineLevel="0" collapsed="false">
      <c r="A267" s="4" t="s">
        <v>491</v>
      </c>
      <c r="B267" s="0" t="s">
        <v>169</v>
      </c>
      <c r="C267" s="15" t="n">
        <f aca="false">q25_fm</f>
        <v>102.4512</v>
      </c>
      <c r="D267" s="15" t="n">
        <f aca="false">D265+D266</f>
        <v>120.6</v>
      </c>
      <c r="E267" s="15" t="n">
        <f aca="false">E265+E266</f>
        <v>175.5936</v>
      </c>
      <c r="F267" s="15" t="n">
        <f aca="false">F265+F266</f>
        <v>209.669113100132</v>
      </c>
      <c r="G267" s="15" t="n">
        <f aca="false">G265+G266</f>
        <v>243.1296</v>
      </c>
    </row>
    <row r="268" customFormat="false" ht="17.15" hidden="false" customHeight="false" outlineLevel="0" collapsed="false">
      <c r="A268" s="0" t="s">
        <v>492</v>
      </c>
      <c r="B268" s="0" t="s">
        <v>77</v>
      </c>
      <c r="C268" s="16" t="n">
        <f aca="false">q25_fmbp/q25_fm</f>
        <v>0.532936656671664</v>
      </c>
      <c r="D268" s="16" t="n">
        <f aca="false">q26_fmbp/q26_fm</f>
        <v>0.543117744610282</v>
      </c>
      <c r="E268" s="16" t="n">
        <f aca="false">1-(1-$D268)*(1+c_g)^1/E264</f>
        <v>0.579831497275527</v>
      </c>
      <c r="F268" s="16" t="n">
        <f aca="false">1-(1-$D268)*(1+c_g)^2/F264</f>
        <v>0.578516187180042</v>
      </c>
      <c r="G268" s="16" t="n">
        <f aca="false">1-(1-$D268)*(1+c_g)^3/G264</f>
        <v>0.554243235459607</v>
      </c>
      <c r="K268" s="8" t="s">
        <v>493</v>
      </c>
    </row>
    <row r="269" customFormat="false" ht="17.15" hidden="false" customHeight="false" outlineLevel="0" collapsed="false">
      <c r="A269" s="0" t="s">
        <v>455</v>
      </c>
      <c r="B269" s="0" t="s">
        <v>169</v>
      </c>
      <c r="C269" s="15" t="n">
        <f aca="false">q25_fmbp</f>
        <v>54.6</v>
      </c>
      <c r="D269" s="15" t="n">
        <f aca="false">D267*D268</f>
        <v>65.5</v>
      </c>
      <c r="E269" s="15" t="n">
        <f aca="false">E267*E268</f>
        <v>101.8147</v>
      </c>
      <c r="F269" s="15" t="n">
        <f aca="false">F267*F268</f>
        <v>121.296975880109</v>
      </c>
      <c r="G269" s="15" t="n">
        <f aca="false">G267*G268</f>
        <v>134.75293614</v>
      </c>
    </row>
    <row r="270" customFormat="false" ht="17.15" hidden="false" customHeight="false" outlineLevel="0" collapsed="false">
      <c r="A270" s="6" t="s">
        <v>494</v>
      </c>
    </row>
    <row r="271" customFormat="false" ht="15" hidden="false" customHeight="false" outlineLevel="0" collapsed="false">
      <c r="A271" s="4" t="s">
        <v>495</v>
      </c>
      <c r="B271" s="0" t="s">
        <v>169</v>
      </c>
      <c r="C271" s="15" t="n">
        <f aca="false">q25_sf</f>
        <v>936.926</v>
      </c>
      <c r="D271" s="15" t="n">
        <f aca="false">q26_sf</f>
        <v>998.6</v>
      </c>
      <c r="E271" s="15" t="n">
        <f aca="false">D271*(1+g_sf)</f>
        <v>1038.544</v>
      </c>
      <c r="F271" s="15" t="n">
        <f aca="false">E271*(1+g_sf)</f>
        <v>1080.08576</v>
      </c>
      <c r="G271" s="15" t="n">
        <f aca="false">F271*(1+g_sf)</f>
        <v>1123.2891904</v>
      </c>
    </row>
    <row r="272" customFormat="false" ht="15" hidden="false" customHeight="false" outlineLevel="0" collapsed="false">
      <c r="A272" s="4" t="s">
        <v>496</v>
      </c>
      <c r="B272" s="0" t="s">
        <v>169</v>
      </c>
      <c r="C272" s="15" t="n">
        <f aca="false">q25_sfbp</f>
        <v>143.036</v>
      </c>
      <c r="D272" s="15" t="n">
        <f aca="false">q26_sfbp</f>
        <v>145.9</v>
      </c>
      <c r="E272" s="15" t="n">
        <f aca="false">E271*m_sf</f>
        <v>151.736</v>
      </c>
      <c r="F272" s="15" t="n">
        <f aca="false">F271*m_sf</f>
        <v>157.80544</v>
      </c>
      <c r="G272" s="15" t="n">
        <f aca="false">G271*m_sf</f>
        <v>164.1176576</v>
      </c>
    </row>
    <row r="273" customFormat="false" ht="15" hidden="false" customHeight="false" outlineLevel="0" collapsed="false">
      <c r="A273" s="4" t="s">
        <v>497</v>
      </c>
      <c r="B273" s="0" t="s">
        <v>169</v>
      </c>
      <c r="C273" s="15" t="n">
        <f aca="false">q25_ff</f>
        <v>290.308</v>
      </c>
      <c r="D273" s="15" t="n">
        <f aca="false">q26_ff</f>
        <v>310.6</v>
      </c>
      <c r="E273" s="15" t="n">
        <f aca="false">D273*(1+g_ff)</f>
        <v>319.918</v>
      </c>
      <c r="F273" s="15" t="n">
        <f aca="false">E273*(1+g_ff)</f>
        <v>329.51554</v>
      </c>
      <c r="G273" s="15" t="n">
        <f aca="false">F273*(1+g_ff)</f>
        <v>339.4010062</v>
      </c>
    </row>
    <row r="274" customFormat="false" ht="15" hidden="false" customHeight="false" outlineLevel="0" collapsed="false">
      <c r="A274" s="4" t="s">
        <v>498</v>
      </c>
      <c r="B274" s="0" t="s">
        <v>169</v>
      </c>
      <c r="C274" s="15" t="n">
        <f aca="false">q25_ffbp</f>
        <v>8.457</v>
      </c>
      <c r="D274" s="15" t="n">
        <f aca="false">q26_ffbp</f>
        <v>12.1</v>
      </c>
      <c r="E274" s="15" t="n">
        <f aca="false">E273*m_ff</f>
        <v>14.39631</v>
      </c>
      <c r="F274" s="15" t="n">
        <f aca="false">F273*m_ff</f>
        <v>14.8281993</v>
      </c>
      <c r="G274" s="15" t="n">
        <f aca="false">G273*m_ff</f>
        <v>15.273045279</v>
      </c>
    </row>
    <row r="275" customFormat="false" ht="17.15" hidden="false" customHeight="false" outlineLevel="0" collapsed="false">
      <c r="A275" s="4" t="s">
        <v>499</v>
      </c>
      <c r="B275" s="0" t="s">
        <v>169</v>
      </c>
      <c r="C275" s="15" t="n">
        <f aca="false">q25_hox</f>
        <v>239.0528</v>
      </c>
      <c r="D275" s="15" t="n">
        <f aca="false">q26_hox</f>
        <v>286.2</v>
      </c>
      <c r="E275" s="15" t="n">
        <f aca="false">D275*(1+g_ho)</f>
        <v>300.51</v>
      </c>
      <c r="F275" s="15" t="n">
        <f aca="false">E275*(1+g_ho)</f>
        <v>315.5355</v>
      </c>
      <c r="G275" s="15" t="n">
        <f aca="false">F275*(1+g_ho)</f>
        <v>331.312275</v>
      </c>
    </row>
    <row r="276" customFormat="false" ht="17.15" hidden="false" customHeight="false" outlineLevel="0" collapsed="false">
      <c r="A276" s="4" t="s">
        <v>500</v>
      </c>
      <c r="B276" s="0" t="s">
        <v>169</v>
      </c>
      <c r="C276" s="15" t="n">
        <f aca="false">q25_hoxbp</f>
        <v>11.602</v>
      </c>
      <c r="D276" s="15" t="n">
        <f aca="false">q26_hoxbp</f>
        <v>19.5</v>
      </c>
      <c r="E276" s="15" t="n">
        <f aca="false">E275*m_ho</f>
        <v>20.475</v>
      </c>
      <c r="F276" s="15" t="n">
        <f aca="false">F275*m_ho</f>
        <v>21.49875</v>
      </c>
      <c r="G276" s="15" t="n">
        <f aca="false">G275*m_ho</f>
        <v>22.5736875</v>
      </c>
    </row>
    <row r="277" customFormat="false" ht="17.15" hidden="false" customHeight="false" outlineLevel="0" collapsed="false">
      <c r="A277" s="4" t="s">
        <v>501</v>
      </c>
      <c r="B277" s="0" t="s">
        <v>169</v>
      </c>
      <c r="C277" s="15" t="n">
        <f aca="false">q25_oth</f>
        <v>14.979</v>
      </c>
      <c r="D277" s="15" t="n">
        <f aca="false">q26_oth</f>
        <v>15.8</v>
      </c>
      <c r="E277" s="15" t="n">
        <f aca="false">D277</f>
        <v>15.8</v>
      </c>
      <c r="F277" s="15" t="n">
        <f aca="false">E277</f>
        <v>15.8</v>
      </c>
      <c r="G277" s="15" t="n">
        <f aca="false">F277</f>
        <v>15.8</v>
      </c>
      <c r="K277" s="8" t="s">
        <v>502</v>
      </c>
    </row>
    <row r="278" customFormat="false" ht="15" hidden="false" customHeight="false" outlineLevel="0" collapsed="false">
      <c r="A278" s="4" t="s">
        <v>503</v>
      </c>
      <c r="B278" s="0" t="s">
        <v>169</v>
      </c>
      <c r="C278" s="15" t="n">
        <f aca="false">q25_othbp</f>
        <v>6.064</v>
      </c>
      <c r="D278" s="15" t="n">
        <f aca="false">q26_othbp</f>
        <v>5.1</v>
      </c>
      <c r="E278" s="15" t="n">
        <f aca="false">q26_othbp</f>
        <v>5.1</v>
      </c>
      <c r="F278" s="15" t="n">
        <f aca="false">q26_othbp</f>
        <v>5.1</v>
      </c>
      <c r="G278" s="15" t="n">
        <f aca="false">q26_othbp</f>
        <v>5.1</v>
      </c>
    </row>
    <row r="279" customFormat="false" ht="15" hidden="false" customHeight="false" outlineLevel="0" collapsed="false">
      <c r="A279" s="4" t="s">
        <v>504</v>
      </c>
      <c r="B279" s="0" t="s">
        <v>169</v>
      </c>
      <c r="C279" s="15" t="n">
        <f aca="false">q25_cc</f>
        <v>-42.597</v>
      </c>
      <c r="D279" s="15" t="n">
        <f aca="false">q26_cc</f>
        <v>-46.2</v>
      </c>
      <c r="E279" s="15" t="n">
        <f aca="false">D279*(1+g_cc)</f>
        <v>-47.586</v>
      </c>
      <c r="F279" s="15" t="n">
        <f aca="false">E279*(1+g_cc)</f>
        <v>-49.01358</v>
      </c>
      <c r="G279" s="15" t="n">
        <f aca="false">F279*(1+g_cc)</f>
        <v>-50.4839874</v>
      </c>
    </row>
    <row r="280" customFormat="false" ht="17.15" hidden="false" customHeight="false" outlineLevel="0" collapsed="false">
      <c r="A280" s="4" t="s">
        <v>505</v>
      </c>
      <c r="B280" s="0" t="s">
        <v>169</v>
      </c>
      <c r="C280" s="28" t="n">
        <f aca="false">a_rev-(q25_sf+q25_ff+q25_hox+q25_fm+q25_oth)</f>
        <v>0.00200000000018008</v>
      </c>
      <c r="D280" s="28" t="n">
        <f aca="false">f_rev-(q26_sf+q26_ff+q26_hox+q26_fm+q26_oth)</f>
        <v>0.200000000000045</v>
      </c>
      <c r="E280" s="28" t="n">
        <f aca="false">$D280</f>
        <v>0.200000000000045</v>
      </c>
      <c r="F280" s="28" t="n">
        <f aca="false">$D280</f>
        <v>0.200000000000045</v>
      </c>
      <c r="G280" s="28" t="n">
        <f aca="false">$D280</f>
        <v>0.200000000000045</v>
      </c>
      <c r="K280" s="8" t="s">
        <v>506</v>
      </c>
    </row>
    <row r="281" customFormat="false" ht="15" hidden="false" customHeight="false" outlineLevel="0" collapsed="false">
      <c r="A281" s="4" t="s">
        <v>507</v>
      </c>
      <c r="B281" s="0" t="s">
        <v>169</v>
      </c>
      <c r="C281" s="28" t="n">
        <f aca="false">a_bp-(q25_sfbp+q25_ffbp+q25_hoxbp+q25_fmbp+q25_othbp+q25_cc)</f>
        <v>0.0010000000000332</v>
      </c>
      <c r="D281" s="28" t="n">
        <f aca="false">f_bp-(q26_sfbp+q26_ffbp+q26_hoxbp+q26_fmbp+q26_othbp+q26_cc)</f>
        <v>0.100000000000023</v>
      </c>
      <c r="E281" s="28" t="n">
        <f aca="false">$D281</f>
        <v>0.100000000000023</v>
      </c>
      <c r="F281" s="28" t="n">
        <f aca="false">$D281</f>
        <v>0.100000000000023</v>
      </c>
      <c r="G281" s="28" t="n">
        <f aca="false">$D281</f>
        <v>0.100000000000023</v>
      </c>
    </row>
    <row r="282" customFormat="false" ht="17.15" hidden="false" customHeight="false" outlineLevel="0" collapsed="false">
      <c r="A282" s="6" t="s">
        <v>508</v>
      </c>
    </row>
    <row r="283" customFormat="false" ht="17.15" hidden="false" customHeight="false" outlineLevel="0" collapsed="false">
      <c r="A283" s="4" t="s">
        <v>380</v>
      </c>
      <c r="B283" s="0" t="s">
        <v>169</v>
      </c>
      <c r="C283" s="15" t="n">
        <f aca="false">C271+C273+C275+C267+C277+C280</f>
        <v>1583.719</v>
      </c>
      <c r="D283" s="15" t="n">
        <f aca="false">D271+D273+D275+D267+D277+D280</f>
        <v>1732</v>
      </c>
      <c r="E283" s="15" t="n">
        <f aca="false">E271+E273+E275+E267+E277+E280</f>
        <v>1850.5656</v>
      </c>
      <c r="F283" s="15" t="n">
        <f aca="false">F271+F273+F275+F267+F277+F280</f>
        <v>1950.80591310013</v>
      </c>
      <c r="G283" s="15" t="n">
        <f aca="false">G271+G273+G275+G267+G277+G280</f>
        <v>2053.1320716</v>
      </c>
      <c r="H283" s="23" t="n">
        <f aca="false">G283*(1+H284)</f>
        <v>2165.99038010098</v>
      </c>
      <c r="I283" s="23" t="n">
        <f aca="false">H283*(1+I284)</f>
        <v>2290.50109145987</v>
      </c>
      <c r="J283" s="23" t="n">
        <f aca="false">I283*(1+J284)</f>
        <v>2427.93115694746</v>
      </c>
      <c r="K283" s="8" t="s">
        <v>509</v>
      </c>
    </row>
    <row r="284" customFormat="false" ht="15" hidden="false" customHeight="false" outlineLevel="0" collapsed="false">
      <c r="A284" s="4" t="s">
        <v>510</v>
      </c>
      <c r="B284" s="0" t="s">
        <v>77</v>
      </c>
      <c r="D284" s="16" t="n">
        <f aca="false">D283/C283-1</f>
        <v>0.0936283519993131</v>
      </c>
      <c r="E284" s="16" t="n">
        <f aca="false">E283/D283-1</f>
        <v>0.0684558891454965</v>
      </c>
      <c r="F284" s="16" t="n">
        <f aca="false">F283/E283-1</f>
        <v>0.054167392444846</v>
      </c>
      <c r="G284" s="16" t="n">
        <f aca="false">G283/F283-1</f>
        <v>0.0524532747274977</v>
      </c>
      <c r="H284" s="24" t="n">
        <f aca="false">$G284+(fade_gA-$G284)*1/3</f>
        <v>0.0549688498183318</v>
      </c>
      <c r="I284" s="24" t="n">
        <f aca="false">$G284+(fade_gA-$G284)*2/3</f>
        <v>0.0574844249091659</v>
      </c>
      <c r="J284" s="24" t="n">
        <f aca="false">$G284+(fade_gA-$G284)*3/3</f>
        <v>0.06</v>
      </c>
    </row>
    <row r="285" customFormat="false" ht="17.15" hidden="false" customHeight="false" outlineLevel="0" collapsed="false">
      <c r="A285" s="0" t="s">
        <v>511</v>
      </c>
      <c r="B285" s="0" t="s">
        <v>77</v>
      </c>
      <c r="C285" s="16" t="n">
        <f aca="false">C267/C283</f>
        <v>0.0646902638662541</v>
      </c>
      <c r="D285" s="16" t="n">
        <f aca="false">D267/D283</f>
        <v>0.0696304849884527</v>
      </c>
      <c r="E285" s="16" t="n">
        <f aca="false">E267/E283</f>
        <v>0.0948864498507916</v>
      </c>
      <c r="F285" s="16" t="n">
        <f aca="false">F267/F283</f>
        <v>0.107478202568566</v>
      </c>
      <c r="G285" s="16" t="n">
        <f aca="false">G267/G283</f>
        <v>0.118418879799842</v>
      </c>
    </row>
    <row r="286" customFormat="false" ht="15" hidden="false" customHeight="false" outlineLevel="0" collapsed="false">
      <c r="A286" s="4" t="s">
        <v>390</v>
      </c>
      <c r="B286" s="0" t="s">
        <v>169</v>
      </c>
      <c r="C286" s="15" t="n">
        <f aca="false">C272+C274+C276+C269+C278+C279+C281</f>
        <v>181.163</v>
      </c>
      <c r="D286" s="15" t="n">
        <f aca="false">D272+D274+D276+D269+D278+D279+D281</f>
        <v>202</v>
      </c>
      <c r="E286" s="15" t="n">
        <f aca="false">E272+E274+E276+E269+E278+E279+E281</f>
        <v>246.03601</v>
      </c>
      <c r="F286" s="15" t="n">
        <f aca="false">F272+F274+F276+F269+F278+F279+F281</f>
        <v>271.615785180109</v>
      </c>
      <c r="G286" s="15" t="n">
        <f aca="false">G272+G274+G276+G269+G278+G279+G281</f>
        <v>291.433339119</v>
      </c>
    </row>
    <row r="287" customFormat="false" ht="15" hidden="false" customHeight="false" outlineLevel="0" collapsed="false">
      <c r="A287" s="4" t="s">
        <v>406</v>
      </c>
      <c r="B287" s="0" t="s">
        <v>77</v>
      </c>
      <c r="C287" s="16" t="n">
        <f aca="false">C286/C283</f>
        <v>0.114390873633517</v>
      </c>
      <c r="D287" s="16" t="n">
        <f aca="false">D286/D283</f>
        <v>0.11662817551963</v>
      </c>
      <c r="E287" s="16" t="n">
        <f aca="false">E286/E283</f>
        <v>0.132951790522854</v>
      </c>
      <c r="F287" s="16" t="n">
        <f aca="false">F286/F283</f>
        <v>0.13923260297508</v>
      </c>
      <c r="G287" s="16" t="n">
        <f aca="false">G286/G283</f>
        <v>0.141945734105594</v>
      </c>
    </row>
    <row r="288" customFormat="false" ht="17.15" hidden="false" customHeight="false" outlineLevel="0" collapsed="false">
      <c r="A288" s="0" t="s">
        <v>512</v>
      </c>
      <c r="B288" s="0" t="s">
        <v>77</v>
      </c>
      <c r="C288" s="16" t="n">
        <f aca="false">C269/C286</f>
        <v>0.301386044611758</v>
      </c>
      <c r="D288" s="16" t="n">
        <f aca="false">D269/D286</f>
        <v>0.324257425742574</v>
      </c>
      <c r="E288" s="16" t="n">
        <f aca="false">E269/E286</f>
        <v>0.413820318415991</v>
      </c>
      <c r="F288" s="16" t="n">
        <f aca="false">F269/F286</f>
        <v>0.446575576598675</v>
      </c>
      <c r="G288" s="16" t="n">
        <f aca="false">G269/G286</f>
        <v>0.462379961562931</v>
      </c>
    </row>
    <row r="289" customFormat="false" ht="17.15" hidden="false" customHeight="false" outlineLevel="0" collapsed="false">
      <c r="A289" s="4" t="s">
        <v>407</v>
      </c>
      <c r="B289" s="0" t="s">
        <v>52</v>
      </c>
      <c r="C289" s="21" t="n">
        <f aca="false">q25_ni/q25_bp</f>
        <v>0.743391310587703</v>
      </c>
      <c r="D289" s="21" t="n">
        <f aca="false">q26_ni/q26_bp</f>
        <v>0.611386138613861</v>
      </c>
      <c r="E289" s="21" t="n">
        <f aca="false">ni_bp</f>
        <v>0.62</v>
      </c>
      <c r="F289" s="21" t="n">
        <f aca="false">ni_bp</f>
        <v>0.62</v>
      </c>
      <c r="G289" s="21" t="n">
        <f aca="false">ni_bp</f>
        <v>0.62</v>
      </c>
    </row>
    <row r="290" customFormat="false" ht="15" hidden="false" customHeight="false" outlineLevel="0" collapsed="false">
      <c r="A290" s="4" t="s">
        <v>397</v>
      </c>
      <c r="B290" s="0" t="s">
        <v>169</v>
      </c>
      <c r="C290" s="15" t="n">
        <f aca="false">q25_ni</f>
        <v>134.675</v>
      </c>
      <c r="D290" s="15" t="n">
        <f aca="false">q26_ni</f>
        <v>123.5</v>
      </c>
      <c r="E290" s="15" t="n">
        <f aca="false">E286*E289</f>
        <v>152.5423262</v>
      </c>
      <c r="F290" s="15" t="n">
        <f aca="false">F286*F289</f>
        <v>168.401786811668</v>
      </c>
      <c r="G290" s="15" t="n">
        <f aca="false">G286*G289</f>
        <v>180.68867025378</v>
      </c>
      <c r="H290" s="23" t="n">
        <f aca="false">H283*H294</f>
        <v>190.620918632834</v>
      </c>
      <c r="I290" s="23" t="n">
        <f aca="false">I283*I294</f>
        <v>201.5786525161</v>
      </c>
      <c r="J290" s="23" t="n">
        <f aca="false">J283*J294</f>
        <v>213.673371667066</v>
      </c>
    </row>
    <row r="291" customFormat="false" ht="15" hidden="false" customHeight="false" outlineLevel="0" collapsed="false">
      <c r="A291" s="4" t="s">
        <v>513</v>
      </c>
      <c r="B291" s="4" t="s">
        <v>316</v>
      </c>
      <c r="C291" s="19" t="n">
        <f aca="false">q25_sh</f>
        <v>0.973366579936398</v>
      </c>
      <c r="D291" s="19" t="n">
        <f aca="false">q26_sh</f>
        <v>0.95117067159581</v>
      </c>
      <c r="E291" s="19" t="n">
        <f aca="false">D291*(1+sh_g)</f>
        <v>0.936903111521873</v>
      </c>
      <c r="F291" s="19" t="n">
        <f aca="false">E291*(1+sh_g)</f>
        <v>0.922849564849045</v>
      </c>
      <c r="G291" s="19" t="n">
        <f aca="false">F291*(1+sh_g)</f>
        <v>0.909006821376309</v>
      </c>
      <c r="H291" s="29" t="n">
        <f aca="false">G291*(1+sh_g)</f>
        <v>0.895371719055665</v>
      </c>
      <c r="I291" s="29" t="n">
        <f aca="false">H291*(1+sh_g)</f>
        <v>0.88194114326983</v>
      </c>
      <c r="J291" s="29" t="n">
        <f aca="false">I291*(1+sh_g)</f>
        <v>0.868712026120782</v>
      </c>
    </row>
    <row r="292" customFormat="false" ht="17.15" hidden="false" customHeight="false" outlineLevel="0" collapsed="false">
      <c r="A292" s="0" t="s">
        <v>514</v>
      </c>
      <c r="B292" s="0" t="s">
        <v>207</v>
      </c>
      <c r="C292" s="20" t="n">
        <f aca="false">C290/C291</f>
        <v>138.36</v>
      </c>
      <c r="D292" s="20" t="n">
        <f aca="false">D290/D291</f>
        <v>129.84</v>
      </c>
      <c r="E292" s="20" t="n">
        <f aca="false">E290/E291</f>
        <v>162.815476140554</v>
      </c>
      <c r="F292" s="20" t="n">
        <f aca="false">F290/F291</f>
        <v>182.480214789085</v>
      </c>
      <c r="G292" s="20" t="n">
        <f aca="false">G290/G291</f>
        <v>198.775923353582</v>
      </c>
      <c r="H292" s="27" t="n">
        <f aca="false">H290/H291</f>
        <v>212.895844905487</v>
      </c>
      <c r="I292" s="27" t="n">
        <f aca="false">I290/I291</f>
        <v>228.562477274548</v>
      </c>
      <c r="J292" s="27" t="n">
        <f aca="false">J290/J291</f>
        <v>245.965711584793</v>
      </c>
    </row>
    <row r="293" customFormat="false" ht="17.15" hidden="false" customHeight="false" outlineLevel="0" collapsed="false">
      <c r="A293" s="0" t="s">
        <v>515</v>
      </c>
      <c r="B293" s="0" t="s">
        <v>77</v>
      </c>
      <c r="D293" s="16" t="n">
        <f aca="false">D292/C292-1</f>
        <v>-0.0615784908933218</v>
      </c>
      <c r="E293" s="16" t="n">
        <f aca="false">E292/D292-1</f>
        <v>0.253970087342527</v>
      </c>
      <c r="F293" s="16" t="n">
        <f aca="false">F292/E292-1</f>
        <v>0.120779296383077</v>
      </c>
      <c r="G293" s="16" t="n">
        <f aca="false">G292/F292-1</f>
        <v>0.089301235113797</v>
      </c>
      <c r="H293" s="24" t="n">
        <f aca="false">H292/G292-1</f>
        <v>0.0710343652977989</v>
      </c>
      <c r="I293" s="24" t="n">
        <f aca="false">I292/H292-1</f>
        <v>0.0735882486387471</v>
      </c>
      <c r="J293" s="24" t="n">
        <f aca="false">J292/I292-1</f>
        <v>0.0761421319796956</v>
      </c>
    </row>
    <row r="294" customFormat="false" ht="15" hidden="false" customHeight="false" outlineLevel="0" collapsed="false">
      <c r="A294" s="4" t="s">
        <v>516</v>
      </c>
      <c r="B294" s="0" t="s">
        <v>77</v>
      </c>
      <c r="C294" s="25" t="n">
        <f aca="false">C290/C283</f>
        <v>0.0850371814696925</v>
      </c>
      <c r="D294" s="25" t="n">
        <f aca="false">D290/D283</f>
        <v>0.0713048498845266</v>
      </c>
      <c r="E294" s="25" t="n">
        <f aca="false">E290/E283</f>
        <v>0.0824301101241696</v>
      </c>
      <c r="F294" s="25" t="n">
        <f aca="false">F290/F283</f>
        <v>0.0863242138445496</v>
      </c>
      <c r="G294" s="25" t="n">
        <f aca="false">G290/G283</f>
        <v>0.088006355145468</v>
      </c>
      <c r="H294" s="26" t="n">
        <f aca="false">$G294+(fade_mA-$G294)*1/3</f>
        <v>0.088006355145468</v>
      </c>
      <c r="I294" s="26" t="n">
        <f aca="false">$G294+(fade_mA-$G294)*2/3</f>
        <v>0.088006355145468</v>
      </c>
      <c r="J294" s="26" t="n">
        <f aca="false">$G294+(fade_mA-$G294)*3/3</f>
        <v>0.088006355145468</v>
      </c>
    </row>
    <row r="295" customFormat="false" ht="17.15" hidden="false" customHeight="false" outlineLevel="0" collapsed="false">
      <c r="A295" s="0" t="s">
        <v>517</v>
      </c>
      <c r="B295" s="0" t="s">
        <v>207</v>
      </c>
      <c r="D295" s="20" t="n">
        <f aca="false">D269*D289/D291</f>
        <v>42.1015841584158</v>
      </c>
      <c r="E295" s="20" t="n">
        <f aca="false">E269*E289/E291</f>
        <v>67.3763521795351</v>
      </c>
      <c r="F295" s="20" t="n">
        <f aca="false">F269*F289/F291</f>
        <v>81.4912071372858</v>
      </c>
      <c r="G295" s="20" t="n">
        <f aca="false">G269*G289/G291</f>
        <v>91.9100037998653</v>
      </c>
      <c r="K295" s="8" t="s">
        <v>518</v>
      </c>
    </row>
    <row r="296" customFormat="false" ht="17.15" hidden="false" customHeight="false" outlineLevel="0" collapsed="false">
      <c r="A296" s="0" t="s">
        <v>519</v>
      </c>
      <c r="B296" s="0" t="s">
        <v>207</v>
      </c>
      <c r="D296" s="20" t="n">
        <f aca="false">D292-D295</f>
        <v>87.7384158415842</v>
      </c>
      <c r="E296" s="20" t="n">
        <f aca="false">E292-E295</f>
        <v>95.4391239610185</v>
      </c>
      <c r="F296" s="20" t="n">
        <f aca="false">F292-F295</f>
        <v>100.9890076518</v>
      </c>
      <c r="G296" s="20" t="n">
        <f aca="false">G292-G295</f>
        <v>106.865919553716</v>
      </c>
    </row>
    <row r="297" customFormat="false" ht="17.15" hidden="false" customHeight="false" outlineLevel="0" collapsed="false">
      <c r="A297" s="0" t="s">
        <v>520</v>
      </c>
      <c r="B297" s="0" t="s">
        <v>432</v>
      </c>
      <c r="D297" s="15" t="n">
        <f aca="false">D265/D255*1000/150</f>
        <v>26.4473684210526</v>
      </c>
      <c r="E297" s="15" t="n">
        <f aca="false">E265/E255*1000/150</f>
        <v>34.4085051263912</v>
      </c>
      <c r="F297" s="15" t="n">
        <f aca="false">F265/F255*1000/150</f>
        <v>41.0786397631579</v>
      </c>
      <c r="G297" s="15" t="n">
        <f aca="false">G265/G255*1000/150</f>
        <v>46.1793905966022</v>
      </c>
      <c r="K297" s="8" t="s">
        <v>521</v>
      </c>
    </row>
    <row r="300" customFormat="false" ht="17.15" hidden="false" customHeight="false" outlineLevel="0" collapsed="false">
      <c r="A300" s="1" t="s">
        <v>868</v>
      </c>
    </row>
    <row r="301" customFormat="false" ht="17.15" hidden="false" customHeight="false" outlineLevel="0" collapsed="false">
      <c r="A301" s="5" t="s">
        <v>19</v>
      </c>
      <c r="B301" s="5" t="s">
        <v>20</v>
      </c>
      <c r="C301" s="14" t="s">
        <v>374</v>
      </c>
      <c r="D301" s="14" t="s">
        <v>447</v>
      </c>
      <c r="E301" s="14" t="s">
        <v>412</v>
      </c>
      <c r="F301" s="14" t="s">
        <v>413</v>
      </c>
      <c r="G301" s="14" t="s">
        <v>414</v>
      </c>
      <c r="H301" s="14" t="s">
        <v>448</v>
      </c>
      <c r="I301" s="14" t="s">
        <v>449</v>
      </c>
      <c r="J301" s="14" t="s">
        <v>450</v>
      </c>
      <c r="K301" s="5" t="s">
        <v>379</v>
      </c>
    </row>
    <row r="302" customFormat="false" ht="17.15" hidden="false" customHeight="false" outlineLevel="0" collapsed="false">
      <c r="A302" s="6" t="s">
        <v>470</v>
      </c>
    </row>
    <row r="303" customFormat="false" ht="17.15" hidden="false" customHeight="false" outlineLevel="0" collapsed="false">
      <c r="A303" s="0" t="s">
        <v>471</v>
      </c>
      <c r="B303" s="4" t="s">
        <v>30</v>
      </c>
      <c r="D303" s="20" t="n">
        <f aca="false">unv_26</f>
        <v>7.6</v>
      </c>
      <c r="E303" s="20" t="n">
        <f aca="false">unv_27</f>
        <v>9.7</v>
      </c>
      <c r="F303" s="20" t="n">
        <f aca="false">unv_28*um28_A</f>
        <v>9.5</v>
      </c>
      <c r="G303" s="20" t="n">
        <f aca="false">unv_29*um29_A</f>
        <v>10.6</v>
      </c>
      <c r="K303" s="8" t="s">
        <v>472</v>
      </c>
    </row>
    <row r="304" customFormat="false" ht="17.15" hidden="false" customHeight="false" outlineLevel="0" collapsed="false">
      <c r="A304" s="4" t="s">
        <v>473</v>
      </c>
      <c r="B304" s="4" t="s">
        <v>30</v>
      </c>
      <c r="D304" s="20" t="n">
        <f aca="false">uot_26</f>
        <v>7.6</v>
      </c>
      <c r="E304" s="20" t="n">
        <f aca="false">uot_27</f>
        <v>14</v>
      </c>
      <c r="F304" s="20" t="n">
        <f aca="false">uot_28*um28_A</f>
        <v>17</v>
      </c>
      <c r="G304" s="20" t="n">
        <f aca="false">uot_29*um29_A</f>
        <v>19.55</v>
      </c>
      <c r="K304" s="8" t="s">
        <v>474</v>
      </c>
    </row>
    <row r="305" customFormat="false" ht="17.15" hidden="false" customHeight="false" outlineLevel="0" collapsed="false">
      <c r="A305" s="4" t="s">
        <v>475</v>
      </c>
      <c r="B305" s="4" t="s">
        <v>30</v>
      </c>
      <c r="D305" s="20" t="n">
        <f aca="false">D303+v_ot_hi*D304</f>
        <v>15.2</v>
      </c>
      <c r="E305" s="20" t="n">
        <f aca="false">E303+v_ot_hi*E304</f>
        <v>23.7</v>
      </c>
      <c r="F305" s="20" t="n">
        <f aca="false">F303+v_ot_hi*F304</f>
        <v>26.5</v>
      </c>
      <c r="G305" s="20" t="n">
        <f aca="false">G303+v_ot_hi*G304</f>
        <v>30.15</v>
      </c>
    </row>
    <row r="306" customFormat="false" ht="17.15" hidden="false" customHeight="false" outlineLevel="0" collapsed="false">
      <c r="A306" s="4" t="s">
        <v>476</v>
      </c>
      <c r="B306" s="0" t="s">
        <v>52</v>
      </c>
      <c r="D306" s="21" t="n">
        <f aca="false">1</f>
        <v>1</v>
      </c>
      <c r="E306" s="21" t="n">
        <f aca="false">D306*(1+g_asp)</f>
        <v>1.18</v>
      </c>
      <c r="F306" s="21" t="n">
        <f aca="false">E306*(1+g_asp)</f>
        <v>1.3924</v>
      </c>
      <c r="G306" s="21" t="n">
        <f aca="false">F306*(1+g_asp)</f>
        <v>1.643032</v>
      </c>
    </row>
    <row r="307" customFormat="false" ht="17.15" hidden="false" customHeight="false" outlineLevel="0" collapsed="false">
      <c r="A307" s="4" t="s">
        <v>477</v>
      </c>
      <c r="B307" s="0" t="s">
        <v>52</v>
      </c>
      <c r="D307" s="18" t="n">
        <f aca="false">1</f>
        <v>1</v>
      </c>
      <c r="E307" s="18" t="n">
        <f aca="false">rel_27</f>
        <v>1</v>
      </c>
      <c r="F307" s="18" t="n">
        <f aca="false">rel_28</f>
        <v>0.97</v>
      </c>
      <c r="G307" s="18" t="n">
        <f aca="false">rel_29</f>
        <v>0.95</v>
      </c>
    </row>
    <row r="308" customFormat="false" ht="17.15" hidden="false" customHeight="false" outlineLevel="0" collapsed="false">
      <c r="A308" s="0" t="s">
        <v>478</v>
      </c>
      <c r="B308" s="0" t="s">
        <v>52</v>
      </c>
      <c r="D308" s="21" t="n">
        <f aca="false">D305/$D305*D306*D307</f>
        <v>1</v>
      </c>
      <c r="E308" s="21" t="n">
        <f aca="false">E305/$D305*E306*E307</f>
        <v>1.83986842105263</v>
      </c>
      <c r="F308" s="21" t="n">
        <f aca="false">F305/$D305*F306*F307</f>
        <v>2.35471328947368</v>
      </c>
      <c r="G308" s="21" t="n">
        <f aca="false">G305/$D305*G306*G307</f>
        <v>3.096088425</v>
      </c>
      <c r="K308" s="4" t="s">
        <v>479</v>
      </c>
    </row>
    <row r="309" customFormat="false" ht="17.15" hidden="false" customHeight="false" outlineLevel="0" collapsed="false">
      <c r="A309" s="4" t="s">
        <v>480</v>
      </c>
      <c r="B309" s="0" t="s">
        <v>52</v>
      </c>
      <c r="D309" s="21" t="n">
        <f aca="false">1</f>
        <v>1</v>
      </c>
      <c r="E309" s="21" t="n">
        <f aca="false">D309*(1+g_nai)</f>
        <v>1.03</v>
      </c>
      <c r="F309" s="21" t="n">
        <f aca="false">E309*(1+g_nai)</f>
        <v>1.0609</v>
      </c>
      <c r="G309" s="21" t="n">
        <f aca="false">F309*(1+g_nai)</f>
        <v>1.092727</v>
      </c>
    </row>
    <row r="310" customFormat="false" ht="17.15" hidden="false" customHeight="false" outlineLevel="0" collapsed="false">
      <c r="A310" s="0" t="s">
        <v>481</v>
      </c>
      <c r="B310" s="0" t="s">
        <v>52</v>
      </c>
      <c r="D310" s="21" t="n">
        <f aca="false">ai_sh*D308+(1-ai_sh)*D309</f>
        <v>1</v>
      </c>
      <c r="E310" s="21" t="n">
        <f aca="false">ai_sh*E308+(1-ai_sh)*E309</f>
        <v>1.35394736842105</v>
      </c>
      <c r="F310" s="21" t="n">
        <f aca="false">ai_sh*F308+(1-ai_sh)*F309</f>
        <v>1.57842531578947</v>
      </c>
      <c r="G310" s="21" t="n">
        <f aca="false">ai_sh*G308+(1-ai_sh)*G309</f>
        <v>1.89407157</v>
      </c>
    </row>
    <row r="311" customFormat="false" ht="17.15" hidden="false" customHeight="false" outlineLevel="0" collapsed="false">
      <c r="A311" s="4" t="s">
        <v>482</v>
      </c>
      <c r="B311" s="0" t="s">
        <v>52</v>
      </c>
      <c r="D311" s="21" t="n">
        <f aca="false">1</f>
        <v>1</v>
      </c>
      <c r="E311" s="21" t="n">
        <f aca="false">cap_27</f>
        <v>1.3</v>
      </c>
      <c r="F311" s="21" t="n">
        <f aca="false">cap_28</f>
        <v>1.55</v>
      </c>
      <c r="G311" s="21" t="n">
        <f aca="false">cap_29</f>
        <v>1.8</v>
      </c>
      <c r="K311" s="4" t="s">
        <v>483</v>
      </c>
    </row>
    <row r="312" customFormat="false" ht="17.15" hidden="false" customHeight="false" outlineLevel="0" collapsed="false">
      <c r="A312" s="4" t="s">
        <v>484</v>
      </c>
      <c r="B312" s="0" t="s">
        <v>52</v>
      </c>
      <c r="D312" s="21" t="n">
        <f aca="false">MIN(D310,D311)</f>
        <v>1</v>
      </c>
      <c r="E312" s="21" t="n">
        <f aca="false">MIN(E310,E311)</f>
        <v>1.3</v>
      </c>
      <c r="F312" s="21" t="n">
        <f aca="false">MIN(F310,F311)</f>
        <v>1.55</v>
      </c>
      <c r="G312" s="21" t="n">
        <f aca="false">MIN(G310,G311)</f>
        <v>1.8</v>
      </c>
    </row>
    <row r="313" customFormat="false" ht="17.15" hidden="false" customHeight="false" outlineLevel="0" collapsed="false">
      <c r="A313" s="4" t="s">
        <v>485</v>
      </c>
      <c r="B313" s="0" t="s">
        <v>77</v>
      </c>
      <c r="D313" s="16" t="n">
        <f aca="false">D312/D310</f>
        <v>1</v>
      </c>
      <c r="E313" s="16" t="n">
        <f aca="false">E312/E310</f>
        <v>0.960155490767736</v>
      </c>
      <c r="F313" s="16" t="n">
        <f aca="false">F312/F310</f>
        <v>0.981991345738613</v>
      </c>
      <c r="G313" s="16" t="n">
        <f aca="false">G312/G310</f>
        <v>0.950333677201015</v>
      </c>
      <c r="K313" s="4" t="s">
        <v>486</v>
      </c>
    </row>
    <row r="314" customFormat="false" ht="17.15" hidden="false" customHeight="false" outlineLevel="0" collapsed="false">
      <c r="A314" s="0" t="s">
        <v>487</v>
      </c>
      <c r="B314" s="0" t="s">
        <v>52</v>
      </c>
      <c r="D314" s="21" t="n">
        <f aca="false">1</f>
        <v>1</v>
      </c>
      <c r="E314" s="21" t="n">
        <f aca="false">pp_27</f>
        <v>1.12</v>
      </c>
      <c r="F314" s="21" t="n">
        <f aca="false">pp_28*sp_A</f>
        <v>1.15</v>
      </c>
      <c r="G314" s="21" t="n">
        <f aca="false">pp_29*sp_A</f>
        <v>1.12</v>
      </c>
      <c r="K314" s="8" t="s">
        <v>488</v>
      </c>
    </row>
    <row r="315" customFormat="false" ht="17.15" hidden="false" customHeight="false" outlineLevel="0" collapsed="false">
      <c r="A315" s="0" t="s">
        <v>429</v>
      </c>
      <c r="B315" s="0" t="s">
        <v>169</v>
      </c>
      <c r="D315" s="15" t="n">
        <f aca="false">q26_fm*ai_sh</f>
        <v>48.24</v>
      </c>
      <c r="E315" s="15" t="n">
        <f aca="false">q26_fm*ai_sh*E308*E313*E314</f>
        <v>95.4451043265306</v>
      </c>
      <c r="F315" s="15" t="n">
        <f aca="false">q26_fm*ai_sh*F308*F313*F314</f>
        <v>128.27760259999</v>
      </c>
      <c r="G315" s="15" t="n">
        <f aca="false">q26_fm*ai_sh*G308*G313*G314</f>
        <v>158.969862017385</v>
      </c>
      <c r="K315" s="8" t="s">
        <v>489</v>
      </c>
    </row>
    <row r="316" customFormat="false" ht="17.15" hidden="false" customHeight="false" outlineLevel="0" collapsed="false">
      <c r="A316" s="0" t="s">
        <v>490</v>
      </c>
      <c r="B316" s="0" t="s">
        <v>169</v>
      </c>
      <c r="D316" s="15" t="n">
        <f aca="false">q26_fm*(1-ai_sh)</f>
        <v>72.36</v>
      </c>
      <c r="E316" s="15" t="n">
        <f aca="false">q26_fm*(1-ai_sh)*E309*E313*E314</f>
        <v>80.1484956734694</v>
      </c>
      <c r="F316" s="15" t="n">
        <f aca="false">q26_fm*(1-ai_sh)*F309*F313*F314</f>
        <v>86.6918974000104</v>
      </c>
      <c r="G316" s="15" t="n">
        <f aca="false">q26_fm*(1-ai_sh)*G309*G313*G314</f>
        <v>84.1597379826149</v>
      </c>
    </row>
    <row r="317" customFormat="false" ht="17.15" hidden="false" customHeight="false" outlineLevel="0" collapsed="false">
      <c r="A317" s="4" t="s">
        <v>491</v>
      </c>
      <c r="B317" s="0" t="s">
        <v>169</v>
      </c>
      <c r="C317" s="15" t="n">
        <f aca="false">q25_fm</f>
        <v>102.4512</v>
      </c>
      <c r="D317" s="15" t="n">
        <f aca="false">D315+D316</f>
        <v>120.6</v>
      </c>
      <c r="E317" s="15" t="n">
        <f aca="false">E315+E316</f>
        <v>175.5936</v>
      </c>
      <c r="F317" s="15" t="n">
        <f aca="false">F315+F316</f>
        <v>214.9695</v>
      </c>
      <c r="G317" s="15" t="n">
        <f aca="false">G315+G316</f>
        <v>243.1296</v>
      </c>
    </row>
    <row r="318" customFormat="false" ht="17.15" hidden="false" customHeight="false" outlineLevel="0" collapsed="false">
      <c r="A318" s="0" t="s">
        <v>492</v>
      </c>
      <c r="B318" s="0" t="s">
        <v>77</v>
      </c>
      <c r="C318" s="16" t="n">
        <f aca="false">q25_fmbp/q25_fm</f>
        <v>0.532936656671664</v>
      </c>
      <c r="D318" s="16" t="n">
        <f aca="false">q26_fmbp/q26_fm</f>
        <v>0.543117744610282</v>
      </c>
      <c r="E318" s="16" t="n">
        <f aca="false">1-(1-$D318)*(1+c_g)^1/E314</f>
        <v>0.579831497275527</v>
      </c>
      <c r="F318" s="16" t="n">
        <f aca="false">1-(1-$D318)*(1+c_g)^2/F314</f>
        <v>0.578516187180042</v>
      </c>
      <c r="G318" s="16" t="n">
        <f aca="false">1-(1-$D318)*(1+c_g)^3/G314</f>
        <v>0.554243235459607</v>
      </c>
      <c r="K318" s="8" t="s">
        <v>493</v>
      </c>
    </row>
    <row r="319" customFormat="false" ht="17.15" hidden="false" customHeight="false" outlineLevel="0" collapsed="false">
      <c r="A319" s="0" t="s">
        <v>455</v>
      </c>
      <c r="B319" s="0" t="s">
        <v>169</v>
      </c>
      <c r="C319" s="15" t="n">
        <f aca="false">q25_fmbp</f>
        <v>54.6</v>
      </c>
      <c r="D319" s="15" t="n">
        <f aca="false">D317*D318</f>
        <v>65.5</v>
      </c>
      <c r="E319" s="15" t="n">
        <f aca="false">E317*E318</f>
        <v>101.8147</v>
      </c>
      <c r="F319" s="15" t="n">
        <f aca="false">F317*F318</f>
        <v>124.3633355</v>
      </c>
      <c r="G319" s="15" t="n">
        <f aca="false">G317*G318</f>
        <v>134.75293614</v>
      </c>
    </row>
    <row r="320" customFormat="false" ht="17.15" hidden="false" customHeight="false" outlineLevel="0" collapsed="false">
      <c r="A320" s="6" t="s">
        <v>494</v>
      </c>
    </row>
    <row r="321" customFormat="false" ht="15" hidden="false" customHeight="false" outlineLevel="0" collapsed="false">
      <c r="A321" s="4" t="s">
        <v>495</v>
      </c>
      <c r="B321" s="0" t="s">
        <v>169</v>
      </c>
      <c r="C321" s="15" t="n">
        <f aca="false">q25_sf</f>
        <v>936.926</v>
      </c>
      <c r="D321" s="15" t="n">
        <f aca="false">q26_sf</f>
        <v>998.6</v>
      </c>
      <c r="E321" s="15" t="n">
        <f aca="false">D321*(1+g_sf)</f>
        <v>1038.544</v>
      </c>
      <c r="F321" s="15" t="n">
        <f aca="false">E321*(1+g_sf)</f>
        <v>1080.08576</v>
      </c>
      <c r="G321" s="15" t="n">
        <f aca="false">F321*(1+g_sf)</f>
        <v>1123.2891904</v>
      </c>
    </row>
    <row r="322" customFormat="false" ht="15" hidden="false" customHeight="false" outlineLevel="0" collapsed="false">
      <c r="A322" s="4" t="s">
        <v>496</v>
      </c>
      <c r="B322" s="0" t="s">
        <v>169</v>
      </c>
      <c r="C322" s="15" t="n">
        <f aca="false">q25_sfbp</f>
        <v>143.036</v>
      </c>
      <c r="D322" s="15" t="n">
        <f aca="false">q26_sfbp</f>
        <v>145.9</v>
      </c>
      <c r="E322" s="15" t="n">
        <f aca="false">E321*m_sf</f>
        <v>151.736</v>
      </c>
      <c r="F322" s="15" t="n">
        <f aca="false">F321*m_sf</f>
        <v>157.80544</v>
      </c>
      <c r="G322" s="15" t="n">
        <f aca="false">G321*m_sf</f>
        <v>164.1176576</v>
      </c>
    </row>
    <row r="323" customFormat="false" ht="15" hidden="false" customHeight="false" outlineLevel="0" collapsed="false">
      <c r="A323" s="4" t="s">
        <v>497</v>
      </c>
      <c r="B323" s="0" t="s">
        <v>169</v>
      </c>
      <c r="C323" s="15" t="n">
        <f aca="false">q25_ff</f>
        <v>290.308</v>
      </c>
      <c r="D323" s="15" t="n">
        <f aca="false">q26_ff</f>
        <v>310.6</v>
      </c>
      <c r="E323" s="15" t="n">
        <f aca="false">D323*(1+g_ff)</f>
        <v>319.918</v>
      </c>
      <c r="F323" s="15" t="n">
        <f aca="false">E323*(1+g_ff)</f>
        <v>329.51554</v>
      </c>
      <c r="G323" s="15" t="n">
        <f aca="false">F323*(1+g_ff)</f>
        <v>339.4010062</v>
      </c>
    </row>
    <row r="324" customFormat="false" ht="15" hidden="false" customHeight="false" outlineLevel="0" collapsed="false">
      <c r="A324" s="4" t="s">
        <v>498</v>
      </c>
      <c r="B324" s="0" t="s">
        <v>169</v>
      </c>
      <c r="C324" s="15" t="n">
        <f aca="false">q25_ffbp</f>
        <v>8.457</v>
      </c>
      <c r="D324" s="15" t="n">
        <f aca="false">q26_ffbp</f>
        <v>12.1</v>
      </c>
      <c r="E324" s="15" t="n">
        <f aca="false">E323*m_ff</f>
        <v>14.39631</v>
      </c>
      <c r="F324" s="15" t="n">
        <f aca="false">F323*m_ff</f>
        <v>14.8281993</v>
      </c>
      <c r="G324" s="15" t="n">
        <f aca="false">G323*m_ff</f>
        <v>15.273045279</v>
      </c>
    </row>
    <row r="325" customFormat="false" ht="17.15" hidden="false" customHeight="false" outlineLevel="0" collapsed="false">
      <c r="A325" s="4" t="s">
        <v>499</v>
      </c>
      <c r="B325" s="0" t="s">
        <v>169</v>
      </c>
      <c r="C325" s="15" t="n">
        <f aca="false">q25_hox</f>
        <v>239.0528</v>
      </c>
      <c r="D325" s="15" t="n">
        <f aca="false">q26_hox</f>
        <v>286.2</v>
      </c>
      <c r="E325" s="15" t="n">
        <f aca="false">D325*(1+g_ho)</f>
        <v>300.51</v>
      </c>
      <c r="F325" s="15" t="n">
        <f aca="false">E325*(1+g_ho)</f>
        <v>315.5355</v>
      </c>
      <c r="G325" s="15" t="n">
        <f aca="false">F325*(1+g_ho)</f>
        <v>331.312275</v>
      </c>
    </row>
    <row r="326" customFormat="false" ht="17.15" hidden="false" customHeight="false" outlineLevel="0" collapsed="false">
      <c r="A326" s="4" t="s">
        <v>500</v>
      </c>
      <c r="B326" s="0" t="s">
        <v>169</v>
      </c>
      <c r="C326" s="15" t="n">
        <f aca="false">q25_hoxbp</f>
        <v>11.602</v>
      </c>
      <c r="D326" s="15" t="n">
        <f aca="false">q26_hoxbp</f>
        <v>19.5</v>
      </c>
      <c r="E326" s="15" t="n">
        <f aca="false">E325*m_ho</f>
        <v>20.475</v>
      </c>
      <c r="F326" s="15" t="n">
        <f aca="false">F325*m_ho</f>
        <v>21.49875</v>
      </c>
      <c r="G326" s="15" t="n">
        <f aca="false">G325*m_ho</f>
        <v>22.5736875</v>
      </c>
    </row>
    <row r="327" customFormat="false" ht="17.15" hidden="false" customHeight="false" outlineLevel="0" collapsed="false">
      <c r="A327" s="4" t="s">
        <v>501</v>
      </c>
      <c r="B327" s="0" t="s">
        <v>169</v>
      </c>
      <c r="C327" s="15" t="n">
        <f aca="false">q25_oth</f>
        <v>14.979</v>
      </c>
      <c r="D327" s="15" t="n">
        <f aca="false">q26_oth</f>
        <v>15.8</v>
      </c>
      <c r="E327" s="15" t="n">
        <f aca="false">D327</f>
        <v>15.8</v>
      </c>
      <c r="F327" s="15" t="n">
        <f aca="false">E327</f>
        <v>15.8</v>
      </c>
      <c r="G327" s="15" t="n">
        <f aca="false">F327</f>
        <v>15.8</v>
      </c>
      <c r="K327" s="8" t="s">
        <v>502</v>
      </c>
    </row>
    <row r="328" customFormat="false" ht="15" hidden="false" customHeight="false" outlineLevel="0" collapsed="false">
      <c r="A328" s="4" t="s">
        <v>503</v>
      </c>
      <c r="B328" s="0" t="s">
        <v>169</v>
      </c>
      <c r="C328" s="15" t="n">
        <f aca="false">q25_othbp</f>
        <v>6.064</v>
      </c>
      <c r="D328" s="15" t="n">
        <f aca="false">q26_othbp</f>
        <v>5.1</v>
      </c>
      <c r="E328" s="15" t="n">
        <f aca="false">q26_othbp</f>
        <v>5.1</v>
      </c>
      <c r="F328" s="15" t="n">
        <f aca="false">q26_othbp</f>
        <v>5.1</v>
      </c>
      <c r="G328" s="15" t="n">
        <f aca="false">q26_othbp</f>
        <v>5.1</v>
      </c>
    </row>
    <row r="329" customFormat="false" ht="15" hidden="false" customHeight="false" outlineLevel="0" collapsed="false">
      <c r="A329" s="4" t="s">
        <v>504</v>
      </c>
      <c r="B329" s="0" t="s">
        <v>169</v>
      </c>
      <c r="C329" s="15" t="n">
        <f aca="false">q25_cc</f>
        <v>-42.597</v>
      </c>
      <c r="D329" s="15" t="n">
        <f aca="false">q26_cc</f>
        <v>-46.2</v>
      </c>
      <c r="E329" s="15" t="n">
        <f aca="false">D329*(1+g_cc)</f>
        <v>-47.586</v>
      </c>
      <c r="F329" s="15" t="n">
        <f aca="false">E329*(1+g_cc)</f>
        <v>-49.01358</v>
      </c>
      <c r="G329" s="15" t="n">
        <f aca="false">F329*(1+g_cc)</f>
        <v>-50.4839874</v>
      </c>
    </row>
    <row r="330" customFormat="false" ht="17.15" hidden="false" customHeight="false" outlineLevel="0" collapsed="false">
      <c r="A330" s="4" t="s">
        <v>505</v>
      </c>
      <c r="B330" s="0" t="s">
        <v>169</v>
      </c>
      <c r="C330" s="28" t="n">
        <f aca="false">a_rev-(q25_sf+q25_ff+q25_hox+q25_fm+q25_oth)</f>
        <v>0.00200000000018008</v>
      </c>
      <c r="D330" s="28" t="n">
        <f aca="false">f_rev-(q26_sf+q26_ff+q26_hox+q26_fm+q26_oth)</f>
        <v>0.200000000000045</v>
      </c>
      <c r="E330" s="28" t="n">
        <f aca="false">$D330</f>
        <v>0.200000000000045</v>
      </c>
      <c r="F330" s="28" t="n">
        <f aca="false">$D330</f>
        <v>0.200000000000045</v>
      </c>
      <c r="G330" s="28" t="n">
        <f aca="false">$D330</f>
        <v>0.200000000000045</v>
      </c>
      <c r="K330" s="8" t="s">
        <v>506</v>
      </c>
    </row>
    <row r="331" customFormat="false" ht="15" hidden="false" customHeight="false" outlineLevel="0" collapsed="false">
      <c r="A331" s="4" t="s">
        <v>507</v>
      </c>
      <c r="B331" s="0" t="s">
        <v>169</v>
      </c>
      <c r="C331" s="28" t="n">
        <f aca="false">a_bp-(q25_sfbp+q25_ffbp+q25_hoxbp+q25_fmbp+q25_othbp+q25_cc)</f>
        <v>0.0010000000000332</v>
      </c>
      <c r="D331" s="28" t="n">
        <f aca="false">f_bp-(q26_sfbp+q26_ffbp+q26_hoxbp+q26_fmbp+q26_othbp+q26_cc)</f>
        <v>0.100000000000023</v>
      </c>
      <c r="E331" s="28" t="n">
        <f aca="false">$D331</f>
        <v>0.100000000000023</v>
      </c>
      <c r="F331" s="28" t="n">
        <f aca="false">$D331</f>
        <v>0.100000000000023</v>
      </c>
      <c r="G331" s="28" t="n">
        <f aca="false">$D331</f>
        <v>0.100000000000023</v>
      </c>
    </row>
    <row r="332" customFormat="false" ht="17.15" hidden="false" customHeight="false" outlineLevel="0" collapsed="false">
      <c r="A332" s="6" t="s">
        <v>508</v>
      </c>
    </row>
    <row r="333" customFormat="false" ht="17.15" hidden="false" customHeight="false" outlineLevel="0" collapsed="false">
      <c r="A333" s="4" t="s">
        <v>380</v>
      </c>
      <c r="B333" s="0" t="s">
        <v>169</v>
      </c>
      <c r="C333" s="15" t="n">
        <f aca="false">C321+C323+C325+C317+C327+C330</f>
        <v>1583.719</v>
      </c>
      <c r="D333" s="15" t="n">
        <f aca="false">D321+D323+D325+D317+D327+D330</f>
        <v>1732</v>
      </c>
      <c r="E333" s="15" t="n">
        <f aca="false">E321+E323+E325+E317+E327+E330</f>
        <v>1850.5656</v>
      </c>
      <c r="F333" s="15" t="n">
        <f aca="false">F321+F323+F325+F317+F327+F330</f>
        <v>1956.1063</v>
      </c>
      <c r="G333" s="15" t="n">
        <f aca="false">G321+G323+G325+G317+G327+G330</f>
        <v>2053.1320716</v>
      </c>
      <c r="H333" s="23" t="n">
        <f aca="false">G333*(1+H334)</f>
        <v>2162.08697548001</v>
      </c>
      <c r="I333" s="23" t="n">
        <f aca="false">H333*(1+I334)</f>
        <v>2284.31802729425</v>
      </c>
      <c r="J333" s="23" t="n">
        <f aca="false">I333*(1+J334)</f>
        <v>2421.3771089319</v>
      </c>
      <c r="K333" s="8" t="s">
        <v>509</v>
      </c>
    </row>
    <row r="334" customFormat="false" ht="15" hidden="false" customHeight="false" outlineLevel="0" collapsed="false">
      <c r="A334" s="4" t="s">
        <v>510</v>
      </c>
      <c r="B334" s="0" t="s">
        <v>77</v>
      </c>
      <c r="D334" s="16" t="n">
        <f aca="false">D333/C333-1</f>
        <v>0.0936283519993131</v>
      </c>
      <c r="E334" s="16" t="n">
        <f aca="false">E333/D333-1</f>
        <v>0.0684558891454965</v>
      </c>
      <c r="F334" s="16" t="n">
        <f aca="false">F333/E333-1</f>
        <v>0.0570315907741936</v>
      </c>
      <c r="G334" s="16" t="n">
        <f aca="false">G333/F333-1</f>
        <v>0.0496014820871442</v>
      </c>
      <c r="H334" s="24" t="n">
        <f aca="false">$G334+(fade_gA-$G334)*1/3</f>
        <v>0.0530676547247628</v>
      </c>
      <c r="I334" s="24" t="n">
        <f aca="false">$G334+(fade_gA-$G334)*2/3</f>
        <v>0.0565338273623814</v>
      </c>
      <c r="J334" s="24" t="n">
        <f aca="false">$G334+(fade_gA-$G334)*3/3</f>
        <v>0.06</v>
      </c>
    </row>
    <row r="335" customFormat="false" ht="17.15" hidden="false" customHeight="false" outlineLevel="0" collapsed="false">
      <c r="A335" s="0" t="s">
        <v>511</v>
      </c>
      <c r="B335" s="0" t="s">
        <v>77</v>
      </c>
      <c r="C335" s="16" t="n">
        <f aca="false">C317/C333</f>
        <v>0.0646902638662541</v>
      </c>
      <c r="D335" s="16" t="n">
        <f aca="false">D317/D333</f>
        <v>0.0696304849884527</v>
      </c>
      <c r="E335" s="16" t="n">
        <f aca="false">E317/E333</f>
        <v>0.0948864498507916</v>
      </c>
      <c r="F335" s="16" t="n">
        <f aca="false">F317/F333</f>
        <v>0.109896634963039</v>
      </c>
      <c r="G335" s="16" t="n">
        <f aca="false">G317/G333</f>
        <v>0.118418879799842</v>
      </c>
    </row>
    <row r="336" customFormat="false" ht="15" hidden="false" customHeight="false" outlineLevel="0" collapsed="false">
      <c r="A336" s="4" t="s">
        <v>390</v>
      </c>
      <c r="B336" s="0" t="s">
        <v>169</v>
      </c>
      <c r="C336" s="15" t="n">
        <f aca="false">C322+C324+C326+C319+C328+C329+C331</f>
        <v>181.163</v>
      </c>
      <c r="D336" s="15" t="n">
        <f aca="false">D322+D324+D326+D319+D328+D329+D331</f>
        <v>202</v>
      </c>
      <c r="E336" s="15" t="n">
        <f aca="false">E322+E324+E326+E319+E328+E329+E331</f>
        <v>246.03601</v>
      </c>
      <c r="F336" s="15" t="n">
        <f aca="false">F322+F324+F326+F319+F328+F329+F331</f>
        <v>274.6821448</v>
      </c>
      <c r="G336" s="15" t="n">
        <f aca="false">G322+G324+G326+G319+G328+G329+G331</f>
        <v>291.433339119</v>
      </c>
    </row>
    <row r="337" customFormat="false" ht="15" hidden="false" customHeight="false" outlineLevel="0" collapsed="false">
      <c r="A337" s="4" t="s">
        <v>406</v>
      </c>
      <c r="B337" s="0" t="s">
        <v>77</v>
      </c>
      <c r="C337" s="16" t="n">
        <f aca="false">C336/C333</f>
        <v>0.114390873633517</v>
      </c>
      <c r="D337" s="16" t="n">
        <f aca="false">D336/D333</f>
        <v>0.11662817551963</v>
      </c>
      <c r="E337" s="16" t="n">
        <f aca="false">E336/E333</f>
        <v>0.132951790522854</v>
      </c>
      <c r="F337" s="16" t="n">
        <f aca="false">F336/F333</f>
        <v>0.140422913008358</v>
      </c>
      <c r="G337" s="16" t="n">
        <f aca="false">G336/G333</f>
        <v>0.141945734105594</v>
      </c>
    </row>
    <row r="338" customFormat="false" ht="17.15" hidden="false" customHeight="false" outlineLevel="0" collapsed="false">
      <c r="A338" s="0" t="s">
        <v>512</v>
      </c>
      <c r="B338" s="0" t="s">
        <v>77</v>
      </c>
      <c r="C338" s="16" t="n">
        <f aca="false">C319/C336</f>
        <v>0.301386044611758</v>
      </c>
      <c r="D338" s="16" t="n">
        <f aca="false">D319/D336</f>
        <v>0.324257425742574</v>
      </c>
      <c r="E338" s="16" t="n">
        <f aca="false">E319/E336</f>
        <v>0.413820318415991</v>
      </c>
      <c r="F338" s="16" t="n">
        <f aca="false">F319/F336</f>
        <v>0.452753620336519</v>
      </c>
      <c r="G338" s="16" t="n">
        <f aca="false">G319/G336</f>
        <v>0.462379961562931</v>
      </c>
    </row>
    <row r="339" customFormat="false" ht="17.15" hidden="false" customHeight="false" outlineLevel="0" collapsed="false">
      <c r="A339" s="4" t="s">
        <v>407</v>
      </c>
      <c r="B339" s="0" t="s">
        <v>52</v>
      </c>
      <c r="C339" s="21" t="n">
        <f aca="false">q25_ni/q25_bp</f>
        <v>0.743391310587703</v>
      </c>
      <c r="D339" s="21" t="n">
        <f aca="false">q26_ni/q26_bp</f>
        <v>0.611386138613861</v>
      </c>
      <c r="E339" s="21" t="n">
        <f aca="false">ni_bp</f>
        <v>0.62</v>
      </c>
      <c r="F339" s="21" t="n">
        <f aca="false">ni_bp</f>
        <v>0.62</v>
      </c>
      <c r="G339" s="21" t="n">
        <f aca="false">ni_bp</f>
        <v>0.62</v>
      </c>
    </row>
    <row r="340" customFormat="false" ht="15" hidden="false" customHeight="false" outlineLevel="0" collapsed="false">
      <c r="A340" s="4" t="s">
        <v>397</v>
      </c>
      <c r="B340" s="0" t="s">
        <v>169</v>
      </c>
      <c r="C340" s="15" t="n">
        <f aca="false">q25_ni</f>
        <v>134.675</v>
      </c>
      <c r="D340" s="15" t="n">
        <f aca="false">q26_ni</f>
        <v>123.5</v>
      </c>
      <c r="E340" s="15" t="n">
        <f aca="false">E336*E339</f>
        <v>152.5423262</v>
      </c>
      <c r="F340" s="15" t="n">
        <f aca="false">F336*F339</f>
        <v>170.302929776</v>
      </c>
      <c r="G340" s="15" t="n">
        <f aca="false">G336*G339</f>
        <v>180.68867025378</v>
      </c>
      <c r="H340" s="23" t="n">
        <f aca="false">H333*H344</f>
        <v>190.277394219484</v>
      </c>
      <c r="I340" s="23" t="n">
        <f aca="false">I333*I344</f>
        <v>201.034503575252</v>
      </c>
      <c r="J340" s="23" t="n">
        <f aca="false">J333*J344</f>
        <v>213.096573789767</v>
      </c>
    </row>
    <row r="341" customFormat="false" ht="15" hidden="false" customHeight="false" outlineLevel="0" collapsed="false">
      <c r="A341" s="4" t="s">
        <v>513</v>
      </c>
      <c r="B341" s="4" t="s">
        <v>316</v>
      </c>
      <c r="C341" s="19" t="n">
        <f aca="false">q25_sh</f>
        <v>0.973366579936398</v>
      </c>
      <c r="D341" s="19" t="n">
        <f aca="false">q26_sh</f>
        <v>0.95117067159581</v>
      </c>
      <c r="E341" s="19" t="n">
        <f aca="false">D341*(1+sh_g)</f>
        <v>0.936903111521873</v>
      </c>
      <c r="F341" s="19" t="n">
        <f aca="false">E341*(1+sh_g)</f>
        <v>0.922849564849045</v>
      </c>
      <c r="G341" s="19" t="n">
        <f aca="false">F341*(1+sh_g)</f>
        <v>0.909006821376309</v>
      </c>
      <c r="H341" s="29" t="n">
        <f aca="false">G341*(1+sh_g)</f>
        <v>0.895371719055665</v>
      </c>
      <c r="I341" s="29" t="n">
        <f aca="false">H341*(1+sh_g)</f>
        <v>0.88194114326983</v>
      </c>
      <c r="J341" s="29" t="n">
        <f aca="false">I341*(1+sh_g)</f>
        <v>0.868712026120782</v>
      </c>
    </row>
    <row r="342" customFormat="false" ht="17.15" hidden="false" customHeight="false" outlineLevel="0" collapsed="false">
      <c r="A342" s="0" t="s">
        <v>514</v>
      </c>
      <c r="B342" s="0" t="s">
        <v>207</v>
      </c>
      <c r="C342" s="20" t="n">
        <f aca="false">C340/C341</f>
        <v>138.36</v>
      </c>
      <c r="D342" s="20" t="n">
        <f aca="false">D340/D341</f>
        <v>129.84</v>
      </c>
      <c r="E342" s="20" t="n">
        <f aca="false">E340/E341</f>
        <v>162.815476140554</v>
      </c>
      <c r="F342" s="20" t="n">
        <f aca="false">F340/F341</f>
        <v>184.540293741004</v>
      </c>
      <c r="G342" s="20" t="n">
        <f aca="false">G340/G341</f>
        <v>198.775923353582</v>
      </c>
      <c r="H342" s="27" t="n">
        <f aca="false">H340/H341</f>
        <v>212.512178093102</v>
      </c>
      <c r="I342" s="27" t="n">
        <f aca="false">I340/I341</f>
        <v>227.945487189666</v>
      </c>
      <c r="J342" s="27" t="n">
        <f aca="false">J340/J341</f>
        <v>245.301742559437</v>
      </c>
    </row>
    <row r="343" customFormat="false" ht="17.15" hidden="false" customHeight="false" outlineLevel="0" collapsed="false">
      <c r="A343" s="0" t="s">
        <v>515</v>
      </c>
      <c r="B343" s="0" t="s">
        <v>77</v>
      </c>
      <c r="D343" s="16" t="n">
        <f aca="false">D342/C342-1</f>
        <v>-0.0615784908933218</v>
      </c>
      <c r="E343" s="16" t="n">
        <f aca="false">E342/D342-1</f>
        <v>0.253970087342527</v>
      </c>
      <c r="F343" s="16" t="n">
        <f aca="false">F342/E342-1</f>
        <v>0.133432141190899</v>
      </c>
      <c r="G343" s="16" t="n">
        <f aca="false">G342/F342-1</f>
        <v>0.0771410369193262</v>
      </c>
      <c r="H343" s="24" t="n">
        <f aca="false">H342/G342-1</f>
        <v>0.0691042179946833</v>
      </c>
      <c r="I343" s="24" t="n">
        <f aca="false">I342/H342-1</f>
        <v>0.0726231749871891</v>
      </c>
      <c r="J343" s="24" t="n">
        <f aca="false">J342/I342-1</f>
        <v>0.0761421319796956</v>
      </c>
    </row>
    <row r="344" customFormat="false" ht="15" hidden="false" customHeight="false" outlineLevel="0" collapsed="false">
      <c r="A344" s="4" t="s">
        <v>516</v>
      </c>
      <c r="B344" s="0" t="s">
        <v>77</v>
      </c>
      <c r="C344" s="25" t="n">
        <f aca="false">C340/C333</f>
        <v>0.0850371814696925</v>
      </c>
      <c r="D344" s="25" t="n">
        <f aca="false">D340/D333</f>
        <v>0.0713048498845266</v>
      </c>
      <c r="E344" s="25" t="n">
        <f aca="false">E340/E333</f>
        <v>0.0824301101241696</v>
      </c>
      <c r="F344" s="25" t="n">
        <f aca="false">F340/F333</f>
        <v>0.0870622060651816</v>
      </c>
      <c r="G344" s="25" t="n">
        <f aca="false">G340/G333</f>
        <v>0.088006355145468</v>
      </c>
      <c r="H344" s="26" t="n">
        <f aca="false">$G344+(fade_mA-$G344)*1/3</f>
        <v>0.088006355145468</v>
      </c>
      <c r="I344" s="26" t="n">
        <f aca="false">$G344+(fade_mA-$G344)*2/3</f>
        <v>0.088006355145468</v>
      </c>
      <c r="J344" s="26" t="n">
        <f aca="false">$G344+(fade_mA-$G344)*3/3</f>
        <v>0.088006355145468</v>
      </c>
    </row>
    <row r="345" customFormat="false" ht="17.15" hidden="false" customHeight="false" outlineLevel="0" collapsed="false">
      <c r="A345" s="0" t="s">
        <v>517</v>
      </c>
      <c r="B345" s="0" t="s">
        <v>207</v>
      </c>
      <c r="D345" s="20" t="n">
        <f aca="false">D319*D339/D341</f>
        <v>42.1015841584158</v>
      </c>
      <c r="E345" s="20" t="n">
        <f aca="false">E319*E339/E341</f>
        <v>67.3763521795352</v>
      </c>
      <c r="F345" s="20" t="n">
        <f aca="false">F319*F339/F341</f>
        <v>83.551286089204</v>
      </c>
      <c r="G345" s="20" t="n">
        <f aca="false">G319*G339/G341</f>
        <v>91.9100037998652</v>
      </c>
      <c r="K345" s="8" t="s">
        <v>518</v>
      </c>
    </row>
    <row r="346" customFormat="false" ht="17.15" hidden="false" customHeight="false" outlineLevel="0" collapsed="false">
      <c r="A346" s="0" t="s">
        <v>519</v>
      </c>
      <c r="B346" s="0" t="s">
        <v>207</v>
      </c>
      <c r="D346" s="20" t="n">
        <f aca="false">D342-D345</f>
        <v>87.7384158415842</v>
      </c>
      <c r="E346" s="20" t="n">
        <f aca="false">E342-E345</f>
        <v>95.4391239610186</v>
      </c>
      <c r="F346" s="20" t="n">
        <f aca="false">F342-F345</f>
        <v>100.9890076518</v>
      </c>
      <c r="G346" s="20" t="n">
        <f aca="false">G342-G345</f>
        <v>106.865919553716</v>
      </c>
    </row>
    <row r="347" customFormat="false" ht="17.15" hidden="false" customHeight="false" outlineLevel="0" collapsed="false">
      <c r="A347" s="0" t="s">
        <v>520</v>
      </c>
      <c r="B347" s="0" t="s">
        <v>432</v>
      </c>
      <c r="D347" s="15" t="n">
        <f aca="false">D315/D305*1000/150</f>
        <v>21.1578947368421</v>
      </c>
      <c r="E347" s="15" t="n">
        <f aca="false">E315/E305*1000/150</f>
        <v>26.8481306122449</v>
      </c>
      <c r="F347" s="15" t="n">
        <f aca="false">F315/F305*1000/150</f>
        <v>32.2710949937081</v>
      </c>
      <c r="G347" s="15" t="n">
        <f aca="false">G315/G305*1000/150</f>
        <v>35.1508815958839</v>
      </c>
      <c r="K347" s="8" t="s">
        <v>521</v>
      </c>
    </row>
    <row r="350" customFormat="false" ht="17.15" hidden="false" customHeight="false" outlineLevel="0" collapsed="false">
      <c r="A350" s="1" t="s">
        <v>869</v>
      </c>
    </row>
    <row r="351" customFormat="false" ht="17.15" hidden="false" customHeight="false" outlineLevel="0" collapsed="false">
      <c r="A351" s="5" t="s">
        <v>19</v>
      </c>
      <c r="B351" s="5" t="s">
        <v>20</v>
      </c>
      <c r="C351" s="14" t="s">
        <v>374</v>
      </c>
      <c r="D351" s="14" t="s">
        <v>447</v>
      </c>
      <c r="E351" s="14" t="s">
        <v>412</v>
      </c>
      <c r="F351" s="14" t="s">
        <v>413</v>
      </c>
      <c r="G351" s="14" t="s">
        <v>414</v>
      </c>
      <c r="H351" s="14" t="s">
        <v>448</v>
      </c>
      <c r="I351" s="14" t="s">
        <v>449</v>
      </c>
      <c r="J351" s="14" t="s">
        <v>450</v>
      </c>
      <c r="K351" s="5" t="s">
        <v>379</v>
      </c>
    </row>
    <row r="352" customFormat="false" ht="17.15" hidden="false" customHeight="false" outlineLevel="0" collapsed="false">
      <c r="A352" s="6" t="s">
        <v>470</v>
      </c>
    </row>
    <row r="353" customFormat="false" ht="17.15" hidden="false" customHeight="false" outlineLevel="0" collapsed="false">
      <c r="A353" s="0" t="s">
        <v>471</v>
      </c>
      <c r="B353" s="4" t="s">
        <v>30</v>
      </c>
      <c r="D353" s="20" t="n">
        <f aca="false">unv_26</f>
        <v>7.6</v>
      </c>
      <c r="E353" s="20" t="n">
        <f aca="false">unv_27</f>
        <v>9.7</v>
      </c>
      <c r="F353" s="20" t="n">
        <f aca="false">unv_28*um28_A</f>
        <v>9.5</v>
      </c>
      <c r="G353" s="20" t="n">
        <f aca="false">unv_29*um29_A</f>
        <v>10.6</v>
      </c>
      <c r="K353" s="8" t="s">
        <v>472</v>
      </c>
    </row>
    <row r="354" customFormat="false" ht="17.15" hidden="false" customHeight="false" outlineLevel="0" collapsed="false">
      <c r="A354" s="4" t="s">
        <v>473</v>
      </c>
      <c r="B354" s="4" t="s">
        <v>30</v>
      </c>
      <c r="D354" s="20" t="n">
        <f aca="false">uot_26</f>
        <v>7.6</v>
      </c>
      <c r="E354" s="20" t="n">
        <f aca="false">uot_27</f>
        <v>14</v>
      </c>
      <c r="F354" s="20" t="n">
        <f aca="false">uot_28*um28_A</f>
        <v>17</v>
      </c>
      <c r="G354" s="20" t="n">
        <f aca="false">uot_29*um29_A</f>
        <v>19.55</v>
      </c>
      <c r="K354" s="8" t="s">
        <v>474</v>
      </c>
    </row>
    <row r="355" customFormat="false" ht="17.15" hidden="false" customHeight="false" outlineLevel="0" collapsed="false">
      <c r="A355" s="4" t="s">
        <v>475</v>
      </c>
      <c r="B355" s="4" t="s">
        <v>30</v>
      </c>
      <c r="D355" s="20" t="n">
        <f aca="false">D353+v_ot*D354</f>
        <v>13.68</v>
      </c>
      <c r="E355" s="20" t="n">
        <f aca="false">E353+v_ot*E354</f>
        <v>20.9</v>
      </c>
      <c r="F355" s="20" t="n">
        <f aca="false">F353+v_ot*F354</f>
        <v>23.1</v>
      </c>
      <c r="G355" s="20" t="n">
        <f aca="false">G353+v_ot*G354</f>
        <v>26.24</v>
      </c>
    </row>
    <row r="356" customFormat="false" ht="17.15" hidden="false" customHeight="false" outlineLevel="0" collapsed="false">
      <c r="A356" s="4" t="s">
        <v>476</v>
      </c>
      <c r="B356" s="0" t="s">
        <v>52</v>
      </c>
      <c r="D356" s="21" t="n">
        <f aca="false">1</f>
        <v>1</v>
      </c>
      <c r="E356" s="21" t="n">
        <f aca="false">D356*(1+g_asp)</f>
        <v>1.18</v>
      </c>
      <c r="F356" s="21" t="n">
        <f aca="false">E356*(1+g_asp)</f>
        <v>1.3924</v>
      </c>
      <c r="G356" s="21" t="n">
        <f aca="false">F356*(1+g_asp)</f>
        <v>1.643032</v>
      </c>
    </row>
    <row r="357" customFormat="false" ht="17.15" hidden="false" customHeight="false" outlineLevel="0" collapsed="false">
      <c r="A357" s="4" t="s">
        <v>477</v>
      </c>
      <c r="B357" s="0" t="s">
        <v>52</v>
      </c>
      <c r="D357" s="18" t="n">
        <f aca="false">1</f>
        <v>1</v>
      </c>
      <c r="E357" s="18" t="n">
        <f aca="false">rel_27</f>
        <v>1</v>
      </c>
      <c r="F357" s="18" t="n">
        <f aca="false">rel_28</f>
        <v>0.97</v>
      </c>
      <c r="G357" s="18" t="n">
        <f aca="false">rel_29</f>
        <v>0.95</v>
      </c>
    </row>
    <row r="358" customFormat="false" ht="17.15" hidden="false" customHeight="false" outlineLevel="0" collapsed="false">
      <c r="A358" s="0" t="s">
        <v>478</v>
      </c>
      <c r="B358" s="0" t="s">
        <v>52</v>
      </c>
      <c r="D358" s="21" t="n">
        <f aca="false">D355/$D355*D356*D357</f>
        <v>1</v>
      </c>
      <c r="E358" s="21" t="n">
        <f aca="false">E355/$D355*E356*E357</f>
        <v>1.80277777777778</v>
      </c>
      <c r="F358" s="21" t="n">
        <f aca="false">F355/$D355*F356*F357</f>
        <v>2.28066570175439</v>
      </c>
      <c r="G358" s="21" t="n">
        <f aca="false">G355/$D355*G356*G357</f>
        <v>2.99396942222222</v>
      </c>
      <c r="K358" s="4" t="s">
        <v>479</v>
      </c>
    </row>
    <row r="359" customFormat="false" ht="17.15" hidden="false" customHeight="false" outlineLevel="0" collapsed="false">
      <c r="A359" s="4" t="s">
        <v>480</v>
      </c>
      <c r="B359" s="0" t="s">
        <v>52</v>
      </c>
      <c r="D359" s="21" t="n">
        <f aca="false">1</f>
        <v>1</v>
      </c>
      <c r="E359" s="21" t="n">
        <f aca="false">D359*(1+g_nai)</f>
        <v>1.03</v>
      </c>
      <c r="F359" s="21" t="n">
        <f aca="false">E359*(1+g_nai)</f>
        <v>1.0609</v>
      </c>
      <c r="G359" s="21" t="n">
        <f aca="false">F359*(1+g_nai)</f>
        <v>1.092727</v>
      </c>
    </row>
    <row r="360" customFormat="false" ht="17.15" hidden="false" customHeight="false" outlineLevel="0" collapsed="false">
      <c r="A360" s="0" t="s">
        <v>481</v>
      </c>
      <c r="B360" s="0" t="s">
        <v>52</v>
      </c>
      <c r="D360" s="21" t="n">
        <f aca="false">ai_sh*D358+(1-ai_sh)*D359</f>
        <v>1</v>
      </c>
      <c r="E360" s="21" t="n">
        <f aca="false">ai_sh*E358+(1-ai_sh)*E359</f>
        <v>1.33911111111111</v>
      </c>
      <c r="F360" s="21" t="n">
        <f aca="false">ai_sh*F358+(1-ai_sh)*F359</f>
        <v>1.54880628070175</v>
      </c>
      <c r="G360" s="21" t="n">
        <f aca="false">ai_sh*G358+(1-ai_sh)*G359</f>
        <v>1.85322396888889</v>
      </c>
    </row>
    <row r="361" customFormat="false" ht="17.15" hidden="false" customHeight="false" outlineLevel="0" collapsed="false">
      <c r="A361" s="4" t="s">
        <v>482</v>
      </c>
      <c r="B361" s="0" t="s">
        <v>52</v>
      </c>
      <c r="D361" s="21" t="n">
        <f aca="false">1</f>
        <v>1</v>
      </c>
      <c r="E361" s="21" t="n">
        <f aca="false">cap_27_lo</f>
        <v>1.15</v>
      </c>
      <c r="F361" s="21" t="n">
        <f aca="false">cap_28_lo</f>
        <v>1.3</v>
      </c>
      <c r="G361" s="21" t="n">
        <f aca="false">cap_29_lo</f>
        <v>1.45</v>
      </c>
      <c r="K361" s="4" t="s">
        <v>483</v>
      </c>
    </row>
    <row r="362" customFormat="false" ht="17.15" hidden="false" customHeight="false" outlineLevel="0" collapsed="false">
      <c r="A362" s="4" t="s">
        <v>484</v>
      </c>
      <c r="B362" s="0" t="s">
        <v>52</v>
      </c>
      <c r="D362" s="21" t="n">
        <f aca="false">MIN(D360,D361)</f>
        <v>1</v>
      </c>
      <c r="E362" s="21" t="n">
        <f aca="false">MIN(E360,E361)</f>
        <v>1.15</v>
      </c>
      <c r="F362" s="21" t="n">
        <f aca="false">MIN(F360,F361)</f>
        <v>1.3</v>
      </c>
      <c r="G362" s="21" t="n">
        <f aca="false">MIN(G360,G361)</f>
        <v>1.45</v>
      </c>
    </row>
    <row r="363" customFormat="false" ht="17.15" hidden="false" customHeight="false" outlineLevel="0" collapsed="false">
      <c r="A363" s="4" t="s">
        <v>485</v>
      </c>
      <c r="B363" s="0" t="s">
        <v>77</v>
      </c>
      <c r="D363" s="16" t="n">
        <f aca="false">D362/D360</f>
        <v>1</v>
      </c>
      <c r="E363" s="16" t="n">
        <f aca="false">E362/E360</f>
        <v>0.858778625954199</v>
      </c>
      <c r="F363" s="16" t="n">
        <f aca="false">F362/F360</f>
        <v>0.839356100371041</v>
      </c>
      <c r="G363" s="16" t="n">
        <f aca="false">G362/G360</f>
        <v>0.782420271020645</v>
      </c>
      <c r="K363" s="4" t="s">
        <v>486</v>
      </c>
    </row>
    <row r="364" customFormat="false" ht="17.15" hidden="false" customHeight="false" outlineLevel="0" collapsed="false">
      <c r="A364" s="0" t="s">
        <v>487</v>
      </c>
      <c r="B364" s="0" t="s">
        <v>52</v>
      </c>
      <c r="D364" s="21" t="n">
        <f aca="false">1</f>
        <v>1</v>
      </c>
      <c r="E364" s="21" t="n">
        <f aca="false">pp_27</f>
        <v>1.12</v>
      </c>
      <c r="F364" s="21" t="n">
        <f aca="false">pp_28*sp_A</f>
        <v>1.15</v>
      </c>
      <c r="G364" s="21" t="n">
        <f aca="false">pp_29*sp_A</f>
        <v>1.12</v>
      </c>
      <c r="K364" s="8" t="s">
        <v>488</v>
      </c>
    </row>
    <row r="365" customFormat="false" ht="17.15" hidden="false" customHeight="false" outlineLevel="0" collapsed="false">
      <c r="A365" s="0" t="s">
        <v>429</v>
      </c>
      <c r="B365" s="0" t="s">
        <v>169</v>
      </c>
      <c r="D365" s="15" t="n">
        <f aca="false">q26_fm*ai_sh</f>
        <v>48.24</v>
      </c>
      <c r="E365" s="15" t="n">
        <f aca="false">q26_fm*ai_sh*E358*E363*E364</f>
        <v>83.6466870229008</v>
      </c>
      <c r="F365" s="15" t="n">
        <f aca="false">q26_fm*ai_sh*F358*F363*F364</f>
        <v>106.197189190865</v>
      </c>
      <c r="G365" s="15" t="n">
        <f aca="false">q26_fm*ai_sh*G358*G363*G364</f>
        <v>126.564753025345</v>
      </c>
      <c r="K365" s="8" t="s">
        <v>489</v>
      </c>
    </row>
    <row r="366" customFormat="false" ht="17.15" hidden="false" customHeight="false" outlineLevel="0" collapsed="false">
      <c r="A366" s="0" t="s">
        <v>490</v>
      </c>
      <c r="B366" s="0" t="s">
        <v>169</v>
      </c>
      <c r="D366" s="15" t="n">
        <f aca="false">q26_fm*(1-ai_sh)</f>
        <v>72.36</v>
      </c>
      <c r="E366" s="15" t="n">
        <f aca="false">q26_fm*(1-ai_sh)*E359*E363*E364</f>
        <v>71.6861129770992</v>
      </c>
      <c r="F366" s="15" t="n">
        <f aca="false">q26_fm*(1-ai_sh)*F359*F363*F364</f>
        <v>74.099810809135</v>
      </c>
      <c r="G366" s="15" t="n">
        <f aca="false">q26_fm*(1-ai_sh)*G359*G363*G364</f>
        <v>69.2896469746549</v>
      </c>
    </row>
    <row r="367" customFormat="false" ht="17.15" hidden="false" customHeight="false" outlineLevel="0" collapsed="false">
      <c r="A367" s="4" t="s">
        <v>491</v>
      </c>
      <c r="B367" s="0" t="s">
        <v>169</v>
      </c>
      <c r="C367" s="15" t="n">
        <f aca="false">q25_fm</f>
        <v>102.4512</v>
      </c>
      <c r="D367" s="15" t="n">
        <f aca="false">D365+D366</f>
        <v>120.6</v>
      </c>
      <c r="E367" s="15" t="n">
        <f aca="false">E365+E366</f>
        <v>155.3328</v>
      </c>
      <c r="F367" s="15" t="n">
        <f aca="false">F365+F366</f>
        <v>180.297</v>
      </c>
      <c r="G367" s="15" t="n">
        <f aca="false">G365+G366</f>
        <v>195.8544</v>
      </c>
    </row>
    <row r="368" customFormat="false" ht="17.15" hidden="false" customHeight="false" outlineLevel="0" collapsed="false">
      <c r="A368" s="0" t="s">
        <v>492</v>
      </c>
      <c r="B368" s="0" t="s">
        <v>77</v>
      </c>
      <c r="C368" s="16" t="n">
        <f aca="false">q25_fmbp/q25_fm</f>
        <v>0.532936656671664</v>
      </c>
      <c r="D368" s="16" t="n">
        <f aca="false">q26_fmbp/q26_fm</f>
        <v>0.543117744610282</v>
      </c>
      <c r="E368" s="16" t="n">
        <f aca="false">1-(1-$D368)*(1+c_g)^1/E364</f>
        <v>0.579831497275527</v>
      </c>
      <c r="F368" s="16" t="n">
        <f aca="false">1-(1-$D368)*(1+c_g)^2/F364</f>
        <v>0.578516187180042</v>
      </c>
      <c r="G368" s="16" t="n">
        <f aca="false">1-(1-$D368)*(1+c_g)^3/G364</f>
        <v>0.554243235459607</v>
      </c>
      <c r="K368" s="8" t="s">
        <v>493</v>
      </c>
    </row>
    <row r="369" customFormat="false" ht="17.15" hidden="false" customHeight="false" outlineLevel="0" collapsed="false">
      <c r="A369" s="0" t="s">
        <v>455</v>
      </c>
      <c r="B369" s="0" t="s">
        <v>169</v>
      </c>
      <c r="C369" s="15" t="n">
        <f aca="false">q25_fmbp</f>
        <v>54.6</v>
      </c>
      <c r="D369" s="15" t="n">
        <f aca="false">D367*D368</f>
        <v>65.5</v>
      </c>
      <c r="E369" s="15" t="n">
        <f aca="false">E367*E368</f>
        <v>90.06685</v>
      </c>
      <c r="F369" s="15" t="n">
        <f aca="false">F367*F368</f>
        <v>104.304733</v>
      </c>
      <c r="G369" s="15" t="n">
        <f aca="false">G367*G368</f>
        <v>108.550976335</v>
      </c>
    </row>
    <row r="370" customFormat="false" ht="17.15" hidden="false" customHeight="false" outlineLevel="0" collapsed="false">
      <c r="A370" s="6" t="s">
        <v>494</v>
      </c>
    </row>
    <row r="371" customFormat="false" ht="15" hidden="false" customHeight="false" outlineLevel="0" collapsed="false">
      <c r="A371" s="4" t="s">
        <v>495</v>
      </c>
      <c r="B371" s="0" t="s">
        <v>169</v>
      </c>
      <c r="C371" s="15" t="n">
        <f aca="false">q25_sf</f>
        <v>936.926</v>
      </c>
      <c r="D371" s="15" t="n">
        <f aca="false">q26_sf</f>
        <v>998.6</v>
      </c>
      <c r="E371" s="15" t="n">
        <f aca="false">D371*(1+g_sf)</f>
        <v>1038.544</v>
      </c>
      <c r="F371" s="15" t="n">
        <f aca="false">E371*(1+g_sf)</f>
        <v>1080.08576</v>
      </c>
      <c r="G371" s="15" t="n">
        <f aca="false">F371*(1+g_sf)</f>
        <v>1123.2891904</v>
      </c>
    </row>
    <row r="372" customFormat="false" ht="15" hidden="false" customHeight="false" outlineLevel="0" collapsed="false">
      <c r="A372" s="4" t="s">
        <v>496</v>
      </c>
      <c r="B372" s="0" t="s">
        <v>169</v>
      </c>
      <c r="C372" s="15" t="n">
        <f aca="false">q25_sfbp</f>
        <v>143.036</v>
      </c>
      <c r="D372" s="15" t="n">
        <f aca="false">q26_sfbp</f>
        <v>145.9</v>
      </c>
      <c r="E372" s="15" t="n">
        <f aca="false">E371*m_sf</f>
        <v>151.736</v>
      </c>
      <c r="F372" s="15" t="n">
        <f aca="false">F371*m_sf</f>
        <v>157.80544</v>
      </c>
      <c r="G372" s="15" t="n">
        <f aca="false">G371*m_sf</f>
        <v>164.1176576</v>
      </c>
    </row>
    <row r="373" customFormat="false" ht="15" hidden="false" customHeight="false" outlineLevel="0" collapsed="false">
      <c r="A373" s="4" t="s">
        <v>497</v>
      </c>
      <c r="B373" s="0" t="s">
        <v>169</v>
      </c>
      <c r="C373" s="15" t="n">
        <f aca="false">q25_ff</f>
        <v>290.308</v>
      </c>
      <c r="D373" s="15" t="n">
        <f aca="false">q26_ff</f>
        <v>310.6</v>
      </c>
      <c r="E373" s="15" t="n">
        <f aca="false">D373*(1+g_ff)</f>
        <v>319.918</v>
      </c>
      <c r="F373" s="15" t="n">
        <f aca="false">E373*(1+g_ff)</f>
        <v>329.51554</v>
      </c>
      <c r="G373" s="15" t="n">
        <f aca="false">F373*(1+g_ff)</f>
        <v>339.4010062</v>
      </c>
    </row>
    <row r="374" customFormat="false" ht="15" hidden="false" customHeight="false" outlineLevel="0" collapsed="false">
      <c r="A374" s="4" t="s">
        <v>498</v>
      </c>
      <c r="B374" s="0" t="s">
        <v>169</v>
      </c>
      <c r="C374" s="15" t="n">
        <f aca="false">q25_ffbp</f>
        <v>8.457</v>
      </c>
      <c r="D374" s="15" t="n">
        <f aca="false">q26_ffbp</f>
        <v>12.1</v>
      </c>
      <c r="E374" s="15" t="n">
        <f aca="false">E373*m_ff</f>
        <v>14.39631</v>
      </c>
      <c r="F374" s="15" t="n">
        <f aca="false">F373*m_ff</f>
        <v>14.8281993</v>
      </c>
      <c r="G374" s="15" t="n">
        <f aca="false">G373*m_ff</f>
        <v>15.273045279</v>
      </c>
    </row>
    <row r="375" customFormat="false" ht="17.15" hidden="false" customHeight="false" outlineLevel="0" collapsed="false">
      <c r="A375" s="4" t="s">
        <v>499</v>
      </c>
      <c r="B375" s="0" t="s">
        <v>169</v>
      </c>
      <c r="C375" s="15" t="n">
        <f aca="false">q25_hox</f>
        <v>239.0528</v>
      </c>
      <c r="D375" s="15" t="n">
        <f aca="false">q26_hox</f>
        <v>286.2</v>
      </c>
      <c r="E375" s="15" t="n">
        <f aca="false">D375*(1+g_ho)</f>
        <v>300.51</v>
      </c>
      <c r="F375" s="15" t="n">
        <f aca="false">E375*(1+g_ho)</f>
        <v>315.5355</v>
      </c>
      <c r="G375" s="15" t="n">
        <f aca="false">F375*(1+g_ho)</f>
        <v>331.312275</v>
      </c>
    </row>
    <row r="376" customFormat="false" ht="17.15" hidden="false" customHeight="false" outlineLevel="0" collapsed="false">
      <c r="A376" s="4" t="s">
        <v>500</v>
      </c>
      <c r="B376" s="0" t="s">
        <v>169</v>
      </c>
      <c r="C376" s="15" t="n">
        <f aca="false">q25_hoxbp</f>
        <v>11.602</v>
      </c>
      <c r="D376" s="15" t="n">
        <f aca="false">q26_hoxbp</f>
        <v>19.5</v>
      </c>
      <c r="E376" s="15" t="n">
        <f aca="false">E375*m_ho</f>
        <v>20.475</v>
      </c>
      <c r="F376" s="15" t="n">
        <f aca="false">F375*m_ho</f>
        <v>21.49875</v>
      </c>
      <c r="G376" s="15" t="n">
        <f aca="false">G375*m_ho</f>
        <v>22.5736875</v>
      </c>
    </row>
    <row r="377" customFormat="false" ht="17.15" hidden="false" customHeight="false" outlineLevel="0" collapsed="false">
      <c r="A377" s="4" t="s">
        <v>501</v>
      </c>
      <c r="B377" s="0" t="s">
        <v>169</v>
      </c>
      <c r="C377" s="15" t="n">
        <f aca="false">q25_oth</f>
        <v>14.979</v>
      </c>
      <c r="D377" s="15" t="n">
        <f aca="false">q26_oth</f>
        <v>15.8</v>
      </c>
      <c r="E377" s="15" t="n">
        <f aca="false">D377</f>
        <v>15.8</v>
      </c>
      <c r="F377" s="15" t="n">
        <f aca="false">E377</f>
        <v>15.8</v>
      </c>
      <c r="G377" s="15" t="n">
        <f aca="false">F377</f>
        <v>15.8</v>
      </c>
      <c r="K377" s="8" t="s">
        <v>502</v>
      </c>
    </row>
    <row r="378" customFormat="false" ht="15" hidden="false" customHeight="false" outlineLevel="0" collapsed="false">
      <c r="A378" s="4" t="s">
        <v>503</v>
      </c>
      <c r="B378" s="0" t="s">
        <v>169</v>
      </c>
      <c r="C378" s="15" t="n">
        <f aca="false">q25_othbp</f>
        <v>6.064</v>
      </c>
      <c r="D378" s="15" t="n">
        <f aca="false">q26_othbp</f>
        <v>5.1</v>
      </c>
      <c r="E378" s="15" t="n">
        <f aca="false">q26_othbp</f>
        <v>5.1</v>
      </c>
      <c r="F378" s="15" t="n">
        <f aca="false">q26_othbp</f>
        <v>5.1</v>
      </c>
      <c r="G378" s="15" t="n">
        <f aca="false">q26_othbp</f>
        <v>5.1</v>
      </c>
    </row>
    <row r="379" customFormat="false" ht="15" hidden="false" customHeight="false" outlineLevel="0" collapsed="false">
      <c r="A379" s="4" t="s">
        <v>504</v>
      </c>
      <c r="B379" s="0" t="s">
        <v>169</v>
      </c>
      <c r="C379" s="15" t="n">
        <f aca="false">q25_cc</f>
        <v>-42.597</v>
      </c>
      <c r="D379" s="15" t="n">
        <f aca="false">q26_cc</f>
        <v>-46.2</v>
      </c>
      <c r="E379" s="15" t="n">
        <f aca="false">D379*(1+g_cc)</f>
        <v>-47.586</v>
      </c>
      <c r="F379" s="15" t="n">
        <f aca="false">E379*(1+g_cc)</f>
        <v>-49.01358</v>
      </c>
      <c r="G379" s="15" t="n">
        <f aca="false">F379*(1+g_cc)</f>
        <v>-50.4839874</v>
      </c>
    </row>
    <row r="380" customFormat="false" ht="17.15" hidden="false" customHeight="false" outlineLevel="0" collapsed="false">
      <c r="A380" s="4" t="s">
        <v>505</v>
      </c>
      <c r="B380" s="0" t="s">
        <v>169</v>
      </c>
      <c r="C380" s="28" t="n">
        <f aca="false">a_rev-(q25_sf+q25_ff+q25_hox+q25_fm+q25_oth)</f>
        <v>0.00200000000018008</v>
      </c>
      <c r="D380" s="28" t="n">
        <f aca="false">f_rev-(q26_sf+q26_ff+q26_hox+q26_fm+q26_oth)</f>
        <v>0.200000000000045</v>
      </c>
      <c r="E380" s="28" t="n">
        <f aca="false">$D380</f>
        <v>0.200000000000045</v>
      </c>
      <c r="F380" s="28" t="n">
        <f aca="false">$D380</f>
        <v>0.200000000000045</v>
      </c>
      <c r="G380" s="28" t="n">
        <f aca="false">$D380</f>
        <v>0.200000000000045</v>
      </c>
      <c r="K380" s="8" t="s">
        <v>506</v>
      </c>
    </row>
    <row r="381" customFormat="false" ht="15" hidden="false" customHeight="false" outlineLevel="0" collapsed="false">
      <c r="A381" s="4" t="s">
        <v>507</v>
      </c>
      <c r="B381" s="0" t="s">
        <v>169</v>
      </c>
      <c r="C381" s="28" t="n">
        <f aca="false">a_bp-(q25_sfbp+q25_ffbp+q25_hoxbp+q25_fmbp+q25_othbp+q25_cc)</f>
        <v>0.0010000000000332</v>
      </c>
      <c r="D381" s="28" t="n">
        <f aca="false">f_bp-(q26_sfbp+q26_ffbp+q26_hoxbp+q26_fmbp+q26_othbp+q26_cc)</f>
        <v>0.100000000000023</v>
      </c>
      <c r="E381" s="28" t="n">
        <f aca="false">$D381</f>
        <v>0.100000000000023</v>
      </c>
      <c r="F381" s="28" t="n">
        <f aca="false">$D381</f>
        <v>0.100000000000023</v>
      </c>
      <c r="G381" s="28" t="n">
        <f aca="false">$D381</f>
        <v>0.100000000000023</v>
      </c>
    </row>
    <row r="382" customFormat="false" ht="17.15" hidden="false" customHeight="false" outlineLevel="0" collapsed="false">
      <c r="A382" s="6" t="s">
        <v>508</v>
      </c>
    </row>
    <row r="383" customFormat="false" ht="17.15" hidden="false" customHeight="false" outlineLevel="0" collapsed="false">
      <c r="A383" s="4" t="s">
        <v>380</v>
      </c>
      <c r="B383" s="0" t="s">
        <v>169</v>
      </c>
      <c r="C383" s="15" t="n">
        <f aca="false">C371+C373+C375+C367+C377+C380</f>
        <v>1583.719</v>
      </c>
      <c r="D383" s="15" t="n">
        <f aca="false">D371+D373+D375+D367+D377+D380</f>
        <v>1732</v>
      </c>
      <c r="E383" s="15" t="n">
        <f aca="false">E371+E373+E375+E367+E377+E380</f>
        <v>1830.3048</v>
      </c>
      <c r="F383" s="15" t="n">
        <f aca="false">F371+F373+F375+F367+F377+F380</f>
        <v>1921.4338</v>
      </c>
      <c r="G383" s="15" t="n">
        <f aca="false">G371+G373+G375+G367+G377+G380</f>
        <v>2005.8568716</v>
      </c>
      <c r="H383" s="23" t="n">
        <f aca="false">G383*(1+H384)</f>
        <v>2104.72895140557</v>
      </c>
      <c r="I383" s="23" t="n">
        <f aca="false">H383*(1+I384)</f>
        <v>2219.74364592023</v>
      </c>
      <c r="J383" s="23" t="n">
        <f aca="false">I383*(1+J384)</f>
        <v>2352.92826467544</v>
      </c>
      <c r="K383" s="8" t="s">
        <v>509</v>
      </c>
    </row>
    <row r="384" customFormat="false" ht="15" hidden="false" customHeight="false" outlineLevel="0" collapsed="false">
      <c r="A384" s="4" t="s">
        <v>510</v>
      </c>
      <c r="B384" s="0" t="s">
        <v>77</v>
      </c>
      <c r="D384" s="16" t="n">
        <f aca="false">D383/C383-1</f>
        <v>0.0936283519993131</v>
      </c>
      <c r="E384" s="16" t="n">
        <f aca="false">E383/D383-1</f>
        <v>0.0567579676674364</v>
      </c>
      <c r="F384" s="16" t="n">
        <f aca="false">F383/E383-1</f>
        <v>0.0497889750384746</v>
      </c>
      <c r="G384" s="16" t="n">
        <f aca="false">G383/F383-1</f>
        <v>0.0439375385194118</v>
      </c>
      <c r="H384" s="24" t="n">
        <f aca="false">$G384+(fade_gA-$G384)*1/3</f>
        <v>0.0492916923462746</v>
      </c>
      <c r="I384" s="24" t="n">
        <f aca="false">$G384+(fade_gA-$G384)*2/3</f>
        <v>0.0546458461731373</v>
      </c>
      <c r="J384" s="24" t="n">
        <f aca="false">$G384+(fade_gA-$G384)*3/3</f>
        <v>0.06</v>
      </c>
    </row>
    <row r="385" customFormat="false" ht="17.15" hidden="false" customHeight="false" outlineLevel="0" collapsed="false">
      <c r="A385" s="0" t="s">
        <v>511</v>
      </c>
      <c r="B385" s="0" t="s">
        <v>77</v>
      </c>
      <c r="C385" s="16" t="n">
        <f aca="false">C367/C383</f>
        <v>0.0646902638662541</v>
      </c>
      <c r="D385" s="16" t="n">
        <f aca="false">D367/D383</f>
        <v>0.0696304849884527</v>
      </c>
      <c r="E385" s="16" t="n">
        <f aca="false">E367/E383</f>
        <v>0.0848671762211409</v>
      </c>
      <c r="F385" s="16" t="n">
        <f aca="false">F367/F383</f>
        <v>0.0938346145466994</v>
      </c>
      <c r="G385" s="16" t="n">
        <f aca="false">G367/G383</f>
        <v>0.0976412638274504</v>
      </c>
    </row>
    <row r="386" customFormat="false" ht="15" hidden="false" customHeight="false" outlineLevel="0" collapsed="false">
      <c r="A386" s="4" t="s">
        <v>390</v>
      </c>
      <c r="B386" s="0" t="s">
        <v>169</v>
      </c>
      <c r="C386" s="15" t="n">
        <f aca="false">C372+C374+C376+C369+C378+C379+C381</f>
        <v>181.163</v>
      </c>
      <c r="D386" s="15" t="n">
        <f aca="false">D372+D374+D376+D369+D378+D379+D381</f>
        <v>202</v>
      </c>
      <c r="E386" s="15" t="n">
        <f aca="false">E372+E374+E376+E369+E378+E379+E381</f>
        <v>234.28816</v>
      </c>
      <c r="F386" s="15" t="n">
        <f aca="false">F372+F374+F376+F369+F378+F379+F381</f>
        <v>254.6235423</v>
      </c>
      <c r="G386" s="15" t="n">
        <f aca="false">G372+G374+G376+G369+G378+G379+G381</f>
        <v>265.231379314</v>
      </c>
    </row>
    <row r="387" customFormat="false" ht="15" hidden="false" customHeight="false" outlineLevel="0" collapsed="false">
      <c r="A387" s="4" t="s">
        <v>406</v>
      </c>
      <c r="B387" s="0" t="s">
        <v>77</v>
      </c>
      <c r="C387" s="16" t="n">
        <f aca="false">C386/C383</f>
        <v>0.114390873633517</v>
      </c>
      <c r="D387" s="16" t="n">
        <f aca="false">D386/D383</f>
        <v>0.11662817551963</v>
      </c>
      <c r="E387" s="16" t="n">
        <f aca="false">E386/E383</f>
        <v>0.128004996763381</v>
      </c>
      <c r="F387" s="16" t="n">
        <f aca="false">F386/F383</f>
        <v>0.132517468101165</v>
      </c>
      <c r="G387" s="16" t="n">
        <f aca="false">G386/G383</f>
        <v>0.132228467080223</v>
      </c>
    </row>
    <row r="388" customFormat="false" ht="17.15" hidden="false" customHeight="false" outlineLevel="0" collapsed="false">
      <c r="A388" s="0" t="s">
        <v>512</v>
      </c>
      <c r="B388" s="0" t="s">
        <v>77</v>
      </c>
      <c r="C388" s="16" t="n">
        <f aca="false">C369/C386</f>
        <v>0.301386044611758</v>
      </c>
      <c r="D388" s="16" t="n">
        <f aca="false">D369/D386</f>
        <v>0.324257425742574</v>
      </c>
      <c r="E388" s="16" t="n">
        <f aca="false">E369/E386</f>
        <v>0.38442766377951</v>
      </c>
      <c r="F388" s="16" t="n">
        <f aca="false">F369/F386</f>
        <v>0.409642926407438</v>
      </c>
      <c r="G388" s="16" t="n">
        <f aca="false">G369/G386</f>
        <v>0.409268980977132</v>
      </c>
    </row>
    <row r="389" customFormat="false" ht="17.15" hidden="false" customHeight="false" outlineLevel="0" collapsed="false">
      <c r="A389" s="4" t="s">
        <v>407</v>
      </c>
      <c r="B389" s="0" t="s">
        <v>52</v>
      </c>
      <c r="C389" s="21" t="n">
        <f aca="false">q25_ni/q25_bp</f>
        <v>0.743391310587703</v>
      </c>
      <c r="D389" s="21" t="n">
        <f aca="false">q26_ni/q26_bp</f>
        <v>0.611386138613861</v>
      </c>
      <c r="E389" s="21" t="n">
        <f aca="false">ni_bp</f>
        <v>0.62</v>
      </c>
      <c r="F389" s="21" t="n">
        <f aca="false">ni_bp</f>
        <v>0.62</v>
      </c>
      <c r="G389" s="21" t="n">
        <f aca="false">ni_bp</f>
        <v>0.62</v>
      </c>
    </row>
    <row r="390" customFormat="false" ht="15" hidden="false" customHeight="false" outlineLevel="0" collapsed="false">
      <c r="A390" s="4" t="s">
        <v>397</v>
      </c>
      <c r="B390" s="0" t="s">
        <v>169</v>
      </c>
      <c r="C390" s="15" t="n">
        <f aca="false">q25_ni</f>
        <v>134.675</v>
      </c>
      <c r="D390" s="15" t="n">
        <f aca="false">q26_ni</f>
        <v>123.5</v>
      </c>
      <c r="E390" s="15" t="n">
        <f aca="false">E386*E389</f>
        <v>145.2586592</v>
      </c>
      <c r="F390" s="15" t="n">
        <f aca="false">F386*F389</f>
        <v>157.866596226</v>
      </c>
      <c r="G390" s="15" t="n">
        <f aca="false">G386*G389</f>
        <v>164.44345517468</v>
      </c>
      <c r="H390" s="23" t="n">
        <f aca="false">H383*H394</f>
        <v>176.775942111121</v>
      </c>
      <c r="I390" s="23" t="n">
        <f aca="false">I383*I394</f>
        <v>190.893780342794</v>
      </c>
      <c r="J390" s="23" t="n">
        <f aca="false">J383*J394</f>
        <v>207.072640492836</v>
      </c>
    </row>
    <row r="391" customFormat="false" ht="15" hidden="false" customHeight="false" outlineLevel="0" collapsed="false">
      <c r="A391" s="4" t="s">
        <v>513</v>
      </c>
      <c r="B391" s="4" t="s">
        <v>316</v>
      </c>
      <c r="C391" s="19" t="n">
        <f aca="false">q25_sh</f>
        <v>0.973366579936398</v>
      </c>
      <c r="D391" s="19" t="n">
        <f aca="false">q26_sh</f>
        <v>0.95117067159581</v>
      </c>
      <c r="E391" s="19" t="n">
        <f aca="false">D391*(1+sh_g)</f>
        <v>0.936903111521873</v>
      </c>
      <c r="F391" s="19" t="n">
        <f aca="false">E391*(1+sh_g)</f>
        <v>0.922849564849045</v>
      </c>
      <c r="G391" s="19" t="n">
        <f aca="false">F391*(1+sh_g)</f>
        <v>0.909006821376309</v>
      </c>
      <c r="H391" s="29" t="n">
        <f aca="false">G391*(1+sh_g)</f>
        <v>0.895371719055665</v>
      </c>
      <c r="I391" s="29" t="n">
        <f aca="false">H391*(1+sh_g)</f>
        <v>0.88194114326983</v>
      </c>
      <c r="J391" s="29" t="n">
        <f aca="false">I391*(1+sh_g)</f>
        <v>0.868712026120782</v>
      </c>
    </row>
    <row r="392" customFormat="false" ht="17.15" hidden="false" customHeight="false" outlineLevel="0" collapsed="false">
      <c r="A392" s="0" t="s">
        <v>514</v>
      </c>
      <c r="B392" s="0" t="s">
        <v>207</v>
      </c>
      <c r="C392" s="20" t="n">
        <f aca="false">C390/C391</f>
        <v>138.36</v>
      </c>
      <c r="D392" s="20" t="n">
        <f aca="false">D390/D391</f>
        <v>129.84</v>
      </c>
      <c r="E392" s="20" t="n">
        <f aca="false">E390/E391</f>
        <v>155.0412816583</v>
      </c>
      <c r="F392" s="20" t="n">
        <f aca="false">F390/F391</f>
        <v>171.064279855648</v>
      </c>
      <c r="G392" s="20" t="n">
        <f aca="false">G390/G391</f>
        <v>180.90453372583</v>
      </c>
      <c r="H392" s="27" t="n">
        <f aca="false">H390/H391</f>
        <v>197.433019548087</v>
      </c>
      <c r="I392" s="27" t="n">
        <f aca="false">I390/I391</f>
        <v>216.447301273471</v>
      </c>
      <c r="J392" s="27" t="n">
        <f aca="false">J390/J391</f>
        <v>238.36741551457</v>
      </c>
    </row>
    <row r="393" customFormat="false" ht="17.15" hidden="false" customHeight="false" outlineLevel="0" collapsed="false">
      <c r="A393" s="0" t="s">
        <v>515</v>
      </c>
      <c r="B393" s="0" t="s">
        <v>77</v>
      </c>
      <c r="D393" s="16" t="n">
        <f aca="false">D392/C392-1</f>
        <v>-0.0615784908933218</v>
      </c>
      <c r="E393" s="16" t="n">
        <f aca="false">E392/D392-1</f>
        <v>0.194094898785425</v>
      </c>
      <c r="F393" s="16" t="n">
        <f aca="false">F392/E392-1</f>
        <v>0.103346657264238</v>
      </c>
      <c r="G393" s="16" t="n">
        <f aca="false">G392/F392-1</f>
        <v>0.0575237207819517</v>
      </c>
      <c r="H393" s="24" t="n">
        <f aca="false">H392/G392-1</f>
        <v>0.0913657910160888</v>
      </c>
      <c r="I393" s="24" t="n">
        <f aca="false">I392/H392-1</f>
        <v>0.0963075060539844</v>
      </c>
      <c r="J393" s="24" t="n">
        <f aca="false">J392/I392-1</f>
        <v>0.101272291740907</v>
      </c>
    </row>
    <row r="394" customFormat="false" ht="15" hidden="false" customHeight="false" outlineLevel="0" collapsed="false">
      <c r="A394" s="4" t="s">
        <v>516</v>
      </c>
      <c r="B394" s="0" t="s">
        <v>77</v>
      </c>
      <c r="C394" s="25" t="n">
        <f aca="false">C390/C383</f>
        <v>0.0850371814696925</v>
      </c>
      <c r="D394" s="25" t="n">
        <f aca="false">D390/D383</f>
        <v>0.0713048498845266</v>
      </c>
      <c r="E394" s="25" t="n">
        <f aca="false">E390/E383</f>
        <v>0.079363097993296</v>
      </c>
      <c r="F394" s="25" t="n">
        <f aca="false">F390/F383</f>
        <v>0.0821608302227222</v>
      </c>
      <c r="G394" s="25" t="n">
        <f aca="false">G390/G383</f>
        <v>0.0819816495897384</v>
      </c>
      <c r="H394" s="26" t="n">
        <f aca="false">$G394+(fade_mA-$G394)*1/3</f>
        <v>0.0839898847749816</v>
      </c>
      <c r="I394" s="26" t="n">
        <f aca="false">$G394+(fade_mA-$G394)*2/3</f>
        <v>0.0859981199602248</v>
      </c>
      <c r="J394" s="26" t="n">
        <f aca="false">$G394+(fade_mA-$G394)*3/3</f>
        <v>0.088006355145468</v>
      </c>
    </row>
    <row r="395" customFormat="false" ht="17.15" hidden="false" customHeight="false" outlineLevel="0" collapsed="false">
      <c r="A395" s="0" t="s">
        <v>517</v>
      </c>
      <c r="B395" s="0" t="s">
        <v>207</v>
      </c>
      <c r="D395" s="20" t="n">
        <f aca="false">D369*D389/D391</f>
        <v>42.1015841584158</v>
      </c>
      <c r="E395" s="20" t="n">
        <f aca="false">E369*E389/E391</f>
        <v>59.6021576972811</v>
      </c>
      <c r="F395" s="20" t="n">
        <f aca="false">F369*F389/F391</f>
        <v>70.0752722038485</v>
      </c>
      <c r="G395" s="20" t="n">
        <f aca="false">G369*G389/G391</f>
        <v>74.0386141721137</v>
      </c>
      <c r="K395" s="8" t="s">
        <v>518</v>
      </c>
    </row>
    <row r="396" customFormat="false" ht="17.15" hidden="false" customHeight="false" outlineLevel="0" collapsed="false">
      <c r="A396" s="0" t="s">
        <v>519</v>
      </c>
      <c r="B396" s="0" t="s">
        <v>207</v>
      </c>
      <c r="D396" s="20" t="n">
        <f aca="false">D392-D395</f>
        <v>87.7384158415842</v>
      </c>
      <c r="E396" s="20" t="n">
        <f aca="false">E392-E395</f>
        <v>95.4391239610185</v>
      </c>
      <c r="F396" s="20" t="n">
        <f aca="false">F392-F395</f>
        <v>100.9890076518</v>
      </c>
      <c r="G396" s="20" t="n">
        <f aca="false">G392-G395</f>
        <v>106.865919553716</v>
      </c>
    </row>
    <row r="397" customFormat="false" ht="17.15" hidden="false" customHeight="false" outlineLevel="0" collapsed="false">
      <c r="A397" s="0" t="s">
        <v>520</v>
      </c>
      <c r="B397" s="0" t="s">
        <v>432</v>
      </c>
      <c r="D397" s="15" t="n">
        <f aca="false">D365/D355*1000/150</f>
        <v>23.5087719298246</v>
      </c>
      <c r="E397" s="15" t="n">
        <f aca="false">E365/E355*1000/150</f>
        <v>26.6815588589795</v>
      </c>
      <c r="F397" s="15" t="n">
        <f aca="false">F365/F355*1000/150</f>
        <v>30.6485394490231</v>
      </c>
      <c r="G397" s="15" t="n">
        <f aca="false">G365/G355*1000/150</f>
        <v>32.155679122293</v>
      </c>
      <c r="K397" s="8" t="s">
        <v>521</v>
      </c>
    </row>
    <row r="400" customFormat="false" ht="17.15" hidden="false" customHeight="false" outlineLevel="0" collapsed="false">
      <c r="A400" s="1" t="s">
        <v>870</v>
      </c>
    </row>
    <row r="401" customFormat="false" ht="17.15" hidden="false" customHeight="false" outlineLevel="0" collapsed="false">
      <c r="A401" s="5" t="s">
        <v>19</v>
      </c>
      <c r="B401" s="5" t="s">
        <v>20</v>
      </c>
      <c r="C401" s="14" t="s">
        <v>374</v>
      </c>
      <c r="D401" s="14" t="s">
        <v>447</v>
      </c>
      <c r="E401" s="14" t="s">
        <v>412</v>
      </c>
      <c r="F401" s="14" t="s">
        <v>413</v>
      </c>
      <c r="G401" s="14" t="s">
        <v>414</v>
      </c>
      <c r="H401" s="14" t="s">
        <v>448</v>
      </c>
      <c r="I401" s="14" t="s">
        <v>449</v>
      </c>
      <c r="J401" s="14" t="s">
        <v>450</v>
      </c>
      <c r="K401" s="5" t="s">
        <v>379</v>
      </c>
    </row>
    <row r="402" customFormat="false" ht="17.15" hidden="false" customHeight="false" outlineLevel="0" collapsed="false">
      <c r="A402" s="6" t="s">
        <v>470</v>
      </c>
    </row>
    <row r="403" customFormat="false" ht="17.15" hidden="false" customHeight="false" outlineLevel="0" collapsed="false">
      <c r="A403" s="0" t="s">
        <v>471</v>
      </c>
      <c r="B403" s="4" t="s">
        <v>30</v>
      </c>
      <c r="D403" s="20" t="n">
        <f aca="false">unv_26</f>
        <v>7.6</v>
      </c>
      <c r="E403" s="20" t="n">
        <f aca="false">unv_27</f>
        <v>9.7</v>
      </c>
      <c r="F403" s="20" t="n">
        <f aca="false">unv_28*um28_A</f>
        <v>9.5</v>
      </c>
      <c r="G403" s="20" t="n">
        <f aca="false">unv_29*um29_A</f>
        <v>10.6</v>
      </c>
      <c r="K403" s="8" t="s">
        <v>472</v>
      </c>
    </row>
    <row r="404" customFormat="false" ht="17.15" hidden="false" customHeight="false" outlineLevel="0" collapsed="false">
      <c r="A404" s="4" t="s">
        <v>473</v>
      </c>
      <c r="B404" s="4" t="s">
        <v>30</v>
      </c>
      <c r="D404" s="20" t="n">
        <f aca="false">uot_26</f>
        <v>7.6</v>
      </c>
      <c r="E404" s="20" t="n">
        <f aca="false">uot_27</f>
        <v>14</v>
      </c>
      <c r="F404" s="20" t="n">
        <f aca="false">uot_28*um28_A</f>
        <v>17</v>
      </c>
      <c r="G404" s="20" t="n">
        <f aca="false">uot_29*um29_A</f>
        <v>19.55</v>
      </c>
      <c r="K404" s="8" t="s">
        <v>474</v>
      </c>
    </row>
    <row r="405" customFormat="false" ht="17.15" hidden="false" customHeight="false" outlineLevel="0" collapsed="false">
      <c r="A405" s="4" t="s">
        <v>475</v>
      </c>
      <c r="B405" s="4" t="s">
        <v>30</v>
      </c>
      <c r="D405" s="20" t="n">
        <f aca="false">D403+v_ot*D404</f>
        <v>13.68</v>
      </c>
      <c r="E405" s="20" t="n">
        <f aca="false">E403+v_ot*E404</f>
        <v>20.9</v>
      </c>
      <c r="F405" s="20" t="n">
        <f aca="false">F403+v_ot*F404</f>
        <v>23.1</v>
      </c>
      <c r="G405" s="20" t="n">
        <f aca="false">G403+v_ot*G404</f>
        <v>26.24</v>
      </c>
    </row>
    <row r="406" customFormat="false" ht="17.15" hidden="false" customHeight="false" outlineLevel="0" collapsed="false">
      <c r="A406" s="4" t="s">
        <v>476</v>
      </c>
      <c r="B406" s="0" t="s">
        <v>52</v>
      </c>
      <c r="D406" s="21" t="n">
        <f aca="false">1</f>
        <v>1</v>
      </c>
      <c r="E406" s="21" t="n">
        <f aca="false">D406*(1+g_asp)</f>
        <v>1.18</v>
      </c>
      <c r="F406" s="21" t="n">
        <f aca="false">E406*(1+g_asp)</f>
        <v>1.3924</v>
      </c>
      <c r="G406" s="21" t="n">
        <f aca="false">F406*(1+g_asp)</f>
        <v>1.643032</v>
      </c>
    </row>
    <row r="407" customFormat="false" ht="17.15" hidden="false" customHeight="false" outlineLevel="0" collapsed="false">
      <c r="A407" s="4" t="s">
        <v>477</v>
      </c>
      <c r="B407" s="0" t="s">
        <v>52</v>
      </c>
      <c r="D407" s="18" t="n">
        <f aca="false">1</f>
        <v>1</v>
      </c>
      <c r="E407" s="18" t="n">
        <f aca="false">rel_27</f>
        <v>1</v>
      </c>
      <c r="F407" s="18" t="n">
        <f aca="false">rel_28</f>
        <v>0.97</v>
      </c>
      <c r="G407" s="18" t="n">
        <f aca="false">rel_29</f>
        <v>0.95</v>
      </c>
    </row>
    <row r="408" customFormat="false" ht="17.15" hidden="false" customHeight="false" outlineLevel="0" collapsed="false">
      <c r="A408" s="0" t="s">
        <v>478</v>
      </c>
      <c r="B408" s="0" t="s">
        <v>52</v>
      </c>
      <c r="D408" s="21" t="n">
        <f aca="false">D405/$D405*D406*D407</f>
        <v>1</v>
      </c>
      <c r="E408" s="21" t="n">
        <f aca="false">E405/$D405*E406*E407</f>
        <v>1.80277777777778</v>
      </c>
      <c r="F408" s="21" t="n">
        <f aca="false">F405/$D405*F406*F407</f>
        <v>2.28066570175439</v>
      </c>
      <c r="G408" s="21" t="n">
        <f aca="false">G405/$D405*G406*G407</f>
        <v>2.99396942222222</v>
      </c>
      <c r="K408" s="4" t="s">
        <v>479</v>
      </c>
    </row>
    <row r="409" customFormat="false" ht="17.15" hidden="false" customHeight="false" outlineLevel="0" collapsed="false">
      <c r="A409" s="4" t="s">
        <v>480</v>
      </c>
      <c r="B409" s="0" t="s">
        <v>52</v>
      </c>
      <c r="D409" s="21" t="n">
        <f aca="false">1</f>
        <v>1</v>
      </c>
      <c r="E409" s="21" t="n">
        <f aca="false">D409*(1+g_nai)</f>
        <v>1.03</v>
      </c>
      <c r="F409" s="21" t="n">
        <f aca="false">E409*(1+g_nai)</f>
        <v>1.0609</v>
      </c>
      <c r="G409" s="21" t="n">
        <f aca="false">F409*(1+g_nai)</f>
        <v>1.092727</v>
      </c>
    </row>
    <row r="410" customFormat="false" ht="17.15" hidden="false" customHeight="false" outlineLevel="0" collapsed="false">
      <c r="A410" s="0" t="s">
        <v>481</v>
      </c>
      <c r="B410" s="0" t="s">
        <v>52</v>
      </c>
      <c r="D410" s="21" t="n">
        <f aca="false">ai_sh*D408+(1-ai_sh)*D409</f>
        <v>1</v>
      </c>
      <c r="E410" s="21" t="n">
        <f aca="false">ai_sh*E408+(1-ai_sh)*E409</f>
        <v>1.33911111111111</v>
      </c>
      <c r="F410" s="21" t="n">
        <f aca="false">ai_sh*F408+(1-ai_sh)*F409</f>
        <v>1.54880628070175</v>
      </c>
      <c r="G410" s="21" t="n">
        <f aca="false">ai_sh*G408+(1-ai_sh)*G409</f>
        <v>1.85322396888889</v>
      </c>
    </row>
    <row r="411" customFormat="false" ht="17.15" hidden="false" customHeight="false" outlineLevel="0" collapsed="false">
      <c r="A411" s="4" t="s">
        <v>482</v>
      </c>
      <c r="B411" s="0" t="s">
        <v>52</v>
      </c>
      <c r="D411" s="21" t="n">
        <f aca="false">1</f>
        <v>1</v>
      </c>
      <c r="E411" s="21" t="n">
        <f aca="false">cap_27_hi</f>
        <v>1.45</v>
      </c>
      <c r="F411" s="21" t="n">
        <f aca="false">cap_28_hi</f>
        <v>1.85</v>
      </c>
      <c r="G411" s="21" t="n">
        <f aca="false">cap_29_hi</f>
        <v>2.25</v>
      </c>
      <c r="K411" s="4" t="s">
        <v>483</v>
      </c>
    </row>
    <row r="412" customFormat="false" ht="17.15" hidden="false" customHeight="false" outlineLevel="0" collapsed="false">
      <c r="A412" s="4" t="s">
        <v>484</v>
      </c>
      <c r="B412" s="0" t="s">
        <v>52</v>
      </c>
      <c r="D412" s="21" t="n">
        <f aca="false">MIN(D410,D411)</f>
        <v>1</v>
      </c>
      <c r="E412" s="21" t="n">
        <f aca="false">MIN(E410,E411)</f>
        <v>1.33911111111111</v>
      </c>
      <c r="F412" s="21" t="n">
        <f aca="false">MIN(F410,F411)</f>
        <v>1.54880628070175</v>
      </c>
      <c r="G412" s="21" t="n">
        <f aca="false">MIN(G410,G411)</f>
        <v>1.85322396888889</v>
      </c>
    </row>
    <row r="413" customFormat="false" ht="17.15" hidden="false" customHeight="false" outlineLevel="0" collapsed="false">
      <c r="A413" s="4" t="s">
        <v>485</v>
      </c>
      <c r="B413" s="0" t="s">
        <v>77</v>
      </c>
      <c r="D413" s="16" t="n">
        <f aca="false">D412/D410</f>
        <v>1</v>
      </c>
      <c r="E413" s="16" t="n">
        <f aca="false">E412/E410</f>
        <v>1</v>
      </c>
      <c r="F413" s="16" t="n">
        <f aca="false">F412/F410</f>
        <v>1</v>
      </c>
      <c r="G413" s="16" t="n">
        <f aca="false">G412/G410</f>
        <v>1</v>
      </c>
      <c r="K413" s="4" t="s">
        <v>486</v>
      </c>
    </row>
    <row r="414" customFormat="false" ht="17.15" hidden="false" customHeight="false" outlineLevel="0" collapsed="false">
      <c r="A414" s="0" t="s">
        <v>487</v>
      </c>
      <c r="B414" s="0" t="s">
        <v>52</v>
      </c>
      <c r="D414" s="21" t="n">
        <f aca="false">1</f>
        <v>1</v>
      </c>
      <c r="E414" s="21" t="n">
        <f aca="false">pp_27</f>
        <v>1.12</v>
      </c>
      <c r="F414" s="21" t="n">
        <f aca="false">pp_28*sp_A</f>
        <v>1.15</v>
      </c>
      <c r="G414" s="21" t="n">
        <f aca="false">pp_29*sp_A</f>
        <v>1.12</v>
      </c>
      <c r="K414" s="8" t="s">
        <v>488</v>
      </c>
    </row>
    <row r="415" customFormat="false" ht="17.15" hidden="false" customHeight="false" outlineLevel="0" collapsed="false">
      <c r="A415" s="0" t="s">
        <v>429</v>
      </c>
      <c r="B415" s="0" t="s">
        <v>169</v>
      </c>
      <c r="D415" s="15" t="n">
        <f aca="false">q26_fm*ai_sh</f>
        <v>48.24</v>
      </c>
      <c r="E415" s="15" t="n">
        <f aca="false">q26_fm*ai_sh*E408*E413*E414</f>
        <v>97.40192</v>
      </c>
      <c r="F415" s="15" t="n">
        <f aca="false">q26_fm*ai_sh*F408*F413*F414</f>
        <v>126.522210470526</v>
      </c>
      <c r="G415" s="15" t="n">
        <f aca="false">q26_fm*ai_sh*G408*G413*G414</f>
        <v>161.76057511936</v>
      </c>
      <c r="K415" s="8" t="s">
        <v>489</v>
      </c>
    </row>
    <row r="416" customFormat="false" ht="17.15" hidden="false" customHeight="false" outlineLevel="0" collapsed="false">
      <c r="A416" s="0" t="s">
        <v>490</v>
      </c>
      <c r="B416" s="0" t="s">
        <v>169</v>
      </c>
      <c r="D416" s="15" t="n">
        <f aca="false">q26_fm*(1-ai_sh)</f>
        <v>72.36</v>
      </c>
      <c r="E416" s="15" t="n">
        <f aca="false">q26_fm*(1-ai_sh)*E409*E413*E414</f>
        <v>83.474496</v>
      </c>
      <c r="F416" s="15" t="n">
        <f aca="false">q26_fm*(1-ai_sh)*F409*F413*F414</f>
        <v>88.2817326</v>
      </c>
      <c r="G416" s="15" t="n">
        <f aca="false">q26_fm*(1-ai_sh)*G409*G413*G414</f>
        <v>88.5580928064</v>
      </c>
    </row>
    <row r="417" customFormat="false" ht="17.15" hidden="false" customHeight="false" outlineLevel="0" collapsed="false">
      <c r="A417" s="4" t="s">
        <v>491</v>
      </c>
      <c r="B417" s="0" t="s">
        <v>169</v>
      </c>
      <c r="C417" s="15" t="n">
        <f aca="false">q25_fm</f>
        <v>102.4512</v>
      </c>
      <c r="D417" s="15" t="n">
        <f aca="false">D415+D416</f>
        <v>120.6</v>
      </c>
      <c r="E417" s="15" t="n">
        <f aca="false">E415+E416</f>
        <v>180.876416</v>
      </c>
      <c r="F417" s="15" t="n">
        <f aca="false">F415+F416</f>
        <v>214.803943070526</v>
      </c>
      <c r="G417" s="15" t="n">
        <f aca="false">G415+G416</f>
        <v>250.31866792576</v>
      </c>
    </row>
    <row r="418" customFormat="false" ht="17.15" hidden="false" customHeight="false" outlineLevel="0" collapsed="false">
      <c r="A418" s="0" t="s">
        <v>492</v>
      </c>
      <c r="B418" s="0" t="s">
        <v>77</v>
      </c>
      <c r="C418" s="16" t="n">
        <f aca="false">q25_fmbp/q25_fm</f>
        <v>0.532936656671664</v>
      </c>
      <c r="D418" s="16" t="n">
        <f aca="false">q26_fmbp/q26_fm</f>
        <v>0.543117744610282</v>
      </c>
      <c r="E418" s="16" t="n">
        <f aca="false">1-(1-$D418)*(1+c_g)^1/E414</f>
        <v>0.579831497275527</v>
      </c>
      <c r="F418" s="16" t="n">
        <f aca="false">1-(1-$D418)*(1+c_g)^2/F414</f>
        <v>0.578516187180042</v>
      </c>
      <c r="G418" s="16" t="n">
        <f aca="false">1-(1-$D418)*(1+c_g)^3/G414</f>
        <v>0.554243235459607</v>
      </c>
      <c r="K418" s="8" t="s">
        <v>493</v>
      </c>
    </row>
    <row r="419" customFormat="false" ht="17.15" hidden="false" customHeight="false" outlineLevel="0" collapsed="false">
      <c r="A419" s="0" t="s">
        <v>455</v>
      </c>
      <c r="B419" s="0" t="s">
        <v>169</v>
      </c>
      <c r="C419" s="15" t="n">
        <f aca="false">q25_fmbp</f>
        <v>54.6</v>
      </c>
      <c r="D419" s="15" t="n">
        <f aca="false">D417*D418</f>
        <v>65.5</v>
      </c>
      <c r="E419" s="15" t="n">
        <f aca="false">E417*E418</f>
        <v>104.877843111111</v>
      </c>
      <c r="F419" s="15" t="n">
        <f aca="false">F417*F418</f>
        <v>124.2675581364</v>
      </c>
      <c r="G419" s="15" t="n">
        <f aca="false">G417*G418</f>
        <v>138.737428407112</v>
      </c>
    </row>
    <row r="420" customFormat="false" ht="17.15" hidden="false" customHeight="false" outlineLevel="0" collapsed="false">
      <c r="A420" s="6" t="s">
        <v>494</v>
      </c>
    </row>
    <row r="421" customFormat="false" ht="15" hidden="false" customHeight="false" outlineLevel="0" collapsed="false">
      <c r="A421" s="4" t="s">
        <v>495</v>
      </c>
      <c r="B421" s="0" t="s">
        <v>169</v>
      </c>
      <c r="C421" s="15" t="n">
        <f aca="false">q25_sf</f>
        <v>936.926</v>
      </c>
      <c r="D421" s="15" t="n">
        <f aca="false">q26_sf</f>
        <v>998.6</v>
      </c>
      <c r="E421" s="15" t="n">
        <f aca="false">D421*(1+g_sf)</f>
        <v>1038.544</v>
      </c>
      <c r="F421" s="15" t="n">
        <f aca="false">E421*(1+g_sf)</f>
        <v>1080.08576</v>
      </c>
      <c r="G421" s="15" t="n">
        <f aca="false">F421*(1+g_sf)</f>
        <v>1123.2891904</v>
      </c>
    </row>
    <row r="422" customFormat="false" ht="15" hidden="false" customHeight="false" outlineLevel="0" collapsed="false">
      <c r="A422" s="4" t="s">
        <v>496</v>
      </c>
      <c r="B422" s="0" t="s">
        <v>169</v>
      </c>
      <c r="C422" s="15" t="n">
        <f aca="false">q25_sfbp</f>
        <v>143.036</v>
      </c>
      <c r="D422" s="15" t="n">
        <f aca="false">q26_sfbp</f>
        <v>145.9</v>
      </c>
      <c r="E422" s="15" t="n">
        <f aca="false">E421*m_sf</f>
        <v>151.736</v>
      </c>
      <c r="F422" s="15" t="n">
        <f aca="false">F421*m_sf</f>
        <v>157.80544</v>
      </c>
      <c r="G422" s="15" t="n">
        <f aca="false">G421*m_sf</f>
        <v>164.1176576</v>
      </c>
    </row>
    <row r="423" customFormat="false" ht="15" hidden="false" customHeight="false" outlineLevel="0" collapsed="false">
      <c r="A423" s="4" t="s">
        <v>497</v>
      </c>
      <c r="B423" s="0" t="s">
        <v>169</v>
      </c>
      <c r="C423" s="15" t="n">
        <f aca="false">q25_ff</f>
        <v>290.308</v>
      </c>
      <c r="D423" s="15" t="n">
        <f aca="false">q26_ff</f>
        <v>310.6</v>
      </c>
      <c r="E423" s="15" t="n">
        <f aca="false">D423*(1+g_ff)</f>
        <v>319.918</v>
      </c>
      <c r="F423" s="15" t="n">
        <f aca="false">E423*(1+g_ff)</f>
        <v>329.51554</v>
      </c>
      <c r="G423" s="15" t="n">
        <f aca="false">F423*(1+g_ff)</f>
        <v>339.4010062</v>
      </c>
    </row>
    <row r="424" customFormat="false" ht="15" hidden="false" customHeight="false" outlineLevel="0" collapsed="false">
      <c r="A424" s="4" t="s">
        <v>498</v>
      </c>
      <c r="B424" s="0" t="s">
        <v>169</v>
      </c>
      <c r="C424" s="15" t="n">
        <f aca="false">q25_ffbp</f>
        <v>8.457</v>
      </c>
      <c r="D424" s="15" t="n">
        <f aca="false">q26_ffbp</f>
        <v>12.1</v>
      </c>
      <c r="E424" s="15" t="n">
        <f aca="false">E423*m_ff</f>
        <v>14.39631</v>
      </c>
      <c r="F424" s="15" t="n">
        <f aca="false">F423*m_ff</f>
        <v>14.8281993</v>
      </c>
      <c r="G424" s="15" t="n">
        <f aca="false">G423*m_ff</f>
        <v>15.273045279</v>
      </c>
    </row>
    <row r="425" customFormat="false" ht="17.15" hidden="false" customHeight="false" outlineLevel="0" collapsed="false">
      <c r="A425" s="4" t="s">
        <v>499</v>
      </c>
      <c r="B425" s="0" t="s">
        <v>169</v>
      </c>
      <c r="C425" s="15" t="n">
        <f aca="false">q25_hox</f>
        <v>239.0528</v>
      </c>
      <c r="D425" s="15" t="n">
        <f aca="false">q26_hox</f>
        <v>286.2</v>
      </c>
      <c r="E425" s="15" t="n">
        <f aca="false">D425*(1+g_ho)</f>
        <v>300.51</v>
      </c>
      <c r="F425" s="15" t="n">
        <f aca="false">E425*(1+g_ho)</f>
        <v>315.5355</v>
      </c>
      <c r="G425" s="15" t="n">
        <f aca="false">F425*(1+g_ho)</f>
        <v>331.312275</v>
      </c>
    </row>
    <row r="426" customFormat="false" ht="17.15" hidden="false" customHeight="false" outlineLevel="0" collapsed="false">
      <c r="A426" s="4" t="s">
        <v>500</v>
      </c>
      <c r="B426" s="0" t="s">
        <v>169</v>
      </c>
      <c r="C426" s="15" t="n">
        <f aca="false">q25_hoxbp</f>
        <v>11.602</v>
      </c>
      <c r="D426" s="15" t="n">
        <f aca="false">q26_hoxbp</f>
        <v>19.5</v>
      </c>
      <c r="E426" s="15" t="n">
        <f aca="false">E425*m_ho</f>
        <v>20.475</v>
      </c>
      <c r="F426" s="15" t="n">
        <f aca="false">F425*m_ho</f>
        <v>21.49875</v>
      </c>
      <c r="G426" s="15" t="n">
        <f aca="false">G425*m_ho</f>
        <v>22.5736875</v>
      </c>
    </row>
    <row r="427" customFormat="false" ht="17.15" hidden="false" customHeight="false" outlineLevel="0" collapsed="false">
      <c r="A427" s="4" t="s">
        <v>501</v>
      </c>
      <c r="B427" s="0" t="s">
        <v>169</v>
      </c>
      <c r="C427" s="15" t="n">
        <f aca="false">q25_oth</f>
        <v>14.979</v>
      </c>
      <c r="D427" s="15" t="n">
        <f aca="false">q26_oth</f>
        <v>15.8</v>
      </c>
      <c r="E427" s="15" t="n">
        <f aca="false">D427</f>
        <v>15.8</v>
      </c>
      <c r="F427" s="15" t="n">
        <f aca="false">E427</f>
        <v>15.8</v>
      </c>
      <c r="G427" s="15" t="n">
        <f aca="false">F427</f>
        <v>15.8</v>
      </c>
      <c r="K427" s="8" t="s">
        <v>502</v>
      </c>
    </row>
    <row r="428" customFormat="false" ht="15" hidden="false" customHeight="false" outlineLevel="0" collapsed="false">
      <c r="A428" s="4" t="s">
        <v>503</v>
      </c>
      <c r="B428" s="0" t="s">
        <v>169</v>
      </c>
      <c r="C428" s="15" t="n">
        <f aca="false">q25_othbp</f>
        <v>6.064</v>
      </c>
      <c r="D428" s="15" t="n">
        <f aca="false">q26_othbp</f>
        <v>5.1</v>
      </c>
      <c r="E428" s="15" t="n">
        <f aca="false">q26_othbp</f>
        <v>5.1</v>
      </c>
      <c r="F428" s="15" t="n">
        <f aca="false">q26_othbp</f>
        <v>5.1</v>
      </c>
      <c r="G428" s="15" t="n">
        <f aca="false">q26_othbp</f>
        <v>5.1</v>
      </c>
    </row>
    <row r="429" customFormat="false" ht="15" hidden="false" customHeight="false" outlineLevel="0" collapsed="false">
      <c r="A429" s="4" t="s">
        <v>504</v>
      </c>
      <c r="B429" s="0" t="s">
        <v>169</v>
      </c>
      <c r="C429" s="15" t="n">
        <f aca="false">q25_cc</f>
        <v>-42.597</v>
      </c>
      <c r="D429" s="15" t="n">
        <f aca="false">q26_cc</f>
        <v>-46.2</v>
      </c>
      <c r="E429" s="15" t="n">
        <f aca="false">D429*(1+g_cc)</f>
        <v>-47.586</v>
      </c>
      <c r="F429" s="15" t="n">
        <f aca="false">E429*(1+g_cc)</f>
        <v>-49.01358</v>
      </c>
      <c r="G429" s="15" t="n">
        <f aca="false">F429*(1+g_cc)</f>
        <v>-50.4839874</v>
      </c>
    </row>
    <row r="430" customFormat="false" ht="17.15" hidden="false" customHeight="false" outlineLevel="0" collapsed="false">
      <c r="A430" s="4" t="s">
        <v>505</v>
      </c>
      <c r="B430" s="0" t="s">
        <v>169</v>
      </c>
      <c r="C430" s="28" t="n">
        <f aca="false">a_rev-(q25_sf+q25_ff+q25_hox+q25_fm+q25_oth)</f>
        <v>0.00200000000018008</v>
      </c>
      <c r="D430" s="28" t="n">
        <f aca="false">f_rev-(q26_sf+q26_ff+q26_hox+q26_fm+q26_oth)</f>
        <v>0.200000000000045</v>
      </c>
      <c r="E430" s="28" t="n">
        <f aca="false">$D430</f>
        <v>0.200000000000045</v>
      </c>
      <c r="F430" s="28" t="n">
        <f aca="false">$D430</f>
        <v>0.200000000000045</v>
      </c>
      <c r="G430" s="28" t="n">
        <f aca="false">$D430</f>
        <v>0.200000000000045</v>
      </c>
      <c r="K430" s="8" t="s">
        <v>506</v>
      </c>
    </row>
    <row r="431" customFormat="false" ht="15" hidden="false" customHeight="false" outlineLevel="0" collapsed="false">
      <c r="A431" s="4" t="s">
        <v>507</v>
      </c>
      <c r="B431" s="0" t="s">
        <v>169</v>
      </c>
      <c r="C431" s="28" t="n">
        <f aca="false">a_bp-(q25_sfbp+q25_ffbp+q25_hoxbp+q25_fmbp+q25_othbp+q25_cc)</f>
        <v>0.0010000000000332</v>
      </c>
      <c r="D431" s="28" t="n">
        <f aca="false">f_bp-(q26_sfbp+q26_ffbp+q26_hoxbp+q26_fmbp+q26_othbp+q26_cc)</f>
        <v>0.100000000000023</v>
      </c>
      <c r="E431" s="28" t="n">
        <f aca="false">$D431</f>
        <v>0.100000000000023</v>
      </c>
      <c r="F431" s="28" t="n">
        <f aca="false">$D431</f>
        <v>0.100000000000023</v>
      </c>
      <c r="G431" s="28" t="n">
        <f aca="false">$D431</f>
        <v>0.100000000000023</v>
      </c>
    </row>
    <row r="432" customFormat="false" ht="17.15" hidden="false" customHeight="false" outlineLevel="0" collapsed="false">
      <c r="A432" s="6" t="s">
        <v>508</v>
      </c>
    </row>
    <row r="433" customFormat="false" ht="17.15" hidden="false" customHeight="false" outlineLevel="0" collapsed="false">
      <c r="A433" s="4" t="s">
        <v>380</v>
      </c>
      <c r="B433" s="0" t="s">
        <v>169</v>
      </c>
      <c r="C433" s="15" t="n">
        <f aca="false">C421+C423+C425+C417+C427+C430</f>
        <v>1583.719</v>
      </c>
      <c r="D433" s="15" t="n">
        <f aca="false">D421+D423+D425+D417+D427+D430</f>
        <v>1732</v>
      </c>
      <c r="E433" s="15" t="n">
        <f aca="false">E421+E423+E425+E417+E427+E430</f>
        <v>1855.848416</v>
      </c>
      <c r="F433" s="15" t="n">
        <f aca="false">F421+F423+F425+F417+F427+F430</f>
        <v>1955.94074307053</v>
      </c>
      <c r="G433" s="15" t="n">
        <f aca="false">G421+G423+G425+G417+G427+G430</f>
        <v>2060.32113952576</v>
      </c>
      <c r="H433" s="23" t="n">
        <f aca="false">G433*(1+H434)</f>
        <v>2174.82805744654</v>
      </c>
      <c r="I433" s="23" t="n">
        <f aca="false">H433*(1+I434)</f>
        <v>2300.50834612244</v>
      </c>
      <c r="J433" s="23" t="n">
        <f aca="false">I433*(1+J434)</f>
        <v>2438.53884688979</v>
      </c>
      <c r="K433" s="8" t="s">
        <v>509</v>
      </c>
    </row>
    <row r="434" customFormat="false" ht="15" hidden="false" customHeight="false" outlineLevel="0" collapsed="false">
      <c r="A434" s="4" t="s">
        <v>510</v>
      </c>
      <c r="B434" s="0" t="s">
        <v>77</v>
      </c>
      <c r="D434" s="16" t="n">
        <f aca="false">D433/C433-1</f>
        <v>0.0936283519993131</v>
      </c>
      <c r="E434" s="16" t="n">
        <f aca="false">E433/D433-1</f>
        <v>0.0715060138568129</v>
      </c>
      <c r="F434" s="16" t="n">
        <f aca="false">F433/E433-1</f>
        <v>0.0539334604095847</v>
      </c>
      <c r="G434" s="16" t="n">
        <f aca="false">G433/F433-1</f>
        <v>0.0533658275819608</v>
      </c>
      <c r="H434" s="24" t="n">
        <f aca="false">$G434+(fade_gA-$G434)*1/3</f>
        <v>0.0555772183879739</v>
      </c>
      <c r="I434" s="24" t="n">
        <f aca="false">$G434+(fade_gA-$G434)*2/3</f>
        <v>0.057788609193987</v>
      </c>
      <c r="J434" s="24" t="n">
        <f aca="false">$G434+(fade_gA-$G434)*3/3</f>
        <v>0.06</v>
      </c>
    </row>
    <row r="435" customFormat="false" ht="17.15" hidden="false" customHeight="false" outlineLevel="0" collapsed="false">
      <c r="A435" s="0" t="s">
        <v>511</v>
      </c>
      <c r="B435" s="0" t="s">
        <v>77</v>
      </c>
      <c r="C435" s="16" t="n">
        <f aca="false">C417/C433</f>
        <v>0.0646902638662541</v>
      </c>
      <c r="D435" s="16" t="n">
        <f aca="false">D417/D433</f>
        <v>0.0696304849884527</v>
      </c>
      <c r="E435" s="16" t="n">
        <f aca="false">E417/E433</f>
        <v>0.0974629255496264</v>
      </c>
      <c r="F435" s="16" t="n">
        <f aca="false">F417/F433</f>
        <v>0.109821293835987</v>
      </c>
      <c r="G435" s="16" t="n">
        <f aca="false">G417/G433</f>
        <v>0.121494976255681</v>
      </c>
    </row>
    <row r="436" customFormat="false" ht="15" hidden="false" customHeight="false" outlineLevel="0" collapsed="false">
      <c r="A436" s="4" t="s">
        <v>390</v>
      </c>
      <c r="B436" s="0" t="s">
        <v>169</v>
      </c>
      <c r="C436" s="15" t="n">
        <f aca="false">C422+C424+C426+C419+C428+C429+C431</f>
        <v>181.163</v>
      </c>
      <c r="D436" s="15" t="n">
        <f aca="false">D422+D424+D426+D419+D428+D429+D431</f>
        <v>202</v>
      </c>
      <c r="E436" s="15" t="n">
        <f aca="false">E422+E424+E426+E419+E428+E429+E431</f>
        <v>249.099153111111</v>
      </c>
      <c r="F436" s="15" t="n">
        <f aca="false">F422+F424+F426+F419+F428+F429+F431</f>
        <v>274.5863674364</v>
      </c>
      <c r="G436" s="15" t="n">
        <f aca="false">G422+G424+G426+G419+G428+G429+G431</f>
        <v>295.417831386112</v>
      </c>
    </row>
    <row r="437" customFormat="false" ht="15" hidden="false" customHeight="false" outlineLevel="0" collapsed="false">
      <c r="A437" s="4" t="s">
        <v>406</v>
      </c>
      <c r="B437" s="0" t="s">
        <v>77</v>
      </c>
      <c r="C437" s="16" t="n">
        <f aca="false">C436/C433</f>
        <v>0.114390873633517</v>
      </c>
      <c r="D437" s="16" t="n">
        <f aca="false">D436/D433</f>
        <v>0.11662817551963</v>
      </c>
      <c r="E437" s="16" t="n">
        <f aca="false">E436/E433</f>
        <v>0.134223868158374</v>
      </c>
      <c r="F437" s="16" t="n">
        <f aca="false">F436/F433</f>
        <v>0.140385831426233</v>
      </c>
      <c r="G437" s="16" t="n">
        <f aca="false">G436/G433</f>
        <v>0.143384361650588</v>
      </c>
    </row>
    <row r="438" customFormat="false" ht="17.15" hidden="false" customHeight="false" outlineLevel="0" collapsed="false">
      <c r="A438" s="0" t="s">
        <v>512</v>
      </c>
      <c r="B438" s="0" t="s">
        <v>77</v>
      </c>
      <c r="C438" s="16" t="n">
        <f aca="false">C419/C436</f>
        <v>0.301386044611758</v>
      </c>
      <c r="D438" s="16" t="n">
        <f aca="false">D419/D436</f>
        <v>0.324257425742574</v>
      </c>
      <c r="E438" s="16" t="n">
        <f aca="false">E419/E436</f>
        <v>0.421028501306587</v>
      </c>
      <c r="F438" s="16" t="n">
        <f aca="false">F419/F436</f>
        <v>0.452562737533511</v>
      </c>
      <c r="G438" s="16" t="n">
        <f aca="false">G419/G436</f>
        <v>0.469631192389947</v>
      </c>
    </row>
    <row r="439" customFormat="false" ht="17.15" hidden="false" customHeight="false" outlineLevel="0" collapsed="false">
      <c r="A439" s="4" t="s">
        <v>407</v>
      </c>
      <c r="B439" s="0" t="s">
        <v>52</v>
      </c>
      <c r="C439" s="21" t="n">
        <f aca="false">q25_ni/q25_bp</f>
        <v>0.743391310587703</v>
      </c>
      <c r="D439" s="21" t="n">
        <f aca="false">q26_ni/q26_bp</f>
        <v>0.611386138613861</v>
      </c>
      <c r="E439" s="21" t="n">
        <f aca="false">ni_bp</f>
        <v>0.62</v>
      </c>
      <c r="F439" s="21" t="n">
        <f aca="false">ni_bp</f>
        <v>0.62</v>
      </c>
      <c r="G439" s="21" t="n">
        <f aca="false">ni_bp</f>
        <v>0.62</v>
      </c>
    </row>
    <row r="440" customFormat="false" ht="15" hidden="false" customHeight="false" outlineLevel="0" collapsed="false">
      <c r="A440" s="4" t="s">
        <v>397</v>
      </c>
      <c r="B440" s="0" t="s">
        <v>169</v>
      </c>
      <c r="C440" s="15" t="n">
        <f aca="false">q25_ni</f>
        <v>134.675</v>
      </c>
      <c r="D440" s="15" t="n">
        <f aca="false">q26_ni</f>
        <v>123.5</v>
      </c>
      <c r="E440" s="15" t="n">
        <f aca="false">E436*E439</f>
        <v>154.441474928889</v>
      </c>
      <c r="F440" s="15" t="n">
        <f aca="false">F436*F439</f>
        <v>170.243547810568</v>
      </c>
      <c r="G440" s="15" t="n">
        <f aca="false">G436*G439</f>
        <v>183.15905545939</v>
      </c>
      <c r="H440" s="23" t="n">
        <f aca="false">H433*H444</f>
        <v>192.69191432425</v>
      </c>
      <c r="I440" s="23" t="n">
        <f aca="false">I433*I444</f>
        <v>203.14333328997</v>
      </c>
      <c r="J440" s="23" t="n">
        <f aca="false">J433*J444</f>
        <v>214.606915795403</v>
      </c>
    </row>
    <row r="441" customFormat="false" ht="15" hidden="false" customHeight="false" outlineLevel="0" collapsed="false">
      <c r="A441" s="4" t="s">
        <v>513</v>
      </c>
      <c r="B441" s="4" t="s">
        <v>316</v>
      </c>
      <c r="C441" s="19" t="n">
        <f aca="false">q25_sh</f>
        <v>0.973366579936398</v>
      </c>
      <c r="D441" s="19" t="n">
        <f aca="false">q26_sh</f>
        <v>0.95117067159581</v>
      </c>
      <c r="E441" s="19" t="n">
        <f aca="false">D441*(1+sh_g)</f>
        <v>0.936903111521873</v>
      </c>
      <c r="F441" s="19" t="n">
        <f aca="false">E441*(1+sh_g)</f>
        <v>0.922849564849045</v>
      </c>
      <c r="G441" s="19" t="n">
        <f aca="false">F441*(1+sh_g)</f>
        <v>0.909006821376309</v>
      </c>
      <c r="H441" s="29" t="n">
        <f aca="false">G441*(1+sh_g)</f>
        <v>0.895371719055665</v>
      </c>
      <c r="I441" s="29" t="n">
        <f aca="false">H441*(1+sh_g)</f>
        <v>0.88194114326983</v>
      </c>
      <c r="J441" s="29" t="n">
        <f aca="false">I441*(1+sh_g)</f>
        <v>0.868712026120782</v>
      </c>
    </row>
    <row r="442" customFormat="false" ht="17.15" hidden="false" customHeight="false" outlineLevel="0" collapsed="false">
      <c r="A442" s="0" t="s">
        <v>514</v>
      </c>
      <c r="B442" s="0" t="s">
        <v>207</v>
      </c>
      <c r="C442" s="20" t="n">
        <f aca="false">C440/C441</f>
        <v>138.36</v>
      </c>
      <c r="D442" s="20" t="n">
        <f aca="false">D440/D441</f>
        <v>129.84</v>
      </c>
      <c r="E442" s="20" t="n">
        <f aca="false">E440/E441</f>
        <v>164.842525368519</v>
      </c>
      <c r="F442" s="20" t="n">
        <f aca="false">F440/F441</f>
        <v>184.47594742965</v>
      </c>
      <c r="G442" s="20" t="n">
        <f aca="false">G440/G441</f>
        <v>201.493598455149</v>
      </c>
      <c r="H442" s="27" t="n">
        <f aca="false">H440/H441</f>
        <v>215.208845916509</v>
      </c>
      <c r="I442" s="27" t="n">
        <f aca="false">I440/I441</f>
        <v>230.336610147032</v>
      </c>
      <c r="J442" s="27" t="n">
        <f aca="false">J440/J441</f>
        <v>247.040341727196</v>
      </c>
    </row>
    <row r="443" customFormat="false" ht="17.15" hidden="false" customHeight="false" outlineLevel="0" collapsed="false">
      <c r="A443" s="0" t="s">
        <v>515</v>
      </c>
      <c r="B443" s="0" t="s">
        <v>77</v>
      </c>
      <c r="D443" s="16" t="n">
        <f aca="false">D442/C442-1</f>
        <v>-0.0615784908933218</v>
      </c>
      <c r="E443" s="16" t="n">
        <f aca="false">E442/D442-1</f>
        <v>0.269581988358897</v>
      </c>
      <c r="F443" s="16" t="n">
        <f aca="false">F442/E442-1</f>
        <v>0.119104108707621</v>
      </c>
      <c r="G443" s="16" t="n">
        <f aca="false">G442/F442-1</f>
        <v>0.0922486170289969</v>
      </c>
      <c r="H443" s="24" t="n">
        <f aca="false">H442/G442-1</f>
        <v>0.0680679067052978</v>
      </c>
      <c r="I443" s="24" t="n">
        <f aca="false">I442/H442-1</f>
        <v>0.0702934127363495</v>
      </c>
      <c r="J443" s="24" t="n">
        <f aca="false">J442/I442-1</f>
        <v>0.0725187870460602</v>
      </c>
    </row>
    <row r="444" customFormat="false" ht="15" hidden="false" customHeight="false" outlineLevel="0" collapsed="false">
      <c r="A444" s="4" t="s">
        <v>516</v>
      </c>
      <c r="B444" s="0" t="s">
        <v>77</v>
      </c>
      <c r="C444" s="25" t="n">
        <f aca="false">C440/C433</f>
        <v>0.0850371814696925</v>
      </c>
      <c r="D444" s="25" t="n">
        <f aca="false">D440/D433</f>
        <v>0.0713048498845266</v>
      </c>
      <c r="E444" s="25" t="n">
        <f aca="false">E440/E433</f>
        <v>0.0832187982581919</v>
      </c>
      <c r="F444" s="25" t="n">
        <f aca="false">F440/F433</f>
        <v>0.0870392154842644</v>
      </c>
      <c r="G444" s="25" t="n">
        <f aca="false">G440/G433</f>
        <v>0.0888983042233643</v>
      </c>
      <c r="H444" s="26" t="n">
        <f aca="false">$G444+(fade_mA-$G444)*1/3</f>
        <v>0.0886009878640655</v>
      </c>
      <c r="I444" s="26" t="n">
        <f aca="false">$G444+(fade_mA-$G444)*2/3</f>
        <v>0.0883036715047668</v>
      </c>
      <c r="J444" s="26" t="n">
        <f aca="false">$G444+(fade_mA-$G444)*3/3</f>
        <v>0.088006355145468</v>
      </c>
    </row>
    <row r="445" customFormat="false" ht="17.15" hidden="false" customHeight="false" outlineLevel="0" collapsed="false">
      <c r="A445" s="0" t="s">
        <v>517</v>
      </c>
      <c r="B445" s="0" t="s">
        <v>207</v>
      </c>
      <c r="D445" s="20" t="n">
        <f aca="false">D419*D439/D441</f>
        <v>42.1015841584158</v>
      </c>
      <c r="E445" s="20" t="n">
        <f aca="false">E419*E439/E441</f>
        <v>69.4034014075006</v>
      </c>
      <c r="F445" s="20" t="n">
        <f aca="false">F419*F439/F441</f>
        <v>83.4869397778505</v>
      </c>
      <c r="G445" s="20" t="n">
        <f aca="false">G419*G439/G441</f>
        <v>94.6276789014328</v>
      </c>
      <c r="K445" s="8" t="s">
        <v>518</v>
      </c>
    </row>
    <row r="446" customFormat="false" ht="17.15" hidden="false" customHeight="false" outlineLevel="0" collapsed="false">
      <c r="A446" s="0" t="s">
        <v>519</v>
      </c>
      <c r="B446" s="0" t="s">
        <v>207</v>
      </c>
      <c r="D446" s="20" t="n">
        <f aca="false">D442-D445</f>
        <v>87.7384158415842</v>
      </c>
      <c r="E446" s="20" t="n">
        <f aca="false">E442-E445</f>
        <v>95.4391239610185</v>
      </c>
      <c r="F446" s="20" t="n">
        <f aca="false">F442-F445</f>
        <v>100.9890076518</v>
      </c>
      <c r="G446" s="20" t="n">
        <f aca="false">G442-G445</f>
        <v>106.865919553716</v>
      </c>
    </row>
    <row r="447" customFormat="false" ht="17.15" hidden="false" customHeight="false" outlineLevel="0" collapsed="false">
      <c r="A447" s="0" t="s">
        <v>520</v>
      </c>
      <c r="B447" s="0" t="s">
        <v>432</v>
      </c>
      <c r="D447" s="15" t="n">
        <f aca="false">D415/D405*1000/150</f>
        <v>23.5087719298246</v>
      </c>
      <c r="E447" s="15" t="n">
        <f aca="false">E415/E405*1000/150</f>
        <v>31.0691929824561</v>
      </c>
      <c r="F447" s="15" t="n">
        <f aca="false">F415/F405*1000/150</f>
        <v>36.5143464561404</v>
      </c>
      <c r="G447" s="15" t="n">
        <f aca="false">G415/G405*1000/150</f>
        <v>41.0977070933333</v>
      </c>
      <c r="K447" s="8" t="s">
        <v>521</v>
      </c>
    </row>
    <row r="450" customFormat="false" ht="17.15" hidden="false" customHeight="false" outlineLevel="0" collapsed="false">
      <c r="A450" s="1" t="s">
        <v>871</v>
      </c>
    </row>
    <row r="451" customFormat="false" ht="17.15" hidden="false" customHeight="false" outlineLevel="0" collapsed="false">
      <c r="A451" s="5" t="s">
        <v>19</v>
      </c>
      <c r="B451" s="5" t="s">
        <v>20</v>
      </c>
      <c r="C451" s="14" t="s">
        <v>374</v>
      </c>
      <c r="D451" s="14" t="s">
        <v>447</v>
      </c>
      <c r="E451" s="14" t="s">
        <v>412</v>
      </c>
      <c r="F451" s="14" t="s">
        <v>413</v>
      </c>
      <c r="G451" s="14" t="s">
        <v>414</v>
      </c>
      <c r="H451" s="14" t="s">
        <v>448</v>
      </c>
      <c r="I451" s="14" t="s">
        <v>449</v>
      </c>
      <c r="J451" s="14" t="s">
        <v>450</v>
      </c>
      <c r="K451" s="5" t="s">
        <v>379</v>
      </c>
    </row>
    <row r="452" customFormat="false" ht="17.15" hidden="false" customHeight="false" outlineLevel="0" collapsed="false">
      <c r="A452" s="6" t="s">
        <v>470</v>
      </c>
    </row>
    <row r="453" customFormat="false" ht="17.15" hidden="false" customHeight="false" outlineLevel="0" collapsed="false">
      <c r="A453" s="0" t="s">
        <v>471</v>
      </c>
      <c r="B453" s="4" t="s">
        <v>30</v>
      </c>
      <c r="D453" s="20" t="n">
        <f aca="false">unv_26</f>
        <v>7.6</v>
      </c>
      <c r="E453" s="20" t="n">
        <f aca="false">unv_27</f>
        <v>9.7</v>
      </c>
      <c r="F453" s="20" t="n">
        <f aca="false">unv_28*um28_A</f>
        <v>9.5</v>
      </c>
      <c r="G453" s="20" t="n">
        <f aca="false">unv_29*um29_A</f>
        <v>10.6</v>
      </c>
      <c r="K453" s="8" t="s">
        <v>472</v>
      </c>
    </row>
    <row r="454" customFormat="false" ht="17.15" hidden="false" customHeight="false" outlineLevel="0" collapsed="false">
      <c r="A454" s="4" t="s">
        <v>473</v>
      </c>
      <c r="B454" s="4" t="s">
        <v>30</v>
      </c>
      <c r="D454" s="20" t="n">
        <f aca="false">uot_26</f>
        <v>7.6</v>
      </c>
      <c r="E454" s="20" t="n">
        <f aca="false">uot_27</f>
        <v>14</v>
      </c>
      <c r="F454" s="20" t="n">
        <f aca="false">uot_28*um28_A</f>
        <v>17</v>
      </c>
      <c r="G454" s="20" t="n">
        <f aca="false">uot_29*um29_A</f>
        <v>19.55</v>
      </c>
      <c r="K454" s="8" t="s">
        <v>474</v>
      </c>
    </row>
    <row r="455" customFormat="false" ht="17.15" hidden="false" customHeight="false" outlineLevel="0" collapsed="false">
      <c r="A455" s="4" t="s">
        <v>475</v>
      </c>
      <c r="B455" s="4" t="s">
        <v>30</v>
      </c>
      <c r="D455" s="20" t="n">
        <f aca="false">D453+v_ot*D454</f>
        <v>13.68</v>
      </c>
      <c r="E455" s="20" t="n">
        <f aca="false">E453+v_ot*E454</f>
        <v>20.9</v>
      </c>
      <c r="F455" s="20" t="n">
        <f aca="false">F453+v_ot*F454</f>
        <v>23.1</v>
      </c>
      <c r="G455" s="20" t="n">
        <f aca="false">G453+v_ot*G454</f>
        <v>26.24</v>
      </c>
    </row>
    <row r="456" customFormat="false" ht="17.15" hidden="false" customHeight="false" outlineLevel="0" collapsed="false">
      <c r="A456" s="4" t="s">
        <v>476</v>
      </c>
      <c r="B456" s="0" t="s">
        <v>52</v>
      </c>
      <c r="D456" s="21" t="n">
        <f aca="false">1</f>
        <v>1</v>
      </c>
      <c r="E456" s="21" t="n">
        <f aca="false">D456*(1+g_asp)</f>
        <v>1.18</v>
      </c>
      <c r="F456" s="21" t="n">
        <f aca="false">E456*(1+g_asp)</f>
        <v>1.3924</v>
      </c>
      <c r="G456" s="21" t="n">
        <f aca="false">F456*(1+g_asp)</f>
        <v>1.643032</v>
      </c>
    </row>
    <row r="457" customFormat="false" ht="17.15" hidden="false" customHeight="false" outlineLevel="0" collapsed="false">
      <c r="A457" s="4" t="s">
        <v>477</v>
      </c>
      <c r="B457" s="0" t="s">
        <v>52</v>
      </c>
      <c r="D457" s="18" t="n">
        <f aca="false">1</f>
        <v>1</v>
      </c>
      <c r="E457" s="18" t="n">
        <f aca="false">rel_27</f>
        <v>1</v>
      </c>
      <c r="F457" s="18" t="n">
        <f aca="false">rel_28</f>
        <v>0.97</v>
      </c>
      <c r="G457" s="18" t="n">
        <f aca="false">rel_29</f>
        <v>0.95</v>
      </c>
    </row>
    <row r="458" customFormat="false" ht="17.15" hidden="false" customHeight="false" outlineLevel="0" collapsed="false">
      <c r="A458" s="0" t="s">
        <v>478</v>
      </c>
      <c r="B458" s="0" t="s">
        <v>52</v>
      </c>
      <c r="D458" s="21" t="n">
        <f aca="false">D455/$D455*D456*D457</f>
        <v>1</v>
      </c>
      <c r="E458" s="21" t="n">
        <f aca="false">E455/$D455*E456*E457</f>
        <v>1.80277777777778</v>
      </c>
      <c r="F458" s="21" t="n">
        <f aca="false">F455/$D455*F456*F457</f>
        <v>2.28066570175439</v>
      </c>
      <c r="G458" s="21" t="n">
        <f aca="false">G455/$D455*G456*G457</f>
        <v>2.99396942222222</v>
      </c>
      <c r="K458" s="4" t="s">
        <v>479</v>
      </c>
    </row>
    <row r="459" customFormat="false" ht="17.15" hidden="false" customHeight="false" outlineLevel="0" collapsed="false">
      <c r="A459" s="4" t="s">
        <v>480</v>
      </c>
      <c r="B459" s="0" t="s">
        <v>52</v>
      </c>
      <c r="D459" s="21" t="n">
        <f aca="false">1</f>
        <v>1</v>
      </c>
      <c r="E459" s="21" t="n">
        <f aca="false">D459*(1+g_nai)</f>
        <v>1.03</v>
      </c>
      <c r="F459" s="21" t="n">
        <f aca="false">E459*(1+g_nai)</f>
        <v>1.0609</v>
      </c>
      <c r="G459" s="21" t="n">
        <f aca="false">F459*(1+g_nai)</f>
        <v>1.092727</v>
      </c>
    </row>
    <row r="460" customFormat="false" ht="17.15" hidden="false" customHeight="false" outlineLevel="0" collapsed="false">
      <c r="A460" s="0" t="s">
        <v>481</v>
      </c>
      <c r="B460" s="0" t="s">
        <v>52</v>
      </c>
      <c r="D460" s="21" t="n">
        <f aca="false">ai_sh*D458+(1-ai_sh)*D459</f>
        <v>1</v>
      </c>
      <c r="E460" s="21" t="n">
        <f aca="false">ai_sh*E458+(1-ai_sh)*E459</f>
        <v>1.33911111111111</v>
      </c>
      <c r="F460" s="21" t="n">
        <f aca="false">ai_sh*F458+(1-ai_sh)*F459</f>
        <v>1.54880628070175</v>
      </c>
      <c r="G460" s="21" t="n">
        <f aca="false">ai_sh*G458+(1-ai_sh)*G459</f>
        <v>1.85322396888889</v>
      </c>
    </row>
    <row r="461" customFormat="false" ht="17.15" hidden="false" customHeight="false" outlineLevel="0" collapsed="false">
      <c r="A461" s="4" t="s">
        <v>482</v>
      </c>
      <c r="B461" s="0" t="s">
        <v>52</v>
      </c>
      <c r="D461" s="21" t="n">
        <f aca="false">1</f>
        <v>1</v>
      </c>
      <c r="E461" s="21" t="n">
        <f aca="false">cap_27</f>
        <v>1.3</v>
      </c>
      <c r="F461" s="21" t="n">
        <f aca="false">cap_28</f>
        <v>1.55</v>
      </c>
      <c r="G461" s="21" t="n">
        <f aca="false">cap_29</f>
        <v>1.8</v>
      </c>
      <c r="K461" s="4" t="s">
        <v>483</v>
      </c>
    </row>
    <row r="462" customFormat="false" ht="17.15" hidden="false" customHeight="false" outlineLevel="0" collapsed="false">
      <c r="A462" s="4" t="s">
        <v>484</v>
      </c>
      <c r="B462" s="0" t="s">
        <v>52</v>
      </c>
      <c r="D462" s="21" t="n">
        <f aca="false">MIN(D460,D461)</f>
        <v>1</v>
      </c>
      <c r="E462" s="21" t="n">
        <f aca="false">MIN(E460,E461)</f>
        <v>1.3</v>
      </c>
      <c r="F462" s="21" t="n">
        <f aca="false">MIN(F460,F461)</f>
        <v>1.54880628070175</v>
      </c>
      <c r="G462" s="21" t="n">
        <f aca="false">MIN(G460,G461)</f>
        <v>1.8</v>
      </c>
    </row>
    <row r="463" customFormat="false" ht="17.15" hidden="false" customHeight="false" outlineLevel="0" collapsed="false">
      <c r="A463" s="4" t="s">
        <v>485</v>
      </c>
      <c r="B463" s="0" t="s">
        <v>77</v>
      </c>
      <c r="D463" s="16" t="n">
        <f aca="false">D462/D460</f>
        <v>1</v>
      </c>
      <c r="E463" s="16" t="n">
        <f aca="false">E462/E460</f>
        <v>0.970793229339529</v>
      </c>
      <c r="F463" s="16" t="n">
        <f aca="false">F462/F460</f>
        <v>1</v>
      </c>
      <c r="G463" s="16" t="n">
        <f aca="false">G462/G460</f>
        <v>0.971280336439422</v>
      </c>
      <c r="K463" s="4" t="s">
        <v>486</v>
      </c>
    </row>
    <row r="464" customFormat="false" ht="17.15" hidden="false" customHeight="false" outlineLevel="0" collapsed="false">
      <c r="A464" s="0" t="s">
        <v>487</v>
      </c>
      <c r="B464" s="0" t="s">
        <v>52</v>
      </c>
      <c r="D464" s="21" t="n">
        <f aca="false">1</f>
        <v>1</v>
      </c>
      <c r="E464" s="21" t="n">
        <f aca="false">pp_27_lo</f>
        <v>1</v>
      </c>
      <c r="F464" s="21" t="n">
        <f aca="false">pp_28_lo*sp_A</f>
        <v>0.95</v>
      </c>
      <c r="G464" s="21" t="n">
        <f aca="false">pp_29_lo*sp_A</f>
        <v>0.9</v>
      </c>
      <c r="K464" s="8" t="s">
        <v>488</v>
      </c>
    </row>
    <row r="465" customFormat="false" ht="17.15" hidden="false" customHeight="false" outlineLevel="0" collapsed="false">
      <c r="A465" s="0" t="s">
        <v>429</v>
      </c>
      <c r="B465" s="0" t="s">
        <v>169</v>
      </c>
      <c r="D465" s="15" t="n">
        <f aca="false">q26_fm*ai_sh</f>
        <v>48.24</v>
      </c>
      <c r="E465" s="15" t="n">
        <f aca="false">q26_fm*ai_sh*E458*E463*E464</f>
        <v>84.4260039827415</v>
      </c>
      <c r="F465" s="15" t="n">
        <f aca="false">q26_fm*ai_sh*F458*F463*F464</f>
        <v>104.51834778</v>
      </c>
      <c r="G465" s="15" t="n">
        <f aca="false">q26_fm*ai_sh*G458*G463*G464</f>
        <v>126.253017180455</v>
      </c>
      <c r="K465" s="8" t="s">
        <v>489</v>
      </c>
    </row>
    <row r="466" customFormat="false" ht="17.15" hidden="false" customHeight="false" outlineLevel="0" collapsed="false">
      <c r="A466" s="0" t="s">
        <v>490</v>
      </c>
      <c r="B466" s="0" t="s">
        <v>169</v>
      </c>
      <c r="D466" s="15" t="n">
        <f aca="false">q26_fm*(1-ai_sh)</f>
        <v>72.36</v>
      </c>
      <c r="E466" s="15" t="n">
        <f aca="false">q26_fm*(1-ai_sh)*E459*E463*E464</f>
        <v>72.3539960172586</v>
      </c>
      <c r="F466" s="15" t="n">
        <f aca="false">q26_fm*(1-ai_sh)*F459*F463*F464</f>
        <v>72.9283878</v>
      </c>
      <c r="G466" s="15" t="n">
        <f aca="false">q26_fm*(1-ai_sh)*G459*G463*G464</f>
        <v>69.118982819545</v>
      </c>
    </row>
    <row r="467" customFormat="false" ht="17.15" hidden="false" customHeight="false" outlineLevel="0" collapsed="false">
      <c r="A467" s="4" t="s">
        <v>491</v>
      </c>
      <c r="B467" s="0" t="s">
        <v>169</v>
      </c>
      <c r="C467" s="15" t="n">
        <f aca="false">q25_fm</f>
        <v>102.4512</v>
      </c>
      <c r="D467" s="15" t="n">
        <f aca="false">D465+D466</f>
        <v>120.6</v>
      </c>
      <c r="E467" s="15" t="n">
        <f aca="false">E465+E466</f>
        <v>156.78</v>
      </c>
      <c r="F467" s="15" t="n">
        <f aca="false">F465+F466</f>
        <v>177.44673558</v>
      </c>
      <c r="G467" s="15" t="n">
        <f aca="false">G465+G466</f>
        <v>195.372</v>
      </c>
    </row>
    <row r="468" customFormat="false" ht="17.15" hidden="false" customHeight="false" outlineLevel="0" collapsed="false">
      <c r="A468" s="0" t="s">
        <v>492</v>
      </c>
      <c r="B468" s="0" t="s">
        <v>77</v>
      </c>
      <c r="C468" s="16" t="n">
        <f aca="false">q25_fmbp/q25_fm</f>
        <v>0.532936656671664</v>
      </c>
      <c r="D468" s="16" t="n">
        <f aca="false">q26_fmbp/q26_fm</f>
        <v>0.543117744610282</v>
      </c>
      <c r="E468" s="16" t="n">
        <f aca="false">1-(1-$D468)*(1+c_g)^1/E464</f>
        <v>0.52941127694859</v>
      </c>
      <c r="F468" s="16" t="n">
        <f aca="false">1-(1-$D468)*(1+c_g)^2/F464</f>
        <v>0.489782752902156</v>
      </c>
      <c r="G468" s="16" t="n">
        <f aca="false">1-(1-$D468)*(1+c_g)^3/G464</f>
        <v>0.445280470794177</v>
      </c>
      <c r="K468" s="8" t="s">
        <v>493</v>
      </c>
    </row>
    <row r="469" customFormat="false" ht="17.15" hidden="false" customHeight="false" outlineLevel="0" collapsed="false">
      <c r="A469" s="0" t="s">
        <v>455</v>
      </c>
      <c r="B469" s="0" t="s">
        <v>169</v>
      </c>
      <c r="C469" s="15" t="n">
        <f aca="false">q25_fmbp</f>
        <v>54.6</v>
      </c>
      <c r="D469" s="15" t="n">
        <f aca="false">D467*D468</f>
        <v>65.5</v>
      </c>
      <c r="E469" s="15" t="n">
        <f aca="false">E467*E468</f>
        <v>83.0011</v>
      </c>
      <c r="F469" s="15" t="n">
        <f aca="false">F467*F468</f>
        <v>86.9103506458733</v>
      </c>
      <c r="G469" s="15" t="n">
        <f aca="false">G467*G468</f>
        <v>86.99533614</v>
      </c>
    </row>
    <row r="470" customFormat="false" ht="17.15" hidden="false" customHeight="false" outlineLevel="0" collapsed="false">
      <c r="A470" s="6" t="s">
        <v>494</v>
      </c>
    </row>
    <row r="471" customFormat="false" ht="15" hidden="false" customHeight="false" outlineLevel="0" collapsed="false">
      <c r="A471" s="4" t="s">
        <v>495</v>
      </c>
      <c r="B471" s="0" t="s">
        <v>169</v>
      </c>
      <c r="C471" s="15" t="n">
        <f aca="false">q25_sf</f>
        <v>936.926</v>
      </c>
      <c r="D471" s="15" t="n">
        <f aca="false">q26_sf</f>
        <v>998.6</v>
      </c>
      <c r="E471" s="15" t="n">
        <f aca="false">D471*(1+g_sf)</f>
        <v>1038.544</v>
      </c>
      <c r="F471" s="15" t="n">
        <f aca="false">E471*(1+g_sf)</f>
        <v>1080.08576</v>
      </c>
      <c r="G471" s="15" t="n">
        <f aca="false">F471*(1+g_sf)</f>
        <v>1123.2891904</v>
      </c>
    </row>
    <row r="472" customFormat="false" ht="15" hidden="false" customHeight="false" outlineLevel="0" collapsed="false">
      <c r="A472" s="4" t="s">
        <v>496</v>
      </c>
      <c r="B472" s="0" t="s">
        <v>169</v>
      </c>
      <c r="C472" s="15" t="n">
        <f aca="false">q25_sfbp</f>
        <v>143.036</v>
      </c>
      <c r="D472" s="15" t="n">
        <f aca="false">q26_sfbp</f>
        <v>145.9</v>
      </c>
      <c r="E472" s="15" t="n">
        <f aca="false">E471*m_sf</f>
        <v>151.736</v>
      </c>
      <c r="F472" s="15" t="n">
        <f aca="false">F471*m_sf</f>
        <v>157.80544</v>
      </c>
      <c r="G472" s="15" t="n">
        <f aca="false">G471*m_sf</f>
        <v>164.1176576</v>
      </c>
    </row>
    <row r="473" customFormat="false" ht="15" hidden="false" customHeight="false" outlineLevel="0" collapsed="false">
      <c r="A473" s="4" t="s">
        <v>497</v>
      </c>
      <c r="B473" s="0" t="s">
        <v>169</v>
      </c>
      <c r="C473" s="15" t="n">
        <f aca="false">q25_ff</f>
        <v>290.308</v>
      </c>
      <c r="D473" s="15" t="n">
        <f aca="false">q26_ff</f>
        <v>310.6</v>
      </c>
      <c r="E473" s="15" t="n">
        <f aca="false">D473*(1+g_ff)</f>
        <v>319.918</v>
      </c>
      <c r="F473" s="15" t="n">
        <f aca="false">E473*(1+g_ff)</f>
        <v>329.51554</v>
      </c>
      <c r="G473" s="15" t="n">
        <f aca="false">F473*(1+g_ff)</f>
        <v>339.4010062</v>
      </c>
    </row>
    <row r="474" customFormat="false" ht="15" hidden="false" customHeight="false" outlineLevel="0" collapsed="false">
      <c r="A474" s="4" t="s">
        <v>498</v>
      </c>
      <c r="B474" s="0" t="s">
        <v>169</v>
      </c>
      <c r="C474" s="15" t="n">
        <f aca="false">q25_ffbp</f>
        <v>8.457</v>
      </c>
      <c r="D474" s="15" t="n">
        <f aca="false">q26_ffbp</f>
        <v>12.1</v>
      </c>
      <c r="E474" s="15" t="n">
        <f aca="false">E473*m_ff</f>
        <v>14.39631</v>
      </c>
      <c r="F474" s="15" t="n">
        <f aca="false">F473*m_ff</f>
        <v>14.8281993</v>
      </c>
      <c r="G474" s="15" t="n">
        <f aca="false">G473*m_ff</f>
        <v>15.273045279</v>
      </c>
    </row>
    <row r="475" customFormat="false" ht="17.15" hidden="false" customHeight="false" outlineLevel="0" collapsed="false">
      <c r="A475" s="4" t="s">
        <v>499</v>
      </c>
      <c r="B475" s="0" t="s">
        <v>169</v>
      </c>
      <c r="C475" s="15" t="n">
        <f aca="false">q25_hox</f>
        <v>239.0528</v>
      </c>
      <c r="D475" s="15" t="n">
        <f aca="false">q26_hox</f>
        <v>286.2</v>
      </c>
      <c r="E475" s="15" t="n">
        <f aca="false">D475*(1+g_ho)</f>
        <v>300.51</v>
      </c>
      <c r="F475" s="15" t="n">
        <f aca="false">E475*(1+g_ho)</f>
        <v>315.5355</v>
      </c>
      <c r="G475" s="15" t="n">
        <f aca="false">F475*(1+g_ho)</f>
        <v>331.312275</v>
      </c>
    </row>
    <row r="476" customFormat="false" ht="17.15" hidden="false" customHeight="false" outlineLevel="0" collapsed="false">
      <c r="A476" s="4" t="s">
        <v>500</v>
      </c>
      <c r="B476" s="0" t="s">
        <v>169</v>
      </c>
      <c r="C476" s="15" t="n">
        <f aca="false">q25_hoxbp</f>
        <v>11.602</v>
      </c>
      <c r="D476" s="15" t="n">
        <f aca="false">q26_hoxbp</f>
        <v>19.5</v>
      </c>
      <c r="E476" s="15" t="n">
        <f aca="false">E475*m_ho</f>
        <v>20.475</v>
      </c>
      <c r="F476" s="15" t="n">
        <f aca="false">F475*m_ho</f>
        <v>21.49875</v>
      </c>
      <c r="G476" s="15" t="n">
        <f aca="false">G475*m_ho</f>
        <v>22.5736875</v>
      </c>
    </row>
    <row r="477" customFormat="false" ht="17.15" hidden="false" customHeight="false" outlineLevel="0" collapsed="false">
      <c r="A477" s="4" t="s">
        <v>501</v>
      </c>
      <c r="B477" s="0" t="s">
        <v>169</v>
      </c>
      <c r="C477" s="15" t="n">
        <f aca="false">q25_oth</f>
        <v>14.979</v>
      </c>
      <c r="D477" s="15" t="n">
        <f aca="false">q26_oth</f>
        <v>15.8</v>
      </c>
      <c r="E477" s="15" t="n">
        <f aca="false">D477</f>
        <v>15.8</v>
      </c>
      <c r="F477" s="15" t="n">
        <f aca="false">E477</f>
        <v>15.8</v>
      </c>
      <c r="G477" s="15" t="n">
        <f aca="false">F477</f>
        <v>15.8</v>
      </c>
      <c r="K477" s="8" t="s">
        <v>502</v>
      </c>
    </row>
    <row r="478" customFormat="false" ht="15" hidden="false" customHeight="false" outlineLevel="0" collapsed="false">
      <c r="A478" s="4" t="s">
        <v>503</v>
      </c>
      <c r="B478" s="0" t="s">
        <v>169</v>
      </c>
      <c r="C478" s="15" t="n">
        <f aca="false">q25_othbp</f>
        <v>6.064</v>
      </c>
      <c r="D478" s="15" t="n">
        <f aca="false">q26_othbp</f>
        <v>5.1</v>
      </c>
      <c r="E478" s="15" t="n">
        <f aca="false">q26_othbp</f>
        <v>5.1</v>
      </c>
      <c r="F478" s="15" t="n">
        <f aca="false">q26_othbp</f>
        <v>5.1</v>
      </c>
      <c r="G478" s="15" t="n">
        <f aca="false">q26_othbp</f>
        <v>5.1</v>
      </c>
    </row>
    <row r="479" customFormat="false" ht="15" hidden="false" customHeight="false" outlineLevel="0" collapsed="false">
      <c r="A479" s="4" t="s">
        <v>504</v>
      </c>
      <c r="B479" s="0" t="s">
        <v>169</v>
      </c>
      <c r="C479" s="15" t="n">
        <f aca="false">q25_cc</f>
        <v>-42.597</v>
      </c>
      <c r="D479" s="15" t="n">
        <f aca="false">q26_cc</f>
        <v>-46.2</v>
      </c>
      <c r="E479" s="15" t="n">
        <f aca="false">D479*(1+g_cc)</f>
        <v>-47.586</v>
      </c>
      <c r="F479" s="15" t="n">
        <f aca="false">E479*(1+g_cc)</f>
        <v>-49.01358</v>
      </c>
      <c r="G479" s="15" t="n">
        <f aca="false">F479*(1+g_cc)</f>
        <v>-50.4839874</v>
      </c>
    </row>
    <row r="480" customFormat="false" ht="17.15" hidden="false" customHeight="false" outlineLevel="0" collapsed="false">
      <c r="A480" s="4" t="s">
        <v>505</v>
      </c>
      <c r="B480" s="0" t="s">
        <v>169</v>
      </c>
      <c r="C480" s="28" t="n">
        <f aca="false">a_rev-(q25_sf+q25_ff+q25_hox+q25_fm+q25_oth)</f>
        <v>0.00200000000018008</v>
      </c>
      <c r="D480" s="28" t="n">
        <f aca="false">f_rev-(q26_sf+q26_ff+q26_hox+q26_fm+q26_oth)</f>
        <v>0.200000000000045</v>
      </c>
      <c r="E480" s="28" t="n">
        <f aca="false">$D480</f>
        <v>0.200000000000045</v>
      </c>
      <c r="F480" s="28" t="n">
        <f aca="false">$D480</f>
        <v>0.200000000000045</v>
      </c>
      <c r="G480" s="28" t="n">
        <f aca="false">$D480</f>
        <v>0.200000000000045</v>
      </c>
      <c r="K480" s="8" t="s">
        <v>506</v>
      </c>
    </row>
    <row r="481" customFormat="false" ht="15" hidden="false" customHeight="false" outlineLevel="0" collapsed="false">
      <c r="A481" s="4" t="s">
        <v>507</v>
      </c>
      <c r="B481" s="0" t="s">
        <v>169</v>
      </c>
      <c r="C481" s="28" t="n">
        <f aca="false">a_bp-(q25_sfbp+q25_ffbp+q25_hoxbp+q25_fmbp+q25_othbp+q25_cc)</f>
        <v>0.0010000000000332</v>
      </c>
      <c r="D481" s="28" t="n">
        <f aca="false">f_bp-(q26_sfbp+q26_ffbp+q26_hoxbp+q26_fmbp+q26_othbp+q26_cc)</f>
        <v>0.100000000000023</v>
      </c>
      <c r="E481" s="28" t="n">
        <f aca="false">$D481</f>
        <v>0.100000000000023</v>
      </c>
      <c r="F481" s="28" t="n">
        <f aca="false">$D481</f>
        <v>0.100000000000023</v>
      </c>
      <c r="G481" s="28" t="n">
        <f aca="false">$D481</f>
        <v>0.100000000000023</v>
      </c>
    </row>
    <row r="482" customFormat="false" ht="17.15" hidden="false" customHeight="false" outlineLevel="0" collapsed="false">
      <c r="A482" s="6" t="s">
        <v>508</v>
      </c>
    </row>
    <row r="483" customFormat="false" ht="17.15" hidden="false" customHeight="false" outlineLevel="0" collapsed="false">
      <c r="A483" s="4" t="s">
        <v>380</v>
      </c>
      <c r="B483" s="0" t="s">
        <v>169</v>
      </c>
      <c r="C483" s="15" t="n">
        <f aca="false">C471+C473+C475+C467+C477+C480</f>
        <v>1583.719</v>
      </c>
      <c r="D483" s="15" t="n">
        <f aca="false">D471+D473+D475+D467+D477+D480</f>
        <v>1732</v>
      </c>
      <c r="E483" s="15" t="n">
        <f aca="false">E471+E473+E475+E467+E477+E480</f>
        <v>1831.752</v>
      </c>
      <c r="F483" s="15" t="n">
        <f aca="false">F471+F473+F475+F467+F477+F480</f>
        <v>1918.58353558</v>
      </c>
      <c r="G483" s="15" t="n">
        <f aca="false">G471+G473+G475+G467+G477+G480</f>
        <v>2005.3744716</v>
      </c>
      <c r="H483" s="23" t="n">
        <f aca="false">G483*(1+H484)</f>
        <v>2105.96002526813</v>
      </c>
      <c r="I483" s="23" t="n">
        <f aca="false">H483*(1+I484)</f>
        <v>2221.95418748221</v>
      </c>
      <c r="J483" s="23" t="n">
        <f aca="false">I483*(1+J484)</f>
        <v>2355.27143873115</v>
      </c>
      <c r="K483" s="8" t="s">
        <v>509</v>
      </c>
    </row>
    <row r="484" customFormat="false" ht="15" hidden="false" customHeight="false" outlineLevel="0" collapsed="false">
      <c r="A484" s="4" t="s">
        <v>510</v>
      </c>
      <c r="B484" s="0" t="s">
        <v>77</v>
      </c>
      <c r="D484" s="16" t="n">
        <f aca="false">D483/C483-1</f>
        <v>0.0936283519993131</v>
      </c>
      <c r="E484" s="16" t="n">
        <f aca="false">E483/D483-1</f>
        <v>0.0575935334872979</v>
      </c>
      <c r="F484" s="16" t="n">
        <f aca="false">F483/E483-1</f>
        <v>0.0474035434818689</v>
      </c>
      <c r="G484" s="16" t="n">
        <f aca="false">G483/F483-1</f>
        <v>0.0452369857295594</v>
      </c>
      <c r="H484" s="24" t="n">
        <f aca="false">$G484+(fade_gA-$G484)*1/3</f>
        <v>0.0501579904863729</v>
      </c>
      <c r="I484" s="24" t="n">
        <f aca="false">$G484+(fade_gA-$G484)*2/3</f>
        <v>0.0550789952431865</v>
      </c>
      <c r="J484" s="24" t="n">
        <f aca="false">$G484+(fade_gA-$G484)*3/3</f>
        <v>0.06</v>
      </c>
    </row>
    <row r="485" customFormat="false" ht="17.15" hidden="false" customHeight="false" outlineLevel="0" collapsed="false">
      <c r="A485" s="0" t="s">
        <v>511</v>
      </c>
      <c r="B485" s="0" t="s">
        <v>77</v>
      </c>
      <c r="C485" s="16" t="n">
        <f aca="false">C467/C483</f>
        <v>0.0646902638662541</v>
      </c>
      <c r="D485" s="16" t="n">
        <f aca="false">D467/D483</f>
        <v>0.0696304849884527</v>
      </c>
      <c r="E485" s="16" t="n">
        <f aca="false">E467/E483</f>
        <v>0.0855901890648953</v>
      </c>
      <c r="F485" s="16" t="n">
        <f aca="false">F467/F483</f>
        <v>0.09248840735327</v>
      </c>
      <c r="G485" s="16" t="n">
        <f aca="false">G467/G483</f>
        <v>0.0974241982067924</v>
      </c>
    </row>
    <row r="486" customFormat="false" ht="15" hidden="false" customHeight="false" outlineLevel="0" collapsed="false">
      <c r="A486" s="4" t="s">
        <v>390</v>
      </c>
      <c r="B486" s="0" t="s">
        <v>169</v>
      </c>
      <c r="C486" s="15" t="n">
        <f aca="false">C472+C474+C476+C469+C478+C479+C481</f>
        <v>181.163</v>
      </c>
      <c r="D486" s="15" t="n">
        <f aca="false">D472+D474+D476+D469+D478+D479+D481</f>
        <v>202</v>
      </c>
      <c r="E486" s="15" t="n">
        <f aca="false">E472+E474+E476+E469+E478+E479+E481</f>
        <v>227.22241</v>
      </c>
      <c r="F486" s="15" t="n">
        <f aca="false">F472+F474+F476+F469+F478+F479+F481</f>
        <v>237.229159945873</v>
      </c>
      <c r="G486" s="15" t="n">
        <f aca="false">G472+G474+G476+G469+G478+G479+G481</f>
        <v>243.675739119</v>
      </c>
    </row>
    <row r="487" customFormat="false" ht="15" hidden="false" customHeight="false" outlineLevel="0" collapsed="false">
      <c r="A487" s="4" t="s">
        <v>406</v>
      </c>
      <c r="B487" s="0" t="s">
        <v>77</v>
      </c>
      <c r="C487" s="16" t="n">
        <f aca="false">C486/C483</f>
        <v>0.114390873633517</v>
      </c>
      <c r="D487" s="16" t="n">
        <f aca="false">D486/D483</f>
        <v>0.11662817551963</v>
      </c>
      <c r="E487" s="16" t="n">
        <f aca="false">E486/E483</f>
        <v>0.124046492101551</v>
      </c>
      <c r="F487" s="16" t="n">
        <f aca="false">F486/F483</f>
        <v>0.123648074502087</v>
      </c>
      <c r="G487" s="16" t="n">
        <f aca="false">G486/G483</f>
        <v>0.121511339936716</v>
      </c>
    </row>
    <row r="488" customFormat="false" ht="17.15" hidden="false" customHeight="false" outlineLevel="0" collapsed="false">
      <c r="A488" s="0" t="s">
        <v>512</v>
      </c>
      <c r="B488" s="0" t="s">
        <v>77</v>
      </c>
      <c r="C488" s="16" t="n">
        <f aca="false">C469/C486</f>
        <v>0.301386044611758</v>
      </c>
      <c r="D488" s="16" t="n">
        <f aca="false">D469/D486</f>
        <v>0.324257425742574</v>
      </c>
      <c r="E488" s="16" t="n">
        <f aca="false">E469/E486</f>
        <v>0.36528571279567</v>
      </c>
      <c r="F488" s="16" t="n">
        <f aca="false">F469/F486</f>
        <v>0.366356103379968</v>
      </c>
      <c r="G488" s="16" t="n">
        <f aca="false">G469/G486</f>
        <v>0.357012710639673</v>
      </c>
    </row>
    <row r="489" customFormat="false" ht="17.15" hidden="false" customHeight="false" outlineLevel="0" collapsed="false">
      <c r="A489" s="4" t="s">
        <v>407</v>
      </c>
      <c r="B489" s="0" t="s">
        <v>52</v>
      </c>
      <c r="C489" s="21" t="n">
        <f aca="false">q25_ni/q25_bp</f>
        <v>0.743391310587703</v>
      </c>
      <c r="D489" s="21" t="n">
        <f aca="false">q26_ni/q26_bp</f>
        <v>0.611386138613861</v>
      </c>
      <c r="E489" s="21" t="n">
        <f aca="false">ni_bp</f>
        <v>0.62</v>
      </c>
      <c r="F489" s="21" t="n">
        <f aca="false">ni_bp</f>
        <v>0.62</v>
      </c>
      <c r="G489" s="21" t="n">
        <f aca="false">ni_bp</f>
        <v>0.62</v>
      </c>
    </row>
    <row r="490" customFormat="false" ht="15" hidden="false" customHeight="false" outlineLevel="0" collapsed="false">
      <c r="A490" s="4" t="s">
        <v>397</v>
      </c>
      <c r="B490" s="0" t="s">
        <v>169</v>
      </c>
      <c r="C490" s="15" t="n">
        <f aca="false">q25_ni</f>
        <v>134.675</v>
      </c>
      <c r="D490" s="15" t="n">
        <f aca="false">q26_ni</f>
        <v>123.5</v>
      </c>
      <c r="E490" s="15" t="n">
        <f aca="false">E486*E489</f>
        <v>140.8778942</v>
      </c>
      <c r="F490" s="15" t="n">
        <f aca="false">F486*F489</f>
        <v>147.082079166442</v>
      </c>
      <c r="G490" s="15" t="n">
        <f aca="false">G486*G489</f>
        <v>151.07895825378</v>
      </c>
      <c r="H490" s="23" t="n">
        <f aca="false">H483*H494</f>
        <v>167.550472105011</v>
      </c>
      <c r="I490" s="23" t="n">
        <f aca="false">I483*I494</f>
        <v>186.162536550798</v>
      </c>
      <c r="J490" s="23" t="n">
        <f aca="false">J483*J494</f>
        <v>207.278854700951</v>
      </c>
    </row>
    <row r="491" customFormat="false" ht="15" hidden="false" customHeight="false" outlineLevel="0" collapsed="false">
      <c r="A491" s="4" t="s">
        <v>513</v>
      </c>
      <c r="B491" s="4" t="s">
        <v>316</v>
      </c>
      <c r="C491" s="19" t="n">
        <f aca="false">q25_sh</f>
        <v>0.973366579936398</v>
      </c>
      <c r="D491" s="19" t="n">
        <f aca="false">q26_sh</f>
        <v>0.95117067159581</v>
      </c>
      <c r="E491" s="19" t="n">
        <f aca="false">D491*(1+sh_g)</f>
        <v>0.936903111521873</v>
      </c>
      <c r="F491" s="19" t="n">
        <f aca="false">E491*(1+sh_g)</f>
        <v>0.922849564849045</v>
      </c>
      <c r="G491" s="19" t="n">
        <f aca="false">F491*(1+sh_g)</f>
        <v>0.909006821376309</v>
      </c>
      <c r="H491" s="29" t="n">
        <f aca="false">G491*(1+sh_g)</f>
        <v>0.895371719055665</v>
      </c>
      <c r="I491" s="29" t="n">
        <f aca="false">H491*(1+sh_g)</f>
        <v>0.88194114326983</v>
      </c>
      <c r="J491" s="29" t="n">
        <f aca="false">I491*(1+sh_g)</f>
        <v>0.868712026120782</v>
      </c>
    </row>
    <row r="492" customFormat="false" ht="17.15" hidden="false" customHeight="false" outlineLevel="0" collapsed="false">
      <c r="A492" s="0" t="s">
        <v>514</v>
      </c>
      <c r="B492" s="0" t="s">
        <v>207</v>
      </c>
      <c r="C492" s="20" t="n">
        <f aca="false">C490/C491</f>
        <v>138.36</v>
      </c>
      <c r="D492" s="20" t="n">
        <f aca="false">D490/D491</f>
        <v>129.84</v>
      </c>
      <c r="E492" s="20" t="n">
        <f aca="false">E490/E491</f>
        <v>150.365488669541</v>
      </c>
      <c r="F492" s="20" t="n">
        <f aca="false">F490/F491</f>
        <v>159.378174697954</v>
      </c>
      <c r="G492" s="20" t="n">
        <f aca="false">G490/G491</f>
        <v>166.20222720115</v>
      </c>
      <c r="H492" s="27" t="n">
        <f aca="false">H490/H491</f>
        <v>187.129511172996</v>
      </c>
      <c r="I492" s="27" t="n">
        <f aca="false">I490/I491</f>
        <v>211.082721303367</v>
      </c>
      <c r="J492" s="27" t="n">
        <f aca="false">J490/J491</f>
        <v>238.604794763289</v>
      </c>
    </row>
    <row r="493" customFormat="false" ht="17.15" hidden="false" customHeight="false" outlineLevel="0" collapsed="false">
      <c r="A493" s="0" t="s">
        <v>515</v>
      </c>
      <c r="B493" s="0" t="s">
        <v>77</v>
      </c>
      <c r="D493" s="16" t="n">
        <f aca="false">D492/C492-1</f>
        <v>-0.0615784908933218</v>
      </c>
      <c r="E493" s="16" t="n">
        <f aca="false">E492/D492-1</f>
        <v>0.158082937997082</v>
      </c>
      <c r="F493" s="16" t="n">
        <f aca="false">F492/E492-1</f>
        <v>0.0599385278374589</v>
      </c>
      <c r="G493" s="16" t="n">
        <f aca="false">G492/F492-1</f>
        <v>0.0428167314384709</v>
      </c>
      <c r="H493" s="24" t="n">
        <f aca="false">H492/G492-1</f>
        <v>0.125914582038173</v>
      </c>
      <c r="I493" s="24" t="n">
        <f aca="false">I492/H492-1</f>
        <v>0.128003381082031</v>
      </c>
      <c r="J493" s="24" t="n">
        <f aca="false">J492/I492-1</f>
        <v>0.130385250341585</v>
      </c>
    </row>
    <row r="494" customFormat="false" ht="15" hidden="false" customHeight="false" outlineLevel="0" collapsed="false">
      <c r="A494" s="4" t="s">
        <v>516</v>
      </c>
      <c r="B494" s="0" t="s">
        <v>77</v>
      </c>
      <c r="C494" s="25" t="n">
        <f aca="false">C490/C483</f>
        <v>0.0850371814696925</v>
      </c>
      <c r="D494" s="25" t="n">
        <f aca="false">D490/D483</f>
        <v>0.0713048498845266</v>
      </c>
      <c r="E494" s="25" t="n">
        <f aca="false">E490/E483</f>
        <v>0.0769088251029616</v>
      </c>
      <c r="F494" s="25" t="n">
        <f aca="false">F490/F483</f>
        <v>0.076661806191294</v>
      </c>
      <c r="G494" s="25" t="n">
        <f aca="false">G490/G483</f>
        <v>0.075337030760764</v>
      </c>
      <c r="H494" s="26" t="n">
        <f aca="false">$G494+(fade_mA-$G494)*1/3</f>
        <v>0.0795601388889987</v>
      </c>
      <c r="I494" s="26" t="n">
        <f aca="false">$G494+(fade_mA-$G494)*2/3</f>
        <v>0.0837832470172333</v>
      </c>
      <c r="J494" s="26" t="n">
        <f aca="false">$G494+(fade_mA-$G494)*3/3</f>
        <v>0.088006355145468</v>
      </c>
    </row>
    <row r="495" customFormat="false" ht="17.15" hidden="false" customHeight="false" outlineLevel="0" collapsed="false">
      <c r="A495" s="0" t="s">
        <v>517</v>
      </c>
      <c r="B495" s="0" t="s">
        <v>207</v>
      </c>
      <c r="D495" s="20" t="n">
        <f aca="false">D469*D489/D491</f>
        <v>42.1015841584158</v>
      </c>
      <c r="E495" s="20" t="n">
        <f aca="false">E469*E489/E491</f>
        <v>54.9263647085226</v>
      </c>
      <c r="F495" s="20" t="n">
        <f aca="false">F469*F489/F491</f>
        <v>58.3891670461541</v>
      </c>
      <c r="G495" s="20" t="n">
        <f aca="false">G469*G489/G491</f>
        <v>59.3363076474332</v>
      </c>
      <c r="K495" s="8" t="s">
        <v>518</v>
      </c>
    </row>
    <row r="496" customFormat="false" ht="17.15" hidden="false" customHeight="false" outlineLevel="0" collapsed="false">
      <c r="A496" s="0" t="s">
        <v>519</v>
      </c>
      <c r="B496" s="0" t="s">
        <v>207</v>
      </c>
      <c r="D496" s="20" t="n">
        <f aca="false">D492-D495</f>
        <v>87.7384158415842</v>
      </c>
      <c r="E496" s="20" t="n">
        <f aca="false">E492-E495</f>
        <v>95.4391239610185</v>
      </c>
      <c r="F496" s="20" t="n">
        <f aca="false">F492-F495</f>
        <v>100.989007651799</v>
      </c>
      <c r="G496" s="20" t="n">
        <f aca="false">G492-G495</f>
        <v>106.865919553716</v>
      </c>
    </row>
    <row r="497" customFormat="false" ht="17.15" hidden="false" customHeight="false" outlineLevel="0" collapsed="false">
      <c r="A497" s="0" t="s">
        <v>520</v>
      </c>
      <c r="B497" s="0" t="s">
        <v>432</v>
      </c>
      <c r="D497" s="15" t="n">
        <f aca="false">D465/D455*1000/150</f>
        <v>23.5087719298246</v>
      </c>
      <c r="E497" s="15" t="n">
        <f aca="false">E465/E455*1000/150</f>
        <v>26.9301448110818</v>
      </c>
      <c r="F497" s="15" t="n">
        <f aca="false">F465/F455*1000/150</f>
        <v>30.1640253333333</v>
      </c>
      <c r="G497" s="15" t="n">
        <f aca="false">G465/G455*1000/150</f>
        <v>32.0764779421888</v>
      </c>
      <c r="K497" s="8" t="s">
        <v>521</v>
      </c>
    </row>
    <row r="500" customFormat="false" ht="17.15" hidden="false" customHeight="false" outlineLevel="0" collapsed="false">
      <c r="A500" s="1" t="s">
        <v>872</v>
      </c>
    </row>
    <row r="501" customFormat="false" ht="17.15" hidden="false" customHeight="false" outlineLevel="0" collapsed="false">
      <c r="A501" s="5" t="s">
        <v>19</v>
      </c>
      <c r="B501" s="5" t="s">
        <v>20</v>
      </c>
      <c r="C501" s="14" t="s">
        <v>374</v>
      </c>
      <c r="D501" s="14" t="s">
        <v>447</v>
      </c>
      <c r="E501" s="14" t="s">
        <v>412</v>
      </c>
      <c r="F501" s="14" t="s">
        <v>413</v>
      </c>
      <c r="G501" s="14" t="s">
        <v>414</v>
      </c>
      <c r="H501" s="14" t="s">
        <v>448</v>
      </c>
      <c r="I501" s="14" t="s">
        <v>449</v>
      </c>
      <c r="J501" s="14" t="s">
        <v>450</v>
      </c>
      <c r="K501" s="5" t="s">
        <v>379</v>
      </c>
    </row>
    <row r="502" customFormat="false" ht="17.15" hidden="false" customHeight="false" outlineLevel="0" collapsed="false">
      <c r="A502" s="6" t="s">
        <v>470</v>
      </c>
    </row>
    <row r="503" customFormat="false" ht="17.15" hidden="false" customHeight="false" outlineLevel="0" collapsed="false">
      <c r="A503" s="0" t="s">
        <v>471</v>
      </c>
      <c r="B503" s="4" t="s">
        <v>30</v>
      </c>
      <c r="D503" s="20" t="n">
        <f aca="false">unv_26</f>
        <v>7.6</v>
      </c>
      <c r="E503" s="20" t="n">
        <f aca="false">unv_27</f>
        <v>9.7</v>
      </c>
      <c r="F503" s="20" t="n">
        <f aca="false">unv_28*um28_A</f>
        <v>9.5</v>
      </c>
      <c r="G503" s="20" t="n">
        <f aca="false">unv_29*um29_A</f>
        <v>10.6</v>
      </c>
      <c r="K503" s="8" t="s">
        <v>472</v>
      </c>
    </row>
    <row r="504" customFormat="false" ht="17.15" hidden="false" customHeight="false" outlineLevel="0" collapsed="false">
      <c r="A504" s="4" t="s">
        <v>473</v>
      </c>
      <c r="B504" s="4" t="s">
        <v>30</v>
      </c>
      <c r="D504" s="20" t="n">
        <f aca="false">uot_26</f>
        <v>7.6</v>
      </c>
      <c r="E504" s="20" t="n">
        <f aca="false">uot_27</f>
        <v>14</v>
      </c>
      <c r="F504" s="20" t="n">
        <f aca="false">uot_28*um28_A</f>
        <v>17</v>
      </c>
      <c r="G504" s="20" t="n">
        <f aca="false">uot_29*um29_A</f>
        <v>19.55</v>
      </c>
      <c r="K504" s="8" t="s">
        <v>474</v>
      </c>
    </row>
    <row r="505" customFormat="false" ht="17.15" hidden="false" customHeight="false" outlineLevel="0" collapsed="false">
      <c r="A505" s="4" t="s">
        <v>475</v>
      </c>
      <c r="B505" s="4" t="s">
        <v>30</v>
      </c>
      <c r="D505" s="20" t="n">
        <f aca="false">D503+v_ot*D504</f>
        <v>13.68</v>
      </c>
      <c r="E505" s="20" t="n">
        <f aca="false">E503+v_ot*E504</f>
        <v>20.9</v>
      </c>
      <c r="F505" s="20" t="n">
        <f aca="false">F503+v_ot*F504</f>
        <v>23.1</v>
      </c>
      <c r="G505" s="20" t="n">
        <f aca="false">G503+v_ot*G504</f>
        <v>26.24</v>
      </c>
    </row>
    <row r="506" customFormat="false" ht="17.15" hidden="false" customHeight="false" outlineLevel="0" collapsed="false">
      <c r="A506" s="4" t="s">
        <v>476</v>
      </c>
      <c r="B506" s="0" t="s">
        <v>52</v>
      </c>
      <c r="D506" s="21" t="n">
        <f aca="false">1</f>
        <v>1</v>
      </c>
      <c r="E506" s="21" t="n">
        <f aca="false">D506*(1+g_asp)</f>
        <v>1.18</v>
      </c>
      <c r="F506" s="21" t="n">
        <f aca="false">E506*(1+g_asp)</f>
        <v>1.3924</v>
      </c>
      <c r="G506" s="21" t="n">
        <f aca="false">F506*(1+g_asp)</f>
        <v>1.643032</v>
      </c>
    </row>
    <row r="507" customFormat="false" ht="17.15" hidden="false" customHeight="false" outlineLevel="0" collapsed="false">
      <c r="A507" s="4" t="s">
        <v>477</v>
      </c>
      <c r="B507" s="0" t="s">
        <v>52</v>
      </c>
      <c r="D507" s="18" t="n">
        <f aca="false">1</f>
        <v>1</v>
      </c>
      <c r="E507" s="18" t="n">
        <f aca="false">rel_27</f>
        <v>1</v>
      </c>
      <c r="F507" s="18" t="n">
        <f aca="false">rel_28</f>
        <v>0.97</v>
      </c>
      <c r="G507" s="18" t="n">
        <f aca="false">rel_29</f>
        <v>0.95</v>
      </c>
    </row>
    <row r="508" customFormat="false" ht="17.15" hidden="false" customHeight="false" outlineLevel="0" collapsed="false">
      <c r="A508" s="0" t="s">
        <v>478</v>
      </c>
      <c r="B508" s="0" t="s">
        <v>52</v>
      </c>
      <c r="D508" s="21" t="n">
        <f aca="false">D505/$D505*D506*D507</f>
        <v>1</v>
      </c>
      <c r="E508" s="21" t="n">
        <f aca="false">E505/$D505*E506*E507</f>
        <v>1.80277777777778</v>
      </c>
      <c r="F508" s="21" t="n">
        <f aca="false">F505/$D505*F506*F507</f>
        <v>2.28066570175439</v>
      </c>
      <c r="G508" s="21" t="n">
        <f aca="false">G505/$D505*G506*G507</f>
        <v>2.99396942222222</v>
      </c>
      <c r="K508" s="4" t="s">
        <v>479</v>
      </c>
    </row>
    <row r="509" customFormat="false" ht="17.15" hidden="false" customHeight="false" outlineLevel="0" collapsed="false">
      <c r="A509" s="4" t="s">
        <v>480</v>
      </c>
      <c r="B509" s="0" t="s">
        <v>52</v>
      </c>
      <c r="D509" s="21" t="n">
        <f aca="false">1</f>
        <v>1</v>
      </c>
      <c r="E509" s="21" t="n">
        <f aca="false">D509*(1+g_nai)</f>
        <v>1.03</v>
      </c>
      <c r="F509" s="21" t="n">
        <f aca="false">E509*(1+g_nai)</f>
        <v>1.0609</v>
      </c>
      <c r="G509" s="21" t="n">
        <f aca="false">F509*(1+g_nai)</f>
        <v>1.092727</v>
      </c>
    </row>
    <row r="510" customFormat="false" ht="17.15" hidden="false" customHeight="false" outlineLevel="0" collapsed="false">
      <c r="A510" s="0" t="s">
        <v>481</v>
      </c>
      <c r="B510" s="0" t="s">
        <v>52</v>
      </c>
      <c r="D510" s="21" t="n">
        <f aca="false">ai_sh*D508+(1-ai_sh)*D509</f>
        <v>1</v>
      </c>
      <c r="E510" s="21" t="n">
        <f aca="false">ai_sh*E508+(1-ai_sh)*E509</f>
        <v>1.33911111111111</v>
      </c>
      <c r="F510" s="21" t="n">
        <f aca="false">ai_sh*F508+(1-ai_sh)*F509</f>
        <v>1.54880628070175</v>
      </c>
      <c r="G510" s="21" t="n">
        <f aca="false">ai_sh*G508+(1-ai_sh)*G509</f>
        <v>1.85322396888889</v>
      </c>
    </row>
    <row r="511" customFormat="false" ht="17.15" hidden="false" customHeight="false" outlineLevel="0" collapsed="false">
      <c r="A511" s="4" t="s">
        <v>482</v>
      </c>
      <c r="B511" s="0" t="s">
        <v>52</v>
      </c>
      <c r="D511" s="21" t="n">
        <f aca="false">1</f>
        <v>1</v>
      </c>
      <c r="E511" s="21" t="n">
        <f aca="false">cap_27</f>
        <v>1.3</v>
      </c>
      <c r="F511" s="21" t="n">
        <f aca="false">cap_28</f>
        <v>1.55</v>
      </c>
      <c r="G511" s="21" t="n">
        <f aca="false">cap_29</f>
        <v>1.8</v>
      </c>
      <c r="K511" s="4" t="s">
        <v>483</v>
      </c>
    </row>
    <row r="512" customFormat="false" ht="17.15" hidden="false" customHeight="false" outlineLevel="0" collapsed="false">
      <c r="A512" s="4" t="s">
        <v>484</v>
      </c>
      <c r="B512" s="0" t="s">
        <v>52</v>
      </c>
      <c r="D512" s="21" t="n">
        <f aca="false">MIN(D510,D511)</f>
        <v>1</v>
      </c>
      <c r="E512" s="21" t="n">
        <f aca="false">MIN(E510,E511)</f>
        <v>1.3</v>
      </c>
      <c r="F512" s="21" t="n">
        <f aca="false">MIN(F510,F511)</f>
        <v>1.54880628070175</v>
      </c>
      <c r="G512" s="21" t="n">
        <f aca="false">MIN(G510,G511)</f>
        <v>1.8</v>
      </c>
    </row>
    <row r="513" customFormat="false" ht="17.15" hidden="false" customHeight="false" outlineLevel="0" collapsed="false">
      <c r="A513" s="4" t="s">
        <v>485</v>
      </c>
      <c r="B513" s="0" t="s">
        <v>77</v>
      </c>
      <c r="D513" s="16" t="n">
        <f aca="false">D512/D510</f>
        <v>1</v>
      </c>
      <c r="E513" s="16" t="n">
        <f aca="false">E512/E510</f>
        <v>0.970793229339529</v>
      </c>
      <c r="F513" s="16" t="n">
        <f aca="false">F512/F510</f>
        <v>1</v>
      </c>
      <c r="G513" s="16" t="n">
        <f aca="false">G512/G510</f>
        <v>0.971280336439422</v>
      </c>
      <c r="K513" s="4" t="s">
        <v>486</v>
      </c>
    </row>
    <row r="514" customFormat="false" ht="17.15" hidden="false" customHeight="false" outlineLevel="0" collapsed="false">
      <c r="A514" s="0" t="s">
        <v>487</v>
      </c>
      <c r="B514" s="0" t="s">
        <v>52</v>
      </c>
      <c r="D514" s="21" t="n">
        <f aca="false">1</f>
        <v>1</v>
      </c>
      <c r="E514" s="21" t="n">
        <f aca="false">pp_27_hi</f>
        <v>1.2</v>
      </c>
      <c r="F514" s="21" t="n">
        <f aca="false">pp_28_hi*sp_A</f>
        <v>1.3</v>
      </c>
      <c r="G514" s="21" t="n">
        <f aca="false">pp_29_hi*sp_A</f>
        <v>1.3</v>
      </c>
      <c r="K514" s="8" t="s">
        <v>488</v>
      </c>
    </row>
    <row r="515" customFormat="false" ht="17.15" hidden="false" customHeight="false" outlineLevel="0" collapsed="false">
      <c r="A515" s="0" t="s">
        <v>429</v>
      </c>
      <c r="B515" s="0" t="s">
        <v>169</v>
      </c>
      <c r="D515" s="15" t="n">
        <f aca="false">q26_fm*ai_sh</f>
        <v>48.24</v>
      </c>
      <c r="E515" s="15" t="n">
        <f aca="false">q26_fm*ai_sh*E508*E513*E514</f>
        <v>101.31120477929</v>
      </c>
      <c r="F515" s="15" t="n">
        <f aca="false">q26_fm*ai_sh*F508*F513*F514</f>
        <v>143.025107488421</v>
      </c>
      <c r="G515" s="15" t="n">
        <f aca="false">q26_fm*ai_sh*G508*G513*G514</f>
        <v>182.365469260657</v>
      </c>
      <c r="K515" s="8" t="s">
        <v>489</v>
      </c>
    </row>
    <row r="516" customFormat="false" ht="17.15" hidden="false" customHeight="false" outlineLevel="0" collapsed="false">
      <c r="A516" s="0" t="s">
        <v>490</v>
      </c>
      <c r="B516" s="0" t="s">
        <v>169</v>
      </c>
      <c r="D516" s="15" t="n">
        <f aca="false">q26_fm*(1-ai_sh)</f>
        <v>72.36</v>
      </c>
      <c r="E516" s="15" t="n">
        <f aca="false">q26_fm*(1-ai_sh)*E509*E513*E514</f>
        <v>86.8247952207103</v>
      </c>
      <c r="F516" s="15" t="n">
        <f aca="false">q26_fm*(1-ai_sh)*F509*F513*F514</f>
        <v>99.7967412</v>
      </c>
      <c r="G516" s="15" t="n">
        <f aca="false">q26_fm*(1-ai_sh)*G509*G513*G514</f>
        <v>99.8385307393427</v>
      </c>
    </row>
    <row r="517" customFormat="false" ht="17.15" hidden="false" customHeight="false" outlineLevel="0" collapsed="false">
      <c r="A517" s="4" t="s">
        <v>491</v>
      </c>
      <c r="B517" s="0" t="s">
        <v>169</v>
      </c>
      <c r="C517" s="15" t="n">
        <f aca="false">q25_fm</f>
        <v>102.4512</v>
      </c>
      <c r="D517" s="15" t="n">
        <f aca="false">D515+D516</f>
        <v>120.6</v>
      </c>
      <c r="E517" s="15" t="n">
        <f aca="false">E515+E516</f>
        <v>188.136</v>
      </c>
      <c r="F517" s="15" t="n">
        <f aca="false">F515+F516</f>
        <v>242.821848688421</v>
      </c>
      <c r="G517" s="15" t="n">
        <f aca="false">G515+G516</f>
        <v>282.204</v>
      </c>
    </row>
    <row r="518" customFormat="false" ht="17.15" hidden="false" customHeight="false" outlineLevel="0" collapsed="false">
      <c r="A518" s="0" t="s">
        <v>492</v>
      </c>
      <c r="B518" s="0" t="s">
        <v>77</v>
      </c>
      <c r="C518" s="16" t="n">
        <f aca="false">q25_fmbp/q25_fm</f>
        <v>0.532936656671664</v>
      </c>
      <c r="D518" s="16" t="n">
        <f aca="false">q26_fmbp/q26_fm</f>
        <v>0.543117744610282</v>
      </c>
      <c r="E518" s="16" t="n">
        <f aca="false">1-(1-$D518)*(1+c_g)^1/E514</f>
        <v>0.607842730790492</v>
      </c>
      <c r="F518" s="16" t="n">
        <f aca="false">1-(1-$D518)*(1+c_g)^2/F514</f>
        <v>0.627148934813114</v>
      </c>
      <c r="G518" s="16" t="n">
        <f aca="false">1-(1-$D518)*(1+c_g)^3/G514</f>
        <v>0.615963402857507</v>
      </c>
      <c r="K518" s="8" t="s">
        <v>493</v>
      </c>
    </row>
    <row r="519" customFormat="false" ht="17.15" hidden="false" customHeight="false" outlineLevel="0" collapsed="false">
      <c r="A519" s="0" t="s">
        <v>455</v>
      </c>
      <c r="B519" s="0" t="s">
        <v>169</v>
      </c>
      <c r="C519" s="15" t="n">
        <f aca="false">q25_fmbp</f>
        <v>54.6</v>
      </c>
      <c r="D519" s="15" t="n">
        <f aca="false">D517*D518</f>
        <v>65.5</v>
      </c>
      <c r="E519" s="15" t="n">
        <f aca="false">E517*E518</f>
        <v>114.3571</v>
      </c>
      <c r="F519" s="15" t="n">
        <f aca="false">F517*F518</f>
        <v>152.285463754294</v>
      </c>
      <c r="G519" s="15" t="n">
        <f aca="false">G517*G518</f>
        <v>173.82733614</v>
      </c>
    </row>
    <row r="520" customFormat="false" ht="17.15" hidden="false" customHeight="false" outlineLevel="0" collapsed="false">
      <c r="A520" s="6" t="s">
        <v>494</v>
      </c>
    </row>
    <row r="521" customFormat="false" ht="15" hidden="false" customHeight="false" outlineLevel="0" collapsed="false">
      <c r="A521" s="4" t="s">
        <v>495</v>
      </c>
      <c r="B521" s="0" t="s">
        <v>169</v>
      </c>
      <c r="C521" s="15" t="n">
        <f aca="false">q25_sf</f>
        <v>936.926</v>
      </c>
      <c r="D521" s="15" t="n">
        <f aca="false">q26_sf</f>
        <v>998.6</v>
      </c>
      <c r="E521" s="15" t="n">
        <f aca="false">D521*(1+g_sf)</f>
        <v>1038.544</v>
      </c>
      <c r="F521" s="15" t="n">
        <f aca="false">E521*(1+g_sf)</f>
        <v>1080.08576</v>
      </c>
      <c r="G521" s="15" t="n">
        <f aca="false">F521*(1+g_sf)</f>
        <v>1123.2891904</v>
      </c>
    </row>
    <row r="522" customFormat="false" ht="15" hidden="false" customHeight="false" outlineLevel="0" collapsed="false">
      <c r="A522" s="4" t="s">
        <v>496</v>
      </c>
      <c r="B522" s="0" t="s">
        <v>169</v>
      </c>
      <c r="C522" s="15" t="n">
        <f aca="false">q25_sfbp</f>
        <v>143.036</v>
      </c>
      <c r="D522" s="15" t="n">
        <f aca="false">q26_sfbp</f>
        <v>145.9</v>
      </c>
      <c r="E522" s="15" t="n">
        <f aca="false">E521*m_sf</f>
        <v>151.736</v>
      </c>
      <c r="F522" s="15" t="n">
        <f aca="false">F521*m_sf</f>
        <v>157.80544</v>
      </c>
      <c r="G522" s="15" t="n">
        <f aca="false">G521*m_sf</f>
        <v>164.1176576</v>
      </c>
    </row>
    <row r="523" customFormat="false" ht="15" hidden="false" customHeight="false" outlineLevel="0" collapsed="false">
      <c r="A523" s="4" t="s">
        <v>497</v>
      </c>
      <c r="B523" s="0" t="s">
        <v>169</v>
      </c>
      <c r="C523" s="15" t="n">
        <f aca="false">q25_ff</f>
        <v>290.308</v>
      </c>
      <c r="D523" s="15" t="n">
        <f aca="false">q26_ff</f>
        <v>310.6</v>
      </c>
      <c r="E523" s="15" t="n">
        <f aca="false">D523*(1+g_ff)</f>
        <v>319.918</v>
      </c>
      <c r="F523" s="15" t="n">
        <f aca="false">E523*(1+g_ff)</f>
        <v>329.51554</v>
      </c>
      <c r="G523" s="15" t="n">
        <f aca="false">F523*(1+g_ff)</f>
        <v>339.4010062</v>
      </c>
    </row>
    <row r="524" customFormat="false" ht="15" hidden="false" customHeight="false" outlineLevel="0" collapsed="false">
      <c r="A524" s="4" t="s">
        <v>498</v>
      </c>
      <c r="B524" s="0" t="s">
        <v>169</v>
      </c>
      <c r="C524" s="15" t="n">
        <f aca="false">q25_ffbp</f>
        <v>8.457</v>
      </c>
      <c r="D524" s="15" t="n">
        <f aca="false">q26_ffbp</f>
        <v>12.1</v>
      </c>
      <c r="E524" s="15" t="n">
        <f aca="false">E523*m_ff</f>
        <v>14.39631</v>
      </c>
      <c r="F524" s="15" t="n">
        <f aca="false">F523*m_ff</f>
        <v>14.8281993</v>
      </c>
      <c r="G524" s="15" t="n">
        <f aca="false">G523*m_ff</f>
        <v>15.273045279</v>
      </c>
    </row>
    <row r="525" customFormat="false" ht="17.15" hidden="false" customHeight="false" outlineLevel="0" collapsed="false">
      <c r="A525" s="4" t="s">
        <v>499</v>
      </c>
      <c r="B525" s="0" t="s">
        <v>169</v>
      </c>
      <c r="C525" s="15" t="n">
        <f aca="false">q25_hox</f>
        <v>239.0528</v>
      </c>
      <c r="D525" s="15" t="n">
        <f aca="false">q26_hox</f>
        <v>286.2</v>
      </c>
      <c r="E525" s="15" t="n">
        <f aca="false">D525*(1+g_ho)</f>
        <v>300.51</v>
      </c>
      <c r="F525" s="15" t="n">
        <f aca="false">E525*(1+g_ho)</f>
        <v>315.5355</v>
      </c>
      <c r="G525" s="15" t="n">
        <f aca="false">F525*(1+g_ho)</f>
        <v>331.312275</v>
      </c>
    </row>
    <row r="526" customFormat="false" ht="17.15" hidden="false" customHeight="false" outlineLevel="0" collapsed="false">
      <c r="A526" s="4" t="s">
        <v>500</v>
      </c>
      <c r="B526" s="0" t="s">
        <v>169</v>
      </c>
      <c r="C526" s="15" t="n">
        <f aca="false">q25_hoxbp</f>
        <v>11.602</v>
      </c>
      <c r="D526" s="15" t="n">
        <f aca="false">q26_hoxbp</f>
        <v>19.5</v>
      </c>
      <c r="E526" s="15" t="n">
        <f aca="false">E525*m_ho</f>
        <v>20.475</v>
      </c>
      <c r="F526" s="15" t="n">
        <f aca="false">F525*m_ho</f>
        <v>21.49875</v>
      </c>
      <c r="G526" s="15" t="n">
        <f aca="false">G525*m_ho</f>
        <v>22.5736875</v>
      </c>
    </row>
    <row r="527" customFormat="false" ht="17.15" hidden="false" customHeight="false" outlineLevel="0" collapsed="false">
      <c r="A527" s="4" t="s">
        <v>501</v>
      </c>
      <c r="B527" s="0" t="s">
        <v>169</v>
      </c>
      <c r="C527" s="15" t="n">
        <f aca="false">q25_oth</f>
        <v>14.979</v>
      </c>
      <c r="D527" s="15" t="n">
        <f aca="false">q26_oth</f>
        <v>15.8</v>
      </c>
      <c r="E527" s="15" t="n">
        <f aca="false">D527</f>
        <v>15.8</v>
      </c>
      <c r="F527" s="15" t="n">
        <f aca="false">E527</f>
        <v>15.8</v>
      </c>
      <c r="G527" s="15" t="n">
        <f aca="false">F527</f>
        <v>15.8</v>
      </c>
      <c r="K527" s="8" t="s">
        <v>502</v>
      </c>
    </row>
    <row r="528" customFormat="false" ht="15" hidden="false" customHeight="false" outlineLevel="0" collapsed="false">
      <c r="A528" s="4" t="s">
        <v>503</v>
      </c>
      <c r="B528" s="0" t="s">
        <v>169</v>
      </c>
      <c r="C528" s="15" t="n">
        <f aca="false">q25_othbp</f>
        <v>6.064</v>
      </c>
      <c r="D528" s="15" t="n">
        <f aca="false">q26_othbp</f>
        <v>5.1</v>
      </c>
      <c r="E528" s="15" t="n">
        <f aca="false">q26_othbp</f>
        <v>5.1</v>
      </c>
      <c r="F528" s="15" t="n">
        <f aca="false">q26_othbp</f>
        <v>5.1</v>
      </c>
      <c r="G528" s="15" t="n">
        <f aca="false">q26_othbp</f>
        <v>5.1</v>
      </c>
    </row>
    <row r="529" customFormat="false" ht="15" hidden="false" customHeight="false" outlineLevel="0" collapsed="false">
      <c r="A529" s="4" t="s">
        <v>504</v>
      </c>
      <c r="B529" s="0" t="s">
        <v>169</v>
      </c>
      <c r="C529" s="15" t="n">
        <f aca="false">q25_cc</f>
        <v>-42.597</v>
      </c>
      <c r="D529" s="15" t="n">
        <f aca="false">q26_cc</f>
        <v>-46.2</v>
      </c>
      <c r="E529" s="15" t="n">
        <f aca="false">D529*(1+g_cc)</f>
        <v>-47.586</v>
      </c>
      <c r="F529" s="15" t="n">
        <f aca="false">E529*(1+g_cc)</f>
        <v>-49.01358</v>
      </c>
      <c r="G529" s="15" t="n">
        <f aca="false">F529*(1+g_cc)</f>
        <v>-50.4839874</v>
      </c>
    </row>
    <row r="530" customFormat="false" ht="17.15" hidden="false" customHeight="false" outlineLevel="0" collapsed="false">
      <c r="A530" s="4" t="s">
        <v>505</v>
      </c>
      <c r="B530" s="0" t="s">
        <v>169</v>
      </c>
      <c r="C530" s="28" t="n">
        <f aca="false">a_rev-(q25_sf+q25_ff+q25_hox+q25_fm+q25_oth)</f>
        <v>0.00200000000018008</v>
      </c>
      <c r="D530" s="28" t="n">
        <f aca="false">f_rev-(q26_sf+q26_ff+q26_hox+q26_fm+q26_oth)</f>
        <v>0.200000000000045</v>
      </c>
      <c r="E530" s="28" t="n">
        <f aca="false">$D530</f>
        <v>0.200000000000045</v>
      </c>
      <c r="F530" s="28" t="n">
        <f aca="false">$D530</f>
        <v>0.200000000000045</v>
      </c>
      <c r="G530" s="28" t="n">
        <f aca="false">$D530</f>
        <v>0.200000000000045</v>
      </c>
      <c r="K530" s="8" t="s">
        <v>506</v>
      </c>
    </row>
    <row r="531" customFormat="false" ht="15" hidden="false" customHeight="false" outlineLevel="0" collapsed="false">
      <c r="A531" s="4" t="s">
        <v>507</v>
      </c>
      <c r="B531" s="0" t="s">
        <v>169</v>
      </c>
      <c r="C531" s="28" t="n">
        <f aca="false">a_bp-(q25_sfbp+q25_ffbp+q25_hoxbp+q25_fmbp+q25_othbp+q25_cc)</f>
        <v>0.0010000000000332</v>
      </c>
      <c r="D531" s="28" t="n">
        <f aca="false">f_bp-(q26_sfbp+q26_ffbp+q26_hoxbp+q26_fmbp+q26_othbp+q26_cc)</f>
        <v>0.100000000000023</v>
      </c>
      <c r="E531" s="28" t="n">
        <f aca="false">$D531</f>
        <v>0.100000000000023</v>
      </c>
      <c r="F531" s="28" t="n">
        <f aca="false">$D531</f>
        <v>0.100000000000023</v>
      </c>
      <c r="G531" s="28" t="n">
        <f aca="false">$D531</f>
        <v>0.100000000000023</v>
      </c>
    </row>
    <row r="532" customFormat="false" ht="17.15" hidden="false" customHeight="false" outlineLevel="0" collapsed="false">
      <c r="A532" s="6" t="s">
        <v>508</v>
      </c>
    </row>
    <row r="533" customFormat="false" ht="17.15" hidden="false" customHeight="false" outlineLevel="0" collapsed="false">
      <c r="A533" s="4" t="s">
        <v>380</v>
      </c>
      <c r="B533" s="0" t="s">
        <v>169</v>
      </c>
      <c r="C533" s="15" t="n">
        <f aca="false">C521+C523+C525+C517+C527+C530</f>
        <v>1583.719</v>
      </c>
      <c r="D533" s="15" t="n">
        <f aca="false">D521+D523+D525+D517+D527+D530</f>
        <v>1732</v>
      </c>
      <c r="E533" s="15" t="n">
        <f aca="false">E521+E523+E525+E517+E527+E530</f>
        <v>1863.108</v>
      </c>
      <c r="F533" s="15" t="n">
        <f aca="false">F521+F523+F525+F517+F527+F530</f>
        <v>1983.95864868842</v>
      </c>
      <c r="G533" s="15" t="n">
        <f aca="false">G521+G523+G525+G517+G527+G530</f>
        <v>2092.2064716</v>
      </c>
      <c r="H533" s="23" t="n">
        <f aca="false">G533*(1+H534)</f>
        <v>2210.15326099484</v>
      </c>
      <c r="I533" s="23" t="n">
        <f aca="false">H533*(1+I534)</f>
        <v>2338.75584058304</v>
      </c>
      <c r="J533" s="23" t="n">
        <f aca="false">I533*(1+J534)</f>
        <v>2479.08119101802</v>
      </c>
      <c r="K533" s="8" t="s">
        <v>509</v>
      </c>
    </row>
    <row r="534" customFormat="false" ht="15" hidden="false" customHeight="false" outlineLevel="0" collapsed="false">
      <c r="A534" s="4" t="s">
        <v>510</v>
      </c>
      <c r="B534" s="0" t="s">
        <v>77</v>
      </c>
      <c r="D534" s="16" t="n">
        <f aca="false">D533/C533-1</f>
        <v>0.0936283519993131</v>
      </c>
      <c r="E534" s="16" t="n">
        <f aca="false">E533/D533-1</f>
        <v>0.0756974595842956</v>
      </c>
      <c r="F534" s="16" t="n">
        <f aca="false">F533/E533-1</f>
        <v>0.0648650795812273</v>
      </c>
      <c r="G534" s="16" t="n">
        <f aca="false">G533/F533-1</f>
        <v>0.054561531805686</v>
      </c>
      <c r="H534" s="24" t="n">
        <f aca="false">$G534+(fade_gA-$G534)*1/3</f>
        <v>0.056374354537124</v>
      </c>
      <c r="I534" s="24" t="n">
        <f aca="false">$G534+(fade_gA-$G534)*2/3</f>
        <v>0.058187177268562</v>
      </c>
      <c r="J534" s="24" t="n">
        <f aca="false">$G534+(fade_gA-$G534)*3/3</f>
        <v>0.06</v>
      </c>
    </row>
    <row r="535" customFormat="false" ht="17.15" hidden="false" customHeight="false" outlineLevel="0" collapsed="false">
      <c r="A535" s="0" t="s">
        <v>511</v>
      </c>
      <c r="B535" s="0" t="s">
        <v>77</v>
      </c>
      <c r="C535" s="16" t="n">
        <f aca="false">C517/C533</f>
        <v>0.0646902638662541</v>
      </c>
      <c r="D535" s="16" t="n">
        <f aca="false">D517/D533</f>
        <v>0.0696304849884527</v>
      </c>
      <c r="E535" s="16" t="n">
        <f aca="false">E517/E533</f>
        <v>0.100979653353429</v>
      </c>
      <c r="F535" s="16" t="n">
        <f aca="false">F517/F533</f>
        <v>0.122392595656643</v>
      </c>
      <c r="G535" s="16" t="n">
        <f aca="false">G517/G533</f>
        <v>0.134883437094135</v>
      </c>
    </row>
    <row r="536" customFormat="false" ht="15" hidden="false" customHeight="false" outlineLevel="0" collapsed="false">
      <c r="A536" s="4" t="s">
        <v>390</v>
      </c>
      <c r="B536" s="0" t="s">
        <v>169</v>
      </c>
      <c r="C536" s="15" t="n">
        <f aca="false">C522+C524+C526+C519+C528+C529+C531</f>
        <v>181.163</v>
      </c>
      <c r="D536" s="15" t="n">
        <f aca="false">D522+D524+D526+D519+D528+D529+D531</f>
        <v>202</v>
      </c>
      <c r="E536" s="15" t="n">
        <f aca="false">E522+E524+E526+E519+E528+E529+E531</f>
        <v>258.57841</v>
      </c>
      <c r="F536" s="15" t="n">
        <f aca="false">F522+F524+F526+F519+F528+F529+F531</f>
        <v>302.604273054295</v>
      </c>
      <c r="G536" s="15" t="n">
        <f aca="false">G522+G524+G526+G519+G528+G529+G531</f>
        <v>330.507739119</v>
      </c>
    </row>
    <row r="537" customFormat="false" ht="15" hidden="false" customHeight="false" outlineLevel="0" collapsed="false">
      <c r="A537" s="4" t="s">
        <v>406</v>
      </c>
      <c r="B537" s="0" t="s">
        <v>77</v>
      </c>
      <c r="C537" s="16" t="n">
        <f aca="false">C536/C533</f>
        <v>0.114390873633517</v>
      </c>
      <c r="D537" s="16" t="n">
        <f aca="false">D536/D533</f>
        <v>0.11662817551963</v>
      </c>
      <c r="E537" s="16" t="n">
        <f aca="false">E536/E533</f>
        <v>0.138788739031768</v>
      </c>
      <c r="F537" s="16" t="n">
        <f aca="false">F536/F533</f>
        <v>0.152525494044114</v>
      </c>
      <c r="G537" s="16" t="n">
        <f aca="false">G536/G533</f>
        <v>0.157970899911349</v>
      </c>
    </row>
    <row r="538" customFormat="false" ht="17.15" hidden="false" customHeight="false" outlineLevel="0" collapsed="false">
      <c r="A538" s="0" t="s">
        <v>512</v>
      </c>
      <c r="B538" s="0" t="s">
        <v>77</v>
      </c>
      <c r="C538" s="16" t="n">
        <f aca="false">C519/C536</f>
        <v>0.301386044611758</v>
      </c>
      <c r="D538" s="16" t="n">
        <f aca="false">D519/D536</f>
        <v>0.324257425742574</v>
      </c>
      <c r="E538" s="16" t="n">
        <f aca="false">E519/E536</f>
        <v>0.442253086790966</v>
      </c>
      <c r="F538" s="16" t="n">
        <f aca="false">F519/F536</f>
        <v>0.503249548386155</v>
      </c>
      <c r="G538" s="16" t="n">
        <f aca="false">G519/G536</f>
        <v>0.525940289941026</v>
      </c>
    </row>
    <row r="539" customFormat="false" ht="17.15" hidden="false" customHeight="false" outlineLevel="0" collapsed="false">
      <c r="A539" s="4" t="s">
        <v>407</v>
      </c>
      <c r="B539" s="0" t="s">
        <v>52</v>
      </c>
      <c r="C539" s="21" t="n">
        <f aca="false">q25_ni/q25_bp</f>
        <v>0.743391310587703</v>
      </c>
      <c r="D539" s="21" t="n">
        <f aca="false">q26_ni/q26_bp</f>
        <v>0.611386138613861</v>
      </c>
      <c r="E539" s="21" t="n">
        <f aca="false">ni_bp</f>
        <v>0.62</v>
      </c>
      <c r="F539" s="21" t="n">
        <f aca="false">ni_bp</f>
        <v>0.62</v>
      </c>
      <c r="G539" s="21" t="n">
        <f aca="false">ni_bp</f>
        <v>0.62</v>
      </c>
    </row>
    <row r="540" customFormat="false" ht="15" hidden="false" customHeight="false" outlineLevel="0" collapsed="false">
      <c r="A540" s="4" t="s">
        <v>397</v>
      </c>
      <c r="B540" s="0" t="s">
        <v>169</v>
      </c>
      <c r="C540" s="15" t="n">
        <f aca="false">q25_ni</f>
        <v>134.675</v>
      </c>
      <c r="D540" s="15" t="n">
        <f aca="false">q26_ni</f>
        <v>123.5</v>
      </c>
      <c r="E540" s="15" t="n">
        <f aca="false">E536*E539</f>
        <v>160.3186142</v>
      </c>
      <c r="F540" s="15" t="n">
        <f aca="false">F536*F539</f>
        <v>187.614649293663</v>
      </c>
      <c r="G540" s="15" t="n">
        <f aca="false">G536*G539</f>
        <v>204.91479825378</v>
      </c>
      <c r="H540" s="23" t="n">
        <f aca="false">H533*H544</f>
        <v>209.147002764637</v>
      </c>
      <c r="I540" s="23" t="n">
        <f aca="false">I533*I544</f>
        <v>213.57102679729</v>
      </c>
      <c r="J540" s="23" t="n">
        <f aca="false">J533*J544</f>
        <v>218.174899731182</v>
      </c>
    </row>
    <row r="541" customFormat="false" ht="15" hidden="false" customHeight="false" outlineLevel="0" collapsed="false">
      <c r="A541" s="4" t="s">
        <v>513</v>
      </c>
      <c r="B541" s="4" t="s">
        <v>316</v>
      </c>
      <c r="C541" s="19" t="n">
        <f aca="false">q25_sh</f>
        <v>0.973366579936398</v>
      </c>
      <c r="D541" s="19" t="n">
        <f aca="false">q26_sh</f>
        <v>0.95117067159581</v>
      </c>
      <c r="E541" s="19" t="n">
        <f aca="false">D541*(1+sh_g)</f>
        <v>0.936903111521873</v>
      </c>
      <c r="F541" s="19" t="n">
        <f aca="false">E541*(1+sh_g)</f>
        <v>0.922849564849045</v>
      </c>
      <c r="G541" s="19" t="n">
        <f aca="false">F541*(1+sh_g)</f>
        <v>0.909006821376309</v>
      </c>
      <c r="H541" s="29" t="n">
        <f aca="false">G541*(1+sh_g)</f>
        <v>0.895371719055665</v>
      </c>
      <c r="I541" s="29" t="n">
        <f aca="false">H541*(1+sh_g)</f>
        <v>0.88194114326983</v>
      </c>
      <c r="J541" s="29" t="n">
        <f aca="false">I541*(1+sh_g)</f>
        <v>0.868712026120782</v>
      </c>
    </row>
    <row r="542" customFormat="false" ht="17.15" hidden="false" customHeight="false" outlineLevel="0" collapsed="false">
      <c r="A542" s="0" t="s">
        <v>514</v>
      </c>
      <c r="B542" s="0" t="s">
        <v>207</v>
      </c>
      <c r="C542" s="20" t="n">
        <f aca="false">C540/C541</f>
        <v>138.36</v>
      </c>
      <c r="D542" s="20" t="n">
        <f aca="false">D540/D541</f>
        <v>129.84</v>
      </c>
      <c r="E542" s="20" t="n">
        <f aca="false">E540/E541</f>
        <v>171.115467787895</v>
      </c>
      <c r="F542" s="20" t="n">
        <f aca="false">F540/F541</f>
        <v>203.299276978422</v>
      </c>
      <c r="G542" s="20" t="n">
        <f aca="false">G540/G541</f>
        <v>225.427129296481</v>
      </c>
      <c r="H542" s="27" t="n">
        <f aca="false">H540/H541</f>
        <v>233.586786709347</v>
      </c>
      <c r="I542" s="27" t="n">
        <f aca="false">I540/I541</f>
        <v>242.160180899904</v>
      </c>
      <c r="J542" s="27" t="n">
        <f aca="false">J540/J541</f>
        <v>251.14755312579</v>
      </c>
    </row>
    <row r="543" customFormat="false" ht="17.15" hidden="false" customHeight="false" outlineLevel="0" collapsed="false">
      <c r="A543" s="0" t="s">
        <v>515</v>
      </c>
      <c r="B543" s="0" t="s">
        <v>77</v>
      </c>
      <c r="D543" s="16" t="n">
        <f aca="false">D542/C542-1</f>
        <v>-0.0615784908933218</v>
      </c>
      <c r="E543" s="16" t="n">
        <f aca="false">E542/D542-1</f>
        <v>0.317894853572823</v>
      </c>
      <c r="F543" s="16" t="n">
        <f aca="false">F542/E542-1</f>
        <v>0.188082407783382</v>
      </c>
      <c r="G543" s="16" t="n">
        <f aca="false">G542/F542-1</f>
        <v>0.108843733469877</v>
      </c>
      <c r="H543" s="24" t="n">
        <f aca="false">H542/G542-1</f>
        <v>0.0361964304754765</v>
      </c>
      <c r="I543" s="24" t="n">
        <f aca="false">I542/H542-1</f>
        <v>0.0367032498341819</v>
      </c>
      <c r="J543" s="24" t="n">
        <f aca="false">J542/I542-1</f>
        <v>0.0371133362738996</v>
      </c>
    </row>
    <row r="544" customFormat="false" ht="15" hidden="false" customHeight="false" outlineLevel="0" collapsed="false">
      <c r="A544" s="4" t="s">
        <v>516</v>
      </c>
      <c r="B544" s="0" t="s">
        <v>77</v>
      </c>
      <c r="C544" s="25" t="n">
        <f aca="false">C540/C533</f>
        <v>0.0850371814696925</v>
      </c>
      <c r="D544" s="25" t="n">
        <f aca="false">D540/D533</f>
        <v>0.0713048498845266</v>
      </c>
      <c r="E544" s="25" t="n">
        <f aca="false">E540/E533</f>
        <v>0.0860490181996964</v>
      </c>
      <c r="F544" s="25" t="n">
        <f aca="false">F540/F533</f>
        <v>0.0945658063073508</v>
      </c>
      <c r="G544" s="25" t="n">
        <f aca="false">G540/G533</f>
        <v>0.0979419579450363</v>
      </c>
      <c r="H544" s="26" t="n">
        <f aca="false">$G544+(fade_mA-$G544)*1/3</f>
        <v>0.0946300903451802</v>
      </c>
      <c r="I544" s="26" t="n">
        <f aca="false">$G544+(fade_mA-$G544)*2/3</f>
        <v>0.0913182227453241</v>
      </c>
      <c r="J544" s="26" t="n">
        <f aca="false">$G544+(fade_mA-$G544)*3/3</f>
        <v>0.088006355145468</v>
      </c>
    </row>
    <row r="545" customFormat="false" ht="17.15" hidden="false" customHeight="false" outlineLevel="0" collapsed="false">
      <c r="A545" s="0" t="s">
        <v>517</v>
      </c>
      <c r="B545" s="0" t="s">
        <v>207</v>
      </c>
      <c r="D545" s="20" t="n">
        <f aca="false">D519*D539/D541</f>
        <v>42.1015841584158</v>
      </c>
      <c r="E545" s="20" t="n">
        <f aca="false">E519*E539/E541</f>
        <v>75.6763438268769</v>
      </c>
      <c r="F545" s="20" t="n">
        <f aca="false">F519*F539/F541</f>
        <v>102.310269326623</v>
      </c>
      <c r="G545" s="20" t="n">
        <f aca="false">G519*G539/G541</f>
        <v>118.561209742764</v>
      </c>
      <c r="K545" s="8" t="s">
        <v>518</v>
      </c>
    </row>
    <row r="546" customFormat="false" ht="17.15" hidden="false" customHeight="false" outlineLevel="0" collapsed="false">
      <c r="A546" s="0" t="s">
        <v>519</v>
      </c>
      <c r="B546" s="0" t="s">
        <v>207</v>
      </c>
      <c r="D546" s="20" t="n">
        <f aca="false">D542-D545</f>
        <v>87.7384158415842</v>
      </c>
      <c r="E546" s="20" t="n">
        <f aca="false">E542-E545</f>
        <v>95.4391239610186</v>
      </c>
      <c r="F546" s="20" t="n">
        <f aca="false">F542-F545</f>
        <v>100.9890076518</v>
      </c>
      <c r="G546" s="20" t="n">
        <f aca="false">G542-G545</f>
        <v>106.865919553716</v>
      </c>
    </row>
    <row r="547" customFormat="false" ht="17.15" hidden="false" customHeight="false" outlineLevel="0" collapsed="false">
      <c r="A547" s="0" t="s">
        <v>520</v>
      </c>
      <c r="B547" s="0" t="s">
        <v>432</v>
      </c>
      <c r="D547" s="15" t="n">
        <f aca="false">D515/D505*1000/150</f>
        <v>23.5087719298246</v>
      </c>
      <c r="E547" s="15" t="n">
        <f aca="false">E515/E505*1000/150</f>
        <v>32.3161737732982</v>
      </c>
      <c r="F547" s="15" t="n">
        <f aca="false">F515/F505*1000/150</f>
        <v>41.2770872982456</v>
      </c>
      <c r="G547" s="15" t="n">
        <f aca="false">G515/G505*1000/150</f>
        <v>46.3326903609393</v>
      </c>
      <c r="K547" s="8" t="s">
        <v>521</v>
      </c>
    </row>
    <row r="550" customFormat="false" ht="17.15" hidden="false" customHeight="false" outlineLevel="0" collapsed="false">
      <c r="A550" s="1" t="s">
        <v>873</v>
      </c>
    </row>
    <row r="551" customFormat="false" ht="17.15" hidden="false" customHeight="false" outlineLevel="0" collapsed="false">
      <c r="A551" s="5" t="s">
        <v>19</v>
      </c>
      <c r="B551" s="5" t="s">
        <v>20</v>
      </c>
      <c r="C551" s="14" t="s">
        <v>374</v>
      </c>
      <c r="D551" s="14" t="s">
        <v>447</v>
      </c>
      <c r="E551" s="14" t="s">
        <v>412</v>
      </c>
      <c r="F551" s="14" t="s">
        <v>413</v>
      </c>
      <c r="G551" s="14" t="s">
        <v>414</v>
      </c>
      <c r="H551" s="14" t="s">
        <v>448</v>
      </c>
      <c r="I551" s="14" t="s">
        <v>449</v>
      </c>
      <c r="J551" s="14" t="s">
        <v>450</v>
      </c>
      <c r="K551" s="5" t="s">
        <v>379</v>
      </c>
    </row>
    <row r="552" customFormat="false" ht="17.15" hidden="false" customHeight="false" outlineLevel="0" collapsed="false">
      <c r="A552" s="6" t="s">
        <v>470</v>
      </c>
    </row>
    <row r="553" customFormat="false" ht="17.15" hidden="false" customHeight="false" outlineLevel="0" collapsed="false">
      <c r="A553" s="0" t="s">
        <v>471</v>
      </c>
      <c r="B553" s="4" t="s">
        <v>30</v>
      </c>
      <c r="D553" s="20" t="n">
        <f aca="false">unv_26</f>
        <v>7.6</v>
      </c>
      <c r="E553" s="20" t="n">
        <f aca="false">unv_27</f>
        <v>9.7</v>
      </c>
      <c r="F553" s="20" t="n">
        <f aca="false">unv_28*um28_A</f>
        <v>9.5</v>
      </c>
      <c r="G553" s="20" t="n">
        <f aca="false">unv_29*um29_A</f>
        <v>10.6</v>
      </c>
      <c r="K553" s="8" t="s">
        <v>472</v>
      </c>
    </row>
    <row r="554" customFormat="false" ht="17.15" hidden="false" customHeight="false" outlineLevel="0" collapsed="false">
      <c r="A554" s="4" t="s">
        <v>473</v>
      </c>
      <c r="B554" s="4" t="s">
        <v>30</v>
      </c>
      <c r="D554" s="20" t="n">
        <f aca="false">uot_26</f>
        <v>7.6</v>
      </c>
      <c r="E554" s="20" t="n">
        <f aca="false">uot_27</f>
        <v>14</v>
      </c>
      <c r="F554" s="20" t="n">
        <f aca="false">uot_28*um28_A</f>
        <v>17</v>
      </c>
      <c r="G554" s="20" t="n">
        <f aca="false">uot_29*um29_A</f>
        <v>19.55</v>
      </c>
      <c r="K554" s="8" t="s">
        <v>474</v>
      </c>
    </row>
    <row r="555" customFormat="false" ht="17.15" hidden="false" customHeight="false" outlineLevel="0" collapsed="false">
      <c r="A555" s="4" t="s">
        <v>475</v>
      </c>
      <c r="B555" s="4" t="s">
        <v>30</v>
      </c>
      <c r="D555" s="20" t="n">
        <f aca="false">D553+v_ot*D554</f>
        <v>13.68</v>
      </c>
      <c r="E555" s="20" t="n">
        <f aca="false">E553+v_ot*E554</f>
        <v>20.9</v>
      </c>
      <c r="F555" s="20" t="n">
        <f aca="false">F553+v_ot*F554</f>
        <v>23.1</v>
      </c>
      <c r="G555" s="20" t="n">
        <f aca="false">G553+v_ot*G554</f>
        <v>26.24</v>
      </c>
    </row>
    <row r="556" customFormat="false" ht="17.15" hidden="false" customHeight="false" outlineLevel="0" collapsed="false">
      <c r="A556" s="4" t="s">
        <v>476</v>
      </c>
      <c r="B556" s="0" t="s">
        <v>52</v>
      </c>
      <c r="D556" s="21" t="n">
        <f aca="false">1</f>
        <v>1</v>
      </c>
      <c r="E556" s="21" t="n">
        <f aca="false">D556*(1+g_asp)</f>
        <v>1.18</v>
      </c>
      <c r="F556" s="21" t="n">
        <f aca="false">E556*(1+g_asp)</f>
        <v>1.3924</v>
      </c>
      <c r="G556" s="21" t="n">
        <f aca="false">F556*(1+g_asp)</f>
        <v>1.643032</v>
      </c>
    </row>
    <row r="557" customFormat="false" ht="17.15" hidden="false" customHeight="false" outlineLevel="0" collapsed="false">
      <c r="A557" s="4" t="s">
        <v>477</v>
      </c>
      <c r="B557" s="0" t="s">
        <v>52</v>
      </c>
      <c r="D557" s="18" t="n">
        <f aca="false">1</f>
        <v>1</v>
      </c>
      <c r="E557" s="18" t="n">
        <f aca="false">rel_27_lo</f>
        <v>0.95</v>
      </c>
      <c r="F557" s="18" t="n">
        <f aca="false">rel_28_lo</f>
        <v>0.88</v>
      </c>
      <c r="G557" s="18" t="n">
        <f aca="false">rel_29_lo</f>
        <v>0.8</v>
      </c>
    </row>
    <row r="558" customFormat="false" ht="17.15" hidden="false" customHeight="false" outlineLevel="0" collapsed="false">
      <c r="A558" s="0" t="s">
        <v>478</v>
      </c>
      <c r="B558" s="0" t="s">
        <v>52</v>
      </c>
      <c r="D558" s="21" t="n">
        <f aca="false">D555/$D555*D556*D557</f>
        <v>1</v>
      </c>
      <c r="E558" s="21" t="n">
        <f aca="false">E555/$D555*E556*E557</f>
        <v>1.71263888888889</v>
      </c>
      <c r="F558" s="21" t="n">
        <f aca="false">F555/$D555*F556*F557</f>
        <v>2.06905754385965</v>
      </c>
      <c r="G558" s="21" t="n">
        <f aca="false">G555/$D555*G556*G557</f>
        <v>2.52123740818713</v>
      </c>
      <c r="K558" s="4" t="s">
        <v>479</v>
      </c>
    </row>
    <row r="559" customFormat="false" ht="17.15" hidden="false" customHeight="false" outlineLevel="0" collapsed="false">
      <c r="A559" s="4" t="s">
        <v>480</v>
      </c>
      <c r="B559" s="0" t="s">
        <v>52</v>
      </c>
      <c r="D559" s="21" t="n">
        <f aca="false">1</f>
        <v>1</v>
      </c>
      <c r="E559" s="21" t="n">
        <f aca="false">D559*(1+g_nai)</f>
        <v>1.03</v>
      </c>
      <c r="F559" s="21" t="n">
        <f aca="false">E559*(1+g_nai)</f>
        <v>1.0609</v>
      </c>
      <c r="G559" s="21" t="n">
        <f aca="false">F559*(1+g_nai)</f>
        <v>1.092727</v>
      </c>
    </row>
    <row r="560" customFormat="false" ht="17.15" hidden="false" customHeight="false" outlineLevel="0" collapsed="false">
      <c r="A560" s="0" t="s">
        <v>481</v>
      </c>
      <c r="B560" s="0" t="s">
        <v>52</v>
      </c>
      <c r="D560" s="21" t="n">
        <f aca="false">ai_sh*D558+(1-ai_sh)*D559</f>
        <v>1</v>
      </c>
      <c r="E560" s="21" t="n">
        <f aca="false">ai_sh*E558+(1-ai_sh)*E559</f>
        <v>1.30305555555556</v>
      </c>
      <c r="F560" s="21" t="n">
        <f aca="false">ai_sh*F558+(1-ai_sh)*F559</f>
        <v>1.46416301754386</v>
      </c>
      <c r="G560" s="21" t="n">
        <f aca="false">ai_sh*G558+(1-ai_sh)*G559</f>
        <v>1.66413116327485</v>
      </c>
    </row>
    <row r="561" customFormat="false" ht="17.15" hidden="false" customHeight="false" outlineLevel="0" collapsed="false">
      <c r="A561" s="4" t="s">
        <v>482</v>
      </c>
      <c r="B561" s="0" t="s">
        <v>52</v>
      </c>
      <c r="D561" s="21" t="n">
        <f aca="false">1</f>
        <v>1</v>
      </c>
      <c r="E561" s="21" t="n">
        <f aca="false">cap_27</f>
        <v>1.3</v>
      </c>
      <c r="F561" s="21" t="n">
        <f aca="false">cap_28</f>
        <v>1.55</v>
      </c>
      <c r="G561" s="21" t="n">
        <f aca="false">cap_29</f>
        <v>1.8</v>
      </c>
      <c r="K561" s="4" t="s">
        <v>483</v>
      </c>
    </row>
    <row r="562" customFormat="false" ht="17.15" hidden="false" customHeight="false" outlineLevel="0" collapsed="false">
      <c r="A562" s="4" t="s">
        <v>484</v>
      </c>
      <c r="B562" s="0" t="s">
        <v>52</v>
      </c>
      <c r="D562" s="21" t="n">
        <f aca="false">MIN(D560,D561)</f>
        <v>1</v>
      </c>
      <c r="E562" s="21" t="n">
        <f aca="false">MIN(E560,E561)</f>
        <v>1.3</v>
      </c>
      <c r="F562" s="21" t="n">
        <f aca="false">MIN(F560,F561)</f>
        <v>1.46416301754386</v>
      </c>
      <c r="G562" s="21" t="n">
        <f aca="false">MIN(G560,G561)</f>
        <v>1.66413116327485</v>
      </c>
    </row>
    <row r="563" customFormat="false" ht="17.15" hidden="false" customHeight="false" outlineLevel="0" collapsed="false">
      <c r="A563" s="4" t="s">
        <v>485</v>
      </c>
      <c r="B563" s="0" t="s">
        <v>77</v>
      </c>
      <c r="D563" s="16" t="n">
        <f aca="false">D562/D560</f>
        <v>1</v>
      </c>
      <c r="E563" s="16" t="n">
        <f aca="false">E562/E560</f>
        <v>0.997655084203795</v>
      </c>
      <c r="F563" s="16" t="n">
        <f aca="false">F562/F560</f>
        <v>1</v>
      </c>
      <c r="G563" s="16" t="n">
        <f aca="false">G562/G560</f>
        <v>1</v>
      </c>
      <c r="K563" s="4" t="s">
        <v>486</v>
      </c>
    </row>
    <row r="564" customFormat="false" ht="17.15" hidden="false" customHeight="false" outlineLevel="0" collapsed="false">
      <c r="A564" s="0" t="s">
        <v>487</v>
      </c>
      <c r="B564" s="0" t="s">
        <v>52</v>
      </c>
      <c r="D564" s="21" t="n">
        <f aca="false">1</f>
        <v>1</v>
      </c>
      <c r="E564" s="21" t="n">
        <f aca="false">pp_27</f>
        <v>1.12</v>
      </c>
      <c r="F564" s="21" t="n">
        <f aca="false">pp_28*sp_A</f>
        <v>1.15</v>
      </c>
      <c r="G564" s="21" t="n">
        <f aca="false">pp_29*sp_A</f>
        <v>1.12</v>
      </c>
      <c r="K564" s="8" t="s">
        <v>488</v>
      </c>
    </row>
    <row r="565" customFormat="false" ht="17.15" hidden="false" customHeight="false" outlineLevel="0" collapsed="false">
      <c r="A565" s="0" t="s">
        <v>429</v>
      </c>
      <c r="B565" s="0" t="s">
        <v>169</v>
      </c>
      <c r="D565" s="15" t="n">
        <f aca="false">q26_fm*ai_sh</f>
        <v>48.24</v>
      </c>
      <c r="E565" s="15" t="n">
        <f aca="false">q26_fm*ai_sh*E558*E563*E564</f>
        <v>92.3148446642507</v>
      </c>
      <c r="F565" s="15" t="n">
        <f aca="false">q26_fm*ai_sh*F558*F563*F564</f>
        <v>114.783036303158</v>
      </c>
      <c r="G565" s="15" t="n">
        <f aca="false">q26_fm*ai_sh*G558*G563*G564</f>
        <v>136.219431679461</v>
      </c>
      <c r="K565" s="8" t="s">
        <v>489</v>
      </c>
    </row>
    <row r="566" customFormat="false" ht="17.15" hidden="false" customHeight="false" outlineLevel="0" collapsed="false">
      <c r="A566" s="0" t="s">
        <v>490</v>
      </c>
      <c r="B566" s="0" t="s">
        <v>169</v>
      </c>
      <c r="D566" s="15" t="n">
        <f aca="false">q26_fm*(1-ai_sh)</f>
        <v>72.36</v>
      </c>
      <c r="E566" s="15" t="n">
        <f aca="false">q26_fm*(1-ai_sh)*E559*E563*E564</f>
        <v>83.2787553357493</v>
      </c>
      <c r="F566" s="15" t="n">
        <f aca="false">q26_fm*(1-ai_sh)*F559*F563*F564</f>
        <v>88.2817326</v>
      </c>
      <c r="G566" s="15" t="n">
        <f aca="false">q26_fm*(1-ai_sh)*G559*G563*G564</f>
        <v>88.5580928064</v>
      </c>
    </row>
    <row r="567" customFormat="false" ht="17.15" hidden="false" customHeight="false" outlineLevel="0" collapsed="false">
      <c r="A567" s="4" t="s">
        <v>491</v>
      </c>
      <c r="B567" s="0" t="s">
        <v>169</v>
      </c>
      <c r="C567" s="15" t="n">
        <f aca="false">q25_fm</f>
        <v>102.4512</v>
      </c>
      <c r="D567" s="15" t="n">
        <f aca="false">D565+D566</f>
        <v>120.6</v>
      </c>
      <c r="E567" s="15" t="n">
        <f aca="false">E565+E566</f>
        <v>175.5936</v>
      </c>
      <c r="F567" s="15" t="n">
        <f aca="false">F565+F566</f>
        <v>203.064768903158</v>
      </c>
      <c r="G567" s="15" t="n">
        <f aca="false">G565+G566</f>
        <v>224.777524485861</v>
      </c>
    </row>
    <row r="568" customFormat="false" ht="17.15" hidden="false" customHeight="false" outlineLevel="0" collapsed="false">
      <c r="A568" s="0" t="s">
        <v>492</v>
      </c>
      <c r="B568" s="0" t="s">
        <v>77</v>
      </c>
      <c r="C568" s="16" t="n">
        <f aca="false">q25_fmbp/q25_fm</f>
        <v>0.532936656671664</v>
      </c>
      <c r="D568" s="16" t="n">
        <f aca="false">q26_fmbp/q26_fm</f>
        <v>0.543117744610282</v>
      </c>
      <c r="E568" s="16" t="n">
        <f aca="false">1-(1-$D568)*(1+c_g)^1/E564</f>
        <v>0.579831497275527</v>
      </c>
      <c r="F568" s="16" t="n">
        <f aca="false">1-(1-$D568)*(1+c_g)^2/F564</f>
        <v>0.578516187180042</v>
      </c>
      <c r="G568" s="16" t="n">
        <f aca="false">1-(1-$D568)*(1+c_g)^3/G564</f>
        <v>0.554243235459607</v>
      </c>
      <c r="K568" s="8" t="s">
        <v>493</v>
      </c>
    </row>
    <row r="569" customFormat="false" ht="17.15" hidden="false" customHeight="false" outlineLevel="0" collapsed="false">
      <c r="A569" s="0" t="s">
        <v>455</v>
      </c>
      <c r="B569" s="0" t="s">
        <v>169</v>
      </c>
      <c r="C569" s="15" t="n">
        <f aca="false">q25_fmbp</f>
        <v>54.6</v>
      </c>
      <c r="D569" s="15" t="n">
        <f aca="false">D567*D568</f>
        <v>65.5</v>
      </c>
      <c r="E569" s="15" t="n">
        <f aca="false">E567*E568</f>
        <v>101.8147</v>
      </c>
      <c r="F569" s="15" t="n">
        <f aca="false">F567*F568</f>
        <v>117.476255856451</v>
      </c>
      <c r="G569" s="15" t="n">
        <f aca="false">G567*G568</f>
        <v>124.581422429645</v>
      </c>
    </row>
    <row r="570" customFormat="false" ht="17.15" hidden="false" customHeight="false" outlineLevel="0" collapsed="false">
      <c r="A570" s="6" t="s">
        <v>494</v>
      </c>
    </row>
    <row r="571" customFormat="false" ht="15" hidden="false" customHeight="false" outlineLevel="0" collapsed="false">
      <c r="A571" s="4" t="s">
        <v>495</v>
      </c>
      <c r="B571" s="0" t="s">
        <v>169</v>
      </c>
      <c r="C571" s="15" t="n">
        <f aca="false">q25_sf</f>
        <v>936.926</v>
      </c>
      <c r="D571" s="15" t="n">
        <f aca="false">q26_sf</f>
        <v>998.6</v>
      </c>
      <c r="E571" s="15" t="n">
        <f aca="false">D571*(1+g_sf)</f>
        <v>1038.544</v>
      </c>
      <c r="F571" s="15" t="n">
        <f aca="false">E571*(1+g_sf)</f>
        <v>1080.08576</v>
      </c>
      <c r="G571" s="15" t="n">
        <f aca="false">F571*(1+g_sf)</f>
        <v>1123.2891904</v>
      </c>
    </row>
    <row r="572" customFormat="false" ht="15" hidden="false" customHeight="false" outlineLevel="0" collapsed="false">
      <c r="A572" s="4" t="s">
        <v>496</v>
      </c>
      <c r="B572" s="0" t="s">
        <v>169</v>
      </c>
      <c r="C572" s="15" t="n">
        <f aca="false">q25_sfbp</f>
        <v>143.036</v>
      </c>
      <c r="D572" s="15" t="n">
        <f aca="false">q26_sfbp</f>
        <v>145.9</v>
      </c>
      <c r="E572" s="15" t="n">
        <f aca="false">E571*m_sf</f>
        <v>151.736</v>
      </c>
      <c r="F572" s="15" t="n">
        <f aca="false">F571*m_sf</f>
        <v>157.80544</v>
      </c>
      <c r="G572" s="15" t="n">
        <f aca="false">G571*m_sf</f>
        <v>164.1176576</v>
      </c>
    </row>
    <row r="573" customFormat="false" ht="15" hidden="false" customHeight="false" outlineLevel="0" collapsed="false">
      <c r="A573" s="4" t="s">
        <v>497</v>
      </c>
      <c r="B573" s="0" t="s">
        <v>169</v>
      </c>
      <c r="C573" s="15" t="n">
        <f aca="false">q25_ff</f>
        <v>290.308</v>
      </c>
      <c r="D573" s="15" t="n">
        <f aca="false">q26_ff</f>
        <v>310.6</v>
      </c>
      <c r="E573" s="15" t="n">
        <f aca="false">D573*(1+g_ff)</f>
        <v>319.918</v>
      </c>
      <c r="F573" s="15" t="n">
        <f aca="false">E573*(1+g_ff)</f>
        <v>329.51554</v>
      </c>
      <c r="G573" s="15" t="n">
        <f aca="false">F573*(1+g_ff)</f>
        <v>339.4010062</v>
      </c>
    </row>
    <row r="574" customFormat="false" ht="15" hidden="false" customHeight="false" outlineLevel="0" collapsed="false">
      <c r="A574" s="4" t="s">
        <v>498</v>
      </c>
      <c r="B574" s="0" t="s">
        <v>169</v>
      </c>
      <c r="C574" s="15" t="n">
        <f aca="false">q25_ffbp</f>
        <v>8.457</v>
      </c>
      <c r="D574" s="15" t="n">
        <f aca="false">q26_ffbp</f>
        <v>12.1</v>
      </c>
      <c r="E574" s="15" t="n">
        <f aca="false">E573*m_ff</f>
        <v>14.39631</v>
      </c>
      <c r="F574" s="15" t="n">
        <f aca="false">F573*m_ff</f>
        <v>14.8281993</v>
      </c>
      <c r="G574" s="15" t="n">
        <f aca="false">G573*m_ff</f>
        <v>15.273045279</v>
      </c>
    </row>
    <row r="575" customFormat="false" ht="17.15" hidden="false" customHeight="false" outlineLevel="0" collapsed="false">
      <c r="A575" s="4" t="s">
        <v>499</v>
      </c>
      <c r="B575" s="0" t="s">
        <v>169</v>
      </c>
      <c r="C575" s="15" t="n">
        <f aca="false">q25_hox</f>
        <v>239.0528</v>
      </c>
      <c r="D575" s="15" t="n">
        <f aca="false">q26_hox</f>
        <v>286.2</v>
      </c>
      <c r="E575" s="15" t="n">
        <f aca="false">D575*(1+g_ho)</f>
        <v>300.51</v>
      </c>
      <c r="F575" s="15" t="n">
        <f aca="false">E575*(1+g_ho)</f>
        <v>315.5355</v>
      </c>
      <c r="G575" s="15" t="n">
        <f aca="false">F575*(1+g_ho)</f>
        <v>331.312275</v>
      </c>
    </row>
    <row r="576" customFormat="false" ht="17.15" hidden="false" customHeight="false" outlineLevel="0" collapsed="false">
      <c r="A576" s="4" t="s">
        <v>500</v>
      </c>
      <c r="B576" s="0" t="s">
        <v>169</v>
      </c>
      <c r="C576" s="15" t="n">
        <f aca="false">q25_hoxbp</f>
        <v>11.602</v>
      </c>
      <c r="D576" s="15" t="n">
        <f aca="false">q26_hoxbp</f>
        <v>19.5</v>
      </c>
      <c r="E576" s="15" t="n">
        <f aca="false">E575*m_ho</f>
        <v>20.475</v>
      </c>
      <c r="F576" s="15" t="n">
        <f aca="false">F575*m_ho</f>
        <v>21.49875</v>
      </c>
      <c r="G576" s="15" t="n">
        <f aca="false">G575*m_ho</f>
        <v>22.5736875</v>
      </c>
    </row>
    <row r="577" customFormat="false" ht="17.15" hidden="false" customHeight="false" outlineLevel="0" collapsed="false">
      <c r="A577" s="4" t="s">
        <v>501</v>
      </c>
      <c r="B577" s="0" t="s">
        <v>169</v>
      </c>
      <c r="C577" s="15" t="n">
        <f aca="false">q25_oth</f>
        <v>14.979</v>
      </c>
      <c r="D577" s="15" t="n">
        <f aca="false">q26_oth</f>
        <v>15.8</v>
      </c>
      <c r="E577" s="15" t="n">
        <f aca="false">D577</f>
        <v>15.8</v>
      </c>
      <c r="F577" s="15" t="n">
        <f aca="false">E577</f>
        <v>15.8</v>
      </c>
      <c r="G577" s="15" t="n">
        <f aca="false">F577</f>
        <v>15.8</v>
      </c>
      <c r="K577" s="8" t="s">
        <v>502</v>
      </c>
    </row>
    <row r="578" customFormat="false" ht="15" hidden="false" customHeight="false" outlineLevel="0" collapsed="false">
      <c r="A578" s="4" t="s">
        <v>503</v>
      </c>
      <c r="B578" s="0" t="s">
        <v>169</v>
      </c>
      <c r="C578" s="15" t="n">
        <f aca="false">q25_othbp</f>
        <v>6.064</v>
      </c>
      <c r="D578" s="15" t="n">
        <f aca="false">q26_othbp</f>
        <v>5.1</v>
      </c>
      <c r="E578" s="15" t="n">
        <f aca="false">q26_othbp</f>
        <v>5.1</v>
      </c>
      <c r="F578" s="15" t="n">
        <f aca="false">q26_othbp</f>
        <v>5.1</v>
      </c>
      <c r="G578" s="15" t="n">
        <f aca="false">q26_othbp</f>
        <v>5.1</v>
      </c>
    </row>
    <row r="579" customFormat="false" ht="15" hidden="false" customHeight="false" outlineLevel="0" collapsed="false">
      <c r="A579" s="4" t="s">
        <v>504</v>
      </c>
      <c r="B579" s="0" t="s">
        <v>169</v>
      </c>
      <c r="C579" s="15" t="n">
        <f aca="false">q25_cc</f>
        <v>-42.597</v>
      </c>
      <c r="D579" s="15" t="n">
        <f aca="false">q26_cc</f>
        <v>-46.2</v>
      </c>
      <c r="E579" s="15" t="n">
        <f aca="false">D579*(1+g_cc)</f>
        <v>-47.586</v>
      </c>
      <c r="F579" s="15" t="n">
        <f aca="false">E579*(1+g_cc)</f>
        <v>-49.01358</v>
      </c>
      <c r="G579" s="15" t="n">
        <f aca="false">F579*(1+g_cc)</f>
        <v>-50.4839874</v>
      </c>
    </row>
    <row r="580" customFormat="false" ht="17.15" hidden="false" customHeight="false" outlineLevel="0" collapsed="false">
      <c r="A580" s="4" t="s">
        <v>505</v>
      </c>
      <c r="B580" s="0" t="s">
        <v>169</v>
      </c>
      <c r="C580" s="28" t="n">
        <f aca="false">a_rev-(q25_sf+q25_ff+q25_hox+q25_fm+q25_oth)</f>
        <v>0.00200000000018008</v>
      </c>
      <c r="D580" s="28" t="n">
        <f aca="false">f_rev-(q26_sf+q26_ff+q26_hox+q26_fm+q26_oth)</f>
        <v>0.200000000000045</v>
      </c>
      <c r="E580" s="28" t="n">
        <f aca="false">$D580</f>
        <v>0.200000000000045</v>
      </c>
      <c r="F580" s="28" t="n">
        <f aca="false">$D580</f>
        <v>0.200000000000045</v>
      </c>
      <c r="G580" s="28" t="n">
        <f aca="false">$D580</f>
        <v>0.200000000000045</v>
      </c>
      <c r="K580" s="8" t="s">
        <v>506</v>
      </c>
    </row>
    <row r="581" customFormat="false" ht="15" hidden="false" customHeight="false" outlineLevel="0" collapsed="false">
      <c r="A581" s="4" t="s">
        <v>507</v>
      </c>
      <c r="B581" s="0" t="s">
        <v>169</v>
      </c>
      <c r="C581" s="28" t="n">
        <f aca="false">a_bp-(q25_sfbp+q25_ffbp+q25_hoxbp+q25_fmbp+q25_othbp+q25_cc)</f>
        <v>0.0010000000000332</v>
      </c>
      <c r="D581" s="28" t="n">
        <f aca="false">f_bp-(q26_sfbp+q26_ffbp+q26_hoxbp+q26_fmbp+q26_othbp+q26_cc)</f>
        <v>0.100000000000023</v>
      </c>
      <c r="E581" s="28" t="n">
        <f aca="false">$D581</f>
        <v>0.100000000000023</v>
      </c>
      <c r="F581" s="28" t="n">
        <f aca="false">$D581</f>
        <v>0.100000000000023</v>
      </c>
      <c r="G581" s="28" t="n">
        <f aca="false">$D581</f>
        <v>0.100000000000023</v>
      </c>
    </row>
    <row r="582" customFormat="false" ht="17.15" hidden="false" customHeight="false" outlineLevel="0" collapsed="false">
      <c r="A582" s="6" t="s">
        <v>508</v>
      </c>
    </row>
    <row r="583" customFormat="false" ht="17.15" hidden="false" customHeight="false" outlineLevel="0" collapsed="false">
      <c r="A583" s="4" t="s">
        <v>380</v>
      </c>
      <c r="B583" s="0" t="s">
        <v>169</v>
      </c>
      <c r="C583" s="15" t="n">
        <f aca="false">C571+C573+C575+C567+C577+C580</f>
        <v>1583.719</v>
      </c>
      <c r="D583" s="15" t="n">
        <f aca="false">D571+D573+D575+D567+D577+D580</f>
        <v>1732</v>
      </c>
      <c r="E583" s="15" t="n">
        <f aca="false">E571+E573+E575+E567+E577+E580</f>
        <v>1850.5656</v>
      </c>
      <c r="F583" s="15" t="n">
        <f aca="false">F571+F573+F575+F567+F577+F580</f>
        <v>1944.20156890316</v>
      </c>
      <c r="G583" s="15" t="n">
        <f aca="false">G571+G573+G575+G567+G577+G580</f>
        <v>2034.77999608586</v>
      </c>
      <c r="H583" s="23" t="n">
        <f aca="false">G583*(1+H584)</f>
        <v>2138.67452032222</v>
      </c>
      <c r="I583" s="23" t="n">
        <f aca="false">H583*(1+I584)</f>
        <v>2257.43441098372</v>
      </c>
      <c r="J583" s="23" t="n">
        <f aca="false">I583*(1+J584)</f>
        <v>2392.88047564274</v>
      </c>
      <c r="K583" s="8" t="s">
        <v>509</v>
      </c>
    </row>
    <row r="584" customFormat="false" ht="15" hidden="false" customHeight="false" outlineLevel="0" collapsed="false">
      <c r="A584" s="4" t="s">
        <v>510</v>
      </c>
      <c r="B584" s="0" t="s">
        <v>77</v>
      </c>
      <c r="D584" s="16" t="n">
        <f aca="false">D583/C583-1</f>
        <v>0.0936283519993131</v>
      </c>
      <c r="E584" s="16" t="n">
        <f aca="false">E583/D583-1</f>
        <v>0.0684558891454965</v>
      </c>
      <c r="F584" s="16" t="n">
        <f aca="false">F583/E583-1</f>
        <v>0.050598567758505</v>
      </c>
      <c r="G584" s="16" t="n">
        <f aca="false">G583/F583-1</f>
        <v>0.0465890104356843</v>
      </c>
      <c r="H584" s="24" t="n">
        <f aca="false">$G584+(fade_gA-$G584)*1/3</f>
        <v>0.0510593402904562</v>
      </c>
      <c r="I584" s="24" t="n">
        <f aca="false">$G584+(fade_gA-$G584)*2/3</f>
        <v>0.0555296701452281</v>
      </c>
      <c r="J584" s="24" t="n">
        <f aca="false">$G584+(fade_gA-$G584)*3/3</f>
        <v>0.06</v>
      </c>
    </row>
    <row r="585" customFormat="false" ht="17.15" hidden="false" customHeight="false" outlineLevel="0" collapsed="false">
      <c r="A585" s="0" t="s">
        <v>511</v>
      </c>
      <c r="B585" s="0" t="s">
        <v>77</v>
      </c>
      <c r="C585" s="16" t="n">
        <f aca="false">C567/C583</f>
        <v>0.0646902638662541</v>
      </c>
      <c r="D585" s="16" t="n">
        <f aca="false">D567/D583</f>
        <v>0.0696304849884527</v>
      </c>
      <c r="E585" s="16" t="n">
        <f aca="false">E567/E583</f>
        <v>0.0948864498507916</v>
      </c>
      <c r="F585" s="16" t="n">
        <f aca="false">F567/F583</f>
        <v>0.10444635584659</v>
      </c>
      <c r="G585" s="16" t="n">
        <f aca="false">G567/G583</f>
        <v>0.110467728657765</v>
      </c>
    </row>
    <row r="586" customFormat="false" ht="15" hidden="false" customHeight="false" outlineLevel="0" collapsed="false">
      <c r="A586" s="4" t="s">
        <v>390</v>
      </c>
      <c r="B586" s="0" t="s">
        <v>169</v>
      </c>
      <c r="C586" s="15" t="n">
        <f aca="false">C572+C574+C576+C569+C578+C579+C581</f>
        <v>181.163</v>
      </c>
      <c r="D586" s="15" t="n">
        <f aca="false">D572+D574+D576+D569+D578+D579+D581</f>
        <v>202</v>
      </c>
      <c r="E586" s="15" t="n">
        <f aca="false">E572+E574+E576+E569+E578+E579+E581</f>
        <v>246.03601</v>
      </c>
      <c r="F586" s="15" t="n">
        <f aca="false">F572+F574+F576+F569+F578+F579+F581</f>
        <v>267.795065156451</v>
      </c>
      <c r="G586" s="15" t="n">
        <f aca="false">G572+G574+G576+G569+G578+G579+G581</f>
        <v>281.261825408645</v>
      </c>
    </row>
    <row r="587" customFormat="false" ht="15" hidden="false" customHeight="false" outlineLevel="0" collapsed="false">
      <c r="A587" s="4" t="s">
        <v>406</v>
      </c>
      <c r="B587" s="0" t="s">
        <v>77</v>
      </c>
      <c r="C587" s="16" t="n">
        <f aca="false">C586/C583</f>
        <v>0.114390873633517</v>
      </c>
      <c r="D587" s="16" t="n">
        <f aca="false">D586/D583</f>
        <v>0.11662817551963</v>
      </c>
      <c r="E587" s="16" t="n">
        <f aca="false">E586/E583</f>
        <v>0.132951790522854</v>
      </c>
      <c r="F587" s="16" t="n">
        <f aca="false">F586/F583</f>
        <v>0.137740381161986</v>
      </c>
      <c r="G587" s="16" t="n">
        <f aca="false">G586/G583</f>
        <v>0.138227142958789</v>
      </c>
    </row>
    <row r="588" customFormat="false" ht="17.15" hidden="false" customHeight="false" outlineLevel="0" collapsed="false">
      <c r="A588" s="0" t="s">
        <v>512</v>
      </c>
      <c r="B588" s="0" t="s">
        <v>77</v>
      </c>
      <c r="C588" s="16" t="n">
        <f aca="false">C569/C586</f>
        <v>0.301386044611758</v>
      </c>
      <c r="D588" s="16" t="n">
        <f aca="false">D569/D586</f>
        <v>0.324257425742574</v>
      </c>
      <c r="E588" s="16" t="n">
        <f aca="false">E569/E586</f>
        <v>0.413820318415991</v>
      </c>
      <c r="F588" s="16" t="n">
        <f aca="false">F569/F586</f>
        <v>0.438679688842732</v>
      </c>
      <c r="G588" s="16" t="n">
        <f aca="false">G569/G586</f>
        <v>0.442937544932166</v>
      </c>
    </row>
    <row r="589" customFormat="false" ht="17.15" hidden="false" customHeight="false" outlineLevel="0" collapsed="false">
      <c r="A589" s="4" t="s">
        <v>407</v>
      </c>
      <c r="B589" s="0" t="s">
        <v>52</v>
      </c>
      <c r="C589" s="21" t="n">
        <f aca="false">q25_ni/q25_bp</f>
        <v>0.743391310587703</v>
      </c>
      <c r="D589" s="21" t="n">
        <f aca="false">q26_ni/q26_bp</f>
        <v>0.611386138613861</v>
      </c>
      <c r="E589" s="21" t="n">
        <f aca="false">ni_bp</f>
        <v>0.62</v>
      </c>
      <c r="F589" s="21" t="n">
        <f aca="false">ni_bp</f>
        <v>0.62</v>
      </c>
      <c r="G589" s="21" t="n">
        <f aca="false">ni_bp</f>
        <v>0.62</v>
      </c>
    </row>
    <row r="590" customFormat="false" ht="15" hidden="false" customHeight="false" outlineLevel="0" collapsed="false">
      <c r="A590" s="4" t="s">
        <v>397</v>
      </c>
      <c r="B590" s="0" t="s">
        <v>169</v>
      </c>
      <c r="C590" s="15" t="n">
        <f aca="false">q25_ni</f>
        <v>134.675</v>
      </c>
      <c r="D590" s="15" t="n">
        <f aca="false">q26_ni</f>
        <v>123.5</v>
      </c>
      <c r="E590" s="15" t="n">
        <f aca="false">E586*E589</f>
        <v>152.5423262</v>
      </c>
      <c r="F590" s="15" t="n">
        <f aca="false">F586*F589</f>
        <v>166.032940397</v>
      </c>
      <c r="G590" s="15" t="n">
        <f aca="false">G586*G589</f>
        <v>174.38233175336</v>
      </c>
      <c r="H590" s="23" t="n">
        <f aca="false">H583*H594</f>
        <v>184.929768839345</v>
      </c>
      <c r="I590" s="23" t="n">
        <f aca="false">I583*I594</f>
        <v>196.933716196831</v>
      </c>
      <c r="J590" s="23" t="n">
        <f aca="false">J583*J594</f>
        <v>210.588688960072</v>
      </c>
    </row>
    <row r="591" customFormat="false" ht="15" hidden="false" customHeight="false" outlineLevel="0" collapsed="false">
      <c r="A591" s="4" t="s">
        <v>513</v>
      </c>
      <c r="B591" s="4" t="s">
        <v>316</v>
      </c>
      <c r="C591" s="19" t="n">
        <f aca="false">q25_sh</f>
        <v>0.973366579936398</v>
      </c>
      <c r="D591" s="19" t="n">
        <f aca="false">q26_sh</f>
        <v>0.95117067159581</v>
      </c>
      <c r="E591" s="19" t="n">
        <f aca="false">D591*(1+sh_g)</f>
        <v>0.936903111521873</v>
      </c>
      <c r="F591" s="19" t="n">
        <f aca="false">E591*(1+sh_g)</f>
        <v>0.922849564849045</v>
      </c>
      <c r="G591" s="19" t="n">
        <f aca="false">F591*(1+sh_g)</f>
        <v>0.909006821376309</v>
      </c>
      <c r="H591" s="29" t="n">
        <f aca="false">G591*(1+sh_g)</f>
        <v>0.895371719055665</v>
      </c>
      <c r="I591" s="29" t="n">
        <f aca="false">H591*(1+sh_g)</f>
        <v>0.88194114326983</v>
      </c>
      <c r="J591" s="29" t="n">
        <f aca="false">I591*(1+sh_g)</f>
        <v>0.868712026120782</v>
      </c>
    </row>
    <row r="592" customFormat="false" ht="17.15" hidden="false" customHeight="false" outlineLevel="0" collapsed="false">
      <c r="A592" s="0" t="s">
        <v>514</v>
      </c>
      <c r="B592" s="0" t="s">
        <v>207</v>
      </c>
      <c r="C592" s="20" t="n">
        <f aca="false">C590/C591</f>
        <v>138.36</v>
      </c>
      <c r="D592" s="20" t="n">
        <f aca="false">D590/D591</f>
        <v>129.84</v>
      </c>
      <c r="E592" s="20" t="n">
        <f aca="false">E590/E591</f>
        <v>162.815476140554</v>
      </c>
      <c r="F592" s="20" t="n">
        <f aca="false">F590/F591</f>
        <v>179.91333227118</v>
      </c>
      <c r="G592" s="20" t="n">
        <f aca="false">G590/G591</f>
        <v>191.838309298197</v>
      </c>
      <c r="H592" s="27" t="n">
        <f aca="false">H590/H591</f>
        <v>206.539658226405</v>
      </c>
      <c r="I592" s="27" t="n">
        <f aca="false">I590/I591</f>
        <v>223.295758112261</v>
      </c>
      <c r="J592" s="27" t="n">
        <f aca="false">J590/J591</f>
        <v>242.414842465635</v>
      </c>
    </row>
    <row r="593" customFormat="false" ht="17.15" hidden="false" customHeight="false" outlineLevel="0" collapsed="false">
      <c r="A593" s="0" t="s">
        <v>515</v>
      </c>
      <c r="B593" s="0" t="s">
        <v>77</v>
      </c>
      <c r="D593" s="16" t="n">
        <f aca="false">D592/C592-1</f>
        <v>-0.0615784908933218</v>
      </c>
      <c r="E593" s="16" t="n">
        <f aca="false">E592/D592-1</f>
        <v>0.253970087342527</v>
      </c>
      <c r="F593" s="16" t="n">
        <f aca="false">F592/E592-1</f>
        <v>0.10501370346309</v>
      </c>
      <c r="G593" s="16" t="n">
        <f aca="false">G592/F592-1</f>
        <v>0.0662817862160625</v>
      </c>
      <c r="H593" s="24" t="n">
        <f aca="false">H592/G592-1</f>
        <v>0.0766340622057675</v>
      </c>
      <c r="I593" s="24" t="n">
        <f aca="false">I592/H592-1</f>
        <v>0.0811277603039717</v>
      </c>
      <c r="J593" s="24" t="n">
        <f aca="false">J592/I592-1</f>
        <v>0.085622246096416</v>
      </c>
    </row>
    <row r="594" customFormat="false" ht="15" hidden="false" customHeight="false" outlineLevel="0" collapsed="false">
      <c r="A594" s="4" t="s">
        <v>516</v>
      </c>
      <c r="B594" s="0" t="s">
        <v>77</v>
      </c>
      <c r="C594" s="25" t="n">
        <f aca="false">C590/C583</f>
        <v>0.0850371814696925</v>
      </c>
      <c r="D594" s="25" t="n">
        <f aca="false">D590/D583</f>
        <v>0.0713048498845266</v>
      </c>
      <c r="E594" s="25" t="n">
        <f aca="false">E590/E583</f>
        <v>0.0824301101241696</v>
      </c>
      <c r="F594" s="25" t="n">
        <f aca="false">F590/F583</f>
        <v>0.085399036320431</v>
      </c>
      <c r="G594" s="25" t="n">
        <f aca="false">G590/G583</f>
        <v>0.0857008286344493</v>
      </c>
      <c r="H594" s="26" t="n">
        <f aca="false">$G594+(fade_mA-$G594)*1/3</f>
        <v>0.0864693374714555</v>
      </c>
      <c r="I594" s="26" t="n">
        <f aca="false">$G594+(fade_mA-$G594)*2/3</f>
        <v>0.0872378463084618</v>
      </c>
      <c r="J594" s="26" t="n">
        <f aca="false">$G594+(fade_mA-$G594)*3/3</f>
        <v>0.088006355145468</v>
      </c>
    </row>
    <row r="595" customFormat="false" ht="17.15" hidden="false" customHeight="false" outlineLevel="0" collapsed="false">
      <c r="A595" s="0" t="s">
        <v>517</v>
      </c>
      <c r="B595" s="0" t="s">
        <v>207</v>
      </c>
      <c r="D595" s="20" t="n">
        <f aca="false">D569*D589/D591</f>
        <v>42.1015841584158</v>
      </c>
      <c r="E595" s="20" t="n">
        <f aca="false">E569*E589/E591</f>
        <v>67.3763521795352</v>
      </c>
      <c r="F595" s="20" t="n">
        <f aca="false">F569*F589/F591</f>
        <v>78.9243246193802</v>
      </c>
      <c r="G595" s="20" t="n">
        <f aca="false">G569*G589/G591</f>
        <v>84.9723897444811</v>
      </c>
      <c r="K595" s="8" t="s">
        <v>518</v>
      </c>
    </row>
    <row r="596" customFormat="false" ht="17.15" hidden="false" customHeight="false" outlineLevel="0" collapsed="false">
      <c r="A596" s="0" t="s">
        <v>519</v>
      </c>
      <c r="B596" s="0" t="s">
        <v>207</v>
      </c>
      <c r="D596" s="20" t="n">
        <f aca="false">D592-D595</f>
        <v>87.7384158415842</v>
      </c>
      <c r="E596" s="20" t="n">
        <f aca="false">E592-E595</f>
        <v>95.4391239610186</v>
      </c>
      <c r="F596" s="20" t="n">
        <f aca="false">F592-F595</f>
        <v>100.9890076518</v>
      </c>
      <c r="G596" s="20" t="n">
        <f aca="false">G592-G595</f>
        <v>106.865919553716</v>
      </c>
    </row>
    <row r="597" customFormat="false" ht="17.15" hidden="false" customHeight="false" outlineLevel="0" collapsed="false">
      <c r="A597" s="0" t="s">
        <v>520</v>
      </c>
      <c r="B597" s="0" t="s">
        <v>432</v>
      </c>
      <c r="D597" s="15" t="n">
        <f aca="false">D565/D555*1000/150</f>
        <v>23.5087719298246</v>
      </c>
      <c r="E597" s="15" t="n">
        <f aca="false">E565/E555*1000/150</f>
        <v>29.4465214240034</v>
      </c>
      <c r="F597" s="15" t="n">
        <f aca="false">F565/F555*1000/150</f>
        <v>33.1264174035088</v>
      </c>
      <c r="G597" s="15" t="n">
        <f aca="false">G565/G555*1000/150</f>
        <v>34.6085954470175</v>
      </c>
      <c r="K597" s="8" t="s">
        <v>521</v>
      </c>
    </row>
    <row r="600" customFormat="false" ht="17.15" hidden="false" customHeight="false" outlineLevel="0" collapsed="false">
      <c r="A600" s="1" t="s">
        <v>874</v>
      </c>
    </row>
    <row r="601" customFormat="false" ht="17.15" hidden="false" customHeight="false" outlineLevel="0" collapsed="false">
      <c r="A601" s="5" t="s">
        <v>19</v>
      </c>
      <c r="B601" s="5" t="s">
        <v>20</v>
      </c>
      <c r="C601" s="14" t="s">
        <v>374</v>
      </c>
      <c r="D601" s="14" t="s">
        <v>447</v>
      </c>
      <c r="E601" s="14" t="s">
        <v>412</v>
      </c>
      <c r="F601" s="14" t="s">
        <v>413</v>
      </c>
      <c r="G601" s="14" t="s">
        <v>414</v>
      </c>
      <c r="H601" s="14" t="s">
        <v>448</v>
      </c>
      <c r="I601" s="14" t="s">
        <v>449</v>
      </c>
      <c r="J601" s="14" t="s">
        <v>450</v>
      </c>
      <c r="K601" s="5" t="s">
        <v>379</v>
      </c>
    </row>
    <row r="602" customFormat="false" ht="17.15" hidden="false" customHeight="false" outlineLevel="0" collapsed="false">
      <c r="A602" s="6" t="s">
        <v>470</v>
      </c>
    </row>
    <row r="603" customFormat="false" ht="17.15" hidden="false" customHeight="false" outlineLevel="0" collapsed="false">
      <c r="A603" s="0" t="s">
        <v>471</v>
      </c>
      <c r="B603" s="4" t="s">
        <v>30</v>
      </c>
      <c r="D603" s="20" t="n">
        <f aca="false">unv_26</f>
        <v>7.6</v>
      </c>
      <c r="E603" s="20" t="n">
        <f aca="false">unv_27</f>
        <v>9.7</v>
      </c>
      <c r="F603" s="20" t="n">
        <f aca="false">unv_28*um28_A</f>
        <v>9.5</v>
      </c>
      <c r="G603" s="20" t="n">
        <f aca="false">unv_29*um29_A</f>
        <v>10.6</v>
      </c>
      <c r="K603" s="8" t="s">
        <v>472</v>
      </c>
    </row>
    <row r="604" customFormat="false" ht="17.15" hidden="false" customHeight="false" outlineLevel="0" collapsed="false">
      <c r="A604" s="4" t="s">
        <v>473</v>
      </c>
      <c r="B604" s="4" t="s">
        <v>30</v>
      </c>
      <c r="D604" s="20" t="n">
        <f aca="false">uot_26</f>
        <v>7.6</v>
      </c>
      <c r="E604" s="20" t="n">
        <f aca="false">uot_27</f>
        <v>14</v>
      </c>
      <c r="F604" s="20" t="n">
        <f aca="false">uot_28*um28_A</f>
        <v>17</v>
      </c>
      <c r="G604" s="20" t="n">
        <f aca="false">uot_29*um29_A</f>
        <v>19.55</v>
      </c>
      <c r="K604" s="8" t="s">
        <v>474</v>
      </c>
    </row>
    <row r="605" customFormat="false" ht="17.15" hidden="false" customHeight="false" outlineLevel="0" collapsed="false">
      <c r="A605" s="4" t="s">
        <v>475</v>
      </c>
      <c r="B605" s="4" t="s">
        <v>30</v>
      </c>
      <c r="D605" s="20" t="n">
        <f aca="false">D603+v_ot*D604</f>
        <v>13.68</v>
      </c>
      <c r="E605" s="20" t="n">
        <f aca="false">E603+v_ot*E604</f>
        <v>20.9</v>
      </c>
      <c r="F605" s="20" t="n">
        <f aca="false">F603+v_ot*F604</f>
        <v>23.1</v>
      </c>
      <c r="G605" s="20" t="n">
        <f aca="false">G603+v_ot*G604</f>
        <v>26.24</v>
      </c>
    </row>
    <row r="606" customFormat="false" ht="17.15" hidden="false" customHeight="false" outlineLevel="0" collapsed="false">
      <c r="A606" s="4" t="s">
        <v>476</v>
      </c>
      <c r="B606" s="0" t="s">
        <v>52</v>
      </c>
      <c r="D606" s="21" t="n">
        <f aca="false">1</f>
        <v>1</v>
      </c>
      <c r="E606" s="21" t="n">
        <f aca="false">D606*(1+g_asp)</f>
        <v>1.18</v>
      </c>
      <c r="F606" s="21" t="n">
        <f aca="false">E606*(1+g_asp)</f>
        <v>1.3924</v>
      </c>
      <c r="G606" s="21" t="n">
        <f aca="false">F606*(1+g_asp)</f>
        <v>1.643032</v>
      </c>
    </row>
    <row r="607" customFormat="false" ht="17.15" hidden="false" customHeight="false" outlineLevel="0" collapsed="false">
      <c r="A607" s="4" t="s">
        <v>477</v>
      </c>
      <c r="B607" s="0" t="s">
        <v>52</v>
      </c>
      <c r="D607" s="18" t="n">
        <f aca="false">1</f>
        <v>1</v>
      </c>
      <c r="E607" s="18" t="n">
        <f aca="false">rel_27</f>
        <v>1</v>
      </c>
      <c r="F607" s="18" t="n">
        <f aca="false">rel_28</f>
        <v>0.97</v>
      </c>
      <c r="G607" s="18" t="n">
        <f aca="false">rel_29</f>
        <v>0.95</v>
      </c>
    </row>
    <row r="608" customFormat="false" ht="17.15" hidden="false" customHeight="false" outlineLevel="0" collapsed="false">
      <c r="A608" s="0" t="s">
        <v>478</v>
      </c>
      <c r="B608" s="0" t="s">
        <v>52</v>
      </c>
      <c r="D608" s="21" t="n">
        <f aca="false">D605/$D605*D606*D607</f>
        <v>1</v>
      </c>
      <c r="E608" s="21" t="n">
        <f aca="false">E605/$D605*E606*E607</f>
        <v>1.80277777777778</v>
      </c>
      <c r="F608" s="21" t="n">
        <f aca="false">F605/$D605*F606*F607</f>
        <v>2.28066570175439</v>
      </c>
      <c r="G608" s="21" t="n">
        <f aca="false">G605/$D605*G606*G607</f>
        <v>2.99396942222222</v>
      </c>
      <c r="K608" s="4" t="s">
        <v>479</v>
      </c>
    </row>
    <row r="609" customFormat="false" ht="17.15" hidden="false" customHeight="false" outlineLevel="0" collapsed="false">
      <c r="A609" s="4" t="s">
        <v>480</v>
      </c>
      <c r="B609" s="0" t="s">
        <v>52</v>
      </c>
      <c r="D609" s="21" t="n">
        <f aca="false">1</f>
        <v>1</v>
      </c>
      <c r="E609" s="21" t="n">
        <f aca="false">D609*(1+g_nai)</f>
        <v>1.03</v>
      </c>
      <c r="F609" s="21" t="n">
        <f aca="false">E609*(1+g_nai)</f>
        <v>1.0609</v>
      </c>
      <c r="G609" s="21" t="n">
        <f aca="false">F609*(1+g_nai)</f>
        <v>1.092727</v>
      </c>
    </row>
    <row r="610" customFormat="false" ht="17.15" hidden="false" customHeight="false" outlineLevel="0" collapsed="false">
      <c r="A610" s="0" t="s">
        <v>481</v>
      </c>
      <c r="B610" s="0" t="s">
        <v>52</v>
      </c>
      <c r="D610" s="21" t="n">
        <f aca="false">ai_sh*D608+(1-ai_sh)*D609</f>
        <v>1</v>
      </c>
      <c r="E610" s="21" t="n">
        <f aca="false">ai_sh*E608+(1-ai_sh)*E609</f>
        <v>1.33911111111111</v>
      </c>
      <c r="F610" s="21" t="n">
        <f aca="false">ai_sh*F608+(1-ai_sh)*F609</f>
        <v>1.54880628070175</v>
      </c>
      <c r="G610" s="21" t="n">
        <f aca="false">ai_sh*G608+(1-ai_sh)*G609</f>
        <v>1.85322396888889</v>
      </c>
    </row>
    <row r="611" customFormat="false" ht="17.15" hidden="false" customHeight="false" outlineLevel="0" collapsed="false">
      <c r="A611" s="4" t="s">
        <v>482</v>
      </c>
      <c r="B611" s="0" t="s">
        <v>52</v>
      </c>
      <c r="D611" s="21" t="n">
        <f aca="false">1</f>
        <v>1</v>
      </c>
      <c r="E611" s="21" t="n">
        <f aca="false">cap_27</f>
        <v>1.3</v>
      </c>
      <c r="F611" s="21" t="n">
        <f aca="false">cap_28</f>
        <v>1.55</v>
      </c>
      <c r="G611" s="21" t="n">
        <f aca="false">cap_29</f>
        <v>1.8</v>
      </c>
      <c r="K611" s="4" t="s">
        <v>483</v>
      </c>
    </row>
    <row r="612" customFormat="false" ht="17.15" hidden="false" customHeight="false" outlineLevel="0" collapsed="false">
      <c r="A612" s="4" t="s">
        <v>484</v>
      </c>
      <c r="B612" s="0" t="s">
        <v>52</v>
      </c>
      <c r="D612" s="21" t="n">
        <f aca="false">MIN(D610,D611)</f>
        <v>1</v>
      </c>
      <c r="E612" s="21" t="n">
        <f aca="false">MIN(E610,E611)</f>
        <v>1.3</v>
      </c>
      <c r="F612" s="21" t="n">
        <f aca="false">MIN(F610,F611)</f>
        <v>1.54880628070175</v>
      </c>
      <c r="G612" s="21" t="n">
        <f aca="false">MIN(G610,G611)</f>
        <v>1.8</v>
      </c>
    </row>
    <row r="613" customFormat="false" ht="17.15" hidden="false" customHeight="false" outlineLevel="0" collapsed="false">
      <c r="A613" s="4" t="s">
        <v>485</v>
      </c>
      <c r="B613" s="0" t="s">
        <v>77</v>
      </c>
      <c r="D613" s="16" t="n">
        <f aca="false">D612/D610</f>
        <v>1</v>
      </c>
      <c r="E613" s="16" t="n">
        <f aca="false">E612/E610</f>
        <v>0.970793229339529</v>
      </c>
      <c r="F613" s="16" t="n">
        <f aca="false">F612/F610</f>
        <v>1</v>
      </c>
      <c r="G613" s="16" t="n">
        <f aca="false">G612/G610</f>
        <v>0.971280336439422</v>
      </c>
      <c r="K613" s="4" t="s">
        <v>486</v>
      </c>
    </row>
    <row r="614" customFormat="false" ht="17.15" hidden="false" customHeight="false" outlineLevel="0" collapsed="false">
      <c r="A614" s="0" t="s">
        <v>487</v>
      </c>
      <c r="B614" s="0" t="s">
        <v>52</v>
      </c>
      <c r="D614" s="21" t="n">
        <f aca="false">1</f>
        <v>1</v>
      </c>
      <c r="E614" s="21" t="n">
        <f aca="false">pp_27</f>
        <v>1.12</v>
      </c>
      <c r="F614" s="21" t="n">
        <f aca="false">pp_28*sp_A</f>
        <v>1.15</v>
      </c>
      <c r="G614" s="21" t="n">
        <f aca="false">pp_29*sp_A</f>
        <v>1.12</v>
      </c>
      <c r="K614" s="8" t="s">
        <v>488</v>
      </c>
    </row>
    <row r="615" customFormat="false" ht="17.15" hidden="false" customHeight="false" outlineLevel="0" collapsed="false">
      <c r="A615" s="0" t="s">
        <v>429</v>
      </c>
      <c r="B615" s="0" t="s">
        <v>169</v>
      </c>
      <c r="D615" s="15" t="n">
        <f aca="false">q26_fm*ai_sh</f>
        <v>48.24</v>
      </c>
      <c r="E615" s="15" t="n">
        <f aca="false">q26_fm*ai_sh*E608*E613*E614</f>
        <v>94.5571244606705</v>
      </c>
      <c r="F615" s="15" t="n">
        <f aca="false">q26_fm*ai_sh*F608*F613*F614</f>
        <v>126.522210470526</v>
      </c>
      <c r="G615" s="15" t="n">
        <f aca="false">q26_fm*ai_sh*G608*G613*G614</f>
        <v>157.114865824566</v>
      </c>
      <c r="K615" s="8" t="s">
        <v>489</v>
      </c>
    </row>
    <row r="616" customFormat="false" ht="17.15" hidden="false" customHeight="false" outlineLevel="0" collapsed="false">
      <c r="A616" s="0" t="s">
        <v>490</v>
      </c>
      <c r="B616" s="0" t="s">
        <v>169</v>
      </c>
      <c r="D616" s="15" t="n">
        <f aca="false">q26_fm*(1-ai_sh)</f>
        <v>72.36</v>
      </c>
      <c r="E616" s="15" t="n">
        <f aca="false">q26_fm*(1-ai_sh)*E609*E613*E614</f>
        <v>81.0364755393296</v>
      </c>
      <c r="F616" s="15" t="n">
        <f aca="false">q26_fm*(1-ai_sh)*F609*F613*F614</f>
        <v>88.2817326</v>
      </c>
      <c r="G616" s="15" t="n">
        <f aca="false">q26_fm*(1-ai_sh)*G609*G613*G614</f>
        <v>86.0147341754337</v>
      </c>
    </row>
    <row r="617" customFormat="false" ht="17.15" hidden="false" customHeight="false" outlineLevel="0" collapsed="false">
      <c r="A617" s="4" t="s">
        <v>491</v>
      </c>
      <c r="B617" s="0" t="s">
        <v>169</v>
      </c>
      <c r="C617" s="15" t="n">
        <f aca="false">q25_fm</f>
        <v>102.4512</v>
      </c>
      <c r="D617" s="15" t="n">
        <f aca="false">D615+D616</f>
        <v>120.6</v>
      </c>
      <c r="E617" s="15" t="n">
        <f aca="false">E615+E616</f>
        <v>175.5936</v>
      </c>
      <c r="F617" s="15" t="n">
        <f aca="false">F615+F616</f>
        <v>214.803943070526</v>
      </c>
      <c r="G617" s="15" t="n">
        <f aca="false">G615+G616</f>
        <v>243.1296</v>
      </c>
    </row>
    <row r="618" customFormat="false" ht="17.15" hidden="false" customHeight="false" outlineLevel="0" collapsed="false">
      <c r="A618" s="0" t="s">
        <v>492</v>
      </c>
      <c r="B618" s="0" t="s">
        <v>77</v>
      </c>
      <c r="C618" s="16" t="n">
        <f aca="false">q25_fmbp/q25_fm</f>
        <v>0.532936656671664</v>
      </c>
      <c r="D618" s="16" t="n">
        <f aca="false">q26_fmbp/q26_fm</f>
        <v>0.543117744610282</v>
      </c>
      <c r="E618" s="16" t="n">
        <f aca="false">1-(1-$D618)*(1+c_g_hi)^1/E614</f>
        <v>0.567593579720445</v>
      </c>
      <c r="F618" s="16" t="n">
        <f aca="false">1-(1-$D618)*(1+c_g_hi)^2/F614</f>
        <v>0.553606172038359</v>
      </c>
      <c r="G618" s="16" t="n">
        <f aca="false">1-(1-$D618)*(1+c_g_hi)^3/G614</f>
        <v>0.514148146173893</v>
      </c>
      <c r="K618" s="8" t="s">
        <v>493</v>
      </c>
    </row>
    <row r="619" customFormat="false" ht="17.15" hidden="false" customHeight="false" outlineLevel="0" collapsed="false">
      <c r="A619" s="0" t="s">
        <v>455</v>
      </c>
      <c r="B619" s="0" t="s">
        <v>169</v>
      </c>
      <c r="C619" s="15" t="n">
        <f aca="false">q25_fmbp</f>
        <v>54.6</v>
      </c>
      <c r="D619" s="15" t="n">
        <f aca="false">D617*D618</f>
        <v>65.5</v>
      </c>
      <c r="E619" s="15" t="n">
        <f aca="false">E617*E618</f>
        <v>99.6658</v>
      </c>
      <c r="F619" s="15" t="n">
        <f aca="false">F617*F618</f>
        <v>118.91678866202</v>
      </c>
      <c r="G619" s="15" t="n">
        <f aca="false">G617*G618</f>
        <v>125.00463312</v>
      </c>
    </row>
    <row r="620" customFormat="false" ht="17.15" hidden="false" customHeight="false" outlineLevel="0" collapsed="false">
      <c r="A620" s="6" t="s">
        <v>494</v>
      </c>
    </row>
    <row r="621" customFormat="false" ht="15" hidden="false" customHeight="false" outlineLevel="0" collapsed="false">
      <c r="A621" s="4" t="s">
        <v>495</v>
      </c>
      <c r="B621" s="0" t="s">
        <v>169</v>
      </c>
      <c r="C621" s="15" t="n">
        <f aca="false">q25_sf</f>
        <v>936.926</v>
      </c>
      <c r="D621" s="15" t="n">
        <f aca="false">q26_sf</f>
        <v>998.6</v>
      </c>
      <c r="E621" s="15" t="n">
        <f aca="false">D621*(1+g_sf)</f>
        <v>1038.544</v>
      </c>
      <c r="F621" s="15" t="n">
        <f aca="false">E621*(1+g_sf)</f>
        <v>1080.08576</v>
      </c>
      <c r="G621" s="15" t="n">
        <f aca="false">F621*(1+g_sf)</f>
        <v>1123.2891904</v>
      </c>
    </row>
    <row r="622" customFormat="false" ht="15" hidden="false" customHeight="false" outlineLevel="0" collapsed="false">
      <c r="A622" s="4" t="s">
        <v>496</v>
      </c>
      <c r="B622" s="0" t="s">
        <v>169</v>
      </c>
      <c r="C622" s="15" t="n">
        <f aca="false">q25_sfbp</f>
        <v>143.036</v>
      </c>
      <c r="D622" s="15" t="n">
        <f aca="false">q26_sfbp</f>
        <v>145.9</v>
      </c>
      <c r="E622" s="15" t="n">
        <f aca="false">E621*m_sf</f>
        <v>151.736</v>
      </c>
      <c r="F622" s="15" t="n">
        <f aca="false">F621*m_sf</f>
        <v>157.80544</v>
      </c>
      <c r="G622" s="15" t="n">
        <f aca="false">G621*m_sf</f>
        <v>164.1176576</v>
      </c>
    </row>
    <row r="623" customFormat="false" ht="15" hidden="false" customHeight="false" outlineLevel="0" collapsed="false">
      <c r="A623" s="4" t="s">
        <v>497</v>
      </c>
      <c r="B623" s="0" t="s">
        <v>169</v>
      </c>
      <c r="C623" s="15" t="n">
        <f aca="false">q25_ff</f>
        <v>290.308</v>
      </c>
      <c r="D623" s="15" t="n">
        <f aca="false">q26_ff</f>
        <v>310.6</v>
      </c>
      <c r="E623" s="15" t="n">
        <f aca="false">D623*(1+g_ff)</f>
        <v>319.918</v>
      </c>
      <c r="F623" s="15" t="n">
        <f aca="false">E623*(1+g_ff)</f>
        <v>329.51554</v>
      </c>
      <c r="G623" s="15" t="n">
        <f aca="false">F623*(1+g_ff)</f>
        <v>339.4010062</v>
      </c>
    </row>
    <row r="624" customFormat="false" ht="15" hidden="false" customHeight="false" outlineLevel="0" collapsed="false">
      <c r="A624" s="4" t="s">
        <v>498</v>
      </c>
      <c r="B624" s="0" t="s">
        <v>169</v>
      </c>
      <c r="C624" s="15" t="n">
        <f aca="false">q25_ffbp</f>
        <v>8.457</v>
      </c>
      <c r="D624" s="15" t="n">
        <f aca="false">q26_ffbp</f>
        <v>12.1</v>
      </c>
      <c r="E624" s="15" t="n">
        <f aca="false">E623*m_ff</f>
        <v>14.39631</v>
      </c>
      <c r="F624" s="15" t="n">
        <f aca="false">F623*m_ff</f>
        <v>14.8281993</v>
      </c>
      <c r="G624" s="15" t="n">
        <f aca="false">G623*m_ff</f>
        <v>15.273045279</v>
      </c>
    </row>
    <row r="625" customFormat="false" ht="17.15" hidden="false" customHeight="false" outlineLevel="0" collapsed="false">
      <c r="A625" s="4" t="s">
        <v>499</v>
      </c>
      <c r="B625" s="0" t="s">
        <v>169</v>
      </c>
      <c r="C625" s="15" t="n">
        <f aca="false">q25_hox</f>
        <v>239.0528</v>
      </c>
      <c r="D625" s="15" t="n">
        <f aca="false">q26_hox</f>
        <v>286.2</v>
      </c>
      <c r="E625" s="15" t="n">
        <f aca="false">D625*(1+g_ho)</f>
        <v>300.51</v>
      </c>
      <c r="F625" s="15" t="n">
        <f aca="false">E625*(1+g_ho)</f>
        <v>315.5355</v>
      </c>
      <c r="G625" s="15" t="n">
        <f aca="false">F625*(1+g_ho)</f>
        <v>331.312275</v>
      </c>
    </row>
    <row r="626" customFormat="false" ht="17.15" hidden="false" customHeight="false" outlineLevel="0" collapsed="false">
      <c r="A626" s="4" t="s">
        <v>500</v>
      </c>
      <c r="B626" s="0" t="s">
        <v>169</v>
      </c>
      <c r="C626" s="15" t="n">
        <f aca="false">q25_hoxbp</f>
        <v>11.602</v>
      </c>
      <c r="D626" s="15" t="n">
        <f aca="false">q26_hoxbp</f>
        <v>19.5</v>
      </c>
      <c r="E626" s="15" t="n">
        <f aca="false">E625*m_ho</f>
        <v>20.475</v>
      </c>
      <c r="F626" s="15" t="n">
        <f aca="false">F625*m_ho</f>
        <v>21.49875</v>
      </c>
      <c r="G626" s="15" t="n">
        <f aca="false">G625*m_ho</f>
        <v>22.5736875</v>
      </c>
    </row>
    <row r="627" customFormat="false" ht="17.15" hidden="false" customHeight="false" outlineLevel="0" collapsed="false">
      <c r="A627" s="4" t="s">
        <v>501</v>
      </c>
      <c r="B627" s="0" t="s">
        <v>169</v>
      </c>
      <c r="C627" s="15" t="n">
        <f aca="false">q25_oth</f>
        <v>14.979</v>
      </c>
      <c r="D627" s="15" t="n">
        <f aca="false">q26_oth</f>
        <v>15.8</v>
      </c>
      <c r="E627" s="15" t="n">
        <f aca="false">D627</f>
        <v>15.8</v>
      </c>
      <c r="F627" s="15" t="n">
        <f aca="false">E627</f>
        <v>15.8</v>
      </c>
      <c r="G627" s="15" t="n">
        <f aca="false">F627</f>
        <v>15.8</v>
      </c>
      <c r="K627" s="8" t="s">
        <v>502</v>
      </c>
    </row>
    <row r="628" customFormat="false" ht="15" hidden="false" customHeight="false" outlineLevel="0" collapsed="false">
      <c r="A628" s="4" t="s">
        <v>503</v>
      </c>
      <c r="B628" s="0" t="s">
        <v>169</v>
      </c>
      <c r="C628" s="15" t="n">
        <f aca="false">q25_othbp</f>
        <v>6.064</v>
      </c>
      <c r="D628" s="15" t="n">
        <f aca="false">q26_othbp</f>
        <v>5.1</v>
      </c>
      <c r="E628" s="15" t="n">
        <f aca="false">q26_othbp</f>
        <v>5.1</v>
      </c>
      <c r="F628" s="15" t="n">
        <f aca="false">q26_othbp</f>
        <v>5.1</v>
      </c>
      <c r="G628" s="15" t="n">
        <f aca="false">q26_othbp</f>
        <v>5.1</v>
      </c>
    </row>
    <row r="629" customFormat="false" ht="15" hidden="false" customHeight="false" outlineLevel="0" collapsed="false">
      <c r="A629" s="4" t="s">
        <v>504</v>
      </c>
      <c r="B629" s="0" t="s">
        <v>169</v>
      </c>
      <c r="C629" s="15" t="n">
        <f aca="false">q25_cc</f>
        <v>-42.597</v>
      </c>
      <c r="D629" s="15" t="n">
        <f aca="false">q26_cc</f>
        <v>-46.2</v>
      </c>
      <c r="E629" s="15" t="n">
        <f aca="false">D629*(1+g_cc)</f>
        <v>-47.586</v>
      </c>
      <c r="F629" s="15" t="n">
        <f aca="false">E629*(1+g_cc)</f>
        <v>-49.01358</v>
      </c>
      <c r="G629" s="15" t="n">
        <f aca="false">F629*(1+g_cc)</f>
        <v>-50.4839874</v>
      </c>
    </row>
    <row r="630" customFormat="false" ht="17.15" hidden="false" customHeight="false" outlineLevel="0" collapsed="false">
      <c r="A630" s="4" t="s">
        <v>505</v>
      </c>
      <c r="B630" s="0" t="s">
        <v>169</v>
      </c>
      <c r="C630" s="28" t="n">
        <f aca="false">a_rev-(q25_sf+q25_ff+q25_hox+q25_fm+q25_oth)</f>
        <v>0.00200000000018008</v>
      </c>
      <c r="D630" s="28" t="n">
        <f aca="false">f_rev-(q26_sf+q26_ff+q26_hox+q26_fm+q26_oth)</f>
        <v>0.200000000000045</v>
      </c>
      <c r="E630" s="28" t="n">
        <f aca="false">$D630</f>
        <v>0.200000000000045</v>
      </c>
      <c r="F630" s="28" t="n">
        <f aca="false">$D630</f>
        <v>0.200000000000045</v>
      </c>
      <c r="G630" s="28" t="n">
        <f aca="false">$D630</f>
        <v>0.200000000000045</v>
      </c>
      <c r="K630" s="8" t="s">
        <v>506</v>
      </c>
    </row>
    <row r="631" customFormat="false" ht="15" hidden="false" customHeight="false" outlineLevel="0" collapsed="false">
      <c r="A631" s="4" t="s">
        <v>507</v>
      </c>
      <c r="B631" s="0" t="s">
        <v>169</v>
      </c>
      <c r="C631" s="28" t="n">
        <f aca="false">a_bp-(q25_sfbp+q25_ffbp+q25_hoxbp+q25_fmbp+q25_othbp+q25_cc)</f>
        <v>0.0010000000000332</v>
      </c>
      <c r="D631" s="28" t="n">
        <f aca="false">f_bp-(q26_sfbp+q26_ffbp+q26_hoxbp+q26_fmbp+q26_othbp+q26_cc)</f>
        <v>0.100000000000023</v>
      </c>
      <c r="E631" s="28" t="n">
        <f aca="false">$D631</f>
        <v>0.100000000000023</v>
      </c>
      <c r="F631" s="28" t="n">
        <f aca="false">$D631</f>
        <v>0.100000000000023</v>
      </c>
      <c r="G631" s="28" t="n">
        <f aca="false">$D631</f>
        <v>0.100000000000023</v>
      </c>
    </row>
    <row r="632" customFormat="false" ht="17.15" hidden="false" customHeight="false" outlineLevel="0" collapsed="false">
      <c r="A632" s="6" t="s">
        <v>508</v>
      </c>
    </row>
    <row r="633" customFormat="false" ht="17.15" hidden="false" customHeight="false" outlineLevel="0" collapsed="false">
      <c r="A633" s="4" t="s">
        <v>380</v>
      </c>
      <c r="B633" s="0" t="s">
        <v>169</v>
      </c>
      <c r="C633" s="15" t="n">
        <f aca="false">C621+C623+C625+C617+C627+C630</f>
        <v>1583.719</v>
      </c>
      <c r="D633" s="15" t="n">
        <f aca="false">D621+D623+D625+D617+D627+D630</f>
        <v>1732</v>
      </c>
      <c r="E633" s="15" t="n">
        <f aca="false">E621+E623+E625+E617+E627+E630</f>
        <v>1850.5656</v>
      </c>
      <c r="F633" s="15" t="n">
        <f aca="false">F621+F623+F625+F617+F627+F630</f>
        <v>1955.94074307053</v>
      </c>
      <c r="G633" s="15" t="n">
        <f aca="false">G621+G623+G625+G617+G627+G630</f>
        <v>2053.1320716</v>
      </c>
      <c r="H633" s="23" t="n">
        <f aca="false">G633*(1+H634)</f>
        <v>2162.20857776426</v>
      </c>
      <c r="I633" s="23" t="n">
        <f aca="false">H633*(1+I634)</f>
        <v>2284.5105355383</v>
      </c>
      <c r="J633" s="23" t="n">
        <f aca="false">I633*(1+J634)</f>
        <v>2421.5811676706</v>
      </c>
      <c r="K633" s="8" t="s">
        <v>509</v>
      </c>
    </row>
    <row r="634" customFormat="false" ht="15" hidden="false" customHeight="false" outlineLevel="0" collapsed="false">
      <c r="A634" s="4" t="s">
        <v>510</v>
      </c>
      <c r="B634" s="0" t="s">
        <v>77</v>
      </c>
      <c r="D634" s="16" t="n">
        <f aca="false">D633/C633-1</f>
        <v>0.0936283519993131</v>
      </c>
      <c r="E634" s="16" t="n">
        <f aca="false">E633/D633-1</f>
        <v>0.0684558891454965</v>
      </c>
      <c r="F634" s="16" t="n">
        <f aca="false">F633/E633-1</f>
        <v>0.0569421278935081</v>
      </c>
      <c r="G634" s="16" t="n">
        <f aca="false">G633/F633-1</f>
        <v>0.0496903236326567</v>
      </c>
      <c r="H634" s="24" t="n">
        <f aca="false">$G634+(fade_gA-$G634)*1/3</f>
        <v>0.0531268824217711</v>
      </c>
      <c r="I634" s="24" t="n">
        <f aca="false">$G634+(fade_gA-$G634)*2/3</f>
        <v>0.0565634412108856</v>
      </c>
      <c r="J634" s="24" t="n">
        <f aca="false">$G634+(fade_gA-$G634)*3/3</f>
        <v>0.06</v>
      </c>
    </row>
    <row r="635" customFormat="false" ht="17.15" hidden="false" customHeight="false" outlineLevel="0" collapsed="false">
      <c r="A635" s="0" t="s">
        <v>511</v>
      </c>
      <c r="B635" s="0" t="s">
        <v>77</v>
      </c>
      <c r="C635" s="16" t="n">
        <f aca="false">C617/C633</f>
        <v>0.0646902638662541</v>
      </c>
      <c r="D635" s="16" t="n">
        <f aca="false">D617/D633</f>
        <v>0.0696304849884527</v>
      </c>
      <c r="E635" s="16" t="n">
        <f aca="false">E617/E633</f>
        <v>0.0948864498507916</v>
      </c>
      <c r="F635" s="16" t="n">
        <f aca="false">F617/F633</f>
        <v>0.109821293835987</v>
      </c>
      <c r="G635" s="16" t="n">
        <f aca="false">G617/G633</f>
        <v>0.118418879799842</v>
      </c>
    </row>
    <row r="636" customFormat="false" ht="15" hidden="false" customHeight="false" outlineLevel="0" collapsed="false">
      <c r="A636" s="4" t="s">
        <v>390</v>
      </c>
      <c r="B636" s="0" t="s">
        <v>169</v>
      </c>
      <c r="C636" s="15" t="n">
        <f aca="false">C622+C624+C626+C619+C628+C629+C631</f>
        <v>181.163</v>
      </c>
      <c r="D636" s="15" t="n">
        <f aca="false">D622+D624+D626+D619+D628+D629+D631</f>
        <v>202</v>
      </c>
      <c r="E636" s="15" t="n">
        <f aca="false">E622+E624+E626+E619+E628+E629+E631</f>
        <v>243.88711</v>
      </c>
      <c r="F636" s="15" t="n">
        <f aca="false">F622+F624+F626+F619+F628+F629+F631</f>
        <v>269.23559796202</v>
      </c>
      <c r="G636" s="15" t="n">
        <f aca="false">G622+G624+G626+G619+G628+G629+G631</f>
        <v>281.685036099</v>
      </c>
    </row>
    <row r="637" customFormat="false" ht="15" hidden="false" customHeight="false" outlineLevel="0" collapsed="false">
      <c r="A637" s="4" t="s">
        <v>406</v>
      </c>
      <c r="B637" s="0" t="s">
        <v>77</v>
      </c>
      <c r="C637" s="16" t="n">
        <f aca="false">C636/C633</f>
        <v>0.114390873633517</v>
      </c>
      <c r="D637" s="16" t="n">
        <f aca="false">D636/D633</f>
        <v>0.11662817551963</v>
      </c>
      <c r="E637" s="16" t="n">
        <f aca="false">E636/E633</f>
        <v>0.131790577972486</v>
      </c>
      <c r="F637" s="16" t="n">
        <f aca="false">F636/F633</f>
        <v>0.137650181333899</v>
      </c>
      <c r="G637" s="16" t="n">
        <f aca="false">G636/G633</f>
        <v>0.137197718546905</v>
      </c>
    </row>
    <row r="638" customFormat="false" ht="17.15" hidden="false" customHeight="false" outlineLevel="0" collapsed="false">
      <c r="A638" s="0" t="s">
        <v>512</v>
      </c>
      <c r="B638" s="0" t="s">
        <v>77</v>
      </c>
      <c r="C638" s="16" t="n">
        <f aca="false">C619/C636</f>
        <v>0.301386044611758</v>
      </c>
      <c r="D638" s="16" t="n">
        <f aca="false">D619/D636</f>
        <v>0.324257425742574</v>
      </c>
      <c r="E638" s="16" t="n">
        <f aca="false">E619/E636</f>
        <v>0.408655463587231</v>
      </c>
      <c r="F638" s="16" t="n">
        <f aca="false">F619/F636</f>
        <v>0.441683007604347</v>
      </c>
      <c r="G638" s="16" t="n">
        <f aca="false">G619/G636</f>
        <v>0.443774489590091</v>
      </c>
    </row>
    <row r="639" customFormat="false" ht="17.15" hidden="false" customHeight="false" outlineLevel="0" collapsed="false">
      <c r="A639" s="4" t="s">
        <v>407</v>
      </c>
      <c r="B639" s="0" t="s">
        <v>52</v>
      </c>
      <c r="C639" s="21" t="n">
        <f aca="false">q25_ni/q25_bp</f>
        <v>0.743391310587703</v>
      </c>
      <c r="D639" s="21" t="n">
        <f aca="false">q26_ni/q26_bp</f>
        <v>0.611386138613861</v>
      </c>
      <c r="E639" s="21" t="n">
        <f aca="false">ni_bp</f>
        <v>0.62</v>
      </c>
      <c r="F639" s="21" t="n">
        <f aca="false">ni_bp</f>
        <v>0.62</v>
      </c>
      <c r="G639" s="21" t="n">
        <f aca="false">ni_bp</f>
        <v>0.62</v>
      </c>
    </row>
    <row r="640" customFormat="false" ht="15" hidden="false" customHeight="false" outlineLevel="0" collapsed="false">
      <c r="A640" s="4" t="s">
        <v>397</v>
      </c>
      <c r="B640" s="0" t="s">
        <v>169</v>
      </c>
      <c r="C640" s="15" t="n">
        <f aca="false">q25_ni</f>
        <v>134.675</v>
      </c>
      <c r="D640" s="15" t="n">
        <f aca="false">q26_ni</f>
        <v>123.5</v>
      </c>
      <c r="E640" s="15" t="n">
        <f aca="false">E636*E639</f>
        <v>151.2100082</v>
      </c>
      <c r="F640" s="15" t="n">
        <f aca="false">F636*F639</f>
        <v>166.926070736452</v>
      </c>
      <c r="G640" s="15" t="n">
        <f aca="false">G636*G639</f>
        <v>174.64472238138</v>
      </c>
      <c r="H640" s="23" t="n">
        <f aca="false">H633*H644</f>
        <v>186.044733339712</v>
      </c>
      <c r="I640" s="23" t="n">
        <f aca="false">I633*I644</f>
        <v>198.809754600357</v>
      </c>
      <c r="J640" s="23" t="n">
        <f aca="false">J633*J644</f>
        <v>213.114532255596</v>
      </c>
    </row>
    <row r="641" customFormat="false" ht="15" hidden="false" customHeight="false" outlineLevel="0" collapsed="false">
      <c r="A641" s="4" t="s">
        <v>513</v>
      </c>
      <c r="B641" s="4" t="s">
        <v>316</v>
      </c>
      <c r="C641" s="19" t="n">
        <f aca="false">q25_sh</f>
        <v>0.973366579936398</v>
      </c>
      <c r="D641" s="19" t="n">
        <f aca="false">q26_sh</f>
        <v>0.95117067159581</v>
      </c>
      <c r="E641" s="19" t="n">
        <f aca="false">D641*(1+sh_g)</f>
        <v>0.936903111521873</v>
      </c>
      <c r="F641" s="19" t="n">
        <f aca="false">E641*(1+sh_g)</f>
        <v>0.922849564849045</v>
      </c>
      <c r="G641" s="19" t="n">
        <f aca="false">F641*(1+sh_g)</f>
        <v>0.909006821376309</v>
      </c>
      <c r="H641" s="29" t="n">
        <f aca="false">G641*(1+sh_g)</f>
        <v>0.895371719055665</v>
      </c>
      <c r="I641" s="29" t="n">
        <f aca="false">H641*(1+sh_g)</f>
        <v>0.88194114326983</v>
      </c>
      <c r="J641" s="29" t="n">
        <f aca="false">I641*(1+sh_g)</f>
        <v>0.868712026120782</v>
      </c>
    </row>
    <row r="642" customFormat="false" ht="17.15" hidden="false" customHeight="false" outlineLevel="0" collapsed="false">
      <c r="A642" s="0" t="s">
        <v>514</v>
      </c>
      <c r="B642" s="0" t="s">
        <v>207</v>
      </c>
      <c r="C642" s="20" t="n">
        <f aca="false">C640/C641</f>
        <v>138.36</v>
      </c>
      <c r="D642" s="20" t="n">
        <f aca="false">D640/D641</f>
        <v>129.84</v>
      </c>
      <c r="E642" s="20" t="n">
        <f aca="false">E640/E641</f>
        <v>161.393431551721</v>
      </c>
      <c r="F642" s="20" t="n">
        <f aca="false">F640/F641</f>
        <v>180.881128511728</v>
      </c>
      <c r="G642" s="20" t="n">
        <f aca="false">G640/G641</f>
        <v>192.126965688722</v>
      </c>
      <c r="H642" s="27" t="n">
        <f aca="false">H640/H641</f>
        <v>207.784911428664</v>
      </c>
      <c r="I642" s="27" t="n">
        <f aca="false">I640/I641</f>
        <v>225.422927728786</v>
      </c>
      <c r="J642" s="27" t="n">
        <f aca="false">J640/J641</f>
        <v>245.322415078395</v>
      </c>
    </row>
    <row r="643" customFormat="false" ht="17.15" hidden="false" customHeight="false" outlineLevel="0" collapsed="false">
      <c r="A643" s="0" t="s">
        <v>515</v>
      </c>
      <c r="B643" s="0" t="s">
        <v>77</v>
      </c>
      <c r="D643" s="16" t="n">
        <f aca="false">D642/C642-1</f>
        <v>-0.0615784908933218</v>
      </c>
      <c r="E643" s="16" t="n">
        <f aca="false">E642/D642-1</f>
        <v>0.243017803078567</v>
      </c>
      <c r="F643" s="16" t="n">
        <f aca="false">F642/E642-1</f>
        <v>0.120746530838596</v>
      </c>
      <c r="G643" s="16" t="n">
        <f aca="false">G642/F642-1</f>
        <v>0.062172528828869</v>
      </c>
      <c r="H643" s="24" t="n">
        <f aca="false">H642/G642-1</f>
        <v>0.0814979078226372</v>
      </c>
      <c r="I643" s="24" t="n">
        <f aca="false">I642/H642-1</f>
        <v>0.0848859341077659</v>
      </c>
      <c r="J643" s="24" t="n">
        <f aca="false">J642/I642-1</f>
        <v>0.0882762350312079</v>
      </c>
    </row>
    <row r="644" customFormat="false" ht="15" hidden="false" customHeight="false" outlineLevel="0" collapsed="false">
      <c r="A644" s="4" t="s">
        <v>516</v>
      </c>
      <c r="B644" s="0" t="s">
        <v>77</v>
      </c>
      <c r="C644" s="25" t="n">
        <f aca="false">C640/C633</f>
        <v>0.0850371814696925</v>
      </c>
      <c r="D644" s="25" t="n">
        <f aca="false">D640/D633</f>
        <v>0.0713048498845266</v>
      </c>
      <c r="E644" s="25" t="n">
        <f aca="false">E640/E633</f>
        <v>0.0817101583429412</v>
      </c>
      <c r="F644" s="25" t="n">
        <f aca="false">F640/F633</f>
        <v>0.0853431124270176</v>
      </c>
      <c r="G644" s="25" t="n">
        <f aca="false">G640/G633</f>
        <v>0.0850625854990809</v>
      </c>
      <c r="H644" s="26" t="n">
        <f aca="false">$G644+(fade_mA-$G644)*1/3</f>
        <v>0.0860438420478766</v>
      </c>
      <c r="I644" s="26" t="n">
        <f aca="false">$G644+(fade_mA-$G644)*2/3</f>
        <v>0.0870250985966723</v>
      </c>
      <c r="J644" s="26" t="n">
        <f aca="false">$G644+(fade_mA-$G644)*3/3</f>
        <v>0.088006355145468</v>
      </c>
    </row>
    <row r="645" customFormat="false" ht="17.15" hidden="false" customHeight="false" outlineLevel="0" collapsed="false">
      <c r="A645" s="0" t="s">
        <v>517</v>
      </c>
      <c r="B645" s="0" t="s">
        <v>207</v>
      </c>
      <c r="D645" s="20" t="n">
        <f aca="false">D619*D639/D641</f>
        <v>42.1015841584158</v>
      </c>
      <c r="E645" s="20" t="n">
        <f aca="false">E619*E639/E641</f>
        <v>65.9543075907027</v>
      </c>
      <c r="F645" s="20" t="n">
        <f aca="false">F619*F639/F641</f>
        <v>79.8921208599283</v>
      </c>
      <c r="G645" s="20" t="n">
        <f aca="false">G619*G639/G641</f>
        <v>85.2610461350053</v>
      </c>
      <c r="K645" s="8" t="s">
        <v>518</v>
      </c>
    </row>
    <row r="646" customFormat="false" ht="17.15" hidden="false" customHeight="false" outlineLevel="0" collapsed="false">
      <c r="A646" s="0" t="s">
        <v>519</v>
      </c>
      <c r="B646" s="0" t="s">
        <v>207</v>
      </c>
      <c r="D646" s="20" t="n">
        <f aca="false">D642-D645</f>
        <v>87.7384158415842</v>
      </c>
      <c r="E646" s="20" t="n">
        <f aca="false">E642-E645</f>
        <v>95.4391239610185</v>
      </c>
      <c r="F646" s="20" t="n">
        <f aca="false">F642-F645</f>
        <v>100.9890076518</v>
      </c>
      <c r="G646" s="20" t="n">
        <f aca="false">G642-G645</f>
        <v>106.865919553716</v>
      </c>
    </row>
    <row r="647" customFormat="false" ht="17.15" hidden="false" customHeight="false" outlineLevel="0" collapsed="false">
      <c r="A647" s="0" t="s">
        <v>520</v>
      </c>
      <c r="B647" s="0" t="s">
        <v>432</v>
      </c>
      <c r="D647" s="15" t="n">
        <f aca="false">D615/D605*1000/150</f>
        <v>23.5087719298246</v>
      </c>
      <c r="E647" s="15" t="n">
        <f aca="false">E615/E605*1000/150</f>
        <v>30.1617621884116</v>
      </c>
      <c r="F647" s="15" t="n">
        <f aca="false">F615/F605*1000/150</f>
        <v>36.5143464561404</v>
      </c>
      <c r="G647" s="15" t="n">
        <f aca="false">G615/G605*1000/150</f>
        <v>39.9173947725016</v>
      </c>
      <c r="K647" s="8" t="s">
        <v>521</v>
      </c>
    </row>
    <row r="650" customFormat="false" ht="17.15" hidden="false" customHeight="false" outlineLevel="0" collapsed="false">
      <c r="A650" s="1" t="s">
        <v>875</v>
      </c>
    </row>
    <row r="651" customFormat="false" ht="17.15" hidden="false" customHeight="false" outlineLevel="0" collapsed="false">
      <c r="A651" s="5" t="s">
        <v>19</v>
      </c>
      <c r="B651" s="5" t="s">
        <v>20</v>
      </c>
      <c r="C651" s="14" t="s">
        <v>374</v>
      </c>
      <c r="D651" s="14" t="s">
        <v>447</v>
      </c>
      <c r="E651" s="14" t="s">
        <v>412</v>
      </c>
      <c r="F651" s="14" t="s">
        <v>413</v>
      </c>
      <c r="G651" s="14" t="s">
        <v>414</v>
      </c>
      <c r="H651" s="14" t="s">
        <v>448</v>
      </c>
      <c r="I651" s="14" t="s">
        <v>449</v>
      </c>
      <c r="J651" s="14" t="s">
        <v>450</v>
      </c>
      <c r="K651" s="5" t="s">
        <v>379</v>
      </c>
    </row>
    <row r="652" customFormat="false" ht="17.15" hidden="false" customHeight="false" outlineLevel="0" collapsed="false">
      <c r="A652" s="6" t="s">
        <v>470</v>
      </c>
    </row>
    <row r="653" customFormat="false" ht="17.15" hidden="false" customHeight="false" outlineLevel="0" collapsed="false">
      <c r="A653" s="0" t="s">
        <v>471</v>
      </c>
      <c r="B653" s="4" t="s">
        <v>30</v>
      </c>
      <c r="D653" s="20" t="n">
        <f aca="false">unv_26</f>
        <v>7.6</v>
      </c>
      <c r="E653" s="20" t="n">
        <f aca="false">unv_27</f>
        <v>9.7</v>
      </c>
      <c r="F653" s="20" t="n">
        <f aca="false">unv_28*um28_A</f>
        <v>9.5</v>
      </c>
      <c r="G653" s="20" t="n">
        <f aca="false">unv_29*um29_A</f>
        <v>10.6</v>
      </c>
      <c r="K653" s="8" t="s">
        <v>472</v>
      </c>
    </row>
    <row r="654" customFormat="false" ht="17.15" hidden="false" customHeight="false" outlineLevel="0" collapsed="false">
      <c r="A654" s="4" t="s">
        <v>473</v>
      </c>
      <c r="B654" s="4" t="s">
        <v>30</v>
      </c>
      <c r="D654" s="20" t="n">
        <f aca="false">uot_26</f>
        <v>7.6</v>
      </c>
      <c r="E654" s="20" t="n">
        <f aca="false">uot_27</f>
        <v>14</v>
      </c>
      <c r="F654" s="20" t="n">
        <f aca="false">uot_28*um28_A</f>
        <v>17</v>
      </c>
      <c r="G654" s="20" t="n">
        <f aca="false">uot_29*um29_A</f>
        <v>19.55</v>
      </c>
      <c r="K654" s="8" t="s">
        <v>474</v>
      </c>
    </row>
    <row r="655" customFormat="false" ht="17.15" hidden="false" customHeight="false" outlineLevel="0" collapsed="false">
      <c r="A655" s="4" t="s">
        <v>475</v>
      </c>
      <c r="B655" s="4" t="s">
        <v>30</v>
      </c>
      <c r="D655" s="20" t="n">
        <f aca="false">D653+v_ot*D654</f>
        <v>13.68</v>
      </c>
      <c r="E655" s="20" t="n">
        <f aca="false">E653+v_ot*E654</f>
        <v>20.9</v>
      </c>
      <c r="F655" s="20" t="n">
        <f aca="false">F653+v_ot*F654</f>
        <v>23.1</v>
      </c>
      <c r="G655" s="20" t="n">
        <f aca="false">G653+v_ot*G654</f>
        <v>26.24</v>
      </c>
    </row>
    <row r="656" customFormat="false" ht="17.15" hidden="false" customHeight="false" outlineLevel="0" collapsed="false">
      <c r="A656" s="4" t="s">
        <v>476</v>
      </c>
      <c r="B656" s="0" t="s">
        <v>52</v>
      </c>
      <c r="D656" s="21" t="n">
        <f aca="false">1</f>
        <v>1</v>
      </c>
      <c r="E656" s="21" t="n">
        <f aca="false">D656*(1+g_asp)</f>
        <v>1.18</v>
      </c>
      <c r="F656" s="21" t="n">
        <f aca="false">E656*(1+g_asp)</f>
        <v>1.3924</v>
      </c>
      <c r="G656" s="21" t="n">
        <f aca="false">F656*(1+g_asp)</f>
        <v>1.643032</v>
      </c>
    </row>
    <row r="657" customFormat="false" ht="17.15" hidden="false" customHeight="false" outlineLevel="0" collapsed="false">
      <c r="A657" s="4" t="s">
        <v>477</v>
      </c>
      <c r="B657" s="0" t="s">
        <v>52</v>
      </c>
      <c r="D657" s="18" t="n">
        <f aca="false">1</f>
        <v>1</v>
      </c>
      <c r="E657" s="18" t="n">
        <f aca="false">rel_27</f>
        <v>1</v>
      </c>
      <c r="F657" s="18" t="n">
        <f aca="false">rel_28</f>
        <v>0.97</v>
      </c>
      <c r="G657" s="18" t="n">
        <f aca="false">rel_29</f>
        <v>0.95</v>
      </c>
    </row>
    <row r="658" customFormat="false" ht="17.15" hidden="false" customHeight="false" outlineLevel="0" collapsed="false">
      <c r="A658" s="0" t="s">
        <v>478</v>
      </c>
      <c r="B658" s="0" t="s">
        <v>52</v>
      </c>
      <c r="D658" s="21" t="n">
        <f aca="false">D655/$D655*D656*D657</f>
        <v>1</v>
      </c>
      <c r="E658" s="21" t="n">
        <f aca="false">E655/$D655*E656*E657</f>
        <v>1.80277777777778</v>
      </c>
      <c r="F658" s="21" t="n">
        <f aca="false">F655/$D655*F656*F657</f>
        <v>2.28066570175439</v>
      </c>
      <c r="G658" s="21" t="n">
        <f aca="false">G655/$D655*G656*G657</f>
        <v>2.99396942222222</v>
      </c>
      <c r="K658" s="4" t="s">
        <v>479</v>
      </c>
    </row>
    <row r="659" customFormat="false" ht="17.15" hidden="false" customHeight="false" outlineLevel="0" collapsed="false">
      <c r="A659" s="4" t="s">
        <v>480</v>
      </c>
      <c r="B659" s="0" t="s">
        <v>52</v>
      </c>
      <c r="D659" s="21" t="n">
        <f aca="false">1</f>
        <v>1</v>
      </c>
      <c r="E659" s="21" t="n">
        <f aca="false">D659*(1+g_nai_lo)</f>
        <v>0.98</v>
      </c>
      <c r="F659" s="21" t="n">
        <f aca="false">E659*(1+g_nai_lo)</f>
        <v>0.9604</v>
      </c>
      <c r="G659" s="21" t="n">
        <f aca="false">F659*(1+g_nai_lo)</f>
        <v>0.941192</v>
      </c>
    </row>
    <row r="660" customFormat="false" ht="17.15" hidden="false" customHeight="false" outlineLevel="0" collapsed="false">
      <c r="A660" s="0" t="s">
        <v>481</v>
      </c>
      <c r="B660" s="0" t="s">
        <v>52</v>
      </c>
      <c r="D660" s="21" t="n">
        <f aca="false">ai_sh*D658+(1-ai_sh)*D659</f>
        <v>1</v>
      </c>
      <c r="E660" s="21" t="n">
        <f aca="false">ai_sh*E658+(1-ai_sh)*E659</f>
        <v>1.30911111111111</v>
      </c>
      <c r="F660" s="21" t="n">
        <f aca="false">ai_sh*F658+(1-ai_sh)*F659</f>
        <v>1.48850628070175</v>
      </c>
      <c r="G660" s="21" t="n">
        <f aca="false">ai_sh*G658+(1-ai_sh)*G659</f>
        <v>1.76230296888889</v>
      </c>
    </row>
    <row r="661" customFormat="false" ht="17.15" hidden="false" customHeight="false" outlineLevel="0" collapsed="false">
      <c r="A661" s="4" t="s">
        <v>482</v>
      </c>
      <c r="B661" s="0" t="s">
        <v>52</v>
      </c>
      <c r="D661" s="21" t="n">
        <f aca="false">1</f>
        <v>1</v>
      </c>
      <c r="E661" s="21" t="n">
        <f aca="false">cap_27</f>
        <v>1.3</v>
      </c>
      <c r="F661" s="21" t="n">
        <f aca="false">cap_28</f>
        <v>1.55</v>
      </c>
      <c r="G661" s="21" t="n">
        <f aca="false">cap_29</f>
        <v>1.8</v>
      </c>
      <c r="K661" s="4" t="s">
        <v>483</v>
      </c>
    </row>
    <row r="662" customFormat="false" ht="17.15" hidden="false" customHeight="false" outlineLevel="0" collapsed="false">
      <c r="A662" s="4" t="s">
        <v>484</v>
      </c>
      <c r="B662" s="0" t="s">
        <v>52</v>
      </c>
      <c r="D662" s="21" t="n">
        <f aca="false">MIN(D660,D661)</f>
        <v>1</v>
      </c>
      <c r="E662" s="21" t="n">
        <f aca="false">MIN(E660,E661)</f>
        <v>1.3</v>
      </c>
      <c r="F662" s="21" t="n">
        <f aca="false">MIN(F660,F661)</f>
        <v>1.48850628070175</v>
      </c>
      <c r="G662" s="21" t="n">
        <f aca="false">MIN(G660,G661)</f>
        <v>1.76230296888889</v>
      </c>
    </row>
    <row r="663" customFormat="false" ht="17.15" hidden="false" customHeight="false" outlineLevel="0" collapsed="false">
      <c r="A663" s="4" t="s">
        <v>485</v>
      </c>
      <c r="B663" s="0" t="s">
        <v>77</v>
      </c>
      <c r="D663" s="16" t="n">
        <f aca="false">D662/D660</f>
        <v>1</v>
      </c>
      <c r="E663" s="16" t="n">
        <f aca="false">E662/E660</f>
        <v>0.993040230860635</v>
      </c>
      <c r="F663" s="16" t="n">
        <f aca="false">F662/F660</f>
        <v>1</v>
      </c>
      <c r="G663" s="16" t="n">
        <f aca="false">G662/G660</f>
        <v>1</v>
      </c>
      <c r="K663" s="4" t="s">
        <v>486</v>
      </c>
    </row>
    <row r="664" customFormat="false" ht="17.15" hidden="false" customHeight="false" outlineLevel="0" collapsed="false">
      <c r="A664" s="0" t="s">
        <v>487</v>
      </c>
      <c r="B664" s="0" t="s">
        <v>52</v>
      </c>
      <c r="D664" s="21" t="n">
        <f aca="false">1</f>
        <v>1</v>
      </c>
      <c r="E664" s="21" t="n">
        <f aca="false">pp_27</f>
        <v>1.12</v>
      </c>
      <c r="F664" s="21" t="n">
        <f aca="false">pp_28*sp_A</f>
        <v>1.15</v>
      </c>
      <c r="G664" s="21" t="n">
        <f aca="false">pp_29*sp_A</f>
        <v>1.12</v>
      </c>
      <c r="K664" s="8" t="s">
        <v>488</v>
      </c>
    </row>
    <row r="665" customFormat="false" ht="17.15" hidden="false" customHeight="false" outlineLevel="0" collapsed="false">
      <c r="A665" s="0" t="s">
        <v>429</v>
      </c>
      <c r="B665" s="0" t="s">
        <v>169</v>
      </c>
      <c r="D665" s="15" t="n">
        <f aca="false">q26_fm*ai_sh</f>
        <v>48.24</v>
      </c>
      <c r="E665" s="15" t="n">
        <f aca="false">q26_fm*ai_sh*E658*E663*E664</f>
        <v>96.7240251230691</v>
      </c>
      <c r="F665" s="15" t="n">
        <f aca="false">q26_fm*ai_sh*F658*F663*F664</f>
        <v>126.522210470526</v>
      </c>
      <c r="G665" s="15" t="n">
        <f aca="false">q26_fm*ai_sh*G658*G663*G664</f>
        <v>161.76057511936</v>
      </c>
      <c r="K665" s="8" t="s">
        <v>489</v>
      </c>
    </row>
    <row r="666" customFormat="false" ht="17.15" hidden="false" customHeight="false" outlineLevel="0" collapsed="false">
      <c r="A666" s="0" t="s">
        <v>490</v>
      </c>
      <c r="B666" s="0" t="s">
        <v>169</v>
      </c>
      <c r="D666" s="15" t="n">
        <f aca="false">q26_fm*(1-ai_sh)</f>
        <v>72.36</v>
      </c>
      <c r="E666" s="15" t="n">
        <f aca="false">q26_fm*(1-ai_sh)*E659*E663*E664</f>
        <v>78.8695748769309</v>
      </c>
      <c r="F666" s="15" t="n">
        <f aca="false">q26_fm*(1-ai_sh)*F659*F663*F664</f>
        <v>79.9187256</v>
      </c>
      <c r="G666" s="15" t="n">
        <f aca="false">q26_fm*(1-ai_sh)*G659*G663*G664</f>
        <v>76.2772114944</v>
      </c>
    </row>
    <row r="667" customFormat="false" ht="17.15" hidden="false" customHeight="false" outlineLevel="0" collapsed="false">
      <c r="A667" s="4" t="s">
        <v>491</v>
      </c>
      <c r="B667" s="0" t="s">
        <v>169</v>
      </c>
      <c r="C667" s="15" t="n">
        <f aca="false">q25_fm</f>
        <v>102.4512</v>
      </c>
      <c r="D667" s="15" t="n">
        <f aca="false">D665+D666</f>
        <v>120.6</v>
      </c>
      <c r="E667" s="15" t="n">
        <f aca="false">E665+E666</f>
        <v>175.5936</v>
      </c>
      <c r="F667" s="15" t="n">
        <f aca="false">F665+F666</f>
        <v>206.440936070526</v>
      </c>
      <c r="G667" s="15" t="n">
        <f aca="false">G665+G666</f>
        <v>238.03778661376</v>
      </c>
    </row>
    <row r="668" customFormat="false" ht="17.15" hidden="false" customHeight="false" outlineLevel="0" collapsed="false">
      <c r="A668" s="0" t="s">
        <v>492</v>
      </c>
      <c r="B668" s="0" t="s">
        <v>77</v>
      </c>
      <c r="C668" s="16" t="n">
        <f aca="false">q25_fmbp/q25_fm</f>
        <v>0.532936656671664</v>
      </c>
      <c r="D668" s="16" t="n">
        <f aca="false">q26_fmbp/q26_fm</f>
        <v>0.543117744610282</v>
      </c>
      <c r="E668" s="16" t="n">
        <f aca="false">1-(1-$D668)*(1+c_g)^1/E664</f>
        <v>0.579831497275527</v>
      </c>
      <c r="F668" s="16" t="n">
        <f aca="false">1-(1-$D668)*(1+c_g)^2/F664</f>
        <v>0.578516187180042</v>
      </c>
      <c r="G668" s="16" t="n">
        <f aca="false">1-(1-$D668)*(1+c_g)^3/G664</f>
        <v>0.554243235459607</v>
      </c>
      <c r="K668" s="8" t="s">
        <v>493</v>
      </c>
    </row>
    <row r="669" customFormat="false" ht="17.15" hidden="false" customHeight="false" outlineLevel="0" collapsed="false">
      <c r="A669" s="0" t="s">
        <v>455</v>
      </c>
      <c r="B669" s="0" t="s">
        <v>169</v>
      </c>
      <c r="C669" s="15" t="n">
        <f aca="false">q25_fmbp</f>
        <v>54.6</v>
      </c>
      <c r="D669" s="15" t="n">
        <f aca="false">D667*D668</f>
        <v>65.5</v>
      </c>
      <c r="E669" s="15" t="n">
        <f aca="false">E667*E668</f>
        <v>101.8147</v>
      </c>
      <c r="F669" s="15" t="n">
        <f aca="false">F667*F668</f>
        <v>119.4294232134</v>
      </c>
      <c r="G669" s="15" t="n">
        <f aca="false">G667*G668</f>
        <v>131.930833014454</v>
      </c>
    </row>
    <row r="670" customFormat="false" ht="17.15" hidden="false" customHeight="false" outlineLevel="0" collapsed="false">
      <c r="A670" s="6" t="s">
        <v>494</v>
      </c>
    </row>
    <row r="671" customFormat="false" ht="15" hidden="false" customHeight="false" outlineLevel="0" collapsed="false">
      <c r="A671" s="4" t="s">
        <v>495</v>
      </c>
      <c r="B671" s="0" t="s">
        <v>169</v>
      </c>
      <c r="C671" s="15" t="n">
        <f aca="false">q25_sf</f>
        <v>936.926</v>
      </c>
      <c r="D671" s="15" t="n">
        <f aca="false">q26_sf</f>
        <v>998.6</v>
      </c>
      <c r="E671" s="15" t="n">
        <f aca="false">D671*(1+g_sf)</f>
        <v>1038.544</v>
      </c>
      <c r="F671" s="15" t="n">
        <f aca="false">E671*(1+g_sf)</f>
        <v>1080.08576</v>
      </c>
      <c r="G671" s="15" t="n">
        <f aca="false">F671*(1+g_sf)</f>
        <v>1123.2891904</v>
      </c>
    </row>
    <row r="672" customFormat="false" ht="15" hidden="false" customHeight="false" outlineLevel="0" collapsed="false">
      <c r="A672" s="4" t="s">
        <v>496</v>
      </c>
      <c r="B672" s="0" t="s">
        <v>169</v>
      </c>
      <c r="C672" s="15" t="n">
        <f aca="false">q25_sfbp</f>
        <v>143.036</v>
      </c>
      <c r="D672" s="15" t="n">
        <f aca="false">q26_sfbp</f>
        <v>145.9</v>
      </c>
      <c r="E672" s="15" t="n">
        <f aca="false">E671*m_sf</f>
        <v>151.736</v>
      </c>
      <c r="F672" s="15" t="n">
        <f aca="false">F671*m_sf</f>
        <v>157.80544</v>
      </c>
      <c r="G672" s="15" t="n">
        <f aca="false">G671*m_sf</f>
        <v>164.1176576</v>
      </c>
    </row>
    <row r="673" customFormat="false" ht="15" hidden="false" customHeight="false" outlineLevel="0" collapsed="false">
      <c r="A673" s="4" t="s">
        <v>497</v>
      </c>
      <c r="B673" s="0" t="s">
        <v>169</v>
      </c>
      <c r="C673" s="15" t="n">
        <f aca="false">q25_ff</f>
        <v>290.308</v>
      </c>
      <c r="D673" s="15" t="n">
        <f aca="false">q26_ff</f>
        <v>310.6</v>
      </c>
      <c r="E673" s="15" t="n">
        <f aca="false">D673*(1+g_ff)</f>
        <v>319.918</v>
      </c>
      <c r="F673" s="15" t="n">
        <f aca="false">E673*(1+g_ff)</f>
        <v>329.51554</v>
      </c>
      <c r="G673" s="15" t="n">
        <f aca="false">F673*(1+g_ff)</f>
        <v>339.4010062</v>
      </c>
    </row>
    <row r="674" customFormat="false" ht="15" hidden="false" customHeight="false" outlineLevel="0" collapsed="false">
      <c r="A674" s="4" t="s">
        <v>498</v>
      </c>
      <c r="B674" s="0" t="s">
        <v>169</v>
      </c>
      <c r="C674" s="15" t="n">
        <f aca="false">q25_ffbp</f>
        <v>8.457</v>
      </c>
      <c r="D674" s="15" t="n">
        <f aca="false">q26_ffbp</f>
        <v>12.1</v>
      </c>
      <c r="E674" s="15" t="n">
        <f aca="false">E673*m_ff</f>
        <v>14.39631</v>
      </c>
      <c r="F674" s="15" t="n">
        <f aca="false">F673*m_ff</f>
        <v>14.8281993</v>
      </c>
      <c r="G674" s="15" t="n">
        <f aca="false">G673*m_ff</f>
        <v>15.273045279</v>
      </c>
    </row>
    <row r="675" customFormat="false" ht="17.15" hidden="false" customHeight="false" outlineLevel="0" collapsed="false">
      <c r="A675" s="4" t="s">
        <v>499</v>
      </c>
      <c r="B675" s="0" t="s">
        <v>169</v>
      </c>
      <c r="C675" s="15" t="n">
        <f aca="false">q25_hox</f>
        <v>239.0528</v>
      </c>
      <c r="D675" s="15" t="n">
        <f aca="false">q26_hox</f>
        <v>286.2</v>
      </c>
      <c r="E675" s="15" t="n">
        <f aca="false">D675*(1+g_ho)</f>
        <v>300.51</v>
      </c>
      <c r="F675" s="15" t="n">
        <f aca="false">E675*(1+g_ho)</f>
        <v>315.5355</v>
      </c>
      <c r="G675" s="15" t="n">
        <f aca="false">F675*(1+g_ho)</f>
        <v>331.312275</v>
      </c>
    </row>
    <row r="676" customFormat="false" ht="17.15" hidden="false" customHeight="false" outlineLevel="0" collapsed="false">
      <c r="A676" s="4" t="s">
        <v>500</v>
      </c>
      <c r="B676" s="0" t="s">
        <v>169</v>
      </c>
      <c r="C676" s="15" t="n">
        <f aca="false">q25_hoxbp</f>
        <v>11.602</v>
      </c>
      <c r="D676" s="15" t="n">
        <f aca="false">q26_hoxbp</f>
        <v>19.5</v>
      </c>
      <c r="E676" s="15" t="n">
        <f aca="false">E675*m_ho</f>
        <v>20.475</v>
      </c>
      <c r="F676" s="15" t="n">
        <f aca="false">F675*m_ho</f>
        <v>21.49875</v>
      </c>
      <c r="G676" s="15" t="n">
        <f aca="false">G675*m_ho</f>
        <v>22.5736875</v>
      </c>
    </row>
    <row r="677" customFormat="false" ht="17.15" hidden="false" customHeight="false" outlineLevel="0" collapsed="false">
      <c r="A677" s="4" t="s">
        <v>501</v>
      </c>
      <c r="B677" s="0" t="s">
        <v>169</v>
      </c>
      <c r="C677" s="15" t="n">
        <f aca="false">q25_oth</f>
        <v>14.979</v>
      </c>
      <c r="D677" s="15" t="n">
        <f aca="false">q26_oth</f>
        <v>15.8</v>
      </c>
      <c r="E677" s="15" t="n">
        <f aca="false">D677</f>
        <v>15.8</v>
      </c>
      <c r="F677" s="15" t="n">
        <f aca="false">E677</f>
        <v>15.8</v>
      </c>
      <c r="G677" s="15" t="n">
        <f aca="false">F677</f>
        <v>15.8</v>
      </c>
      <c r="K677" s="8" t="s">
        <v>502</v>
      </c>
    </row>
    <row r="678" customFormat="false" ht="15" hidden="false" customHeight="false" outlineLevel="0" collapsed="false">
      <c r="A678" s="4" t="s">
        <v>503</v>
      </c>
      <c r="B678" s="0" t="s">
        <v>169</v>
      </c>
      <c r="C678" s="15" t="n">
        <f aca="false">q25_othbp</f>
        <v>6.064</v>
      </c>
      <c r="D678" s="15" t="n">
        <f aca="false">q26_othbp</f>
        <v>5.1</v>
      </c>
      <c r="E678" s="15" t="n">
        <f aca="false">q26_othbp</f>
        <v>5.1</v>
      </c>
      <c r="F678" s="15" t="n">
        <f aca="false">q26_othbp</f>
        <v>5.1</v>
      </c>
      <c r="G678" s="15" t="n">
        <f aca="false">q26_othbp</f>
        <v>5.1</v>
      </c>
    </row>
    <row r="679" customFormat="false" ht="15" hidden="false" customHeight="false" outlineLevel="0" collapsed="false">
      <c r="A679" s="4" t="s">
        <v>504</v>
      </c>
      <c r="B679" s="0" t="s">
        <v>169</v>
      </c>
      <c r="C679" s="15" t="n">
        <f aca="false">q25_cc</f>
        <v>-42.597</v>
      </c>
      <c r="D679" s="15" t="n">
        <f aca="false">q26_cc</f>
        <v>-46.2</v>
      </c>
      <c r="E679" s="15" t="n">
        <f aca="false">D679*(1+g_cc)</f>
        <v>-47.586</v>
      </c>
      <c r="F679" s="15" t="n">
        <f aca="false">E679*(1+g_cc)</f>
        <v>-49.01358</v>
      </c>
      <c r="G679" s="15" t="n">
        <f aca="false">F679*(1+g_cc)</f>
        <v>-50.4839874</v>
      </c>
    </row>
    <row r="680" customFormat="false" ht="17.15" hidden="false" customHeight="false" outlineLevel="0" collapsed="false">
      <c r="A680" s="4" t="s">
        <v>505</v>
      </c>
      <c r="B680" s="0" t="s">
        <v>169</v>
      </c>
      <c r="C680" s="28" t="n">
        <f aca="false">a_rev-(q25_sf+q25_ff+q25_hox+q25_fm+q25_oth)</f>
        <v>0.00200000000018008</v>
      </c>
      <c r="D680" s="28" t="n">
        <f aca="false">f_rev-(q26_sf+q26_ff+q26_hox+q26_fm+q26_oth)</f>
        <v>0.200000000000045</v>
      </c>
      <c r="E680" s="28" t="n">
        <f aca="false">$D680</f>
        <v>0.200000000000045</v>
      </c>
      <c r="F680" s="28" t="n">
        <f aca="false">$D680</f>
        <v>0.200000000000045</v>
      </c>
      <c r="G680" s="28" t="n">
        <f aca="false">$D680</f>
        <v>0.200000000000045</v>
      </c>
      <c r="K680" s="8" t="s">
        <v>506</v>
      </c>
    </row>
    <row r="681" customFormat="false" ht="15" hidden="false" customHeight="false" outlineLevel="0" collapsed="false">
      <c r="A681" s="4" t="s">
        <v>507</v>
      </c>
      <c r="B681" s="0" t="s">
        <v>169</v>
      </c>
      <c r="C681" s="28" t="n">
        <f aca="false">a_bp-(q25_sfbp+q25_ffbp+q25_hoxbp+q25_fmbp+q25_othbp+q25_cc)</f>
        <v>0.0010000000000332</v>
      </c>
      <c r="D681" s="28" t="n">
        <f aca="false">f_bp-(q26_sfbp+q26_ffbp+q26_hoxbp+q26_fmbp+q26_othbp+q26_cc)</f>
        <v>0.100000000000023</v>
      </c>
      <c r="E681" s="28" t="n">
        <f aca="false">$D681</f>
        <v>0.100000000000023</v>
      </c>
      <c r="F681" s="28" t="n">
        <f aca="false">$D681</f>
        <v>0.100000000000023</v>
      </c>
      <c r="G681" s="28" t="n">
        <f aca="false">$D681</f>
        <v>0.100000000000023</v>
      </c>
    </row>
    <row r="682" customFormat="false" ht="17.15" hidden="false" customHeight="false" outlineLevel="0" collapsed="false">
      <c r="A682" s="6" t="s">
        <v>508</v>
      </c>
    </row>
    <row r="683" customFormat="false" ht="17.15" hidden="false" customHeight="false" outlineLevel="0" collapsed="false">
      <c r="A683" s="4" t="s">
        <v>380</v>
      </c>
      <c r="B683" s="0" t="s">
        <v>169</v>
      </c>
      <c r="C683" s="15" t="n">
        <f aca="false">C671+C673+C675+C667+C677+C680</f>
        <v>1583.719</v>
      </c>
      <c r="D683" s="15" t="n">
        <f aca="false">D671+D673+D675+D667+D677+D680</f>
        <v>1732</v>
      </c>
      <c r="E683" s="15" t="n">
        <f aca="false">E671+E673+E675+E667+E677+E680</f>
        <v>1850.5656</v>
      </c>
      <c r="F683" s="15" t="n">
        <f aca="false">F671+F673+F675+F667+F677+F680</f>
        <v>1947.57773607053</v>
      </c>
      <c r="G683" s="15" t="n">
        <f aca="false">G671+G673+G675+G667+G677+G680</f>
        <v>2048.04025821376</v>
      </c>
      <c r="H683" s="23" t="n">
        <f aca="false">G683*(1+H684)</f>
        <v>2159.43087164033</v>
      </c>
      <c r="I683" s="23" t="n">
        <f aca="false">H683*(1+I684)</f>
        <v>2282.9383097906</v>
      </c>
      <c r="J683" s="23" t="n">
        <f aca="false">I683*(1+J684)</f>
        <v>2419.91460837804</v>
      </c>
      <c r="K683" s="8" t="s">
        <v>509</v>
      </c>
    </row>
    <row r="684" customFormat="false" ht="15" hidden="false" customHeight="false" outlineLevel="0" collapsed="false">
      <c r="A684" s="4" t="s">
        <v>510</v>
      </c>
      <c r="B684" s="0" t="s">
        <v>77</v>
      </c>
      <c r="D684" s="16" t="n">
        <f aca="false">D683/C683-1</f>
        <v>0.0936283519993131</v>
      </c>
      <c r="E684" s="16" t="n">
        <f aca="false">E683/D683-1</f>
        <v>0.0684558891454965</v>
      </c>
      <c r="F684" s="16" t="n">
        <f aca="false">F683/E683-1</f>
        <v>0.0524229652115691</v>
      </c>
      <c r="G684" s="16" t="n">
        <f aca="false">G683/F683-1</f>
        <v>0.0515833182330012</v>
      </c>
      <c r="H684" s="24" t="n">
        <f aca="false">$G684+(fade_gA-$G684)*1/3</f>
        <v>0.0543888788220008</v>
      </c>
      <c r="I684" s="24" t="n">
        <f aca="false">$G684+(fade_gA-$G684)*2/3</f>
        <v>0.0571944394110004</v>
      </c>
      <c r="J684" s="24" t="n">
        <f aca="false">$G684+(fade_gA-$G684)*3/3</f>
        <v>0.06</v>
      </c>
    </row>
    <row r="685" customFormat="false" ht="17.15" hidden="false" customHeight="false" outlineLevel="0" collapsed="false">
      <c r="A685" s="0" t="s">
        <v>511</v>
      </c>
      <c r="B685" s="0" t="s">
        <v>77</v>
      </c>
      <c r="C685" s="16" t="n">
        <f aca="false">C667/C683</f>
        <v>0.0646902638662541</v>
      </c>
      <c r="D685" s="16" t="n">
        <f aca="false">D667/D683</f>
        <v>0.0696304849884527</v>
      </c>
      <c r="E685" s="16" t="n">
        <f aca="false">E667/E683</f>
        <v>0.0948864498507916</v>
      </c>
      <c r="F685" s="16" t="n">
        <f aca="false">F667/F683</f>
        <v>0.10599881701618</v>
      </c>
      <c r="G685" s="16" t="n">
        <f aca="false">G667/G683</f>
        <v>0.116227103280367</v>
      </c>
    </row>
    <row r="686" customFormat="false" ht="15" hidden="false" customHeight="false" outlineLevel="0" collapsed="false">
      <c r="A686" s="4" t="s">
        <v>390</v>
      </c>
      <c r="B686" s="0" t="s">
        <v>169</v>
      </c>
      <c r="C686" s="15" t="n">
        <f aca="false">C672+C674+C676+C669+C678+C679+C681</f>
        <v>181.163</v>
      </c>
      <c r="D686" s="15" t="n">
        <f aca="false">D672+D674+D676+D669+D678+D679+D681</f>
        <v>202</v>
      </c>
      <c r="E686" s="15" t="n">
        <f aca="false">E672+E674+E676+E669+E678+E679+E681</f>
        <v>246.03601</v>
      </c>
      <c r="F686" s="15" t="n">
        <f aca="false">F672+F674+F676+F669+F678+F679+F681</f>
        <v>269.7482325134</v>
      </c>
      <c r="G686" s="15" t="n">
        <f aca="false">G672+G674+G676+G669+G678+G679+G681</f>
        <v>288.611235993454</v>
      </c>
    </row>
    <row r="687" customFormat="false" ht="15" hidden="false" customHeight="false" outlineLevel="0" collapsed="false">
      <c r="A687" s="4" t="s">
        <v>406</v>
      </c>
      <c r="B687" s="0" t="s">
        <v>77</v>
      </c>
      <c r="C687" s="16" t="n">
        <f aca="false">C686/C683</f>
        <v>0.114390873633517</v>
      </c>
      <c r="D687" s="16" t="n">
        <f aca="false">D686/D683</f>
        <v>0.11662817551963</v>
      </c>
      <c r="E687" s="16" t="n">
        <f aca="false">E686/E683</f>
        <v>0.132951790522854</v>
      </c>
      <c r="F687" s="16" t="n">
        <f aca="false">F686/F683</f>
        <v>0.138504475337477</v>
      </c>
      <c r="G687" s="16" t="n">
        <f aca="false">G686/G683</f>
        <v>0.140920684950389</v>
      </c>
    </row>
    <row r="688" customFormat="false" ht="17.15" hidden="false" customHeight="false" outlineLevel="0" collapsed="false">
      <c r="A688" s="0" t="s">
        <v>512</v>
      </c>
      <c r="B688" s="0" t="s">
        <v>77</v>
      </c>
      <c r="C688" s="16" t="n">
        <f aca="false">C669/C686</f>
        <v>0.301386044611758</v>
      </c>
      <c r="D688" s="16" t="n">
        <f aca="false">D669/D686</f>
        <v>0.324257425742574</v>
      </c>
      <c r="E688" s="16" t="n">
        <f aca="false">E669/E686</f>
        <v>0.413820318415991</v>
      </c>
      <c r="F688" s="16" t="n">
        <f aca="false">F669/F686</f>
        <v>0.442744043586892</v>
      </c>
      <c r="G688" s="16" t="n">
        <f aca="false">G669/G686</f>
        <v>0.457122996477678</v>
      </c>
    </row>
    <row r="689" customFormat="false" ht="17.15" hidden="false" customHeight="false" outlineLevel="0" collapsed="false">
      <c r="A689" s="4" t="s">
        <v>407</v>
      </c>
      <c r="B689" s="0" t="s">
        <v>52</v>
      </c>
      <c r="C689" s="21" t="n">
        <f aca="false">q25_ni/q25_bp</f>
        <v>0.743391310587703</v>
      </c>
      <c r="D689" s="21" t="n">
        <f aca="false">q26_ni/q26_bp</f>
        <v>0.611386138613861</v>
      </c>
      <c r="E689" s="21" t="n">
        <f aca="false">ni_bp</f>
        <v>0.62</v>
      </c>
      <c r="F689" s="21" t="n">
        <f aca="false">ni_bp</f>
        <v>0.62</v>
      </c>
      <c r="G689" s="21" t="n">
        <f aca="false">ni_bp</f>
        <v>0.62</v>
      </c>
    </row>
    <row r="690" customFormat="false" ht="15" hidden="false" customHeight="false" outlineLevel="0" collapsed="false">
      <c r="A690" s="4" t="s">
        <v>397</v>
      </c>
      <c r="B690" s="0" t="s">
        <v>169</v>
      </c>
      <c r="C690" s="15" t="n">
        <f aca="false">q25_ni</f>
        <v>134.675</v>
      </c>
      <c r="D690" s="15" t="n">
        <f aca="false">q26_ni</f>
        <v>123.5</v>
      </c>
      <c r="E690" s="15" t="n">
        <f aca="false">E686*E689</f>
        <v>152.5423262</v>
      </c>
      <c r="F690" s="15" t="n">
        <f aca="false">F686*F689</f>
        <v>167.243904158308</v>
      </c>
      <c r="G690" s="15" t="n">
        <f aca="false">G686*G689</f>
        <v>178.938966315941</v>
      </c>
      <c r="H690" s="23" t="n">
        <f aca="false">H683*H694</f>
        <v>189.128717448178</v>
      </c>
      <c r="I690" s="23" t="n">
        <f aca="false">I683*I694</f>
        <v>200.429454042887</v>
      </c>
      <c r="J690" s="23" t="n">
        <f aca="false">J683*J694</f>
        <v>212.967864446624</v>
      </c>
    </row>
    <row r="691" customFormat="false" ht="15" hidden="false" customHeight="false" outlineLevel="0" collapsed="false">
      <c r="A691" s="4" t="s">
        <v>513</v>
      </c>
      <c r="B691" s="4" t="s">
        <v>316</v>
      </c>
      <c r="C691" s="19" t="n">
        <f aca="false">q25_sh</f>
        <v>0.973366579936398</v>
      </c>
      <c r="D691" s="19" t="n">
        <f aca="false">q26_sh</f>
        <v>0.95117067159581</v>
      </c>
      <c r="E691" s="19" t="n">
        <f aca="false">D691*(1+sh_g)</f>
        <v>0.936903111521873</v>
      </c>
      <c r="F691" s="19" t="n">
        <f aca="false">E691*(1+sh_g)</f>
        <v>0.922849564849045</v>
      </c>
      <c r="G691" s="19" t="n">
        <f aca="false">F691*(1+sh_g)</f>
        <v>0.909006821376309</v>
      </c>
      <c r="H691" s="29" t="n">
        <f aca="false">G691*(1+sh_g)</f>
        <v>0.895371719055665</v>
      </c>
      <c r="I691" s="29" t="n">
        <f aca="false">H691*(1+sh_g)</f>
        <v>0.88194114326983</v>
      </c>
      <c r="J691" s="29" t="n">
        <f aca="false">I691*(1+sh_g)</f>
        <v>0.868712026120782</v>
      </c>
    </row>
    <row r="692" customFormat="false" ht="17.15" hidden="false" customHeight="false" outlineLevel="0" collapsed="false">
      <c r="A692" s="0" t="s">
        <v>514</v>
      </c>
      <c r="B692" s="0" t="s">
        <v>207</v>
      </c>
      <c r="C692" s="20" t="n">
        <f aca="false">C690/C691</f>
        <v>138.36</v>
      </c>
      <c r="D692" s="20" t="n">
        <f aca="false">D690/D691</f>
        <v>129.84</v>
      </c>
      <c r="E692" s="20" t="n">
        <f aca="false">E690/E691</f>
        <v>162.815476140554</v>
      </c>
      <c r="F692" s="20" t="n">
        <f aca="false">F690/F691</f>
        <v>181.225532880502</v>
      </c>
      <c r="G692" s="20" t="n">
        <f aca="false">G690/G691</f>
        <v>196.851070979878</v>
      </c>
      <c r="H692" s="27" t="n">
        <f aca="false">H690/H691</f>
        <v>211.229273186838</v>
      </c>
      <c r="I692" s="27" t="n">
        <f aca="false">I690/I691</f>
        <v>227.259444207113</v>
      </c>
      <c r="J692" s="27" t="n">
        <f aca="false">J690/J691</f>
        <v>245.153581443586</v>
      </c>
    </row>
    <row r="693" customFormat="false" ht="17.15" hidden="false" customHeight="false" outlineLevel="0" collapsed="false">
      <c r="A693" s="0" t="s">
        <v>515</v>
      </c>
      <c r="B693" s="0" t="s">
        <v>77</v>
      </c>
      <c r="D693" s="16" t="n">
        <f aca="false">D692/C692-1</f>
        <v>-0.0615784908933218</v>
      </c>
      <c r="E693" s="16" t="n">
        <f aca="false">E692/D692-1</f>
        <v>0.253970087342527</v>
      </c>
      <c r="F693" s="16" t="n">
        <f aca="false">F692/E692-1</f>
        <v>0.113073137617801</v>
      </c>
      <c r="G693" s="16" t="n">
        <f aca="false">G692/F692-1</f>
        <v>0.0862215045033381</v>
      </c>
      <c r="H693" s="24" t="n">
        <f aca="false">H692/G692-1</f>
        <v>0.0730410159080579</v>
      </c>
      <c r="I693" s="24" t="n">
        <f aca="false">I692/H692-1</f>
        <v>0.0758899123138852</v>
      </c>
      <c r="J693" s="24" t="n">
        <f aca="false">J692/I692-1</f>
        <v>0.078738805768467</v>
      </c>
    </row>
    <row r="694" customFormat="false" ht="15" hidden="false" customHeight="false" outlineLevel="0" collapsed="false">
      <c r="A694" s="4" t="s">
        <v>516</v>
      </c>
      <c r="B694" s="0" t="s">
        <v>77</v>
      </c>
      <c r="C694" s="25" t="n">
        <f aca="false">C690/C683</f>
        <v>0.0850371814696925</v>
      </c>
      <c r="D694" s="25" t="n">
        <f aca="false">D690/D683</f>
        <v>0.0713048498845266</v>
      </c>
      <c r="E694" s="25" t="n">
        <f aca="false">E690/E683</f>
        <v>0.0824301101241696</v>
      </c>
      <c r="F694" s="25" t="n">
        <f aca="false">F690/F683</f>
        <v>0.0858727747092358</v>
      </c>
      <c r="G694" s="25" t="n">
        <f aca="false">G690/G683</f>
        <v>0.087370824669241</v>
      </c>
      <c r="H694" s="26" t="n">
        <f aca="false">$G694+(fade_mA-$G694)*1/3</f>
        <v>0.0875826681613166</v>
      </c>
      <c r="I694" s="26" t="n">
        <f aca="false">$G694+(fade_mA-$G694)*2/3</f>
        <v>0.0877945116533923</v>
      </c>
      <c r="J694" s="26" t="n">
        <f aca="false">$G694+(fade_mA-$G694)*3/3</f>
        <v>0.088006355145468</v>
      </c>
    </row>
    <row r="695" customFormat="false" ht="17.15" hidden="false" customHeight="false" outlineLevel="0" collapsed="false">
      <c r="A695" s="0" t="s">
        <v>517</v>
      </c>
      <c r="B695" s="0" t="s">
        <v>207</v>
      </c>
      <c r="D695" s="20" t="n">
        <f aca="false">D669*D689/D691</f>
        <v>42.1015841584158</v>
      </c>
      <c r="E695" s="20" t="n">
        <f aca="false">E669*E689/E691</f>
        <v>67.3763521795352</v>
      </c>
      <c r="F695" s="20" t="n">
        <f aca="false">F669*F689/F691</f>
        <v>80.2365252287028</v>
      </c>
      <c r="G695" s="20" t="n">
        <f aca="false">G669*G689/G691</f>
        <v>89.985151426162</v>
      </c>
      <c r="K695" s="8" t="s">
        <v>518</v>
      </c>
    </row>
    <row r="696" customFormat="false" ht="17.15" hidden="false" customHeight="false" outlineLevel="0" collapsed="false">
      <c r="A696" s="0" t="s">
        <v>519</v>
      </c>
      <c r="B696" s="0" t="s">
        <v>207</v>
      </c>
      <c r="D696" s="20" t="n">
        <f aca="false">D692-D695</f>
        <v>87.7384158415842</v>
      </c>
      <c r="E696" s="20" t="n">
        <f aca="false">E692-E695</f>
        <v>95.4391239610186</v>
      </c>
      <c r="F696" s="20" t="n">
        <f aca="false">F692-F695</f>
        <v>100.9890076518</v>
      </c>
      <c r="G696" s="20" t="n">
        <f aca="false">G692-G695</f>
        <v>106.865919553716</v>
      </c>
    </row>
    <row r="697" customFormat="false" ht="17.15" hidden="false" customHeight="false" outlineLevel="0" collapsed="false">
      <c r="A697" s="0" t="s">
        <v>520</v>
      </c>
      <c r="B697" s="0" t="s">
        <v>432</v>
      </c>
      <c r="D697" s="15" t="n">
        <f aca="false">D665/D655*1000/150</f>
        <v>23.5087719298246</v>
      </c>
      <c r="E697" s="15" t="n">
        <f aca="false">E665/E655*1000/150</f>
        <v>30.8529585719519</v>
      </c>
      <c r="F697" s="15" t="n">
        <f aca="false">F665/F655*1000/150</f>
        <v>36.5143464561404</v>
      </c>
      <c r="G697" s="15" t="n">
        <f aca="false">G665/G655*1000/150</f>
        <v>41.0977070933333</v>
      </c>
      <c r="K697" s="8" t="s">
        <v>521</v>
      </c>
    </row>
    <row r="700" customFormat="false" ht="17.15" hidden="false" customHeight="false" outlineLevel="0" collapsed="false">
      <c r="A700" s="1" t="s">
        <v>876</v>
      </c>
    </row>
    <row r="701" customFormat="false" ht="17.15" hidden="false" customHeight="false" outlineLevel="0" collapsed="false">
      <c r="A701" s="5" t="s">
        <v>19</v>
      </c>
      <c r="B701" s="5" t="s">
        <v>20</v>
      </c>
      <c r="C701" s="14" t="s">
        <v>374</v>
      </c>
      <c r="D701" s="14" t="s">
        <v>447</v>
      </c>
      <c r="E701" s="14" t="s">
        <v>412</v>
      </c>
      <c r="F701" s="14" t="s">
        <v>413</v>
      </c>
      <c r="G701" s="14" t="s">
        <v>414</v>
      </c>
      <c r="H701" s="14" t="s">
        <v>448</v>
      </c>
      <c r="I701" s="14" t="s">
        <v>449</v>
      </c>
      <c r="J701" s="14" t="s">
        <v>450</v>
      </c>
      <c r="K701" s="5" t="s">
        <v>379</v>
      </c>
    </row>
    <row r="702" customFormat="false" ht="17.15" hidden="false" customHeight="false" outlineLevel="0" collapsed="false">
      <c r="A702" s="6" t="s">
        <v>470</v>
      </c>
    </row>
    <row r="703" customFormat="false" ht="17.15" hidden="false" customHeight="false" outlineLevel="0" collapsed="false">
      <c r="A703" s="0" t="s">
        <v>471</v>
      </c>
      <c r="B703" s="4" t="s">
        <v>30</v>
      </c>
      <c r="D703" s="20" t="n">
        <f aca="false">unv_26</f>
        <v>7.6</v>
      </c>
      <c r="E703" s="20" t="n">
        <f aca="false">unv_27</f>
        <v>9.7</v>
      </c>
      <c r="F703" s="20" t="n">
        <f aca="false">unv_28*um28_A</f>
        <v>9.5</v>
      </c>
      <c r="G703" s="20" t="n">
        <f aca="false">unv_29*um29_A</f>
        <v>10.6</v>
      </c>
      <c r="K703" s="8" t="s">
        <v>472</v>
      </c>
    </row>
    <row r="704" customFormat="false" ht="17.15" hidden="false" customHeight="false" outlineLevel="0" collapsed="false">
      <c r="A704" s="4" t="s">
        <v>473</v>
      </c>
      <c r="B704" s="4" t="s">
        <v>30</v>
      </c>
      <c r="D704" s="20" t="n">
        <f aca="false">uot_26</f>
        <v>7.6</v>
      </c>
      <c r="E704" s="20" t="n">
        <f aca="false">uot_27</f>
        <v>14</v>
      </c>
      <c r="F704" s="20" t="n">
        <f aca="false">uot_28*um28_A</f>
        <v>17</v>
      </c>
      <c r="G704" s="20" t="n">
        <f aca="false">uot_29*um29_A</f>
        <v>19.55</v>
      </c>
      <c r="K704" s="8" t="s">
        <v>474</v>
      </c>
    </row>
    <row r="705" customFormat="false" ht="17.15" hidden="false" customHeight="false" outlineLevel="0" collapsed="false">
      <c r="A705" s="4" t="s">
        <v>475</v>
      </c>
      <c r="B705" s="4" t="s">
        <v>30</v>
      </c>
      <c r="D705" s="20" t="n">
        <f aca="false">D703+v_ot*D704</f>
        <v>13.68</v>
      </c>
      <c r="E705" s="20" t="n">
        <f aca="false">E703+v_ot*E704</f>
        <v>20.9</v>
      </c>
      <c r="F705" s="20" t="n">
        <f aca="false">F703+v_ot*F704</f>
        <v>23.1</v>
      </c>
      <c r="G705" s="20" t="n">
        <f aca="false">G703+v_ot*G704</f>
        <v>26.24</v>
      </c>
    </row>
    <row r="706" customFormat="false" ht="17.15" hidden="false" customHeight="false" outlineLevel="0" collapsed="false">
      <c r="A706" s="4" t="s">
        <v>476</v>
      </c>
      <c r="B706" s="0" t="s">
        <v>52</v>
      </c>
      <c r="D706" s="21" t="n">
        <f aca="false">1</f>
        <v>1</v>
      </c>
      <c r="E706" s="21" t="n">
        <f aca="false">D706*(1+g_asp)</f>
        <v>1.18</v>
      </c>
      <c r="F706" s="21" t="n">
        <f aca="false">E706*(1+g_asp)</f>
        <v>1.3924</v>
      </c>
      <c r="G706" s="21" t="n">
        <f aca="false">F706*(1+g_asp)</f>
        <v>1.643032</v>
      </c>
    </row>
    <row r="707" customFormat="false" ht="17.15" hidden="false" customHeight="false" outlineLevel="0" collapsed="false">
      <c r="A707" s="4" t="s">
        <v>477</v>
      </c>
      <c r="B707" s="0" t="s">
        <v>52</v>
      </c>
      <c r="D707" s="18" t="n">
        <f aca="false">1</f>
        <v>1</v>
      </c>
      <c r="E707" s="18" t="n">
        <f aca="false">rel_27</f>
        <v>1</v>
      </c>
      <c r="F707" s="18" t="n">
        <f aca="false">rel_28</f>
        <v>0.97</v>
      </c>
      <c r="G707" s="18" t="n">
        <f aca="false">rel_29</f>
        <v>0.95</v>
      </c>
    </row>
    <row r="708" customFormat="false" ht="17.15" hidden="false" customHeight="false" outlineLevel="0" collapsed="false">
      <c r="A708" s="0" t="s">
        <v>478</v>
      </c>
      <c r="B708" s="0" t="s">
        <v>52</v>
      </c>
      <c r="D708" s="21" t="n">
        <f aca="false">D705/$D705*D706*D707</f>
        <v>1</v>
      </c>
      <c r="E708" s="21" t="n">
        <f aca="false">E705/$D705*E706*E707</f>
        <v>1.80277777777778</v>
      </c>
      <c r="F708" s="21" t="n">
        <f aca="false">F705/$D705*F706*F707</f>
        <v>2.28066570175439</v>
      </c>
      <c r="G708" s="21" t="n">
        <f aca="false">G705/$D705*G706*G707</f>
        <v>2.99396942222222</v>
      </c>
      <c r="K708" s="4" t="s">
        <v>479</v>
      </c>
    </row>
    <row r="709" customFormat="false" ht="17.15" hidden="false" customHeight="false" outlineLevel="0" collapsed="false">
      <c r="A709" s="4" t="s">
        <v>480</v>
      </c>
      <c r="B709" s="0" t="s">
        <v>52</v>
      </c>
      <c r="D709" s="21" t="n">
        <f aca="false">1</f>
        <v>1</v>
      </c>
      <c r="E709" s="21" t="n">
        <f aca="false">D709*(1+g_nai)</f>
        <v>1.03</v>
      </c>
      <c r="F709" s="21" t="n">
        <f aca="false">E709*(1+g_nai)</f>
        <v>1.0609</v>
      </c>
      <c r="G709" s="21" t="n">
        <f aca="false">F709*(1+g_nai)</f>
        <v>1.092727</v>
      </c>
    </row>
    <row r="710" customFormat="false" ht="17.15" hidden="false" customHeight="false" outlineLevel="0" collapsed="false">
      <c r="A710" s="0" t="s">
        <v>481</v>
      </c>
      <c r="B710" s="0" t="s">
        <v>52</v>
      </c>
      <c r="D710" s="21" t="n">
        <f aca="false">ai_sh*D708+(1-ai_sh)*D709</f>
        <v>1</v>
      </c>
      <c r="E710" s="21" t="n">
        <f aca="false">ai_sh*E708+(1-ai_sh)*E709</f>
        <v>1.33911111111111</v>
      </c>
      <c r="F710" s="21" t="n">
        <f aca="false">ai_sh*F708+(1-ai_sh)*F709</f>
        <v>1.54880628070175</v>
      </c>
      <c r="G710" s="21" t="n">
        <f aca="false">ai_sh*G708+(1-ai_sh)*G709</f>
        <v>1.85322396888889</v>
      </c>
    </row>
    <row r="711" customFormat="false" ht="17.15" hidden="false" customHeight="false" outlineLevel="0" collapsed="false">
      <c r="A711" s="4" t="s">
        <v>482</v>
      </c>
      <c r="B711" s="0" t="s">
        <v>52</v>
      </c>
      <c r="D711" s="21" t="n">
        <f aca="false">1</f>
        <v>1</v>
      </c>
      <c r="E711" s="21" t="n">
        <f aca="false">cap_27</f>
        <v>1.3</v>
      </c>
      <c r="F711" s="21" t="n">
        <f aca="false">cap_28</f>
        <v>1.55</v>
      </c>
      <c r="G711" s="21" t="n">
        <f aca="false">cap_29</f>
        <v>1.8</v>
      </c>
      <c r="K711" s="4" t="s">
        <v>483</v>
      </c>
    </row>
    <row r="712" customFormat="false" ht="17.15" hidden="false" customHeight="false" outlineLevel="0" collapsed="false">
      <c r="A712" s="4" t="s">
        <v>484</v>
      </c>
      <c r="B712" s="0" t="s">
        <v>52</v>
      </c>
      <c r="D712" s="21" t="n">
        <f aca="false">MIN(D710,D711)</f>
        <v>1</v>
      </c>
      <c r="E712" s="21" t="n">
        <f aca="false">MIN(E710,E711)</f>
        <v>1.3</v>
      </c>
      <c r="F712" s="21" t="n">
        <f aca="false">MIN(F710,F711)</f>
        <v>1.54880628070175</v>
      </c>
      <c r="G712" s="21" t="n">
        <f aca="false">MIN(G710,G711)</f>
        <v>1.8</v>
      </c>
    </row>
    <row r="713" customFormat="false" ht="17.15" hidden="false" customHeight="false" outlineLevel="0" collapsed="false">
      <c r="A713" s="4" t="s">
        <v>485</v>
      </c>
      <c r="B713" s="0" t="s">
        <v>77</v>
      </c>
      <c r="D713" s="16" t="n">
        <f aca="false">D712/D710</f>
        <v>1</v>
      </c>
      <c r="E713" s="16" t="n">
        <f aca="false">E712/E710</f>
        <v>0.970793229339529</v>
      </c>
      <c r="F713" s="16" t="n">
        <f aca="false">F712/F710</f>
        <v>1</v>
      </c>
      <c r="G713" s="16" t="n">
        <f aca="false">G712/G710</f>
        <v>0.971280336439422</v>
      </c>
      <c r="K713" s="4" t="s">
        <v>486</v>
      </c>
    </row>
    <row r="714" customFormat="false" ht="17.15" hidden="false" customHeight="false" outlineLevel="0" collapsed="false">
      <c r="A714" s="0" t="s">
        <v>487</v>
      </c>
      <c r="B714" s="0" t="s">
        <v>52</v>
      </c>
      <c r="D714" s="21" t="n">
        <f aca="false">1</f>
        <v>1</v>
      </c>
      <c r="E714" s="21" t="n">
        <f aca="false">pp_27</f>
        <v>1.12</v>
      </c>
      <c r="F714" s="21" t="n">
        <f aca="false">pp_28*sp_A</f>
        <v>1.15</v>
      </c>
      <c r="G714" s="21" t="n">
        <f aca="false">pp_29*sp_A</f>
        <v>1.12</v>
      </c>
      <c r="K714" s="8" t="s">
        <v>488</v>
      </c>
    </row>
    <row r="715" customFormat="false" ht="17.15" hidden="false" customHeight="false" outlineLevel="0" collapsed="false">
      <c r="A715" s="0" t="s">
        <v>429</v>
      </c>
      <c r="B715" s="0" t="s">
        <v>169</v>
      </c>
      <c r="D715" s="15" t="n">
        <f aca="false">q26_fm*ai_sh</f>
        <v>48.24</v>
      </c>
      <c r="E715" s="15" t="n">
        <f aca="false">q26_fm*ai_sh*E708*E713*E714</f>
        <v>94.5571244606705</v>
      </c>
      <c r="F715" s="15" t="n">
        <f aca="false">q26_fm*ai_sh*F708*F713*F714</f>
        <v>126.522210470526</v>
      </c>
      <c r="G715" s="15" t="n">
        <f aca="false">q26_fm*ai_sh*G708*G713*G714</f>
        <v>157.114865824566</v>
      </c>
      <c r="K715" s="8" t="s">
        <v>489</v>
      </c>
    </row>
    <row r="716" customFormat="false" ht="17.15" hidden="false" customHeight="false" outlineLevel="0" collapsed="false">
      <c r="A716" s="0" t="s">
        <v>490</v>
      </c>
      <c r="B716" s="0" t="s">
        <v>169</v>
      </c>
      <c r="D716" s="15" t="n">
        <f aca="false">q26_fm*(1-ai_sh)</f>
        <v>72.36</v>
      </c>
      <c r="E716" s="15" t="n">
        <f aca="false">q26_fm*(1-ai_sh)*E709*E713*E714</f>
        <v>81.0364755393296</v>
      </c>
      <c r="F716" s="15" t="n">
        <f aca="false">q26_fm*(1-ai_sh)*F709*F713*F714</f>
        <v>88.2817326</v>
      </c>
      <c r="G716" s="15" t="n">
        <f aca="false">q26_fm*(1-ai_sh)*G709*G713*G714</f>
        <v>86.0147341754337</v>
      </c>
    </row>
    <row r="717" customFormat="false" ht="17.15" hidden="false" customHeight="false" outlineLevel="0" collapsed="false">
      <c r="A717" s="4" t="s">
        <v>491</v>
      </c>
      <c r="B717" s="0" t="s">
        <v>169</v>
      </c>
      <c r="C717" s="15" t="n">
        <f aca="false">q25_fm</f>
        <v>102.4512</v>
      </c>
      <c r="D717" s="15" t="n">
        <f aca="false">D715+D716</f>
        <v>120.6</v>
      </c>
      <c r="E717" s="15" t="n">
        <f aca="false">E715+E716</f>
        <v>175.5936</v>
      </c>
      <c r="F717" s="15" t="n">
        <f aca="false">F715+F716</f>
        <v>214.803943070526</v>
      </c>
      <c r="G717" s="15" t="n">
        <f aca="false">G715+G716</f>
        <v>243.1296</v>
      </c>
    </row>
    <row r="718" customFormat="false" ht="17.15" hidden="false" customHeight="false" outlineLevel="0" collapsed="false">
      <c r="A718" s="0" t="s">
        <v>492</v>
      </c>
      <c r="B718" s="0" t="s">
        <v>77</v>
      </c>
      <c r="C718" s="16" t="n">
        <f aca="false">q25_fmbp/q25_fm</f>
        <v>0.532936656671664</v>
      </c>
      <c r="D718" s="16" t="n">
        <f aca="false">q26_fmbp/q26_fm</f>
        <v>0.543117744610282</v>
      </c>
      <c r="E718" s="16" t="n">
        <f aca="false">1-(1-$D718)*(1+c_g)^1/E714</f>
        <v>0.579831497275527</v>
      </c>
      <c r="F718" s="16" t="n">
        <f aca="false">1-(1-$D718)*(1+c_g)^2/F714</f>
        <v>0.578516187180042</v>
      </c>
      <c r="G718" s="16" t="n">
        <f aca="false">1-(1-$D718)*(1+c_g)^3/G714</f>
        <v>0.554243235459607</v>
      </c>
      <c r="K718" s="8" t="s">
        <v>493</v>
      </c>
    </row>
    <row r="719" customFormat="false" ht="17.15" hidden="false" customHeight="false" outlineLevel="0" collapsed="false">
      <c r="A719" s="0" t="s">
        <v>455</v>
      </c>
      <c r="B719" s="0" t="s">
        <v>169</v>
      </c>
      <c r="C719" s="15" t="n">
        <f aca="false">q25_fmbp</f>
        <v>54.6</v>
      </c>
      <c r="D719" s="15" t="n">
        <f aca="false">D717*D718</f>
        <v>65.5</v>
      </c>
      <c r="E719" s="15" t="n">
        <f aca="false">E717*E718</f>
        <v>101.8147</v>
      </c>
      <c r="F719" s="15" t="n">
        <f aca="false">F717*F718</f>
        <v>124.2675581364</v>
      </c>
      <c r="G719" s="15" t="n">
        <f aca="false">G717*G718</f>
        <v>134.75293614</v>
      </c>
    </row>
    <row r="720" customFormat="false" ht="17.15" hidden="false" customHeight="false" outlineLevel="0" collapsed="false">
      <c r="A720" s="6" t="s">
        <v>494</v>
      </c>
    </row>
    <row r="721" customFormat="false" ht="15" hidden="false" customHeight="false" outlineLevel="0" collapsed="false">
      <c r="A721" s="4" t="s">
        <v>495</v>
      </c>
      <c r="B721" s="0" t="s">
        <v>169</v>
      </c>
      <c r="C721" s="15" t="n">
        <f aca="false">q25_sf</f>
        <v>936.926</v>
      </c>
      <c r="D721" s="15" t="n">
        <f aca="false">q26_sf</f>
        <v>998.6</v>
      </c>
      <c r="E721" s="15" t="n">
        <f aca="false">D721*(1+g_sf)</f>
        <v>1038.544</v>
      </c>
      <c r="F721" s="15" t="n">
        <f aca="false">E721*(1+g_sf)</f>
        <v>1080.08576</v>
      </c>
      <c r="G721" s="15" t="n">
        <f aca="false">F721*(1+g_sf)</f>
        <v>1123.2891904</v>
      </c>
    </row>
    <row r="722" customFormat="false" ht="15" hidden="false" customHeight="false" outlineLevel="0" collapsed="false">
      <c r="A722" s="4" t="s">
        <v>496</v>
      </c>
      <c r="B722" s="0" t="s">
        <v>169</v>
      </c>
      <c r="C722" s="15" t="n">
        <f aca="false">q25_sfbp</f>
        <v>143.036</v>
      </c>
      <c r="D722" s="15" t="n">
        <f aca="false">q26_sfbp</f>
        <v>145.9</v>
      </c>
      <c r="E722" s="15" t="n">
        <f aca="false">E721*m_sf_lo</f>
        <v>140.20344</v>
      </c>
      <c r="F722" s="15" t="n">
        <f aca="false">F721*m_sf_lo</f>
        <v>145.8115776</v>
      </c>
      <c r="G722" s="15" t="n">
        <f aca="false">G721*m_sf_lo</f>
        <v>151.644040704</v>
      </c>
    </row>
    <row r="723" customFormat="false" ht="15" hidden="false" customHeight="false" outlineLevel="0" collapsed="false">
      <c r="A723" s="4" t="s">
        <v>497</v>
      </c>
      <c r="B723" s="0" t="s">
        <v>169</v>
      </c>
      <c r="C723" s="15" t="n">
        <f aca="false">q25_ff</f>
        <v>290.308</v>
      </c>
      <c r="D723" s="15" t="n">
        <f aca="false">q26_ff</f>
        <v>310.6</v>
      </c>
      <c r="E723" s="15" t="n">
        <f aca="false">D723*(1+g_ff)</f>
        <v>319.918</v>
      </c>
      <c r="F723" s="15" t="n">
        <f aca="false">E723*(1+g_ff)</f>
        <v>329.51554</v>
      </c>
      <c r="G723" s="15" t="n">
        <f aca="false">F723*(1+g_ff)</f>
        <v>339.4010062</v>
      </c>
    </row>
    <row r="724" customFormat="false" ht="15" hidden="false" customHeight="false" outlineLevel="0" collapsed="false">
      <c r="A724" s="4" t="s">
        <v>498</v>
      </c>
      <c r="B724" s="0" t="s">
        <v>169</v>
      </c>
      <c r="C724" s="15" t="n">
        <f aca="false">q25_ffbp</f>
        <v>8.457</v>
      </c>
      <c r="D724" s="15" t="n">
        <f aca="false">q26_ffbp</f>
        <v>12.1</v>
      </c>
      <c r="E724" s="15" t="n">
        <f aca="false">E723*m_ff</f>
        <v>14.39631</v>
      </c>
      <c r="F724" s="15" t="n">
        <f aca="false">F723*m_ff</f>
        <v>14.8281993</v>
      </c>
      <c r="G724" s="15" t="n">
        <f aca="false">G723*m_ff</f>
        <v>15.273045279</v>
      </c>
    </row>
    <row r="725" customFormat="false" ht="17.15" hidden="false" customHeight="false" outlineLevel="0" collapsed="false">
      <c r="A725" s="4" t="s">
        <v>499</v>
      </c>
      <c r="B725" s="0" t="s">
        <v>169</v>
      </c>
      <c r="C725" s="15" t="n">
        <f aca="false">q25_hox</f>
        <v>239.0528</v>
      </c>
      <c r="D725" s="15" t="n">
        <f aca="false">q26_hox</f>
        <v>286.2</v>
      </c>
      <c r="E725" s="15" t="n">
        <f aca="false">D725*(1+g_ho)</f>
        <v>300.51</v>
      </c>
      <c r="F725" s="15" t="n">
        <f aca="false">E725*(1+g_ho)</f>
        <v>315.5355</v>
      </c>
      <c r="G725" s="15" t="n">
        <f aca="false">F725*(1+g_ho)</f>
        <v>331.312275</v>
      </c>
    </row>
    <row r="726" customFormat="false" ht="17.15" hidden="false" customHeight="false" outlineLevel="0" collapsed="false">
      <c r="A726" s="4" t="s">
        <v>500</v>
      </c>
      <c r="B726" s="0" t="s">
        <v>169</v>
      </c>
      <c r="C726" s="15" t="n">
        <f aca="false">q25_hoxbp</f>
        <v>11.602</v>
      </c>
      <c r="D726" s="15" t="n">
        <f aca="false">q26_hoxbp</f>
        <v>19.5</v>
      </c>
      <c r="E726" s="15" t="n">
        <f aca="false">E725*m_ho</f>
        <v>20.475</v>
      </c>
      <c r="F726" s="15" t="n">
        <f aca="false">F725*m_ho</f>
        <v>21.49875</v>
      </c>
      <c r="G726" s="15" t="n">
        <f aca="false">G725*m_ho</f>
        <v>22.5736875</v>
      </c>
    </row>
    <row r="727" customFormat="false" ht="17.15" hidden="false" customHeight="false" outlineLevel="0" collapsed="false">
      <c r="A727" s="4" t="s">
        <v>501</v>
      </c>
      <c r="B727" s="0" t="s">
        <v>169</v>
      </c>
      <c r="C727" s="15" t="n">
        <f aca="false">q25_oth</f>
        <v>14.979</v>
      </c>
      <c r="D727" s="15" t="n">
        <f aca="false">q26_oth</f>
        <v>15.8</v>
      </c>
      <c r="E727" s="15" t="n">
        <f aca="false">D727</f>
        <v>15.8</v>
      </c>
      <c r="F727" s="15" t="n">
        <f aca="false">E727</f>
        <v>15.8</v>
      </c>
      <c r="G727" s="15" t="n">
        <f aca="false">F727</f>
        <v>15.8</v>
      </c>
      <c r="K727" s="8" t="s">
        <v>502</v>
      </c>
    </row>
    <row r="728" customFormat="false" ht="15" hidden="false" customHeight="false" outlineLevel="0" collapsed="false">
      <c r="A728" s="4" t="s">
        <v>503</v>
      </c>
      <c r="B728" s="0" t="s">
        <v>169</v>
      </c>
      <c r="C728" s="15" t="n">
        <f aca="false">q25_othbp</f>
        <v>6.064</v>
      </c>
      <c r="D728" s="15" t="n">
        <f aca="false">q26_othbp</f>
        <v>5.1</v>
      </c>
      <c r="E728" s="15" t="n">
        <f aca="false">q26_othbp</f>
        <v>5.1</v>
      </c>
      <c r="F728" s="15" t="n">
        <f aca="false">q26_othbp</f>
        <v>5.1</v>
      </c>
      <c r="G728" s="15" t="n">
        <f aca="false">q26_othbp</f>
        <v>5.1</v>
      </c>
    </row>
    <row r="729" customFormat="false" ht="15" hidden="false" customHeight="false" outlineLevel="0" collapsed="false">
      <c r="A729" s="4" t="s">
        <v>504</v>
      </c>
      <c r="B729" s="0" t="s">
        <v>169</v>
      </c>
      <c r="C729" s="15" t="n">
        <f aca="false">q25_cc</f>
        <v>-42.597</v>
      </c>
      <c r="D729" s="15" t="n">
        <f aca="false">q26_cc</f>
        <v>-46.2</v>
      </c>
      <c r="E729" s="15" t="n">
        <f aca="false">D729*(1+g_cc)</f>
        <v>-47.586</v>
      </c>
      <c r="F729" s="15" t="n">
        <f aca="false">E729*(1+g_cc)</f>
        <v>-49.01358</v>
      </c>
      <c r="G729" s="15" t="n">
        <f aca="false">F729*(1+g_cc)</f>
        <v>-50.4839874</v>
      </c>
    </row>
    <row r="730" customFormat="false" ht="17.15" hidden="false" customHeight="false" outlineLevel="0" collapsed="false">
      <c r="A730" s="4" t="s">
        <v>505</v>
      </c>
      <c r="B730" s="0" t="s">
        <v>169</v>
      </c>
      <c r="C730" s="28" t="n">
        <f aca="false">a_rev-(q25_sf+q25_ff+q25_hox+q25_fm+q25_oth)</f>
        <v>0.00200000000018008</v>
      </c>
      <c r="D730" s="28" t="n">
        <f aca="false">f_rev-(q26_sf+q26_ff+q26_hox+q26_fm+q26_oth)</f>
        <v>0.200000000000045</v>
      </c>
      <c r="E730" s="28" t="n">
        <f aca="false">$D730</f>
        <v>0.200000000000045</v>
      </c>
      <c r="F730" s="28" t="n">
        <f aca="false">$D730</f>
        <v>0.200000000000045</v>
      </c>
      <c r="G730" s="28" t="n">
        <f aca="false">$D730</f>
        <v>0.200000000000045</v>
      </c>
      <c r="K730" s="8" t="s">
        <v>506</v>
      </c>
    </row>
    <row r="731" customFormat="false" ht="15" hidden="false" customHeight="false" outlineLevel="0" collapsed="false">
      <c r="A731" s="4" t="s">
        <v>507</v>
      </c>
      <c r="B731" s="0" t="s">
        <v>169</v>
      </c>
      <c r="C731" s="28" t="n">
        <f aca="false">a_bp-(q25_sfbp+q25_ffbp+q25_hoxbp+q25_fmbp+q25_othbp+q25_cc)</f>
        <v>0.0010000000000332</v>
      </c>
      <c r="D731" s="28" t="n">
        <f aca="false">f_bp-(q26_sfbp+q26_ffbp+q26_hoxbp+q26_fmbp+q26_othbp+q26_cc)</f>
        <v>0.100000000000023</v>
      </c>
      <c r="E731" s="28" t="n">
        <f aca="false">$D731</f>
        <v>0.100000000000023</v>
      </c>
      <c r="F731" s="28" t="n">
        <f aca="false">$D731</f>
        <v>0.100000000000023</v>
      </c>
      <c r="G731" s="28" t="n">
        <f aca="false">$D731</f>
        <v>0.100000000000023</v>
      </c>
    </row>
    <row r="732" customFormat="false" ht="17.15" hidden="false" customHeight="false" outlineLevel="0" collapsed="false">
      <c r="A732" s="6" t="s">
        <v>508</v>
      </c>
    </row>
    <row r="733" customFormat="false" ht="17.15" hidden="false" customHeight="false" outlineLevel="0" collapsed="false">
      <c r="A733" s="4" t="s">
        <v>380</v>
      </c>
      <c r="B733" s="0" t="s">
        <v>169</v>
      </c>
      <c r="C733" s="15" t="n">
        <f aca="false">C721+C723+C725+C717+C727+C730</f>
        <v>1583.719</v>
      </c>
      <c r="D733" s="15" t="n">
        <f aca="false">D721+D723+D725+D717+D727+D730</f>
        <v>1732</v>
      </c>
      <c r="E733" s="15" t="n">
        <f aca="false">E721+E723+E725+E717+E727+E730</f>
        <v>1850.5656</v>
      </c>
      <c r="F733" s="15" t="n">
        <f aca="false">F721+F723+F725+F717+F727+F730</f>
        <v>1955.94074307053</v>
      </c>
      <c r="G733" s="15" t="n">
        <f aca="false">G721+G723+G725+G717+G727+G730</f>
        <v>2053.1320716</v>
      </c>
      <c r="H733" s="23" t="n">
        <f aca="false">G733*(1+H734)</f>
        <v>2162.20857776426</v>
      </c>
      <c r="I733" s="23" t="n">
        <f aca="false">H733*(1+I734)</f>
        <v>2284.5105355383</v>
      </c>
      <c r="J733" s="23" t="n">
        <f aca="false">I733*(1+J734)</f>
        <v>2421.5811676706</v>
      </c>
      <c r="K733" s="8" t="s">
        <v>509</v>
      </c>
    </row>
    <row r="734" customFormat="false" ht="15" hidden="false" customHeight="false" outlineLevel="0" collapsed="false">
      <c r="A734" s="4" t="s">
        <v>510</v>
      </c>
      <c r="B734" s="0" t="s">
        <v>77</v>
      </c>
      <c r="D734" s="16" t="n">
        <f aca="false">D733/C733-1</f>
        <v>0.0936283519993131</v>
      </c>
      <c r="E734" s="16" t="n">
        <f aca="false">E733/D733-1</f>
        <v>0.0684558891454965</v>
      </c>
      <c r="F734" s="16" t="n">
        <f aca="false">F733/E733-1</f>
        <v>0.0569421278935081</v>
      </c>
      <c r="G734" s="16" t="n">
        <f aca="false">G733/F733-1</f>
        <v>0.0496903236326567</v>
      </c>
      <c r="H734" s="24" t="n">
        <f aca="false">$G734+(fade_gA-$G734)*1/3</f>
        <v>0.0531268824217711</v>
      </c>
      <c r="I734" s="24" t="n">
        <f aca="false">$G734+(fade_gA-$G734)*2/3</f>
        <v>0.0565634412108856</v>
      </c>
      <c r="J734" s="24" t="n">
        <f aca="false">$G734+(fade_gA-$G734)*3/3</f>
        <v>0.06</v>
      </c>
    </row>
    <row r="735" customFormat="false" ht="17.15" hidden="false" customHeight="false" outlineLevel="0" collapsed="false">
      <c r="A735" s="0" t="s">
        <v>511</v>
      </c>
      <c r="B735" s="0" t="s">
        <v>77</v>
      </c>
      <c r="C735" s="16" t="n">
        <f aca="false">C717/C733</f>
        <v>0.0646902638662541</v>
      </c>
      <c r="D735" s="16" t="n">
        <f aca="false">D717/D733</f>
        <v>0.0696304849884527</v>
      </c>
      <c r="E735" s="16" t="n">
        <f aca="false">E717/E733</f>
        <v>0.0948864498507916</v>
      </c>
      <c r="F735" s="16" t="n">
        <f aca="false">F717/F733</f>
        <v>0.109821293835987</v>
      </c>
      <c r="G735" s="16" t="n">
        <f aca="false">G717/G733</f>
        <v>0.118418879799842</v>
      </c>
    </row>
    <row r="736" customFormat="false" ht="15" hidden="false" customHeight="false" outlineLevel="0" collapsed="false">
      <c r="A736" s="4" t="s">
        <v>390</v>
      </c>
      <c r="B736" s="0" t="s">
        <v>169</v>
      </c>
      <c r="C736" s="15" t="n">
        <f aca="false">C722+C724+C726+C719+C728+C729+C731</f>
        <v>181.163</v>
      </c>
      <c r="D736" s="15" t="n">
        <f aca="false">D722+D724+D726+D719+D728+D729+D731</f>
        <v>202</v>
      </c>
      <c r="E736" s="15" t="n">
        <f aca="false">E722+E724+E726+E719+E728+E729+E731</f>
        <v>234.50345</v>
      </c>
      <c r="F736" s="15" t="n">
        <f aca="false">F722+F724+F726+F719+F728+F729+F731</f>
        <v>262.5925050364</v>
      </c>
      <c r="G736" s="15" t="n">
        <f aca="false">G722+G724+G726+G719+G728+G729+G731</f>
        <v>278.959722223</v>
      </c>
    </row>
    <row r="737" customFormat="false" ht="15" hidden="false" customHeight="false" outlineLevel="0" collapsed="false">
      <c r="A737" s="4" t="s">
        <v>406</v>
      </c>
      <c r="B737" s="0" t="s">
        <v>77</v>
      </c>
      <c r="C737" s="16" t="n">
        <f aca="false">C736/C733</f>
        <v>0.114390873633517</v>
      </c>
      <c r="D737" s="16" t="n">
        <f aca="false">D736/D733</f>
        <v>0.11662817551963</v>
      </c>
      <c r="E737" s="16" t="n">
        <f aca="false">E736/E733</f>
        <v>0.126719879587084</v>
      </c>
      <c r="F737" s="16" t="n">
        <f aca="false">F736/F733</f>
        <v>0.134253814164211</v>
      </c>
      <c r="G737" s="16" t="n">
        <f aca="false">G736/G733</f>
        <v>0.135870325188388</v>
      </c>
    </row>
    <row r="738" customFormat="false" ht="17.15" hidden="false" customHeight="false" outlineLevel="0" collapsed="false">
      <c r="A738" s="0" t="s">
        <v>512</v>
      </c>
      <c r="B738" s="0" t="s">
        <v>77</v>
      </c>
      <c r="C738" s="16" t="n">
        <f aca="false">C719/C736</f>
        <v>0.301386044611758</v>
      </c>
      <c r="D738" s="16" t="n">
        <f aca="false">D719/D736</f>
        <v>0.324257425742574</v>
      </c>
      <c r="E738" s="16" t="n">
        <f aca="false">E719/E736</f>
        <v>0.434171437563072</v>
      </c>
      <c r="F738" s="16" t="n">
        <f aca="false">F719/F736</f>
        <v>0.47323345393721</v>
      </c>
      <c r="G738" s="16" t="n">
        <f aca="false">G719/G736</f>
        <v>0.483055170352796</v>
      </c>
    </row>
    <row r="739" customFormat="false" ht="17.15" hidden="false" customHeight="false" outlineLevel="0" collapsed="false">
      <c r="A739" s="4" t="s">
        <v>407</v>
      </c>
      <c r="B739" s="0" t="s">
        <v>52</v>
      </c>
      <c r="C739" s="21" t="n">
        <f aca="false">q25_ni/q25_bp</f>
        <v>0.743391310587703</v>
      </c>
      <c r="D739" s="21" t="n">
        <f aca="false">q26_ni/q26_bp</f>
        <v>0.611386138613861</v>
      </c>
      <c r="E739" s="21" t="n">
        <f aca="false">ni_bp</f>
        <v>0.62</v>
      </c>
      <c r="F739" s="21" t="n">
        <f aca="false">ni_bp</f>
        <v>0.62</v>
      </c>
      <c r="G739" s="21" t="n">
        <f aca="false">ni_bp</f>
        <v>0.62</v>
      </c>
    </row>
    <row r="740" customFormat="false" ht="15" hidden="false" customHeight="false" outlineLevel="0" collapsed="false">
      <c r="A740" s="4" t="s">
        <v>397</v>
      </c>
      <c r="B740" s="0" t="s">
        <v>169</v>
      </c>
      <c r="C740" s="15" t="n">
        <f aca="false">q25_ni</f>
        <v>134.675</v>
      </c>
      <c r="D740" s="15" t="n">
        <f aca="false">q26_ni</f>
        <v>123.5</v>
      </c>
      <c r="E740" s="15" t="n">
        <f aca="false">E736*E739</f>
        <v>145.392139</v>
      </c>
      <c r="F740" s="15" t="n">
        <f aca="false">F736*F739</f>
        <v>162.807353122568</v>
      </c>
      <c r="G740" s="15" t="n">
        <f aca="false">G736*G739</f>
        <v>172.95502777826</v>
      </c>
      <c r="H740" s="23" t="n">
        <f aca="false">H733*H744</f>
        <v>184.85842479996</v>
      </c>
      <c r="I740" s="23" t="n">
        <f aca="false">I733*I744</f>
        <v>198.183049483808</v>
      </c>
      <c r="J740" s="23" t="n">
        <f aca="false">J733*J744</f>
        <v>213.114532255596</v>
      </c>
    </row>
    <row r="741" customFormat="false" ht="15" hidden="false" customHeight="false" outlineLevel="0" collapsed="false">
      <c r="A741" s="4" t="s">
        <v>513</v>
      </c>
      <c r="B741" s="4" t="s">
        <v>316</v>
      </c>
      <c r="C741" s="19" t="n">
        <f aca="false">q25_sh</f>
        <v>0.973366579936398</v>
      </c>
      <c r="D741" s="19" t="n">
        <f aca="false">q26_sh</f>
        <v>0.95117067159581</v>
      </c>
      <c r="E741" s="19" t="n">
        <f aca="false">D741*(1+sh_g)</f>
        <v>0.936903111521873</v>
      </c>
      <c r="F741" s="19" t="n">
        <f aca="false">E741*(1+sh_g)</f>
        <v>0.922849564849045</v>
      </c>
      <c r="G741" s="19" t="n">
        <f aca="false">F741*(1+sh_g)</f>
        <v>0.909006821376309</v>
      </c>
      <c r="H741" s="29" t="n">
        <f aca="false">G741*(1+sh_g)</f>
        <v>0.895371719055665</v>
      </c>
      <c r="I741" s="29" t="n">
        <f aca="false">H741*(1+sh_g)</f>
        <v>0.88194114326983</v>
      </c>
      <c r="J741" s="29" t="n">
        <f aca="false">I741*(1+sh_g)</f>
        <v>0.868712026120782</v>
      </c>
    </row>
    <row r="742" customFormat="false" ht="17.15" hidden="false" customHeight="false" outlineLevel="0" collapsed="false">
      <c r="A742" s="0" t="s">
        <v>514</v>
      </c>
      <c r="B742" s="0" t="s">
        <v>207</v>
      </c>
      <c r="C742" s="20" t="n">
        <f aca="false">C740/C741</f>
        <v>138.36</v>
      </c>
      <c r="D742" s="20" t="n">
        <f aca="false">D740/D741</f>
        <v>129.84</v>
      </c>
      <c r="E742" s="20" t="n">
        <f aca="false">E740/E741</f>
        <v>155.183750819047</v>
      </c>
      <c r="F742" s="20" t="n">
        <f aca="false">F740/F741</f>
        <v>176.418085161257</v>
      </c>
      <c r="G742" s="20" t="n">
        <f aca="false">G740/G741</f>
        <v>190.268129689492</v>
      </c>
      <c r="H742" s="27" t="n">
        <f aca="false">H740/H741</f>
        <v>206.459977309678</v>
      </c>
      <c r="I742" s="27" t="n">
        <f aca="false">I740/I741</f>
        <v>224.712330291154</v>
      </c>
      <c r="J742" s="27" t="n">
        <f aca="false">J740/J741</f>
        <v>245.322415078395</v>
      </c>
    </row>
    <row r="743" customFormat="false" ht="17.15" hidden="false" customHeight="false" outlineLevel="0" collapsed="false">
      <c r="A743" s="0" t="s">
        <v>515</v>
      </c>
      <c r="B743" s="0" t="s">
        <v>77</v>
      </c>
      <c r="D743" s="16" t="n">
        <f aca="false">D742/C742-1</f>
        <v>-0.0615784908933218</v>
      </c>
      <c r="E743" s="16" t="n">
        <f aca="false">E742/D742-1</f>
        <v>0.195192165889147</v>
      </c>
      <c r="F743" s="16" t="n">
        <f aca="false">F742/E742-1</f>
        <v>0.136833490814193</v>
      </c>
      <c r="G743" s="16" t="n">
        <f aca="false">G742/F742-1</f>
        <v>0.0785069428430465</v>
      </c>
      <c r="H743" s="24" t="n">
        <f aca="false">H742/G742-1</f>
        <v>0.0851001565349403</v>
      </c>
      <c r="I743" s="24" t="n">
        <f aca="false">I742/H742-1</f>
        <v>0.0884062529663996</v>
      </c>
      <c r="J743" s="24" t="n">
        <f aca="false">J742/I742-1</f>
        <v>0.091717640774482</v>
      </c>
    </row>
    <row r="744" customFormat="false" ht="15" hidden="false" customHeight="false" outlineLevel="0" collapsed="false">
      <c r="A744" s="4" t="s">
        <v>516</v>
      </c>
      <c r="B744" s="0" t="s">
        <v>77</v>
      </c>
      <c r="C744" s="25" t="n">
        <f aca="false">C740/C733</f>
        <v>0.0850371814696925</v>
      </c>
      <c r="D744" s="25" t="n">
        <f aca="false">D740/D733</f>
        <v>0.0713048498845266</v>
      </c>
      <c r="E744" s="25" t="n">
        <f aca="false">E740/E733</f>
        <v>0.0785663253439922</v>
      </c>
      <c r="F744" s="25" t="n">
        <f aca="false">F740/F733</f>
        <v>0.083237364781811</v>
      </c>
      <c r="G744" s="25" t="n">
        <f aca="false">G740/G733</f>
        <v>0.0842396016168004</v>
      </c>
      <c r="H744" s="26" t="n">
        <f aca="false">$G744+(fade_mA-$G744)*1/3</f>
        <v>0.0854951861263563</v>
      </c>
      <c r="I744" s="26" t="n">
        <f aca="false">$G744+(fade_mA-$G744)*2/3</f>
        <v>0.0867507706359121</v>
      </c>
      <c r="J744" s="26" t="n">
        <f aca="false">$G744+(fade_mA-$G744)*3/3</f>
        <v>0.088006355145468</v>
      </c>
    </row>
    <row r="745" customFormat="false" ht="17.15" hidden="false" customHeight="false" outlineLevel="0" collapsed="false">
      <c r="A745" s="0" t="s">
        <v>517</v>
      </c>
      <c r="B745" s="0" t="s">
        <v>207</v>
      </c>
      <c r="D745" s="20" t="n">
        <f aca="false">D719*D739/D741</f>
        <v>42.1015841584158</v>
      </c>
      <c r="E745" s="20" t="n">
        <f aca="false">E719*E739/E741</f>
        <v>67.3763521795352</v>
      </c>
      <c r="F745" s="20" t="n">
        <f aca="false">F719*F739/F741</f>
        <v>83.4869397778505</v>
      </c>
      <c r="G745" s="20" t="n">
        <f aca="false">G719*G739/G741</f>
        <v>91.9100037998652</v>
      </c>
      <c r="K745" s="8" t="s">
        <v>518</v>
      </c>
    </row>
    <row r="746" customFormat="false" ht="17.15" hidden="false" customHeight="false" outlineLevel="0" collapsed="false">
      <c r="A746" s="0" t="s">
        <v>519</v>
      </c>
      <c r="B746" s="0" t="s">
        <v>207</v>
      </c>
      <c r="D746" s="20" t="n">
        <f aca="false">D742-D745</f>
        <v>87.7384158415842</v>
      </c>
      <c r="E746" s="20" t="n">
        <f aca="false">E742-E745</f>
        <v>87.8073986395118</v>
      </c>
      <c r="F746" s="20" t="n">
        <f aca="false">F742-F745</f>
        <v>92.9311453834065</v>
      </c>
      <c r="G746" s="20" t="n">
        <f aca="false">G742-G745</f>
        <v>98.3581258896263</v>
      </c>
    </row>
    <row r="747" customFormat="false" ht="17.15" hidden="false" customHeight="false" outlineLevel="0" collapsed="false">
      <c r="A747" s="0" t="s">
        <v>520</v>
      </c>
      <c r="B747" s="0" t="s">
        <v>432</v>
      </c>
      <c r="D747" s="15" t="n">
        <f aca="false">D715/D705*1000/150</f>
        <v>23.5087719298246</v>
      </c>
      <c r="E747" s="15" t="n">
        <f aca="false">E715/E705*1000/150</f>
        <v>30.1617621884116</v>
      </c>
      <c r="F747" s="15" t="n">
        <f aca="false">F715/F705*1000/150</f>
        <v>36.5143464561404</v>
      </c>
      <c r="G747" s="15" t="n">
        <f aca="false">G715/G705*1000/150</f>
        <v>39.9173947725016</v>
      </c>
      <c r="K747" s="8" t="s">
        <v>521</v>
      </c>
    </row>
    <row r="750" customFormat="false" ht="17.15" hidden="false" customHeight="false" outlineLevel="0" collapsed="false">
      <c r="A750" s="1" t="s">
        <v>877</v>
      </c>
    </row>
    <row r="751" customFormat="false" ht="17.15" hidden="false" customHeight="false" outlineLevel="0" collapsed="false">
      <c r="A751" s="5" t="s">
        <v>19</v>
      </c>
      <c r="B751" s="5" t="s">
        <v>20</v>
      </c>
      <c r="C751" s="14" t="s">
        <v>374</v>
      </c>
      <c r="D751" s="14" t="s">
        <v>447</v>
      </c>
      <c r="E751" s="14" t="s">
        <v>412</v>
      </c>
      <c r="F751" s="14" t="s">
        <v>413</v>
      </c>
      <c r="G751" s="14" t="s">
        <v>414</v>
      </c>
      <c r="H751" s="14" t="s">
        <v>448</v>
      </c>
      <c r="I751" s="14" t="s">
        <v>449</v>
      </c>
      <c r="J751" s="14" t="s">
        <v>450</v>
      </c>
      <c r="K751" s="5" t="s">
        <v>379</v>
      </c>
    </row>
    <row r="752" customFormat="false" ht="17.15" hidden="false" customHeight="false" outlineLevel="0" collapsed="false">
      <c r="A752" s="6" t="s">
        <v>470</v>
      </c>
    </row>
    <row r="753" customFormat="false" ht="17.15" hidden="false" customHeight="false" outlineLevel="0" collapsed="false">
      <c r="A753" s="0" t="s">
        <v>471</v>
      </c>
      <c r="B753" s="4" t="s">
        <v>30</v>
      </c>
      <c r="D753" s="20" t="n">
        <f aca="false">unv_26</f>
        <v>7.6</v>
      </c>
      <c r="E753" s="20" t="n">
        <f aca="false">unv_27</f>
        <v>9.7</v>
      </c>
      <c r="F753" s="20" t="n">
        <f aca="false">unv_28*um28_A</f>
        <v>9.5</v>
      </c>
      <c r="G753" s="20" t="n">
        <f aca="false">unv_29*um29_A</f>
        <v>10.6</v>
      </c>
      <c r="K753" s="8" t="s">
        <v>472</v>
      </c>
    </row>
    <row r="754" customFormat="false" ht="17.15" hidden="false" customHeight="false" outlineLevel="0" collapsed="false">
      <c r="A754" s="4" t="s">
        <v>473</v>
      </c>
      <c r="B754" s="4" t="s">
        <v>30</v>
      </c>
      <c r="D754" s="20" t="n">
        <f aca="false">uot_26</f>
        <v>7.6</v>
      </c>
      <c r="E754" s="20" t="n">
        <f aca="false">uot_27</f>
        <v>14</v>
      </c>
      <c r="F754" s="20" t="n">
        <f aca="false">uot_28*um28_A</f>
        <v>17</v>
      </c>
      <c r="G754" s="20" t="n">
        <f aca="false">uot_29*um29_A</f>
        <v>19.55</v>
      </c>
      <c r="K754" s="8" t="s">
        <v>474</v>
      </c>
    </row>
    <row r="755" customFormat="false" ht="17.15" hidden="false" customHeight="false" outlineLevel="0" collapsed="false">
      <c r="A755" s="4" t="s">
        <v>475</v>
      </c>
      <c r="B755" s="4" t="s">
        <v>30</v>
      </c>
      <c r="D755" s="20" t="n">
        <f aca="false">D753+v_ot*D754</f>
        <v>13.68</v>
      </c>
      <c r="E755" s="20" t="n">
        <f aca="false">E753+v_ot*E754</f>
        <v>20.9</v>
      </c>
      <c r="F755" s="20" t="n">
        <f aca="false">F753+v_ot*F754</f>
        <v>23.1</v>
      </c>
      <c r="G755" s="20" t="n">
        <f aca="false">G753+v_ot*G754</f>
        <v>26.24</v>
      </c>
    </row>
    <row r="756" customFormat="false" ht="17.15" hidden="false" customHeight="false" outlineLevel="0" collapsed="false">
      <c r="A756" s="4" t="s">
        <v>476</v>
      </c>
      <c r="B756" s="0" t="s">
        <v>52</v>
      </c>
      <c r="D756" s="21" t="n">
        <f aca="false">1</f>
        <v>1</v>
      </c>
      <c r="E756" s="21" t="n">
        <f aca="false">D756*(1+g_asp)</f>
        <v>1.18</v>
      </c>
      <c r="F756" s="21" t="n">
        <f aca="false">E756*(1+g_asp)</f>
        <v>1.3924</v>
      </c>
      <c r="G756" s="21" t="n">
        <f aca="false">F756*(1+g_asp)</f>
        <v>1.643032</v>
      </c>
    </row>
    <row r="757" customFormat="false" ht="17.15" hidden="false" customHeight="false" outlineLevel="0" collapsed="false">
      <c r="A757" s="4" t="s">
        <v>477</v>
      </c>
      <c r="B757" s="0" t="s">
        <v>52</v>
      </c>
      <c r="D757" s="18" t="n">
        <f aca="false">1</f>
        <v>1</v>
      </c>
      <c r="E757" s="18" t="n">
        <f aca="false">rel_27</f>
        <v>1</v>
      </c>
      <c r="F757" s="18" t="n">
        <f aca="false">rel_28</f>
        <v>0.97</v>
      </c>
      <c r="G757" s="18" t="n">
        <f aca="false">rel_29</f>
        <v>0.95</v>
      </c>
    </row>
    <row r="758" customFormat="false" ht="17.15" hidden="false" customHeight="false" outlineLevel="0" collapsed="false">
      <c r="A758" s="0" t="s">
        <v>478</v>
      </c>
      <c r="B758" s="0" t="s">
        <v>52</v>
      </c>
      <c r="D758" s="21" t="n">
        <f aca="false">D755/$D755*D756*D757</f>
        <v>1</v>
      </c>
      <c r="E758" s="21" t="n">
        <f aca="false">E755/$D755*E756*E757</f>
        <v>1.80277777777778</v>
      </c>
      <c r="F758" s="21" t="n">
        <f aca="false">F755/$D755*F756*F757</f>
        <v>2.28066570175439</v>
      </c>
      <c r="G758" s="21" t="n">
        <f aca="false">G755/$D755*G756*G757</f>
        <v>2.99396942222222</v>
      </c>
      <c r="K758" s="4" t="s">
        <v>479</v>
      </c>
    </row>
    <row r="759" customFormat="false" ht="17.15" hidden="false" customHeight="false" outlineLevel="0" collapsed="false">
      <c r="A759" s="4" t="s">
        <v>480</v>
      </c>
      <c r="B759" s="0" t="s">
        <v>52</v>
      </c>
      <c r="D759" s="21" t="n">
        <f aca="false">1</f>
        <v>1</v>
      </c>
      <c r="E759" s="21" t="n">
        <f aca="false">D759*(1+g_nai)</f>
        <v>1.03</v>
      </c>
      <c r="F759" s="21" t="n">
        <f aca="false">E759*(1+g_nai)</f>
        <v>1.0609</v>
      </c>
      <c r="G759" s="21" t="n">
        <f aca="false">F759*(1+g_nai)</f>
        <v>1.092727</v>
      </c>
    </row>
    <row r="760" customFormat="false" ht="17.15" hidden="false" customHeight="false" outlineLevel="0" collapsed="false">
      <c r="A760" s="0" t="s">
        <v>481</v>
      </c>
      <c r="B760" s="0" t="s">
        <v>52</v>
      </c>
      <c r="D760" s="21" t="n">
        <f aca="false">ai_sh*D758+(1-ai_sh)*D759</f>
        <v>1</v>
      </c>
      <c r="E760" s="21" t="n">
        <f aca="false">ai_sh*E758+(1-ai_sh)*E759</f>
        <v>1.33911111111111</v>
      </c>
      <c r="F760" s="21" t="n">
        <f aca="false">ai_sh*F758+(1-ai_sh)*F759</f>
        <v>1.54880628070175</v>
      </c>
      <c r="G760" s="21" t="n">
        <f aca="false">ai_sh*G758+(1-ai_sh)*G759</f>
        <v>1.85322396888889</v>
      </c>
    </row>
    <row r="761" customFormat="false" ht="17.15" hidden="false" customHeight="false" outlineLevel="0" collapsed="false">
      <c r="A761" s="4" t="s">
        <v>482</v>
      </c>
      <c r="B761" s="0" t="s">
        <v>52</v>
      </c>
      <c r="D761" s="21" t="n">
        <f aca="false">1</f>
        <v>1</v>
      </c>
      <c r="E761" s="21" t="n">
        <f aca="false">cap_27</f>
        <v>1.3</v>
      </c>
      <c r="F761" s="21" t="n">
        <f aca="false">cap_28</f>
        <v>1.55</v>
      </c>
      <c r="G761" s="21" t="n">
        <f aca="false">cap_29</f>
        <v>1.8</v>
      </c>
      <c r="K761" s="4" t="s">
        <v>483</v>
      </c>
    </row>
    <row r="762" customFormat="false" ht="17.15" hidden="false" customHeight="false" outlineLevel="0" collapsed="false">
      <c r="A762" s="4" t="s">
        <v>484</v>
      </c>
      <c r="B762" s="0" t="s">
        <v>52</v>
      </c>
      <c r="D762" s="21" t="n">
        <f aca="false">MIN(D760,D761)</f>
        <v>1</v>
      </c>
      <c r="E762" s="21" t="n">
        <f aca="false">MIN(E760,E761)</f>
        <v>1.3</v>
      </c>
      <c r="F762" s="21" t="n">
        <f aca="false">MIN(F760,F761)</f>
        <v>1.54880628070175</v>
      </c>
      <c r="G762" s="21" t="n">
        <f aca="false">MIN(G760,G761)</f>
        <v>1.8</v>
      </c>
    </row>
    <row r="763" customFormat="false" ht="17.15" hidden="false" customHeight="false" outlineLevel="0" collapsed="false">
      <c r="A763" s="4" t="s">
        <v>485</v>
      </c>
      <c r="B763" s="0" t="s">
        <v>77</v>
      </c>
      <c r="D763" s="16" t="n">
        <f aca="false">D762/D760</f>
        <v>1</v>
      </c>
      <c r="E763" s="16" t="n">
        <f aca="false">E762/E760</f>
        <v>0.970793229339529</v>
      </c>
      <c r="F763" s="16" t="n">
        <f aca="false">F762/F760</f>
        <v>1</v>
      </c>
      <c r="G763" s="16" t="n">
        <f aca="false">G762/G760</f>
        <v>0.971280336439422</v>
      </c>
      <c r="K763" s="4" t="s">
        <v>486</v>
      </c>
    </row>
    <row r="764" customFormat="false" ht="17.15" hidden="false" customHeight="false" outlineLevel="0" collapsed="false">
      <c r="A764" s="0" t="s">
        <v>487</v>
      </c>
      <c r="B764" s="0" t="s">
        <v>52</v>
      </c>
      <c r="D764" s="21" t="n">
        <f aca="false">1</f>
        <v>1</v>
      </c>
      <c r="E764" s="21" t="n">
        <f aca="false">pp_27</f>
        <v>1.12</v>
      </c>
      <c r="F764" s="21" t="n">
        <f aca="false">pp_28*sp_A</f>
        <v>1.15</v>
      </c>
      <c r="G764" s="21" t="n">
        <f aca="false">pp_29*sp_A</f>
        <v>1.12</v>
      </c>
      <c r="K764" s="8" t="s">
        <v>488</v>
      </c>
    </row>
    <row r="765" customFormat="false" ht="17.15" hidden="false" customHeight="false" outlineLevel="0" collapsed="false">
      <c r="A765" s="0" t="s">
        <v>429</v>
      </c>
      <c r="B765" s="0" t="s">
        <v>169</v>
      </c>
      <c r="D765" s="15" t="n">
        <f aca="false">q26_fm*ai_sh</f>
        <v>48.24</v>
      </c>
      <c r="E765" s="15" t="n">
        <f aca="false">q26_fm*ai_sh*E758*E763*E764</f>
        <v>94.5571244606705</v>
      </c>
      <c r="F765" s="15" t="n">
        <f aca="false">q26_fm*ai_sh*F758*F763*F764</f>
        <v>126.522210470526</v>
      </c>
      <c r="G765" s="15" t="n">
        <f aca="false">q26_fm*ai_sh*G758*G763*G764</f>
        <v>157.114865824566</v>
      </c>
      <c r="K765" s="8" t="s">
        <v>489</v>
      </c>
    </row>
    <row r="766" customFormat="false" ht="17.15" hidden="false" customHeight="false" outlineLevel="0" collapsed="false">
      <c r="A766" s="0" t="s">
        <v>490</v>
      </c>
      <c r="B766" s="0" t="s">
        <v>169</v>
      </c>
      <c r="D766" s="15" t="n">
        <f aca="false">q26_fm*(1-ai_sh)</f>
        <v>72.36</v>
      </c>
      <c r="E766" s="15" t="n">
        <f aca="false">q26_fm*(1-ai_sh)*E759*E763*E764</f>
        <v>81.0364755393296</v>
      </c>
      <c r="F766" s="15" t="n">
        <f aca="false">q26_fm*(1-ai_sh)*F759*F763*F764</f>
        <v>88.2817326</v>
      </c>
      <c r="G766" s="15" t="n">
        <f aca="false">q26_fm*(1-ai_sh)*G759*G763*G764</f>
        <v>86.0147341754337</v>
      </c>
    </row>
    <row r="767" customFormat="false" ht="17.15" hidden="false" customHeight="false" outlineLevel="0" collapsed="false">
      <c r="A767" s="4" t="s">
        <v>491</v>
      </c>
      <c r="B767" s="0" t="s">
        <v>169</v>
      </c>
      <c r="C767" s="15" t="n">
        <f aca="false">q25_fm</f>
        <v>102.4512</v>
      </c>
      <c r="D767" s="15" t="n">
        <f aca="false">D765+D766</f>
        <v>120.6</v>
      </c>
      <c r="E767" s="15" t="n">
        <f aca="false">E765+E766</f>
        <v>175.5936</v>
      </c>
      <c r="F767" s="15" t="n">
        <f aca="false">F765+F766</f>
        <v>214.803943070526</v>
      </c>
      <c r="G767" s="15" t="n">
        <f aca="false">G765+G766</f>
        <v>243.1296</v>
      </c>
    </row>
    <row r="768" customFormat="false" ht="17.15" hidden="false" customHeight="false" outlineLevel="0" collapsed="false">
      <c r="A768" s="0" t="s">
        <v>492</v>
      </c>
      <c r="B768" s="0" t="s">
        <v>77</v>
      </c>
      <c r="C768" s="16" t="n">
        <f aca="false">q25_fmbp/q25_fm</f>
        <v>0.532936656671664</v>
      </c>
      <c r="D768" s="16" t="n">
        <f aca="false">q26_fmbp/q26_fm</f>
        <v>0.543117744610282</v>
      </c>
      <c r="E768" s="16" t="n">
        <f aca="false">1-(1-$D768)*(1+c_g)^1/E764</f>
        <v>0.579831497275527</v>
      </c>
      <c r="F768" s="16" t="n">
        <f aca="false">1-(1-$D768)*(1+c_g)^2/F764</f>
        <v>0.578516187180042</v>
      </c>
      <c r="G768" s="16" t="n">
        <f aca="false">1-(1-$D768)*(1+c_g)^3/G764</f>
        <v>0.554243235459607</v>
      </c>
      <c r="K768" s="8" t="s">
        <v>493</v>
      </c>
    </row>
    <row r="769" customFormat="false" ht="17.15" hidden="false" customHeight="false" outlineLevel="0" collapsed="false">
      <c r="A769" s="0" t="s">
        <v>455</v>
      </c>
      <c r="B769" s="0" t="s">
        <v>169</v>
      </c>
      <c r="C769" s="15" t="n">
        <f aca="false">q25_fmbp</f>
        <v>54.6</v>
      </c>
      <c r="D769" s="15" t="n">
        <f aca="false">D767*D768</f>
        <v>65.5</v>
      </c>
      <c r="E769" s="15" t="n">
        <f aca="false">E767*E768</f>
        <v>101.8147</v>
      </c>
      <c r="F769" s="15" t="n">
        <f aca="false">F767*F768</f>
        <v>124.2675581364</v>
      </c>
      <c r="G769" s="15" t="n">
        <f aca="false">G767*G768</f>
        <v>134.75293614</v>
      </c>
    </row>
    <row r="770" customFormat="false" ht="17.15" hidden="false" customHeight="false" outlineLevel="0" collapsed="false">
      <c r="A770" s="6" t="s">
        <v>494</v>
      </c>
    </row>
    <row r="771" customFormat="false" ht="15" hidden="false" customHeight="false" outlineLevel="0" collapsed="false">
      <c r="A771" s="4" t="s">
        <v>495</v>
      </c>
      <c r="B771" s="0" t="s">
        <v>169</v>
      </c>
      <c r="C771" s="15" t="n">
        <f aca="false">q25_sf</f>
        <v>936.926</v>
      </c>
      <c r="D771" s="15" t="n">
        <f aca="false">q26_sf</f>
        <v>998.6</v>
      </c>
      <c r="E771" s="15" t="n">
        <f aca="false">D771*(1+g_sf)</f>
        <v>1038.544</v>
      </c>
      <c r="F771" s="15" t="n">
        <f aca="false">E771*(1+g_sf)</f>
        <v>1080.08576</v>
      </c>
      <c r="G771" s="15" t="n">
        <f aca="false">F771*(1+g_sf)</f>
        <v>1123.2891904</v>
      </c>
    </row>
    <row r="772" customFormat="false" ht="15" hidden="false" customHeight="false" outlineLevel="0" collapsed="false">
      <c r="A772" s="4" t="s">
        <v>496</v>
      </c>
      <c r="B772" s="0" t="s">
        <v>169</v>
      </c>
      <c r="C772" s="15" t="n">
        <f aca="false">q25_sfbp</f>
        <v>143.036</v>
      </c>
      <c r="D772" s="15" t="n">
        <f aca="false">q26_sfbp</f>
        <v>145.9</v>
      </c>
      <c r="E772" s="15" t="n">
        <f aca="false">E771*m_sf_hi</f>
        <v>160.97432</v>
      </c>
      <c r="F772" s="15" t="n">
        <f aca="false">F771*m_sf_hi</f>
        <v>167.4132928</v>
      </c>
      <c r="G772" s="15" t="n">
        <f aca="false">G771*m_sf_hi</f>
        <v>174.109824512</v>
      </c>
    </row>
    <row r="773" customFormat="false" ht="15" hidden="false" customHeight="false" outlineLevel="0" collapsed="false">
      <c r="A773" s="4" t="s">
        <v>497</v>
      </c>
      <c r="B773" s="0" t="s">
        <v>169</v>
      </c>
      <c r="C773" s="15" t="n">
        <f aca="false">q25_ff</f>
        <v>290.308</v>
      </c>
      <c r="D773" s="15" t="n">
        <f aca="false">q26_ff</f>
        <v>310.6</v>
      </c>
      <c r="E773" s="15" t="n">
        <f aca="false">D773*(1+g_ff)</f>
        <v>319.918</v>
      </c>
      <c r="F773" s="15" t="n">
        <f aca="false">E773*(1+g_ff)</f>
        <v>329.51554</v>
      </c>
      <c r="G773" s="15" t="n">
        <f aca="false">F773*(1+g_ff)</f>
        <v>339.4010062</v>
      </c>
    </row>
    <row r="774" customFormat="false" ht="15" hidden="false" customHeight="false" outlineLevel="0" collapsed="false">
      <c r="A774" s="4" t="s">
        <v>498</v>
      </c>
      <c r="B774" s="0" t="s">
        <v>169</v>
      </c>
      <c r="C774" s="15" t="n">
        <f aca="false">q25_ffbp</f>
        <v>8.457</v>
      </c>
      <c r="D774" s="15" t="n">
        <f aca="false">q26_ffbp</f>
        <v>12.1</v>
      </c>
      <c r="E774" s="15" t="n">
        <f aca="false">E773*m_ff</f>
        <v>14.39631</v>
      </c>
      <c r="F774" s="15" t="n">
        <f aca="false">F773*m_ff</f>
        <v>14.8281993</v>
      </c>
      <c r="G774" s="15" t="n">
        <f aca="false">G773*m_ff</f>
        <v>15.273045279</v>
      </c>
    </row>
    <row r="775" customFormat="false" ht="17.15" hidden="false" customHeight="false" outlineLevel="0" collapsed="false">
      <c r="A775" s="4" t="s">
        <v>499</v>
      </c>
      <c r="B775" s="0" t="s">
        <v>169</v>
      </c>
      <c r="C775" s="15" t="n">
        <f aca="false">q25_hox</f>
        <v>239.0528</v>
      </c>
      <c r="D775" s="15" t="n">
        <f aca="false">q26_hox</f>
        <v>286.2</v>
      </c>
      <c r="E775" s="15" t="n">
        <f aca="false">D775*(1+g_ho)</f>
        <v>300.51</v>
      </c>
      <c r="F775" s="15" t="n">
        <f aca="false">E775*(1+g_ho)</f>
        <v>315.5355</v>
      </c>
      <c r="G775" s="15" t="n">
        <f aca="false">F775*(1+g_ho)</f>
        <v>331.312275</v>
      </c>
    </row>
    <row r="776" customFormat="false" ht="17.15" hidden="false" customHeight="false" outlineLevel="0" collapsed="false">
      <c r="A776" s="4" t="s">
        <v>500</v>
      </c>
      <c r="B776" s="0" t="s">
        <v>169</v>
      </c>
      <c r="C776" s="15" t="n">
        <f aca="false">q25_hoxbp</f>
        <v>11.602</v>
      </c>
      <c r="D776" s="15" t="n">
        <f aca="false">q26_hoxbp</f>
        <v>19.5</v>
      </c>
      <c r="E776" s="15" t="n">
        <f aca="false">E775*m_ho</f>
        <v>20.475</v>
      </c>
      <c r="F776" s="15" t="n">
        <f aca="false">F775*m_ho</f>
        <v>21.49875</v>
      </c>
      <c r="G776" s="15" t="n">
        <f aca="false">G775*m_ho</f>
        <v>22.5736875</v>
      </c>
    </row>
    <row r="777" customFormat="false" ht="17.15" hidden="false" customHeight="false" outlineLevel="0" collapsed="false">
      <c r="A777" s="4" t="s">
        <v>501</v>
      </c>
      <c r="B777" s="0" t="s">
        <v>169</v>
      </c>
      <c r="C777" s="15" t="n">
        <f aca="false">q25_oth</f>
        <v>14.979</v>
      </c>
      <c r="D777" s="15" t="n">
        <f aca="false">q26_oth</f>
        <v>15.8</v>
      </c>
      <c r="E777" s="15" t="n">
        <f aca="false">D777</f>
        <v>15.8</v>
      </c>
      <c r="F777" s="15" t="n">
        <f aca="false">E777</f>
        <v>15.8</v>
      </c>
      <c r="G777" s="15" t="n">
        <f aca="false">F777</f>
        <v>15.8</v>
      </c>
      <c r="K777" s="8" t="s">
        <v>502</v>
      </c>
    </row>
    <row r="778" customFormat="false" ht="15" hidden="false" customHeight="false" outlineLevel="0" collapsed="false">
      <c r="A778" s="4" t="s">
        <v>503</v>
      </c>
      <c r="B778" s="0" t="s">
        <v>169</v>
      </c>
      <c r="C778" s="15" t="n">
        <f aca="false">q25_othbp</f>
        <v>6.064</v>
      </c>
      <c r="D778" s="15" t="n">
        <f aca="false">q26_othbp</f>
        <v>5.1</v>
      </c>
      <c r="E778" s="15" t="n">
        <f aca="false">q26_othbp</f>
        <v>5.1</v>
      </c>
      <c r="F778" s="15" t="n">
        <f aca="false">q26_othbp</f>
        <v>5.1</v>
      </c>
      <c r="G778" s="15" t="n">
        <f aca="false">q26_othbp</f>
        <v>5.1</v>
      </c>
    </row>
    <row r="779" customFormat="false" ht="15" hidden="false" customHeight="false" outlineLevel="0" collapsed="false">
      <c r="A779" s="4" t="s">
        <v>504</v>
      </c>
      <c r="B779" s="0" t="s">
        <v>169</v>
      </c>
      <c r="C779" s="15" t="n">
        <f aca="false">q25_cc</f>
        <v>-42.597</v>
      </c>
      <c r="D779" s="15" t="n">
        <f aca="false">q26_cc</f>
        <v>-46.2</v>
      </c>
      <c r="E779" s="15" t="n">
        <f aca="false">D779*(1+g_cc)</f>
        <v>-47.586</v>
      </c>
      <c r="F779" s="15" t="n">
        <f aca="false">E779*(1+g_cc)</f>
        <v>-49.01358</v>
      </c>
      <c r="G779" s="15" t="n">
        <f aca="false">F779*(1+g_cc)</f>
        <v>-50.4839874</v>
      </c>
    </row>
    <row r="780" customFormat="false" ht="17.15" hidden="false" customHeight="false" outlineLevel="0" collapsed="false">
      <c r="A780" s="4" t="s">
        <v>505</v>
      </c>
      <c r="B780" s="0" t="s">
        <v>169</v>
      </c>
      <c r="C780" s="28" t="n">
        <f aca="false">a_rev-(q25_sf+q25_ff+q25_hox+q25_fm+q25_oth)</f>
        <v>0.00200000000018008</v>
      </c>
      <c r="D780" s="28" t="n">
        <f aca="false">f_rev-(q26_sf+q26_ff+q26_hox+q26_fm+q26_oth)</f>
        <v>0.200000000000045</v>
      </c>
      <c r="E780" s="28" t="n">
        <f aca="false">$D780</f>
        <v>0.200000000000045</v>
      </c>
      <c r="F780" s="28" t="n">
        <f aca="false">$D780</f>
        <v>0.200000000000045</v>
      </c>
      <c r="G780" s="28" t="n">
        <f aca="false">$D780</f>
        <v>0.200000000000045</v>
      </c>
      <c r="K780" s="8" t="s">
        <v>506</v>
      </c>
    </row>
    <row r="781" customFormat="false" ht="15" hidden="false" customHeight="false" outlineLevel="0" collapsed="false">
      <c r="A781" s="4" t="s">
        <v>507</v>
      </c>
      <c r="B781" s="0" t="s">
        <v>169</v>
      </c>
      <c r="C781" s="28" t="n">
        <f aca="false">a_bp-(q25_sfbp+q25_ffbp+q25_hoxbp+q25_fmbp+q25_othbp+q25_cc)</f>
        <v>0.0010000000000332</v>
      </c>
      <c r="D781" s="28" t="n">
        <f aca="false">f_bp-(q26_sfbp+q26_ffbp+q26_hoxbp+q26_fmbp+q26_othbp+q26_cc)</f>
        <v>0.100000000000023</v>
      </c>
      <c r="E781" s="28" t="n">
        <f aca="false">$D781</f>
        <v>0.100000000000023</v>
      </c>
      <c r="F781" s="28" t="n">
        <f aca="false">$D781</f>
        <v>0.100000000000023</v>
      </c>
      <c r="G781" s="28" t="n">
        <f aca="false">$D781</f>
        <v>0.100000000000023</v>
      </c>
    </row>
    <row r="782" customFormat="false" ht="17.15" hidden="false" customHeight="false" outlineLevel="0" collapsed="false">
      <c r="A782" s="6" t="s">
        <v>508</v>
      </c>
    </row>
    <row r="783" customFormat="false" ht="17.15" hidden="false" customHeight="false" outlineLevel="0" collapsed="false">
      <c r="A783" s="4" t="s">
        <v>380</v>
      </c>
      <c r="B783" s="0" t="s">
        <v>169</v>
      </c>
      <c r="C783" s="15" t="n">
        <f aca="false">C771+C773+C775+C767+C777+C780</f>
        <v>1583.719</v>
      </c>
      <c r="D783" s="15" t="n">
        <f aca="false">D771+D773+D775+D767+D777+D780</f>
        <v>1732</v>
      </c>
      <c r="E783" s="15" t="n">
        <f aca="false">E771+E773+E775+E767+E777+E780</f>
        <v>1850.5656</v>
      </c>
      <c r="F783" s="15" t="n">
        <f aca="false">F771+F773+F775+F767+F777+F780</f>
        <v>1955.94074307053</v>
      </c>
      <c r="G783" s="15" t="n">
        <f aca="false">G771+G773+G775+G767+G777+G780</f>
        <v>2053.1320716</v>
      </c>
      <c r="H783" s="23" t="n">
        <f aca="false">G783*(1+H784)</f>
        <v>2162.20857776426</v>
      </c>
      <c r="I783" s="23" t="n">
        <f aca="false">H783*(1+I784)</f>
        <v>2284.5105355383</v>
      </c>
      <c r="J783" s="23" t="n">
        <f aca="false">I783*(1+J784)</f>
        <v>2421.5811676706</v>
      </c>
      <c r="K783" s="8" t="s">
        <v>509</v>
      </c>
    </row>
    <row r="784" customFormat="false" ht="15" hidden="false" customHeight="false" outlineLevel="0" collapsed="false">
      <c r="A784" s="4" t="s">
        <v>510</v>
      </c>
      <c r="B784" s="0" t="s">
        <v>77</v>
      </c>
      <c r="D784" s="16" t="n">
        <f aca="false">D783/C783-1</f>
        <v>0.0936283519993131</v>
      </c>
      <c r="E784" s="16" t="n">
        <f aca="false">E783/D783-1</f>
        <v>0.0684558891454965</v>
      </c>
      <c r="F784" s="16" t="n">
        <f aca="false">F783/E783-1</f>
        <v>0.0569421278935081</v>
      </c>
      <c r="G784" s="16" t="n">
        <f aca="false">G783/F783-1</f>
        <v>0.0496903236326567</v>
      </c>
      <c r="H784" s="24" t="n">
        <f aca="false">$G784+(fade_gA-$G784)*1/3</f>
        <v>0.0531268824217711</v>
      </c>
      <c r="I784" s="24" t="n">
        <f aca="false">$G784+(fade_gA-$G784)*2/3</f>
        <v>0.0565634412108856</v>
      </c>
      <c r="J784" s="24" t="n">
        <f aca="false">$G784+(fade_gA-$G784)*3/3</f>
        <v>0.06</v>
      </c>
    </row>
    <row r="785" customFormat="false" ht="17.15" hidden="false" customHeight="false" outlineLevel="0" collapsed="false">
      <c r="A785" s="0" t="s">
        <v>511</v>
      </c>
      <c r="B785" s="0" t="s">
        <v>77</v>
      </c>
      <c r="C785" s="16" t="n">
        <f aca="false">C767/C783</f>
        <v>0.0646902638662541</v>
      </c>
      <c r="D785" s="16" t="n">
        <f aca="false">D767/D783</f>
        <v>0.0696304849884527</v>
      </c>
      <c r="E785" s="16" t="n">
        <f aca="false">E767/E783</f>
        <v>0.0948864498507916</v>
      </c>
      <c r="F785" s="16" t="n">
        <f aca="false">F767/F783</f>
        <v>0.109821293835987</v>
      </c>
      <c r="G785" s="16" t="n">
        <f aca="false">G767/G783</f>
        <v>0.118418879799842</v>
      </c>
    </row>
    <row r="786" customFormat="false" ht="15" hidden="false" customHeight="false" outlineLevel="0" collapsed="false">
      <c r="A786" s="4" t="s">
        <v>390</v>
      </c>
      <c r="B786" s="0" t="s">
        <v>169</v>
      </c>
      <c r="C786" s="15" t="n">
        <f aca="false">C772+C774+C776+C769+C778+C779+C781</f>
        <v>181.163</v>
      </c>
      <c r="D786" s="15" t="n">
        <f aca="false">D772+D774+D776+D769+D778+D779+D781</f>
        <v>202</v>
      </c>
      <c r="E786" s="15" t="n">
        <f aca="false">E772+E774+E776+E769+E778+E779+E781</f>
        <v>255.27433</v>
      </c>
      <c r="F786" s="15" t="n">
        <f aca="false">F772+F774+F776+F769+F778+F779+F781</f>
        <v>284.1942202364</v>
      </c>
      <c r="G786" s="15" t="n">
        <f aca="false">G772+G774+G776+G769+G778+G779+G781</f>
        <v>301.425506031</v>
      </c>
    </row>
    <row r="787" customFormat="false" ht="15" hidden="false" customHeight="false" outlineLevel="0" collapsed="false">
      <c r="A787" s="4" t="s">
        <v>406</v>
      </c>
      <c r="B787" s="0" t="s">
        <v>77</v>
      </c>
      <c r="C787" s="16" t="n">
        <f aca="false">C786/C783</f>
        <v>0.114390873633517</v>
      </c>
      <c r="D787" s="16" t="n">
        <f aca="false">D786/D783</f>
        <v>0.11662817551963</v>
      </c>
      <c r="E787" s="16" t="n">
        <f aca="false">E786/E783</f>
        <v>0.137943950757541</v>
      </c>
      <c r="F787" s="16" t="n">
        <f aca="false">F786/F783</f>
        <v>0.145297970423306</v>
      </c>
      <c r="G787" s="16" t="n">
        <f aca="false">G786/G783</f>
        <v>0.146812526188878</v>
      </c>
    </row>
    <row r="788" customFormat="false" ht="17.15" hidden="false" customHeight="false" outlineLevel="0" collapsed="false">
      <c r="A788" s="0" t="s">
        <v>512</v>
      </c>
      <c r="B788" s="0" t="s">
        <v>77</v>
      </c>
      <c r="C788" s="16" t="n">
        <f aca="false">C769/C786</f>
        <v>0.301386044611758</v>
      </c>
      <c r="D788" s="16" t="n">
        <f aca="false">D769/D786</f>
        <v>0.324257425742574</v>
      </c>
      <c r="E788" s="16" t="n">
        <f aca="false">E769/E786</f>
        <v>0.398844255119581</v>
      </c>
      <c r="F788" s="16" t="n">
        <f aca="false">F769/F786</f>
        <v>0.437262791738097</v>
      </c>
      <c r="G788" s="16" t="n">
        <f aca="false">G769/G786</f>
        <v>0.447052201767363</v>
      </c>
    </row>
    <row r="789" customFormat="false" ht="17.15" hidden="false" customHeight="false" outlineLevel="0" collapsed="false">
      <c r="A789" s="4" t="s">
        <v>407</v>
      </c>
      <c r="B789" s="0" t="s">
        <v>52</v>
      </c>
      <c r="C789" s="21" t="n">
        <f aca="false">q25_ni/q25_bp</f>
        <v>0.743391310587703</v>
      </c>
      <c r="D789" s="21" t="n">
        <f aca="false">q26_ni/q26_bp</f>
        <v>0.611386138613861</v>
      </c>
      <c r="E789" s="21" t="n">
        <f aca="false">ni_bp</f>
        <v>0.62</v>
      </c>
      <c r="F789" s="21" t="n">
        <f aca="false">ni_bp</f>
        <v>0.62</v>
      </c>
      <c r="G789" s="21" t="n">
        <f aca="false">ni_bp</f>
        <v>0.62</v>
      </c>
    </row>
    <row r="790" customFormat="false" ht="15" hidden="false" customHeight="false" outlineLevel="0" collapsed="false">
      <c r="A790" s="4" t="s">
        <v>397</v>
      </c>
      <c r="B790" s="0" t="s">
        <v>169</v>
      </c>
      <c r="C790" s="15" t="n">
        <f aca="false">q25_ni</f>
        <v>134.675</v>
      </c>
      <c r="D790" s="15" t="n">
        <f aca="false">q26_ni</f>
        <v>123.5</v>
      </c>
      <c r="E790" s="15" t="n">
        <f aca="false">E786*E789</f>
        <v>158.2700846</v>
      </c>
      <c r="F790" s="15" t="n">
        <f aca="false">F786*F789</f>
        <v>176.200416546568</v>
      </c>
      <c r="G790" s="15" t="n">
        <f aca="false">G786*G789</f>
        <v>186.88381373922</v>
      </c>
      <c r="H790" s="23" t="n">
        <f aca="false">H783*H794</f>
        <v>194.637610756617</v>
      </c>
      <c r="I790" s="23" t="n">
        <f aca="false">I783*I794</f>
        <v>203.349214667111</v>
      </c>
      <c r="J790" s="23" t="n">
        <f aca="false">J783*J794</f>
        <v>213.114532255596</v>
      </c>
    </row>
    <row r="791" customFormat="false" ht="15" hidden="false" customHeight="false" outlineLevel="0" collapsed="false">
      <c r="A791" s="4" t="s">
        <v>513</v>
      </c>
      <c r="B791" s="4" t="s">
        <v>316</v>
      </c>
      <c r="C791" s="19" t="n">
        <f aca="false">q25_sh</f>
        <v>0.973366579936398</v>
      </c>
      <c r="D791" s="19" t="n">
        <f aca="false">q26_sh</f>
        <v>0.95117067159581</v>
      </c>
      <c r="E791" s="19" t="n">
        <f aca="false">D791*(1+sh_g)</f>
        <v>0.936903111521873</v>
      </c>
      <c r="F791" s="19" t="n">
        <f aca="false">E791*(1+sh_g)</f>
        <v>0.922849564849045</v>
      </c>
      <c r="G791" s="19" t="n">
        <f aca="false">F791*(1+sh_g)</f>
        <v>0.909006821376309</v>
      </c>
      <c r="H791" s="29" t="n">
        <f aca="false">G791*(1+sh_g)</f>
        <v>0.895371719055665</v>
      </c>
      <c r="I791" s="29" t="n">
        <f aca="false">H791*(1+sh_g)</f>
        <v>0.88194114326983</v>
      </c>
      <c r="J791" s="29" t="n">
        <f aca="false">I791*(1+sh_g)</f>
        <v>0.868712026120782</v>
      </c>
    </row>
    <row r="792" customFormat="false" ht="17.15" hidden="false" customHeight="false" outlineLevel="0" collapsed="false">
      <c r="A792" s="0" t="s">
        <v>514</v>
      </c>
      <c r="B792" s="0" t="s">
        <v>207</v>
      </c>
      <c r="C792" s="20" t="n">
        <f aca="false">C790/C791</f>
        <v>138.36</v>
      </c>
      <c r="D792" s="20" t="n">
        <f aca="false">D790/D791</f>
        <v>129.84</v>
      </c>
      <c r="E792" s="20" t="n">
        <f aca="false">E790/E791</f>
        <v>168.928977450946</v>
      </c>
      <c r="F792" s="20" t="n">
        <f aca="false">F790/F791</f>
        <v>190.930811757374</v>
      </c>
      <c r="G792" s="20" t="n">
        <f aca="false">G790/G791</f>
        <v>205.591211577778</v>
      </c>
      <c r="H792" s="27" t="n">
        <f aca="false">H790/H791</f>
        <v>217.381905876923</v>
      </c>
      <c r="I792" s="27" t="n">
        <f aca="false">I790/I791</f>
        <v>230.570051322458</v>
      </c>
      <c r="J792" s="27" t="n">
        <f aca="false">J790/J791</f>
        <v>245.322415078395</v>
      </c>
    </row>
    <row r="793" customFormat="false" ht="17.15" hidden="false" customHeight="false" outlineLevel="0" collapsed="false">
      <c r="A793" s="0" t="s">
        <v>515</v>
      </c>
      <c r="B793" s="0" t="s">
        <v>77</v>
      </c>
      <c r="D793" s="16" t="n">
        <f aca="false">D792/C792-1</f>
        <v>-0.0615784908933218</v>
      </c>
      <c r="E793" s="16" t="n">
        <f aca="false">E792/D792-1</f>
        <v>0.301054971125589</v>
      </c>
      <c r="F793" s="16" t="n">
        <f aca="false">F792/E792-1</f>
        <v>0.130243103571836</v>
      </c>
      <c r="G793" s="16" t="n">
        <f aca="false">G792/F792-1</f>
        <v>0.076783834340123</v>
      </c>
      <c r="H793" s="24" t="n">
        <f aca="false">H792/G792-1</f>
        <v>0.0573501863657442</v>
      </c>
      <c r="I793" s="24" t="n">
        <f aca="false">I792/H792-1</f>
        <v>0.0606680919110254</v>
      </c>
      <c r="J793" s="24" t="n">
        <f aca="false">J792/I792-1</f>
        <v>0.0639821332880124</v>
      </c>
    </row>
    <row r="794" customFormat="false" ht="15" hidden="false" customHeight="false" outlineLevel="0" collapsed="false">
      <c r="A794" s="4" t="s">
        <v>516</v>
      </c>
      <c r="B794" s="0" t="s">
        <v>77</v>
      </c>
      <c r="C794" s="25" t="n">
        <f aca="false">C790/C783</f>
        <v>0.0850371814696925</v>
      </c>
      <c r="D794" s="25" t="n">
        <f aca="false">D790/D783</f>
        <v>0.0713048498845266</v>
      </c>
      <c r="E794" s="25" t="n">
        <f aca="false">E790/E783</f>
        <v>0.0855252494696757</v>
      </c>
      <c r="F794" s="25" t="n">
        <f aca="false">F790/F783</f>
        <v>0.0900847416624495</v>
      </c>
      <c r="G794" s="25" t="n">
        <f aca="false">G790/G783</f>
        <v>0.0910237662371043</v>
      </c>
      <c r="H794" s="26" t="n">
        <f aca="false">$G794+(fade_mA-$G794)*1/3</f>
        <v>0.0900179625398922</v>
      </c>
      <c r="I794" s="26" t="n">
        <f aca="false">$G794+(fade_mA-$G794)*2/3</f>
        <v>0.0890121588426801</v>
      </c>
      <c r="J794" s="26" t="n">
        <f aca="false">$G794+(fade_mA-$G794)*3/3</f>
        <v>0.088006355145468</v>
      </c>
    </row>
    <row r="795" customFormat="false" ht="17.15" hidden="false" customHeight="false" outlineLevel="0" collapsed="false">
      <c r="A795" s="0" t="s">
        <v>517</v>
      </c>
      <c r="B795" s="0" t="s">
        <v>207</v>
      </c>
      <c r="D795" s="20" t="n">
        <f aca="false">D769*D789/D791</f>
        <v>42.1015841584158</v>
      </c>
      <c r="E795" s="20" t="n">
        <f aca="false">E769*E789/E791</f>
        <v>67.3763521795352</v>
      </c>
      <c r="F795" s="20" t="n">
        <f aca="false">F769*F789/F791</f>
        <v>83.4869397778505</v>
      </c>
      <c r="G795" s="20" t="n">
        <f aca="false">G769*G789/G791</f>
        <v>91.9100037998652</v>
      </c>
      <c r="K795" s="8" t="s">
        <v>518</v>
      </c>
    </row>
    <row r="796" customFormat="false" ht="17.15" hidden="false" customHeight="false" outlineLevel="0" collapsed="false">
      <c r="A796" s="0" t="s">
        <v>519</v>
      </c>
      <c r="B796" s="0" t="s">
        <v>207</v>
      </c>
      <c r="D796" s="20" t="n">
        <f aca="false">D792-D795</f>
        <v>87.7384158415842</v>
      </c>
      <c r="E796" s="20" t="n">
        <f aca="false">E792-E795</f>
        <v>101.552625271411</v>
      </c>
      <c r="F796" s="20" t="n">
        <f aca="false">F792-F795</f>
        <v>107.443871979524</v>
      </c>
      <c r="G796" s="20" t="n">
        <f aca="false">G792-G795</f>
        <v>113.681207777913</v>
      </c>
    </row>
    <row r="797" customFormat="false" ht="17.15" hidden="false" customHeight="false" outlineLevel="0" collapsed="false">
      <c r="A797" s="0" t="s">
        <v>520</v>
      </c>
      <c r="B797" s="0" t="s">
        <v>432</v>
      </c>
      <c r="D797" s="15" t="n">
        <f aca="false">D765/D755*1000/150</f>
        <v>23.5087719298246</v>
      </c>
      <c r="E797" s="15" t="n">
        <f aca="false">E765/E755*1000/150</f>
        <v>30.1617621884116</v>
      </c>
      <c r="F797" s="15" t="n">
        <f aca="false">F765/F755*1000/150</f>
        <v>36.5143464561404</v>
      </c>
      <c r="G797" s="15" t="n">
        <f aca="false">G765/G755*1000/150</f>
        <v>39.9173947725016</v>
      </c>
      <c r="K797" s="8" t="s">
        <v>521</v>
      </c>
    </row>
    <row r="800" customFormat="false" ht="17.15" hidden="false" customHeight="false" outlineLevel="0" collapsed="false">
      <c r="A800" s="1" t="s">
        <v>878</v>
      </c>
    </row>
    <row r="801" customFormat="false" ht="17.15" hidden="false" customHeight="false" outlineLevel="0" collapsed="false">
      <c r="A801" s="5" t="s">
        <v>19</v>
      </c>
      <c r="B801" s="5" t="s">
        <v>20</v>
      </c>
      <c r="C801" s="14" t="s">
        <v>374</v>
      </c>
      <c r="D801" s="14" t="s">
        <v>447</v>
      </c>
      <c r="E801" s="14" t="s">
        <v>412</v>
      </c>
      <c r="F801" s="14" t="s">
        <v>413</v>
      </c>
      <c r="G801" s="14" t="s">
        <v>414</v>
      </c>
      <c r="H801" s="14" t="s">
        <v>448</v>
      </c>
      <c r="I801" s="14" t="s">
        <v>449</v>
      </c>
      <c r="J801" s="14" t="s">
        <v>450</v>
      </c>
      <c r="K801" s="5" t="s">
        <v>379</v>
      </c>
    </row>
    <row r="802" customFormat="false" ht="17.15" hidden="false" customHeight="false" outlineLevel="0" collapsed="false">
      <c r="A802" s="6" t="s">
        <v>470</v>
      </c>
    </row>
    <row r="803" customFormat="false" ht="17.15" hidden="false" customHeight="false" outlineLevel="0" collapsed="false">
      <c r="A803" s="0" t="s">
        <v>471</v>
      </c>
      <c r="B803" s="4" t="s">
        <v>30</v>
      </c>
      <c r="D803" s="20" t="n">
        <f aca="false">unv_26</f>
        <v>7.6</v>
      </c>
      <c r="E803" s="20" t="n">
        <f aca="false">unv_27</f>
        <v>9.7</v>
      </c>
      <c r="F803" s="20" t="n">
        <f aca="false">unv_28*um28_A</f>
        <v>9.5</v>
      </c>
      <c r="G803" s="20" t="n">
        <f aca="false">unv_29*um29_A</f>
        <v>10.6</v>
      </c>
      <c r="K803" s="8" t="s">
        <v>472</v>
      </c>
    </row>
    <row r="804" customFormat="false" ht="17.15" hidden="false" customHeight="false" outlineLevel="0" collapsed="false">
      <c r="A804" s="4" t="s">
        <v>473</v>
      </c>
      <c r="B804" s="4" t="s">
        <v>30</v>
      </c>
      <c r="D804" s="20" t="n">
        <f aca="false">uot_26</f>
        <v>7.6</v>
      </c>
      <c r="E804" s="20" t="n">
        <f aca="false">uot_27</f>
        <v>14</v>
      </c>
      <c r="F804" s="20" t="n">
        <f aca="false">uot_28*um28_A</f>
        <v>17</v>
      </c>
      <c r="G804" s="20" t="n">
        <f aca="false">uot_29*um29_A</f>
        <v>19.55</v>
      </c>
      <c r="K804" s="8" t="s">
        <v>474</v>
      </c>
    </row>
    <row r="805" customFormat="false" ht="17.15" hidden="false" customHeight="false" outlineLevel="0" collapsed="false">
      <c r="A805" s="4" t="s">
        <v>475</v>
      </c>
      <c r="B805" s="4" t="s">
        <v>30</v>
      </c>
      <c r="D805" s="20" t="n">
        <f aca="false">D803+v_ot*D804</f>
        <v>13.68</v>
      </c>
      <c r="E805" s="20" t="n">
        <f aca="false">E803+v_ot*E804</f>
        <v>20.9</v>
      </c>
      <c r="F805" s="20" t="n">
        <f aca="false">F803+v_ot*F804</f>
        <v>23.1</v>
      </c>
      <c r="G805" s="20" t="n">
        <f aca="false">G803+v_ot*G804</f>
        <v>26.24</v>
      </c>
    </row>
    <row r="806" customFormat="false" ht="17.15" hidden="false" customHeight="false" outlineLevel="0" collapsed="false">
      <c r="A806" s="4" t="s">
        <v>476</v>
      </c>
      <c r="B806" s="0" t="s">
        <v>52</v>
      </c>
      <c r="D806" s="21" t="n">
        <f aca="false">1</f>
        <v>1</v>
      </c>
      <c r="E806" s="21" t="n">
        <f aca="false">D806*(1+g_asp)</f>
        <v>1.18</v>
      </c>
      <c r="F806" s="21" t="n">
        <f aca="false">E806*(1+g_asp)</f>
        <v>1.3924</v>
      </c>
      <c r="G806" s="21" t="n">
        <f aca="false">F806*(1+g_asp)</f>
        <v>1.643032</v>
      </c>
    </row>
    <row r="807" customFormat="false" ht="17.15" hidden="false" customHeight="false" outlineLevel="0" collapsed="false">
      <c r="A807" s="4" t="s">
        <v>477</v>
      </c>
      <c r="B807" s="0" t="s">
        <v>52</v>
      </c>
      <c r="D807" s="18" t="n">
        <f aca="false">1</f>
        <v>1</v>
      </c>
      <c r="E807" s="18" t="n">
        <f aca="false">rel_27</f>
        <v>1</v>
      </c>
      <c r="F807" s="18" t="n">
        <f aca="false">rel_28</f>
        <v>0.97</v>
      </c>
      <c r="G807" s="18" t="n">
        <f aca="false">rel_29</f>
        <v>0.95</v>
      </c>
    </row>
    <row r="808" customFormat="false" ht="17.15" hidden="false" customHeight="false" outlineLevel="0" collapsed="false">
      <c r="A808" s="0" t="s">
        <v>478</v>
      </c>
      <c r="B808" s="0" t="s">
        <v>52</v>
      </c>
      <c r="D808" s="21" t="n">
        <f aca="false">D805/$D805*D806*D807</f>
        <v>1</v>
      </c>
      <c r="E808" s="21" t="n">
        <f aca="false">E805/$D805*E806*E807</f>
        <v>1.80277777777778</v>
      </c>
      <c r="F808" s="21" t="n">
        <f aca="false">F805/$D805*F806*F807</f>
        <v>2.28066570175439</v>
      </c>
      <c r="G808" s="21" t="n">
        <f aca="false">G805/$D805*G806*G807</f>
        <v>2.99396942222222</v>
      </c>
      <c r="K808" s="4" t="s">
        <v>479</v>
      </c>
    </row>
    <row r="809" customFormat="false" ht="17.15" hidden="false" customHeight="false" outlineLevel="0" collapsed="false">
      <c r="A809" s="4" t="s">
        <v>480</v>
      </c>
      <c r="B809" s="0" t="s">
        <v>52</v>
      </c>
      <c r="D809" s="21" t="n">
        <f aca="false">1</f>
        <v>1</v>
      </c>
      <c r="E809" s="21" t="n">
        <f aca="false">D809*(1+g_nai)</f>
        <v>1.03</v>
      </c>
      <c r="F809" s="21" t="n">
        <f aca="false">E809*(1+g_nai)</f>
        <v>1.0609</v>
      </c>
      <c r="G809" s="21" t="n">
        <f aca="false">F809*(1+g_nai)</f>
        <v>1.092727</v>
      </c>
    </row>
    <row r="810" customFormat="false" ht="17.15" hidden="false" customHeight="false" outlineLevel="0" collapsed="false">
      <c r="A810" s="0" t="s">
        <v>481</v>
      </c>
      <c r="B810" s="0" t="s">
        <v>52</v>
      </c>
      <c r="D810" s="21" t="n">
        <f aca="false">ai_sh*D808+(1-ai_sh)*D809</f>
        <v>1</v>
      </c>
      <c r="E810" s="21" t="n">
        <f aca="false">ai_sh*E808+(1-ai_sh)*E809</f>
        <v>1.33911111111111</v>
      </c>
      <c r="F810" s="21" t="n">
        <f aca="false">ai_sh*F808+(1-ai_sh)*F809</f>
        <v>1.54880628070175</v>
      </c>
      <c r="G810" s="21" t="n">
        <f aca="false">ai_sh*G808+(1-ai_sh)*G809</f>
        <v>1.85322396888889</v>
      </c>
    </row>
    <row r="811" customFormat="false" ht="17.15" hidden="false" customHeight="false" outlineLevel="0" collapsed="false">
      <c r="A811" s="4" t="s">
        <v>482</v>
      </c>
      <c r="B811" s="0" t="s">
        <v>52</v>
      </c>
      <c r="D811" s="21" t="n">
        <f aca="false">1</f>
        <v>1</v>
      </c>
      <c r="E811" s="21" t="n">
        <f aca="false">cap_27</f>
        <v>1.3</v>
      </c>
      <c r="F811" s="21" t="n">
        <f aca="false">cap_28</f>
        <v>1.55</v>
      </c>
      <c r="G811" s="21" t="n">
        <f aca="false">cap_29</f>
        <v>1.8</v>
      </c>
      <c r="K811" s="4" t="s">
        <v>483</v>
      </c>
    </row>
    <row r="812" customFormat="false" ht="17.15" hidden="false" customHeight="false" outlineLevel="0" collapsed="false">
      <c r="A812" s="4" t="s">
        <v>484</v>
      </c>
      <c r="B812" s="0" t="s">
        <v>52</v>
      </c>
      <c r="D812" s="21" t="n">
        <f aca="false">MIN(D810,D811)</f>
        <v>1</v>
      </c>
      <c r="E812" s="21" t="n">
        <f aca="false">MIN(E810,E811)</f>
        <v>1.3</v>
      </c>
      <c r="F812" s="21" t="n">
        <f aca="false">MIN(F810,F811)</f>
        <v>1.54880628070175</v>
      </c>
      <c r="G812" s="21" t="n">
        <f aca="false">MIN(G810,G811)</f>
        <v>1.8</v>
      </c>
    </row>
    <row r="813" customFormat="false" ht="17.15" hidden="false" customHeight="false" outlineLevel="0" collapsed="false">
      <c r="A813" s="4" t="s">
        <v>485</v>
      </c>
      <c r="B813" s="0" t="s">
        <v>77</v>
      </c>
      <c r="D813" s="16" t="n">
        <f aca="false">D812/D810</f>
        <v>1</v>
      </c>
      <c r="E813" s="16" t="n">
        <f aca="false">E812/E810</f>
        <v>0.970793229339529</v>
      </c>
      <c r="F813" s="16" t="n">
        <f aca="false">F812/F810</f>
        <v>1</v>
      </c>
      <c r="G813" s="16" t="n">
        <f aca="false">G812/G810</f>
        <v>0.971280336439422</v>
      </c>
      <c r="K813" s="4" t="s">
        <v>486</v>
      </c>
    </row>
    <row r="814" customFormat="false" ht="17.15" hidden="false" customHeight="false" outlineLevel="0" collapsed="false">
      <c r="A814" s="0" t="s">
        <v>487</v>
      </c>
      <c r="B814" s="0" t="s">
        <v>52</v>
      </c>
      <c r="D814" s="21" t="n">
        <f aca="false">1</f>
        <v>1</v>
      </c>
      <c r="E814" s="21" t="n">
        <f aca="false">pp_27</f>
        <v>1.12</v>
      </c>
      <c r="F814" s="21" t="n">
        <f aca="false">pp_28*sp_A</f>
        <v>1.15</v>
      </c>
      <c r="G814" s="21" t="n">
        <f aca="false">pp_29*sp_A</f>
        <v>1.12</v>
      </c>
      <c r="K814" s="8" t="s">
        <v>488</v>
      </c>
    </row>
    <row r="815" customFormat="false" ht="17.15" hidden="false" customHeight="false" outlineLevel="0" collapsed="false">
      <c r="A815" s="0" t="s">
        <v>429</v>
      </c>
      <c r="B815" s="0" t="s">
        <v>169</v>
      </c>
      <c r="D815" s="15" t="n">
        <f aca="false">q26_fm*ai_sh</f>
        <v>48.24</v>
      </c>
      <c r="E815" s="15" t="n">
        <f aca="false">q26_fm*ai_sh*E808*E813*E814</f>
        <v>94.5571244606705</v>
      </c>
      <c r="F815" s="15" t="n">
        <f aca="false">q26_fm*ai_sh*F808*F813*F814</f>
        <v>126.522210470526</v>
      </c>
      <c r="G815" s="15" t="n">
        <f aca="false">q26_fm*ai_sh*G808*G813*G814</f>
        <v>157.114865824566</v>
      </c>
      <c r="K815" s="8" t="s">
        <v>489</v>
      </c>
    </row>
    <row r="816" customFormat="false" ht="17.15" hidden="false" customHeight="false" outlineLevel="0" collapsed="false">
      <c r="A816" s="0" t="s">
        <v>490</v>
      </c>
      <c r="B816" s="0" t="s">
        <v>169</v>
      </c>
      <c r="D816" s="15" t="n">
        <f aca="false">q26_fm*(1-ai_sh)</f>
        <v>72.36</v>
      </c>
      <c r="E816" s="15" t="n">
        <f aca="false">q26_fm*(1-ai_sh)*E809*E813*E814</f>
        <v>81.0364755393296</v>
      </c>
      <c r="F816" s="15" t="n">
        <f aca="false">q26_fm*(1-ai_sh)*F809*F813*F814</f>
        <v>88.2817326</v>
      </c>
      <c r="G816" s="15" t="n">
        <f aca="false">q26_fm*(1-ai_sh)*G809*G813*G814</f>
        <v>86.0147341754337</v>
      </c>
    </row>
    <row r="817" customFormat="false" ht="17.15" hidden="false" customHeight="false" outlineLevel="0" collapsed="false">
      <c r="A817" s="4" t="s">
        <v>491</v>
      </c>
      <c r="B817" s="0" t="s">
        <v>169</v>
      </c>
      <c r="C817" s="15" t="n">
        <f aca="false">q25_fm</f>
        <v>102.4512</v>
      </c>
      <c r="D817" s="15" t="n">
        <f aca="false">D815+D816</f>
        <v>120.6</v>
      </c>
      <c r="E817" s="15" t="n">
        <f aca="false">E815+E816</f>
        <v>175.5936</v>
      </c>
      <c r="F817" s="15" t="n">
        <f aca="false">F815+F816</f>
        <v>214.803943070526</v>
      </c>
      <c r="G817" s="15" t="n">
        <f aca="false">G815+G816</f>
        <v>243.1296</v>
      </c>
    </row>
    <row r="818" customFormat="false" ht="17.15" hidden="false" customHeight="false" outlineLevel="0" collapsed="false">
      <c r="A818" s="0" t="s">
        <v>492</v>
      </c>
      <c r="B818" s="0" t="s">
        <v>77</v>
      </c>
      <c r="C818" s="16" t="n">
        <f aca="false">q25_fmbp/q25_fm</f>
        <v>0.532936656671664</v>
      </c>
      <c r="D818" s="16" t="n">
        <f aca="false">q26_fmbp/q26_fm</f>
        <v>0.543117744610282</v>
      </c>
      <c r="E818" s="16" t="n">
        <f aca="false">1-(1-$D818)*(1+c_g)^1/E814</f>
        <v>0.579831497275527</v>
      </c>
      <c r="F818" s="16" t="n">
        <f aca="false">1-(1-$D818)*(1+c_g)^2/F814</f>
        <v>0.578516187180042</v>
      </c>
      <c r="G818" s="16" t="n">
        <f aca="false">1-(1-$D818)*(1+c_g)^3/G814</f>
        <v>0.554243235459607</v>
      </c>
      <c r="K818" s="8" t="s">
        <v>493</v>
      </c>
    </row>
    <row r="819" customFormat="false" ht="17.15" hidden="false" customHeight="false" outlineLevel="0" collapsed="false">
      <c r="A819" s="0" t="s">
        <v>455</v>
      </c>
      <c r="B819" s="0" t="s">
        <v>169</v>
      </c>
      <c r="C819" s="15" t="n">
        <f aca="false">q25_fmbp</f>
        <v>54.6</v>
      </c>
      <c r="D819" s="15" t="n">
        <f aca="false">D817*D818</f>
        <v>65.5</v>
      </c>
      <c r="E819" s="15" t="n">
        <f aca="false">E817*E818</f>
        <v>101.8147</v>
      </c>
      <c r="F819" s="15" t="n">
        <f aca="false">F817*F818</f>
        <v>124.2675581364</v>
      </c>
      <c r="G819" s="15" t="n">
        <f aca="false">G817*G818</f>
        <v>134.75293614</v>
      </c>
    </row>
    <row r="820" customFormat="false" ht="17.15" hidden="false" customHeight="false" outlineLevel="0" collapsed="false">
      <c r="A820" s="6" t="s">
        <v>494</v>
      </c>
    </row>
    <row r="821" customFormat="false" ht="15" hidden="false" customHeight="false" outlineLevel="0" collapsed="false">
      <c r="A821" s="4" t="s">
        <v>495</v>
      </c>
      <c r="B821" s="0" t="s">
        <v>169</v>
      </c>
      <c r="C821" s="15" t="n">
        <f aca="false">q25_sf</f>
        <v>936.926</v>
      </c>
      <c r="D821" s="15" t="n">
        <f aca="false">q26_sf</f>
        <v>998.6</v>
      </c>
      <c r="E821" s="15" t="n">
        <f aca="false">D821*(1+g_sf_lo)</f>
        <v>1018.572</v>
      </c>
      <c r="F821" s="15" t="n">
        <f aca="false">E821*(1+g_sf_lo)</f>
        <v>1038.94344</v>
      </c>
      <c r="G821" s="15" t="n">
        <f aca="false">F821*(1+g_sf_lo)</f>
        <v>1059.7223088</v>
      </c>
    </row>
    <row r="822" customFormat="false" ht="15" hidden="false" customHeight="false" outlineLevel="0" collapsed="false">
      <c r="A822" s="4" t="s">
        <v>496</v>
      </c>
      <c r="B822" s="0" t="s">
        <v>169</v>
      </c>
      <c r="C822" s="15" t="n">
        <f aca="false">q25_sfbp</f>
        <v>143.036</v>
      </c>
      <c r="D822" s="15" t="n">
        <f aca="false">q26_sfbp</f>
        <v>145.9</v>
      </c>
      <c r="E822" s="15" t="n">
        <f aca="false">E821*m_sf</f>
        <v>148.818</v>
      </c>
      <c r="F822" s="15" t="n">
        <f aca="false">F821*m_sf</f>
        <v>151.79436</v>
      </c>
      <c r="G822" s="15" t="n">
        <f aca="false">G821*m_sf</f>
        <v>154.8302472</v>
      </c>
    </row>
    <row r="823" customFormat="false" ht="15" hidden="false" customHeight="false" outlineLevel="0" collapsed="false">
      <c r="A823" s="4" t="s">
        <v>497</v>
      </c>
      <c r="B823" s="0" t="s">
        <v>169</v>
      </c>
      <c r="C823" s="15" t="n">
        <f aca="false">q25_ff</f>
        <v>290.308</v>
      </c>
      <c r="D823" s="15" t="n">
        <f aca="false">q26_ff</f>
        <v>310.6</v>
      </c>
      <c r="E823" s="15" t="n">
        <f aca="false">D823*(1+g_ff)</f>
        <v>319.918</v>
      </c>
      <c r="F823" s="15" t="n">
        <f aca="false">E823*(1+g_ff)</f>
        <v>329.51554</v>
      </c>
      <c r="G823" s="15" t="n">
        <f aca="false">F823*(1+g_ff)</f>
        <v>339.4010062</v>
      </c>
    </row>
    <row r="824" customFormat="false" ht="15" hidden="false" customHeight="false" outlineLevel="0" collapsed="false">
      <c r="A824" s="4" t="s">
        <v>498</v>
      </c>
      <c r="B824" s="0" t="s">
        <v>169</v>
      </c>
      <c r="C824" s="15" t="n">
        <f aca="false">q25_ffbp</f>
        <v>8.457</v>
      </c>
      <c r="D824" s="15" t="n">
        <f aca="false">q26_ffbp</f>
        <v>12.1</v>
      </c>
      <c r="E824" s="15" t="n">
        <f aca="false">E823*m_ff</f>
        <v>14.39631</v>
      </c>
      <c r="F824" s="15" t="n">
        <f aca="false">F823*m_ff</f>
        <v>14.8281993</v>
      </c>
      <c r="G824" s="15" t="n">
        <f aca="false">G823*m_ff</f>
        <v>15.273045279</v>
      </c>
    </row>
    <row r="825" customFormat="false" ht="17.15" hidden="false" customHeight="false" outlineLevel="0" collapsed="false">
      <c r="A825" s="4" t="s">
        <v>499</v>
      </c>
      <c r="B825" s="0" t="s">
        <v>169</v>
      </c>
      <c r="C825" s="15" t="n">
        <f aca="false">q25_hox</f>
        <v>239.0528</v>
      </c>
      <c r="D825" s="15" t="n">
        <f aca="false">q26_hox</f>
        <v>286.2</v>
      </c>
      <c r="E825" s="15" t="n">
        <f aca="false">D825*(1+g_ho)</f>
        <v>300.51</v>
      </c>
      <c r="F825" s="15" t="n">
        <f aca="false">E825*(1+g_ho)</f>
        <v>315.5355</v>
      </c>
      <c r="G825" s="15" t="n">
        <f aca="false">F825*(1+g_ho)</f>
        <v>331.312275</v>
      </c>
    </row>
    <row r="826" customFormat="false" ht="17.15" hidden="false" customHeight="false" outlineLevel="0" collapsed="false">
      <c r="A826" s="4" t="s">
        <v>500</v>
      </c>
      <c r="B826" s="0" t="s">
        <v>169</v>
      </c>
      <c r="C826" s="15" t="n">
        <f aca="false">q25_hoxbp</f>
        <v>11.602</v>
      </c>
      <c r="D826" s="15" t="n">
        <f aca="false">q26_hoxbp</f>
        <v>19.5</v>
      </c>
      <c r="E826" s="15" t="n">
        <f aca="false">E825*m_ho</f>
        <v>20.475</v>
      </c>
      <c r="F826" s="15" t="n">
        <f aca="false">F825*m_ho</f>
        <v>21.49875</v>
      </c>
      <c r="G826" s="15" t="n">
        <f aca="false">G825*m_ho</f>
        <v>22.5736875</v>
      </c>
    </row>
    <row r="827" customFormat="false" ht="17.15" hidden="false" customHeight="false" outlineLevel="0" collapsed="false">
      <c r="A827" s="4" t="s">
        <v>501</v>
      </c>
      <c r="B827" s="0" t="s">
        <v>169</v>
      </c>
      <c r="C827" s="15" t="n">
        <f aca="false">q25_oth</f>
        <v>14.979</v>
      </c>
      <c r="D827" s="15" t="n">
        <f aca="false">q26_oth</f>
        <v>15.8</v>
      </c>
      <c r="E827" s="15" t="n">
        <f aca="false">D827</f>
        <v>15.8</v>
      </c>
      <c r="F827" s="15" t="n">
        <f aca="false">E827</f>
        <v>15.8</v>
      </c>
      <c r="G827" s="15" t="n">
        <f aca="false">F827</f>
        <v>15.8</v>
      </c>
      <c r="K827" s="8" t="s">
        <v>502</v>
      </c>
    </row>
    <row r="828" customFormat="false" ht="15" hidden="false" customHeight="false" outlineLevel="0" collapsed="false">
      <c r="A828" s="4" t="s">
        <v>503</v>
      </c>
      <c r="B828" s="0" t="s">
        <v>169</v>
      </c>
      <c r="C828" s="15" t="n">
        <f aca="false">q25_othbp</f>
        <v>6.064</v>
      </c>
      <c r="D828" s="15" t="n">
        <f aca="false">q26_othbp</f>
        <v>5.1</v>
      </c>
      <c r="E828" s="15" t="n">
        <f aca="false">q26_othbp</f>
        <v>5.1</v>
      </c>
      <c r="F828" s="15" t="n">
        <f aca="false">q26_othbp</f>
        <v>5.1</v>
      </c>
      <c r="G828" s="15" t="n">
        <f aca="false">q26_othbp</f>
        <v>5.1</v>
      </c>
    </row>
    <row r="829" customFormat="false" ht="15" hidden="false" customHeight="false" outlineLevel="0" collapsed="false">
      <c r="A829" s="4" t="s">
        <v>504</v>
      </c>
      <c r="B829" s="0" t="s">
        <v>169</v>
      </c>
      <c r="C829" s="15" t="n">
        <f aca="false">q25_cc</f>
        <v>-42.597</v>
      </c>
      <c r="D829" s="15" t="n">
        <f aca="false">q26_cc</f>
        <v>-46.2</v>
      </c>
      <c r="E829" s="15" t="n">
        <f aca="false">D829*(1+g_cc)</f>
        <v>-47.586</v>
      </c>
      <c r="F829" s="15" t="n">
        <f aca="false">E829*(1+g_cc)</f>
        <v>-49.01358</v>
      </c>
      <c r="G829" s="15" t="n">
        <f aca="false">F829*(1+g_cc)</f>
        <v>-50.4839874</v>
      </c>
    </row>
    <row r="830" customFormat="false" ht="17.15" hidden="false" customHeight="false" outlineLevel="0" collapsed="false">
      <c r="A830" s="4" t="s">
        <v>505</v>
      </c>
      <c r="B830" s="0" t="s">
        <v>169</v>
      </c>
      <c r="C830" s="28" t="n">
        <f aca="false">a_rev-(q25_sf+q25_ff+q25_hox+q25_fm+q25_oth)</f>
        <v>0.00200000000018008</v>
      </c>
      <c r="D830" s="28" t="n">
        <f aca="false">f_rev-(q26_sf+q26_ff+q26_hox+q26_fm+q26_oth)</f>
        <v>0.200000000000045</v>
      </c>
      <c r="E830" s="28" t="n">
        <f aca="false">$D830</f>
        <v>0.200000000000045</v>
      </c>
      <c r="F830" s="28" t="n">
        <f aca="false">$D830</f>
        <v>0.200000000000045</v>
      </c>
      <c r="G830" s="28" t="n">
        <f aca="false">$D830</f>
        <v>0.200000000000045</v>
      </c>
      <c r="K830" s="8" t="s">
        <v>506</v>
      </c>
    </row>
    <row r="831" customFormat="false" ht="15" hidden="false" customHeight="false" outlineLevel="0" collapsed="false">
      <c r="A831" s="4" t="s">
        <v>507</v>
      </c>
      <c r="B831" s="0" t="s">
        <v>169</v>
      </c>
      <c r="C831" s="28" t="n">
        <f aca="false">a_bp-(q25_sfbp+q25_ffbp+q25_hoxbp+q25_fmbp+q25_othbp+q25_cc)</f>
        <v>0.0010000000000332</v>
      </c>
      <c r="D831" s="28" t="n">
        <f aca="false">f_bp-(q26_sfbp+q26_ffbp+q26_hoxbp+q26_fmbp+q26_othbp+q26_cc)</f>
        <v>0.100000000000023</v>
      </c>
      <c r="E831" s="28" t="n">
        <f aca="false">$D831</f>
        <v>0.100000000000023</v>
      </c>
      <c r="F831" s="28" t="n">
        <f aca="false">$D831</f>
        <v>0.100000000000023</v>
      </c>
      <c r="G831" s="28" t="n">
        <f aca="false">$D831</f>
        <v>0.100000000000023</v>
      </c>
    </row>
    <row r="832" customFormat="false" ht="17.15" hidden="false" customHeight="false" outlineLevel="0" collapsed="false">
      <c r="A832" s="6" t="s">
        <v>508</v>
      </c>
    </row>
    <row r="833" customFormat="false" ht="17.15" hidden="false" customHeight="false" outlineLevel="0" collapsed="false">
      <c r="A833" s="4" t="s">
        <v>380</v>
      </c>
      <c r="B833" s="0" t="s">
        <v>169</v>
      </c>
      <c r="C833" s="15" t="n">
        <f aca="false">C821+C823+C825+C817+C827+C830</f>
        <v>1583.719</v>
      </c>
      <c r="D833" s="15" t="n">
        <f aca="false">D821+D823+D825+D817+D827+D830</f>
        <v>1732</v>
      </c>
      <c r="E833" s="15" t="n">
        <f aca="false">E821+E823+E825+E817+E827+E830</f>
        <v>1830.5936</v>
      </c>
      <c r="F833" s="15" t="n">
        <f aca="false">F821+F823+F825+F817+F827+F830</f>
        <v>1914.79842307053</v>
      </c>
      <c r="G833" s="15" t="n">
        <f aca="false">G821+G823+G825+G817+G827+G830</f>
        <v>1989.56519</v>
      </c>
      <c r="H833" s="23" t="n">
        <f aca="false">G833*(1+H834)</f>
        <v>2081.14727416256</v>
      </c>
      <c r="I833" s="23" t="n">
        <f aca="false">H833*(1+I834)</f>
        <v>2191.48055133787</v>
      </c>
      <c r="J833" s="23" t="n">
        <f aca="false">I833*(1+J834)</f>
        <v>2322.96938441815</v>
      </c>
      <c r="K833" s="8" t="s">
        <v>509</v>
      </c>
    </row>
    <row r="834" customFormat="false" ht="15" hidden="false" customHeight="false" outlineLevel="0" collapsed="false">
      <c r="A834" s="4" t="s">
        <v>510</v>
      </c>
      <c r="B834" s="0" t="s">
        <v>77</v>
      </c>
      <c r="D834" s="16" t="n">
        <f aca="false">D833/C833-1</f>
        <v>0.0936283519993131</v>
      </c>
      <c r="E834" s="16" t="n">
        <f aca="false">E833/D833-1</f>
        <v>0.0569247113163973</v>
      </c>
      <c r="F834" s="16" t="n">
        <f aca="false">F833/E833-1</f>
        <v>0.0459986438664082</v>
      </c>
      <c r="G834" s="16" t="n">
        <f aca="false">G833/F833-1</f>
        <v>0.0390468082846964</v>
      </c>
      <c r="H834" s="24" t="n">
        <f aca="false">$G834+(fade_gA-$G834)*1/3</f>
        <v>0.046031205523131</v>
      </c>
      <c r="I834" s="24" t="n">
        <f aca="false">$G834+(fade_gA-$G834)*2/3</f>
        <v>0.0530156027615655</v>
      </c>
      <c r="J834" s="24" t="n">
        <f aca="false">$G834+(fade_gA-$G834)*3/3</f>
        <v>0.06</v>
      </c>
    </row>
    <row r="835" customFormat="false" ht="17.15" hidden="false" customHeight="false" outlineLevel="0" collapsed="false">
      <c r="A835" s="0" t="s">
        <v>511</v>
      </c>
      <c r="B835" s="0" t="s">
        <v>77</v>
      </c>
      <c r="C835" s="16" t="n">
        <f aca="false">C817/C833</f>
        <v>0.0646902638662541</v>
      </c>
      <c r="D835" s="16" t="n">
        <f aca="false">D817/D833</f>
        <v>0.0696304849884527</v>
      </c>
      <c r="E835" s="16" t="n">
        <f aca="false">E817/E833</f>
        <v>0.0959216726202911</v>
      </c>
      <c r="F835" s="16" t="n">
        <f aca="false">F817/F833</f>
        <v>0.112180969277211</v>
      </c>
      <c r="G835" s="16" t="n">
        <f aca="false">G817/G833</f>
        <v>0.122202379304797</v>
      </c>
    </row>
    <row r="836" customFormat="false" ht="15" hidden="false" customHeight="false" outlineLevel="0" collapsed="false">
      <c r="A836" s="4" t="s">
        <v>390</v>
      </c>
      <c r="B836" s="0" t="s">
        <v>169</v>
      </c>
      <c r="C836" s="15" t="n">
        <f aca="false">C822+C824+C826+C819+C828+C829+C831</f>
        <v>181.163</v>
      </c>
      <c r="D836" s="15" t="n">
        <f aca="false">D822+D824+D826+D819+D828+D829+D831</f>
        <v>202</v>
      </c>
      <c r="E836" s="15" t="n">
        <f aca="false">E822+E824+E826+E819+E828+E829+E831</f>
        <v>243.11801</v>
      </c>
      <c r="F836" s="15" t="n">
        <f aca="false">F822+F824+F826+F819+F828+F829+F831</f>
        <v>268.5752874364</v>
      </c>
      <c r="G836" s="15" t="n">
        <f aca="false">G822+G824+G826+G819+G828+G829+G831</f>
        <v>282.145928719</v>
      </c>
    </row>
    <row r="837" customFormat="false" ht="15" hidden="false" customHeight="false" outlineLevel="0" collapsed="false">
      <c r="A837" s="4" t="s">
        <v>406</v>
      </c>
      <c r="B837" s="0" t="s">
        <v>77</v>
      </c>
      <c r="C837" s="16" t="n">
        <f aca="false">C836/C833</f>
        <v>0.114390873633517</v>
      </c>
      <c r="D837" s="16" t="n">
        <f aca="false">D836/D833</f>
        <v>0.11662817551963</v>
      </c>
      <c r="E837" s="16" t="n">
        <f aca="false">E836/E833</f>
        <v>0.132808292348449</v>
      </c>
      <c r="F837" s="16" t="n">
        <f aca="false">F836/F833</f>
        <v>0.140262956246704</v>
      </c>
      <c r="G837" s="16" t="n">
        <f aca="false">G836/G833</f>
        <v>0.141812859481624</v>
      </c>
    </row>
    <row r="838" customFormat="false" ht="17.15" hidden="false" customHeight="false" outlineLevel="0" collapsed="false">
      <c r="A838" s="0" t="s">
        <v>512</v>
      </c>
      <c r="B838" s="0" t="s">
        <v>77</v>
      </c>
      <c r="C838" s="16" t="n">
        <f aca="false">C819/C836</f>
        <v>0.301386044611758</v>
      </c>
      <c r="D838" s="16" t="n">
        <f aca="false">D819/D836</f>
        <v>0.324257425742574</v>
      </c>
      <c r="E838" s="16" t="n">
        <f aca="false">E819/E836</f>
        <v>0.418787156081115</v>
      </c>
      <c r="F838" s="16" t="n">
        <f aca="false">F819/F836</f>
        <v>0.462691706755883</v>
      </c>
      <c r="G838" s="16" t="n">
        <f aca="false">G819/G836</f>
        <v>0.47760014383977</v>
      </c>
    </row>
    <row r="839" customFormat="false" ht="17.15" hidden="false" customHeight="false" outlineLevel="0" collapsed="false">
      <c r="A839" s="4" t="s">
        <v>407</v>
      </c>
      <c r="B839" s="0" t="s">
        <v>52</v>
      </c>
      <c r="C839" s="21" t="n">
        <f aca="false">q25_ni/q25_bp</f>
        <v>0.743391310587703</v>
      </c>
      <c r="D839" s="21" t="n">
        <f aca="false">q26_ni/q26_bp</f>
        <v>0.611386138613861</v>
      </c>
      <c r="E839" s="21" t="n">
        <f aca="false">ni_bp</f>
        <v>0.62</v>
      </c>
      <c r="F839" s="21" t="n">
        <f aca="false">ni_bp</f>
        <v>0.62</v>
      </c>
      <c r="G839" s="21" t="n">
        <f aca="false">ni_bp</f>
        <v>0.62</v>
      </c>
    </row>
    <row r="840" customFormat="false" ht="15" hidden="false" customHeight="false" outlineLevel="0" collapsed="false">
      <c r="A840" s="4" t="s">
        <v>397</v>
      </c>
      <c r="B840" s="0" t="s">
        <v>169</v>
      </c>
      <c r="C840" s="15" t="n">
        <f aca="false">q25_ni</f>
        <v>134.675</v>
      </c>
      <c r="D840" s="15" t="n">
        <f aca="false">q26_ni</f>
        <v>123.5</v>
      </c>
      <c r="E840" s="15" t="n">
        <f aca="false">E836*E839</f>
        <v>150.7331662</v>
      </c>
      <c r="F840" s="15" t="n">
        <f aca="false">F836*F839</f>
        <v>166.516678210568</v>
      </c>
      <c r="G840" s="15" t="n">
        <f aca="false">G836*G839</f>
        <v>174.93047580578</v>
      </c>
      <c r="H840" s="23" t="n">
        <f aca="false">H833*H844</f>
        <v>183.039886366561</v>
      </c>
      <c r="I840" s="23" t="n">
        <f aca="false">I833*I844</f>
        <v>192.80403598356</v>
      </c>
      <c r="J840" s="23" t="n">
        <f aca="false">J833*J844</f>
        <v>204.436068637153</v>
      </c>
    </row>
    <row r="841" customFormat="false" ht="15" hidden="false" customHeight="false" outlineLevel="0" collapsed="false">
      <c r="A841" s="4" t="s">
        <v>513</v>
      </c>
      <c r="B841" s="4" t="s">
        <v>316</v>
      </c>
      <c r="C841" s="19" t="n">
        <f aca="false">q25_sh</f>
        <v>0.973366579936398</v>
      </c>
      <c r="D841" s="19" t="n">
        <f aca="false">q26_sh</f>
        <v>0.95117067159581</v>
      </c>
      <c r="E841" s="19" t="n">
        <f aca="false">D841*(1+sh_g)</f>
        <v>0.936903111521873</v>
      </c>
      <c r="F841" s="19" t="n">
        <f aca="false">E841*(1+sh_g)</f>
        <v>0.922849564849045</v>
      </c>
      <c r="G841" s="19" t="n">
        <f aca="false">F841*(1+sh_g)</f>
        <v>0.909006821376309</v>
      </c>
      <c r="H841" s="29" t="n">
        <f aca="false">G841*(1+sh_g)</f>
        <v>0.895371719055665</v>
      </c>
      <c r="I841" s="29" t="n">
        <f aca="false">H841*(1+sh_g)</f>
        <v>0.88194114326983</v>
      </c>
      <c r="J841" s="29" t="n">
        <f aca="false">I841*(1+sh_g)</f>
        <v>0.868712026120782</v>
      </c>
    </row>
    <row r="842" customFormat="false" ht="17.15" hidden="false" customHeight="false" outlineLevel="0" collapsed="false">
      <c r="A842" s="0" t="s">
        <v>514</v>
      </c>
      <c r="B842" s="0" t="s">
        <v>207</v>
      </c>
      <c r="C842" s="20" t="n">
        <f aca="false">C840/C841</f>
        <v>138.36</v>
      </c>
      <c r="D842" s="20" t="n">
        <f aca="false">D840/D841</f>
        <v>129.84</v>
      </c>
      <c r="E842" s="20" t="n">
        <f aca="false">E840/E841</f>
        <v>160.88447604273</v>
      </c>
      <c r="F842" s="20" t="n">
        <f aca="false">F840/F841</f>
        <v>180.437510676841</v>
      </c>
      <c r="G842" s="20" t="n">
        <f aca="false">G840/G841</f>
        <v>192.441323532558</v>
      </c>
      <c r="H842" s="27" t="n">
        <f aca="false">H840/H841</f>
        <v>204.428934342052</v>
      </c>
      <c r="I842" s="27" t="n">
        <f aca="false">I840/I841</f>
        <v>218.613268532559</v>
      </c>
      <c r="J842" s="27" t="n">
        <f aca="false">J840/J841</f>
        <v>235.332379994851</v>
      </c>
    </row>
    <row r="843" customFormat="false" ht="17.15" hidden="false" customHeight="false" outlineLevel="0" collapsed="false">
      <c r="A843" s="0" t="s">
        <v>515</v>
      </c>
      <c r="B843" s="0" t="s">
        <v>77</v>
      </c>
      <c r="D843" s="16" t="n">
        <f aca="false">D842/C842-1</f>
        <v>-0.0615784908933218</v>
      </c>
      <c r="E843" s="16" t="n">
        <f aca="false">E842/D842-1</f>
        <v>0.239097936250232</v>
      </c>
      <c r="F843" s="16" t="n">
        <f aca="false">F842/E842-1</f>
        <v>0.121534626056264</v>
      </c>
      <c r="G843" s="16" t="n">
        <f aca="false">G842/F842-1</f>
        <v>0.0665261497495098</v>
      </c>
      <c r="H843" s="24" t="n">
        <f aca="false">H842/G842-1</f>
        <v>0.0622922903950338</v>
      </c>
      <c r="I843" s="24" t="n">
        <f aca="false">I842/H842-1</f>
        <v>0.0693851593765775</v>
      </c>
      <c r="J843" s="24" t="n">
        <f aca="false">J842/I842-1</f>
        <v>0.0764780270407108</v>
      </c>
    </row>
    <row r="844" customFormat="false" ht="15" hidden="false" customHeight="false" outlineLevel="0" collapsed="false">
      <c r="A844" s="4" t="s">
        <v>516</v>
      </c>
      <c r="B844" s="0" t="s">
        <v>77</v>
      </c>
      <c r="C844" s="25" t="n">
        <f aca="false">C840/C833</f>
        <v>0.0850371814696925</v>
      </c>
      <c r="D844" s="25" t="n">
        <f aca="false">D840/D833</f>
        <v>0.0713048498845266</v>
      </c>
      <c r="E844" s="25" t="n">
        <f aca="false">E840/E833</f>
        <v>0.0823411412560385</v>
      </c>
      <c r="F844" s="25" t="n">
        <f aca="false">F840/F833</f>
        <v>0.0869630328729567</v>
      </c>
      <c r="G844" s="25" t="n">
        <f aca="false">G840/G833</f>
        <v>0.0879239728786067</v>
      </c>
      <c r="H844" s="26" t="n">
        <f aca="false">$G844+(fade_mA-$G844)*1/3</f>
        <v>0.0879514336342272</v>
      </c>
      <c r="I844" s="26" t="n">
        <f aca="false">$G844+(fade_mA-$G844)*2/3</f>
        <v>0.0879788943898476</v>
      </c>
      <c r="J844" s="26" t="n">
        <f aca="false">$G844+(fade_mA-$G844)*3/3</f>
        <v>0.088006355145468</v>
      </c>
    </row>
    <row r="845" customFormat="false" ht="17.15" hidden="false" customHeight="false" outlineLevel="0" collapsed="false">
      <c r="A845" s="0" t="s">
        <v>517</v>
      </c>
      <c r="B845" s="0" t="s">
        <v>207</v>
      </c>
      <c r="D845" s="20" t="n">
        <f aca="false">D819*D839/D841</f>
        <v>42.1015841584158</v>
      </c>
      <c r="E845" s="20" t="n">
        <f aca="false">E819*E839/E841</f>
        <v>67.3763521795352</v>
      </c>
      <c r="F845" s="20" t="n">
        <f aca="false">F819*F839/F841</f>
        <v>83.4869397778505</v>
      </c>
      <c r="G845" s="20" t="n">
        <f aca="false">G819*G839/G841</f>
        <v>91.9100037998652</v>
      </c>
      <c r="K845" s="8" t="s">
        <v>518</v>
      </c>
    </row>
    <row r="846" customFormat="false" ht="17.15" hidden="false" customHeight="false" outlineLevel="0" collapsed="false">
      <c r="A846" s="0" t="s">
        <v>519</v>
      </c>
      <c r="B846" s="0" t="s">
        <v>207</v>
      </c>
      <c r="D846" s="20" t="n">
        <f aca="false">D842-D845</f>
        <v>87.7384158415842</v>
      </c>
      <c r="E846" s="20" t="n">
        <f aca="false">E842-E845</f>
        <v>93.5081238631949</v>
      </c>
      <c r="F846" s="20" t="n">
        <f aca="false">F842-F845</f>
        <v>96.9505708989907</v>
      </c>
      <c r="G846" s="20" t="n">
        <f aca="false">G842-G845</f>
        <v>100.531319732692</v>
      </c>
    </row>
    <row r="847" customFormat="false" ht="17.15" hidden="false" customHeight="false" outlineLevel="0" collapsed="false">
      <c r="A847" s="0" t="s">
        <v>520</v>
      </c>
      <c r="B847" s="0" t="s">
        <v>432</v>
      </c>
      <c r="D847" s="15" t="n">
        <f aca="false">D815/D805*1000/150</f>
        <v>23.5087719298246</v>
      </c>
      <c r="E847" s="15" t="n">
        <f aca="false">E815/E805*1000/150</f>
        <v>30.1617621884116</v>
      </c>
      <c r="F847" s="15" t="n">
        <f aca="false">F815/F805*1000/150</f>
        <v>36.5143464561404</v>
      </c>
      <c r="G847" s="15" t="n">
        <f aca="false">G815/G805*1000/150</f>
        <v>39.9173947725016</v>
      </c>
      <c r="K847" s="8" t="s">
        <v>521</v>
      </c>
    </row>
    <row r="850" customFormat="false" ht="17.15" hidden="false" customHeight="false" outlineLevel="0" collapsed="false">
      <c r="A850" s="1" t="s">
        <v>879</v>
      </c>
    </row>
    <row r="851" customFormat="false" ht="17.15" hidden="false" customHeight="false" outlineLevel="0" collapsed="false">
      <c r="A851" s="5" t="s">
        <v>19</v>
      </c>
      <c r="B851" s="5" t="s">
        <v>20</v>
      </c>
      <c r="C851" s="14" t="s">
        <v>374</v>
      </c>
      <c r="D851" s="14" t="s">
        <v>447</v>
      </c>
      <c r="E851" s="14" t="s">
        <v>412</v>
      </c>
      <c r="F851" s="14" t="s">
        <v>413</v>
      </c>
      <c r="G851" s="14" t="s">
        <v>414</v>
      </c>
      <c r="H851" s="14" t="s">
        <v>448</v>
      </c>
      <c r="I851" s="14" t="s">
        <v>449</v>
      </c>
      <c r="J851" s="14" t="s">
        <v>450</v>
      </c>
      <c r="K851" s="5" t="s">
        <v>379</v>
      </c>
    </row>
    <row r="852" customFormat="false" ht="17.15" hidden="false" customHeight="false" outlineLevel="0" collapsed="false">
      <c r="A852" s="6" t="s">
        <v>470</v>
      </c>
    </row>
    <row r="853" customFormat="false" ht="17.15" hidden="false" customHeight="false" outlineLevel="0" collapsed="false">
      <c r="A853" s="0" t="s">
        <v>471</v>
      </c>
      <c r="B853" s="4" t="s">
        <v>30</v>
      </c>
      <c r="D853" s="20" t="n">
        <f aca="false">unv_26</f>
        <v>7.6</v>
      </c>
      <c r="E853" s="20" t="n">
        <f aca="false">unv_27</f>
        <v>9.7</v>
      </c>
      <c r="F853" s="20" t="n">
        <f aca="false">unv_28*um28_A</f>
        <v>9.5</v>
      </c>
      <c r="G853" s="20" t="n">
        <f aca="false">unv_29*um29_A</f>
        <v>10.6</v>
      </c>
      <c r="K853" s="8" t="s">
        <v>472</v>
      </c>
    </row>
    <row r="854" customFormat="false" ht="17.15" hidden="false" customHeight="false" outlineLevel="0" collapsed="false">
      <c r="A854" s="4" t="s">
        <v>473</v>
      </c>
      <c r="B854" s="4" t="s">
        <v>30</v>
      </c>
      <c r="D854" s="20" t="n">
        <f aca="false">uot_26</f>
        <v>7.6</v>
      </c>
      <c r="E854" s="20" t="n">
        <f aca="false">uot_27</f>
        <v>14</v>
      </c>
      <c r="F854" s="20" t="n">
        <f aca="false">uot_28*um28_A</f>
        <v>17</v>
      </c>
      <c r="G854" s="20" t="n">
        <f aca="false">uot_29*um29_A</f>
        <v>19.55</v>
      </c>
      <c r="K854" s="8" t="s">
        <v>474</v>
      </c>
    </row>
    <row r="855" customFormat="false" ht="17.15" hidden="false" customHeight="false" outlineLevel="0" collapsed="false">
      <c r="A855" s="4" t="s">
        <v>475</v>
      </c>
      <c r="B855" s="4" t="s">
        <v>30</v>
      </c>
      <c r="D855" s="20" t="n">
        <f aca="false">D853+v_ot*D854</f>
        <v>13.68</v>
      </c>
      <c r="E855" s="20" t="n">
        <f aca="false">E853+v_ot*E854</f>
        <v>20.9</v>
      </c>
      <c r="F855" s="20" t="n">
        <f aca="false">F853+v_ot*F854</f>
        <v>23.1</v>
      </c>
      <c r="G855" s="20" t="n">
        <f aca="false">G853+v_ot*G854</f>
        <v>26.24</v>
      </c>
    </row>
    <row r="856" customFormat="false" ht="17.15" hidden="false" customHeight="false" outlineLevel="0" collapsed="false">
      <c r="A856" s="4" t="s">
        <v>476</v>
      </c>
      <c r="B856" s="0" t="s">
        <v>52</v>
      </c>
      <c r="D856" s="21" t="n">
        <f aca="false">1</f>
        <v>1</v>
      </c>
      <c r="E856" s="21" t="n">
        <f aca="false">D856*(1+g_asp)</f>
        <v>1.18</v>
      </c>
      <c r="F856" s="21" t="n">
        <f aca="false">E856*(1+g_asp)</f>
        <v>1.3924</v>
      </c>
      <c r="G856" s="21" t="n">
        <f aca="false">F856*(1+g_asp)</f>
        <v>1.643032</v>
      </c>
    </row>
    <row r="857" customFormat="false" ht="17.15" hidden="false" customHeight="false" outlineLevel="0" collapsed="false">
      <c r="A857" s="4" t="s">
        <v>477</v>
      </c>
      <c r="B857" s="0" t="s">
        <v>52</v>
      </c>
      <c r="D857" s="18" t="n">
        <f aca="false">1</f>
        <v>1</v>
      </c>
      <c r="E857" s="18" t="n">
        <f aca="false">rel_27</f>
        <v>1</v>
      </c>
      <c r="F857" s="18" t="n">
        <f aca="false">rel_28</f>
        <v>0.97</v>
      </c>
      <c r="G857" s="18" t="n">
        <f aca="false">rel_29</f>
        <v>0.95</v>
      </c>
    </row>
    <row r="858" customFormat="false" ht="17.15" hidden="false" customHeight="false" outlineLevel="0" collapsed="false">
      <c r="A858" s="0" t="s">
        <v>478</v>
      </c>
      <c r="B858" s="0" t="s">
        <v>52</v>
      </c>
      <c r="D858" s="21" t="n">
        <f aca="false">D855/$D855*D856*D857</f>
        <v>1</v>
      </c>
      <c r="E858" s="21" t="n">
        <f aca="false">E855/$D855*E856*E857</f>
        <v>1.80277777777778</v>
      </c>
      <c r="F858" s="21" t="n">
        <f aca="false">F855/$D855*F856*F857</f>
        <v>2.28066570175439</v>
      </c>
      <c r="G858" s="21" t="n">
        <f aca="false">G855/$D855*G856*G857</f>
        <v>2.99396942222222</v>
      </c>
      <c r="K858" s="4" t="s">
        <v>479</v>
      </c>
    </row>
    <row r="859" customFormat="false" ht="17.15" hidden="false" customHeight="false" outlineLevel="0" collapsed="false">
      <c r="A859" s="4" t="s">
        <v>480</v>
      </c>
      <c r="B859" s="0" t="s">
        <v>52</v>
      </c>
      <c r="D859" s="21" t="n">
        <f aca="false">1</f>
        <v>1</v>
      </c>
      <c r="E859" s="21" t="n">
        <f aca="false">D859*(1+g_nai)</f>
        <v>1.03</v>
      </c>
      <c r="F859" s="21" t="n">
        <f aca="false">E859*(1+g_nai)</f>
        <v>1.0609</v>
      </c>
      <c r="G859" s="21" t="n">
        <f aca="false">F859*(1+g_nai)</f>
        <v>1.092727</v>
      </c>
    </row>
    <row r="860" customFormat="false" ht="17.15" hidden="false" customHeight="false" outlineLevel="0" collapsed="false">
      <c r="A860" s="0" t="s">
        <v>481</v>
      </c>
      <c r="B860" s="0" t="s">
        <v>52</v>
      </c>
      <c r="D860" s="21" t="n">
        <f aca="false">ai_sh*D858+(1-ai_sh)*D859</f>
        <v>1</v>
      </c>
      <c r="E860" s="21" t="n">
        <f aca="false">ai_sh*E858+(1-ai_sh)*E859</f>
        <v>1.33911111111111</v>
      </c>
      <c r="F860" s="21" t="n">
        <f aca="false">ai_sh*F858+(1-ai_sh)*F859</f>
        <v>1.54880628070175</v>
      </c>
      <c r="G860" s="21" t="n">
        <f aca="false">ai_sh*G858+(1-ai_sh)*G859</f>
        <v>1.85322396888889</v>
      </c>
    </row>
    <row r="861" customFormat="false" ht="17.15" hidden="false" customHeight="false" outlineLevel="0" collapsed="false">
      <c r="A861" s="4" t="s">
        <v>482</v>
      </c>
      <c r="B861" s="0" t="s">
        <v>52</v>
      </c>
      <c r="D861" s="21" t="n">
        <f aca="false">1</f>
        <v>1</v>
      </c>
      <c r="E861" s="21" t="n">
        <f aca="false">cap_27</f>
        <v>1.3</v>
      </c>
      <c r="F861" s="21" t="n">
        <f aca="false">cap_28</f>
        <v>1.55</v>
      </c>
      <c r="G861" s="21" t="n">
        <f aca="false">cap_29</f>
        <v>1.8</v>
      </c>
      <c r="K861" s="4" t="s">
        <v>483</v>
      </c>
    </row>
    <row r="862" customFormat="false" ht="17.15" hidden="false" customHeight="false" outlineLevel="0" collapsed="false">
      <c r="A862" s="4" t="s">
        <v>484</v>
      </c>
      <c r="B862" s="0" t="s">
        <v>52</v>
      </c>
      <c r="D862" s="21" t="n">
        <f aca="false">MIN(D860,D861)</f>
        <v>1</v>
      </c>
      <c r="E862" s="21" t="n">
        <f aca="false">MIN(E860,E861)</f>
        <v>1.3</v>
      </c>
      <c r="F862" s="21" t="n">
        <f aca="false">MIN(F860,F861)</f>
        <v>1.54880628070175</v>
      </c>
      <c r="G862" s="21" t="n">
        <f aca="false">MIN(G860,G861)</f>
        <v>1.8</v>
      </c>
    </row>
    <row r="863" customFormat="false" ht="17.15" hidden="false" customHeight="false" outlineLevel="0" collapsed="false">
      <c r="A863" s="4" t="s">
        <v>485</v>
      </c>
      <c r="B863" s="0" t="s">
        <v>77</v>
      </c>
      <c r="D863" s="16" t="n">
        <f aca="false">D862/D860</f>
        <v>1</v>
      </c>
      <c r="E863" s="16" t="n">
        <f aca="false">E862/E860</f>
        <v>0.970793229339529</v>
      </c>
      <c r="F863" s="16" t="n">
        <f aca="false">F862/F860</f>
        <v>1</v>
      </c>
      <c r="G863" s="16" t="n">
        <f aca="false">G862/G860</f>
        <v>0.971280336439422</v>
      </c>
      <c r="K863" s="4" t="s">
        <v>486</v>
      </c>
    </row>
    <row r="864" customFormat="false" ht="17.15" hidden="false" customHeight="false" outlineLevel="0" collapsed="false">
      <c r="A864" s="0" t="s">
        <v>487</v>
      </c>
      <c r="B864" s="0" t="s">
        <v>52</v>
      </c>
      <c r="D864" s="21" t="n">
        <f aca="false">1</f>
        <v>1</v>
      </c>
      <c r="E864" s="21" t="n">
        <f aca="false">pp_27</f>
        <v>1.12</v>
      </c>
      <c r="F864" s="21" t="n">
        <f aca="false">pp_28*sp_A</f>
        <v>1.15</v>
      </c>
      <c r="G864" s="21" t="n">
        <f aca="false">pp_29*sp_A</f>
        <v>1.12</v>
      </c>
      <c r="K864" s="8" t="s">
        <v>488</v>
      </c>
    </row>
    <row r="865" customFormat="false" ht="17.15" hidden="false" customHeight="false" outlineLevel="0" collapsed="false">
      <c r="A865" s="0" t="s">
        <v>429</v>
      </c>
      <c r="B865" s="0" t="s">
        <v>169</v>
      </c>
      <c r="D865" s="15" t="n">
        <f aca="false">q26_fm*ai_sh</f>
        <v>48.24</v>
      </c>
      <c r="E865" s="15" t="n">
        <f aca="false">q26_fm*ai_sh*E858*E863*E864</f>
        <v>94.5571244606705</v>
      </c>
      <c r="F865" s="15" t="n">
        <f aca="false">q26_fm*ai_sh*F858*F863*F864</f>
        <v>126.522210470526</v>
      </c>
      <c r="G865" s="15" t="n">
        <f aca="false">q26_fm*ai_sh*G858*G863*G864</f>
        <v>157.114865824566</v>
      </c>
      <c r="K865" s="8" t="s">
        <v>489</v>
      </c>
    </row>
    <row r="866" customFormat="false" ht="17.15" hidden="false" customHeight="false" outlineLevel="0" collapsed="false">
      <c r="A866" s="0" t="s">
        <v>490</v>
      </c>
      <c r="B866" s="0" t="s">
        <v>169</v>
      </c>
      <c r="D866" s="15" t="n">
        <f aca="false">q26_fm*(1-ai_sh)</f>
        <v>72.36</v>
      </c>
      <c r="E866" s="15" t="n">
        <f aca="false">q26_fm*(1-ai_sh)*E859*E863*E864</f>
        <v>81.0364755393296</v>
      </c>
      <c r="F866" s="15" t="n">
        <f aca="false">q26_fm*(1-ai_sh)*F859*F863*F864</f>
        <v>88.2817326</v>
      </c>
      <c r="G866" s="15" t="n">
        <f aca="false">q26_fm*(1-ai_sh)*G859*G863*G864</f>
        <v>86.0147341754337</v>
      </c>
    </row>
    <row r="867" customFormat="false" ht="17.15" hidden="false" customHeight="false" outlineLevel="0" collapsed="false">
      <c r="A867" s="4" t="s">
        <v>491</v>
      </c>
      <c r="B867" s="0" t="s">
        <v>169</v>
      </c>
      <c r="C867" s="15" t="n">
        <f aca="false">q25_fm</f>
        <v>102.4512</v>
      </c>
      <c r="D867" s="15" t="n">
        <f aca="false">D865+D866</f>
        <v>120.6</v>
      </c>
      <c r="E867" s="15" t="n">
        <f aca="false">E865+E866</f>
        <v>175.5936</v>
      </c>
      <c r="F867" s="15" t="n">
        <f aca="false">F865+F866</f>
        <v>214.803943070526</v>
      </c>
      <c r="G867" s="15" t="n">
        <f aca="false">G865+G866</f>
        <v>243.1296</v>
      </c>
    </row>
    <row r="868" customFormat="false" ht="17.15" hidden="false" customHeight="false" outlineLevel="0" collapsed="false">
      <c r="A868" s="0" t="s">
        <v>492</v>
      </c>
      <c r="B868" s="0" t="s">
        <v>77</v>
      </c>
      <c r="C868" s="16" t="n">
        <f aca="false">q25_fmbp/q25_fm</f>
        <v>0.532936656671664</v>
      </c>
      <c r="D868" s="16" t="n">
        <f aca="false">q26_fmbp/q26_fm</f>
        <v>0.543117744610282</v>
      </c>
      <c r="E868" s="16" t="n">
        <f aca="false">1-(1-$D868)*(1+c_g)^1/E864</f>
        <v>0.579831497275527</v>
      </c>
      <c r="F868" s="16" t="n">
        <f aca="false">1-(1-$D868)*(1+c_g)^2/F864</f>
        <v>0.578516187180042</v>
      </c>
      <c r="G868" s="16" t="n">
        <f aca="false">1-(1-$D868)*(1+c_g)^3/G864</f>
        <v>0.554243235459607</v>
      </c>
      <c r="K868" s="8" t="s">
        <v>493</v>
      </c>
    </row>
    <row r="869" customFormat="false" ht="17.15" hidden="false" customHeight="false" outlineLevel="0" collapsed="false">
      <c r="A869" s="0" t="s">
        <v>455</v>
      </c>
      <c r="B869" s="0" t="s">
        <v>169</v>
      </c>
      <c r="C869" s="15" t="n">
        <f aca="false">q25_fmbp</f>
        <v>54.6</v>
      </c>
      <c r="D869" s="15" t="n">
        <f aca="false">D867*D868</f>
        <v>65.5</v>
      </c>
      <c r="E869" s="15" t="n">
        <f aca="false">E867*E868</f>
        <v>101.8147</v>
      </c>
      <c r="F869" s="15" t="n">
        <f aca="false">F867*F868</f>
        <v>124.2675581364</v>
      </c>
      <c r="G869" s="15" t="n">
        <f aca="false">G867*G868</f>
        <v>134.75293614</v>
      </c>
    </row>
    <row r="870" customFormat="false" ht="17.15" hidden="false" customHeight="false" outlineLevel="0" collapsed="false">
      <c r="A870" s="6" t="s">
        <v>494</v>
      </c>
    </row>
    <row r="871" customFormat="false" ht="15" hidden="false" customHeight="false" outlineLevel="0" collapsed="false">
      <c r="A871" s="4" t="s">
        <v>495</v>
      </c>
      <c r="B871" s="0" t="s">
        <v>169</v>
      </c>
      <c r="C871" s="15" t="n">
        <f aca="false">q25_sf</f>
        <v>936.926</v>
      </c>
      <c r="D871" s="15" t="n">
        <f aca="false">q26_sf</f>
        <v>998.6</v>
      </c>
      <c r="E871" s="15" t="n">
        <f aca="false">D871*(1+g_sf)</f>
        <v>1038.544</v>
      </c>
      <c r="F871" s="15" t="n">
        <f aca="false">E871*(1+g_sf)</f>
        <v>1080.08576</v>
      </c>
      <c r="G871" s="15" t="n">
        <f aca="false">F871*(1+g_sf)</f>
        <v>1123.2891904</v>
      </c>
    </row>
    <row r="872" customFormat="false" ht="15" hidden="false" customHeight="false" outlineLevel="0" collapsed="false">
      <c r="A872" s="4" t="s">
        <v>496</v>
      </c>
      <c r="B872" s="0" t="s">
        <v>169</v>
      </c>
      <c r="C872" s="15" t="n">
        <f aca="false">q25_sfbp</f>
        <v>143.036</v>
      </c>
      <c r="D872" s="15" t="n">
        <f aca="false">q26_sfbp</f>
        <v>145.9</v>
      </c>
      <c r="E872" s="15" t="n">
        <f aca="false">E871*m_sf</f>
        <v>151.736</v>
      </c>
      <c r="F872" s="15" t="n">
        <f aca="false">F871*m_sf</f>
        <v>157.80544</v>
      </c>
      <c r="G872" s="15" t="n">
        <f aca="false">G871*m_sf</f>
        <v>164.1176576</v>
      </c>
    </row>
    <row r="873" customFormat="false" ht="15" hidden="false" customHeight="false" outlineLevel="0" collapsed="false">
      <c r="A873" s="4" t="s">
        <v>497</v>
      </c>
      <c r="B873" s="0" t="s">
        <v>169</v>
      </c>
      <c r="C873" s="15" t="n">
        <f aca="false">q25_ff</f>
        <v>290.308</v>
      </c>
      <c r="D873" s="15" t="n">
        <f aca="false">q26_ff</f>
        <v>310.6</v>
      </c>
      <c r="E873" s="15" t="n">
        <f aca="false">D873*(1+g_ff)</f>
        <v>319.918</v>
      </c>
      <c r="F873" s="15" t="n">
        <f aca="false">E873*(1+g_ff)</f>
        <v>329.51554</v>
      </c>
      <c r="G873" s="15" t="n">
        <f aca="false">F873*(1+g_ff)</f>
        <v>339.4010062</v>
      </c>
    </row>
    <row r="874" customFormat="false" ht="15" hidden="false" customHeight="false" outlineLevel="0" collapsed="false">
      <c r="A874" s="4" t="s">
        <v>498</v>
      </c>
      <c r="B874" s="0" t="s">
        <v>169</v>
      </c>
      <c r="C874" s="15" t="n">
        <f aca="false">q25_ffbp</f>
        <v>8.457</v>
      </c>
      <c r="D874" s="15" t="n">
        <f aca="false">q26_ffbp</f>
        <v>12.1</v>
      </c>
      <c r="E874" s="15" t="n">
        <f aca="false">E873*m_ff_hi</f>
        <v>19.19508</v>
      </c>
      <c r="F874" s="15" t="n">
        <f aca="false">F873*m_ff_hi</f>
        <v>19.7709324</v>
      </c>
      <c r="G874" s="15" t="n">
        <f aca="false">G873*m_ff_hi</f>
        <v>20.364060372</v>
      </c>
    </row>
    <row r="875" customFormat="false" ht="17.15" hidden="false" customHeight="false" outlineLevel="0" collapsed="false">
      <c r="A875" s="4" t="s">
        <v>499</v>
      </c>
      <c r="B875" s="0" t="s">
        <v>169</v>
      </c>
      <c r="C875" s="15" t="n">
        <f aca="false">q25_hox</f>
        <v>239.0528</v>
      </c>
      <c r="D875" s="15" t="n">
        <f aca="false">q26_hox</f>
        <v>286.2</v>
      </c>
      <c r="E875" s="15" t="n">
        <f aca="false">D875*(1+g_ho)</f>
        <v>300.51</v>
      </c>
      <c r="F875" s="15" t="n">
        <f aca="false">E875*(1+g_ho)</f>
        <v>315.5355</v>
      </c>
      <c r="G875" s="15" t="n">
        <f aca="false">F875*(1+g_ho)</f>
        <v>331.312275</v>
      </c>
    </row>
    <row r="876" customFormat="false" ht="17.15" hidden="false" customHeight="false" outlineLevel="0" collapsed="false">
      <c r="A876" s="4" t="s">
        <v>500</v>
      </c>
      <c r="B876" s="0" t="s">
        <v>169</v>
      </c>
      <c r="C876" s="15" t="n">
        <f aca="false">q25_hoxbp</f>
        <v>11.602</v>
      </c>
      <c r="D876" s="15" t="n">
        <f aca="false">q26_hoxbp</f>
        <v>19.5</v>
      </c>
      <c r="E876" s="15" t="n">
        <f aca="false">E875*m_ho</f>
        <v>20.475</v>
      </c>
      <c r="F876" s="15" t="n">
        <f aca="false">F875*m_ho</f>
        <v>21.49875</v>
      </c>
      <c r="G876" s="15" t="n">
        <f aca="false">G875*m_ho</f>
        <v>22.5736875</v>
      </c>
    </row>
    <row r="877" customFormat="false" ht="17.15" hidden="false" customHeight="false" outlineLevel="0" collapsed="false">
      <c r="A877" s="4" t="s">
        <v>501</v>
      </c>
      <c r="B877" s="0" t="s">
        <v>169</v>
      </c>
      <c r="C877" s="15" t="n">
        <f aca="false">q25_oth</f>
        <v>14.979</v>
      </c>
      <c r="D877" s="15" t="n">
        <f aca="false">q26_oth</f>
        <v>15.8</v>
      </c>
      <c r="E877" s="15" t="n">
        <f aca="false">D877</f>
        <v>15.8</v>
      </c>
      <c r="F877" s="15" t="n">
        <f aca="false">E877</f>
        <v>15.8</v>
      </c>
      <c r="G877" s="15" t="n">
        <f aca="false">F877</f>
        <v>15.8</v>
      </c>
      <c r="K877" s="8" t="s">
        <v>502</v>
      </c>
    </row>
    <row r="878" customFormat="false" ht="15" hidden="false" customHeight="false" outlineLevel="0" collapsed="false">
      <c r="A878" s="4" t="s">
        <v>503</v>
      </c>
      <c r="B878" s="0" t="s">
        <v>169</v>
      </c>
      <c r="C878" s="15" t="n">
        <f aca="false">q25_othbp</f>
        <v>6.064</v>
      </c>
      <c r="D878" s="15" t="n">
        <f aca="false">q26_othbp</f>
        <v>5.1</v>
      </c>
      <c r="E878" s="15" t="n">
        <f aca="false">q26_othbp</f>
        <v>5.1</v>
      </c>
      <c r="F878" s="15" t="n">
        <f aca="false">q26_othbp</f>
        <v>5.1</v>
      </c>
      <c r="G878" s="15" t="n">
        <f aca="false">q26_othbp</f>
        <v>5.1</v>
      </c>
    </row>
    <row r="879" customFormat="false" ht="15" hidden="false" customHeight="false" outlineLevel="0" collapsed="false">
      <c r="A879" s="4" t="s">
        <v>504</v>
      </c>
      <c r="B879" s="0" t="s">
        <v>169</v>
      </c>
      <c r="C879" s="15" t="n">
        <f aca="false">q25_cc</f>
        <v>-42.597</v>
      </c>
      <c r="D879" s="15" t="n">
        <f aca="false">q26_cc</f>
        <v>-46.2</v>
      </c>
      <c r="E879" s="15" t="n">
        <f aca="false">D879*(1+g_cc)</f>
        <v>-47.586</v>
      </c>
      <c r="F879" s="15" t="n">
        <f aca="false">E879*(1+g_cc)</f>
        <v>-49.01358</v>
      </c>
      <c r="G879" s="15" t="n">
        <f aca="false">F879*(1+g_cc)</f>
        <v>-50.4839874</v>
      </c>
    </row>
    <row r="880" customFormat="false" ht="17.15" hidden="false" customHeight="false" outlineLevel="0" collapsed="false">
      <c r="A880" s="4" t="s">
        <v>505</v>
      </c>
      <c r="B880" s="0" t="s">
        <v>169</v>
      </c>
      <c r="C880" s="28" t="n">
        <f aca="false">a_rev-(q25_sf+q25_ff+q25_hox+q25_fm+q25_oth)</f>
        <v>0.00200000000018008</v>
      </c>
      <c r="D880" s="28" t="n">
        <f aca="false">f_rev-(q26_sf+q26_ff+q26_hox+q26_fm+q26_oth)</f>
        <v>0.200000000000045</v>
      </c>
      <c r="E880" s="28" t="n">
        <f aca="false">$D880</f>
        <v>0.200000000000045</v>
      </c>
      <c r="F880" s="28" t="n">
        <f aca="false">$D880</f>
        <v>0.200000000000045</v>
      </c>
      <c r="G880" s="28" t="n">
        <f aca="false">$D880</f>
        <v>0.200000000000045</v>
      </c>
      <c r="K880" s="8" t="s">
        <v>506</v>
      </c>
    </row>
    <row r="881" customFormat="false" ht="15" hidden="false" customHeight="false" outlineLevel="0" collapsed="false">
      <c r="A881" s="4" t="s">
        <v>507</v>
      </c>
      <c r="B881" s="0" t="s">
        <v>169</v>
      </c>
      <c r="C881" s="28" t="n">
        <f aca="false">a_bp-(q25_sfbp+q25_ffbp+q25_hoxbp+q25_fmbp+q25_othbp+q25_cc)</f>
        <v>0.0010000000000332</v>
      </c>
      <c r="D881" s="28" t="n">
        <f aca="false">f_bp-(q26_sfbp+q26_ffbp+q26_hoxbp+q26_fmbp+q26_othbp+q26_cc)</f>
        <v>0.100000000000023</v>
      </c>
      <c r="E881" s="28" t="n">
        <f aca="false">$D881</f>
        <v>0.100000000000023</v>
      </c>
      <c r="F881" s="28" t="n">
        <f aca="false">$D881</f>
        <v>0.100000000000023</v>
      </c>
      <c r="G881" s="28" t="n">
        <f aca="false">$D881</f>
        <v>0.100000000000023</v>
      </c>
    </row>
    <row r="882" customFormat="false" ht="17.15" hidden="false" customHeight="false" outlineLevel="0" collapsed="false">
      <c r="A882" s="6" t="s">
        <v>508</v>
      </c>
    </row>
    <row r="883" customFormat="false" ht="17.15" hidden="false" customHeight="false" outlineLevel="0" collapsed="false">
      <c r="A883" s="4" t="s">
        <v>380</v>
      </c>
      <c r="B883" s="0" t="s">
        <v>169</v>
      </c>
      <c r="C883" s="15" t="n">
        <f aca="false">C871+C873+C875+C867+C877+C880</f>
        <v>1583.719</v>
      </c>
      <c r="D883" s="15" t="n">
        <f aca="false">D871+D873+D875+D867+D877+D880</f>
        <v>1732</v>
      </c>
      <c r="E883" s="15" t="n">
        <f aca="false">E871+E873+E875+E867+E877+E880</f>
        <v>1850.5656</v>
      </c>
      <c r="F883" s="15" t="n">
        <f aca="false">F871+F873+F875+F867+F877+F880</f>
        <v>1955.94074307053</v>
      </c>
      <c r="G883" s="15" t="n">
        <f aca="false">G871+G873+G875+G867+G877+G880</f>
        <v>2053.1320716</v>
      </c>
      <c r="H883" s="23" t="n">
        <f aca="false">G883*(1+H884)</f>
        <v>2162.20857776426</v>
      </c>
      <c r="I883" s="23" t="n">
        <f aca="false">H883*(1+I884)</f>
        <v>2284.5105355383</v>
      </c>
      <c r="J883" s="23" t="n">
        <f aca="false">I883*(1+J884)</f>
        <v>2421.5811676706</v>
      </c>
      <c r="K883" s="8" t="s">
        <v>509</v>
      </c>
    </row>
    <row r="884" customFormat="false" ht="15" hidden="false" customHeight="false" outlineLevel="0" collapsed="false">
      <c r="A884" s="4" t="s">
        <v>510</v>
      </c>
      <c r="B884" s="0" t="s">
        <v>77</v>
      </c>
      <c r="D884" s="16" t="n">
        <f aca="false">D883/C883-1</f>
        <v>0.0936283519993131</v>
      </c>
      <c r="E884" s="16" t="n">
        <f aca="false">E883/D883-1</f>
        <v>0.0684558891454965</v>
      </c>
      <c r="F884" s="16" t="n">
        <f aca="false">F883/E883-1</f>
        <v>0.0569421278935081</v>
      </c>
      <c r="G884" s="16" t="n">
        <f aca="false">G883/F883-1</f>
        <v>0.0496903236326567</v>
      </c>
      <c r="H884" s="24" t="n">
        <f aca="false">$G884+(fade_gA-$G884)*1/3</f>
        <v>0.0531268824217711</v>
      </c>
      <c r="I884" s="24" t="n">
        <f aca="false">$G884+(fade_gA-$G884)*2/3</f>
        <v>0.0565634412108856</v>
      </c>
      <c r="J884" s="24" t="n">
        <f aca="false">$G884+(fade_gA-$G884)*3/3</f>
        <v>0.06</v>
      </c>
    </row>
    <row r="885" customFormat="false" ht="17.15" hidden="false" customHeight="false" outlineLevel="0" collapsed="false">
      <c r="A885" s="0" t="s">
        <v>511</v>
      </c>
      <c r="B885" s="0" t="s">
        <v>77</v>
      </c>
      <c r="C885" s="16" t="n">
        <f aca="false">C867/C883</f>
        <v>0.0646902638662541</v>
      </c>
      <c r="D885" s="16" t="n">
        <f aca="false">D867/D883</f>
        <v>0.0696304849884527</v>
      </c>
      <c r="E885" s="16" t="n">
        <f aca="false">E867/E883</f>
        <v>0.0948864498507916</v>
      </c>
      <c r="F885" s="16" t="n">
        <f aca="false">F867/F883</f>
        <v>0.109821293835987</v>
      </c>
      <c r="G885" s="16" t="n">
        <f aca="false">G867/G883</f>
        <v>0.118418879799842</v>
      </c>
    </row>
    <row r="886" customFormat="false" ht="15" hidden="false" customHeight="false" outlineLevel="0" collapsed="false">
      <c r="A886" s="4" t="s">
        <v>390</v>
      </c>
      <c r="B886" s="0" t="s">
        <v>169</v>
      </c>
      <c r="C886" s="15" t="n">
        <f aca="false">C872+C874+C876+C869+C878+C879+C881</f>
        <v>181.163</v>
      </c>
      <c r="D886" s="15" t="n">
        <f aca="false">D872+D874+D876+D869+D878+D879+D881</f>
        <v>202</v>
      </c>
      <c r="E886" s="15" t="n">
        <f aca="false">E872+E874+E876+E869+E878+E879+E881</f>
        <v>250.83478</v>
      </c>
      <c r="F886" s="15" t="n">
        <f aca="false">F872+F874+F876+F869+F878+F879+F881</f>
        <v>279.5291005364</v>
      </c>
      <c r="G886" s="15" t="n">
        <f aca="false">G872+G874+G876+G869+G878+G879+G881</f>
        <v>296.524354212</v>
      </c>
    </row>
    <row r="887" customFormat="false" ht="15" hidden="false" customHeight="false" outlineLevel="0" collapsed="false">
      <c r="A887" s="4" t="s">
        <v>406</v>
      </c>
      <c r="B887" s="0" t="s">
        <v>77</v>
      </c>
      <c r="C887" s="16" t="n">
        <f aca="false">C886/C883</f>
        <v>0.114390873633517</v>
      </c>
      <c r="D887" s="16" t="n">
        <f aca="false">D886/D883</f>
        <v>0.11662817551963</v>
      </c>
      <c r="E887" s="16" t="n">
        <f aca="false">E886/E883</f>
        <v>0.135544927453531</v>
      </c>
      <c r="F887" s="16" t="n">
        <f aca="false">F886/F883</f>
        <v>0.142912867645255</v>
      </c>
      <c r="G887" s="16" t="n">
        <f aca="false">G886/G883</f>
        <v>0.144425367619395</v>
      </c>
    </row>
    <row r="888" customFormat="false" ht="17.15" hidden="false" customHeight="false" outlineLevel="0" collapsed="false">
      <c r="A888" s="0" t="s">
        <v>512</v>
      </c>
      <c r="B888" s="0" t="s">
        <v>77</v>
      </c>
      <c r="C888" s="16" t="n">
        <f aca="false">C869/C886</f>
        <v>0.301386044611758</v>
      </c>
      <c r="D888" s="16" t="n">
        <f aca="false">D869/D886</f>
        <v>0.324257425742574</v>
      </c>
      <c r="E888" s="16" t="n">
        <f aca="false">E869/E886</f>
        <v>0.405903439706408</v>
      </c>
      <c r="F888" s="16" t="n">
        <f aca="false">F869/F886</f>
        <v>0.444560362044372</v>
      </c>
      <c r="G888" s="16" t="n">
        <f aca="false">G869/G886</f>
        <v>0.454441378004514</v>
      </c>
    </row>
    <row r="889" customFormat="false" ht="17.15" hidden="false" customHeight="false" outlineLevel="0" collapsed="false">
      <c r="A889" s="4" t="s">
        <v>407</v>
      </c>
      <c r="B889" s="0" t="s">
        <v>52</v>
      </c>
      <c r="C889" s="21" t="n">
        <f aca="false">q25_ni/q25_bp</f>
        <v>0.743391310587703</v>
      </c>
      <c r="D889" s="21" t="n">
        <f aca="false">q26_ni/q26_bp</f>
        <v>0.611386138613861</v>
      </c>
      <c r="E889" s="21" t="n">
        <f aca="false">ni_bp</f>
        <v>0.62</v>
      </c>
      <c r="F889" s="21" t="n">
        <f aca="false">ni_bp</f>
        <v>0.62</v>
      </c>
      <c r="G889" s="21" t="n">
        <f aca="false">ni_bp</f>
        <v>0.62</v>
      </c>
    </row>
    <row r="890" customFormat="false" ht="15" hidden="false" customHeight="false" outlineLevel="0" collapsed="false">
      <c r="A890" s="4" t="s">
        <v>397</v>
      </c>
      <c r="B890" s="0" t="s">
        <v>169</v>
      </c>
      <c r="C890" s="15" t="n">
        <f aca="false">q25_ni</f>
        <v>134.675</v>
      </c>
      <c r="D890" s="15" t="n">
        <f aca="false">q26_ni</f>
        <v>123.5</v>
      </c>
      <c r="E890" s="15" t="n">
        <f aca="false">E886*E889</f>
        <v>155.5175636</v>
      </c>
      <c r="F890" s="15" t="n">
        <f aca="false">F886*F889</f>
        <v>173.308042332568</v>
      </c>
      <c r="G890" s="15" t="n">
        <f aca="false">G886*G889</f>
        <v>183.84509961144</v>
      </c>
      <c r="H890" s="23" t="n">
        <f aca="false">H883*H894</f>
        <v>192.50417639931</v>
      </c>
      <c r="I890" s="23" t="n">
        <f aca="false">I883*I894</f>
        <v>202.222160294035</v>
      </c>
      <c r="J890" s="23" t="n">
        <f aca="false">J883*J894</f>
        <v>213.114532255596</v>
      </c>
    </row>
    <row r="891" customFormat="false" ht="15" hidden="false" customHeight="false" outlineLevel="0" collapsed="false">
      <c r="A891" s="4" t="s">
        <v>513</v>
      </c>
      <c r="B891" s="4" t="s">
        <v>316</v>
      </c>
      <c r="C891" s="19" t="n">
        <f aca="false">q25_sh</f>
        <v>0.973366579936398</v>
      </c>
      <c r="D891" s="19" t="n">
        <f aca="false">q26_sh</f>
        <v>0.95117067159581</v>
      </c>
      <c r="E891" s="19" t="n">
        <f aca="false">D891*(1+sh_g)</f>
        <v>0.936903111521873</v>
      </c>
      <c r="F891" s="19" t="n">
        <f aca="false">E891*(1+sh_g)</f>
        <v>0.922849564849045</v>
      </c>
      <c r="G891" s="19" t="n">
        <f aca="false">F891*(1+sh_g)</f>
        <v>0.909006821376309</v>
      </c>
      <c r="H891" s="29" t="n">
        <f aca="false">G891*(1+sh_g)</f>
        <v>0.895371719055665</v>
      </c>
      <c r="I891" s="29" t="n">
        <f aca="false">H891*(1+sh_g)</f>
        <v>0.88194114326983</v>
      </c>
      <c r="J891" s="29" t="n">
        <f aca="false">I891*(1+sh_g)</f>
        <v>0.868712026120782</v>
      </c>
    </row>
    <row r="892" customFormat="false" ht="17.15" hidden="false" customHeight="false" outlineLevel="0" collapsed="false">
      <c r="A892" s="0" t="s">
        <v>514</v>
      </c>
      <c r="B892" s="0" t="s">
        <v>207</v>
      </c>
      <c r="C892" s="20" t="n">
        <f aca="false">C890/C891</f>
        <v>138.36</v>
      </c>
      <c r="D892" s="20" t="n">
        <f aca="false">D890/D891</f>
        <v>129.84</v>
      </c>
      <c r="E892" s="20" t="n">
        <f aca="false">E890/E891</f>
        <v>165.991084550229</v>
      </c>
      <c r="F892" s="20" t="n">
        <f aca="false">F890/F891</f>
        <v>187.796634396113</v>
      </c>
      <c r="G892" s="20" t="n">
        <f aca="false">G890/G891</f>
        <v>202.248316831203</v>
      </c>
      <c r="H892" s="27" t="n">
        <f aca="false">H890/H891</f>
        <v>214.999169956297</v>
      </c>
      <c r="I892" s="27" t="n">
        <f aca="false">I890/I891</f>
        <v>229.292126620024</v>
      </c>
      <c r="J892" s="27" t="n">
        <f aca="false">J890/J891</f>
        <v>245.322415078395</v>
      </c>
    </row>
    <row r="893" customFormat="false" ht="17.15" hidden="false" customHeight="false" outlineLevel="0" collapsed="false">
      <c r="A893" s="0" t="s">
        <v>515</v>
      </c>
      <c r="B893" s="0" t="s">
        <v>77</v>
      </c>
      <c r="D893" s="16" t="n">
        <f aca="false">D892/C892-1</f>
        <v>-0.0615784908933218</v>
      </c>
      <c r="E893" s="16" t="n">
        <f aca="false">E892/D892-1</f>
        <v>0.278427946320311</v>
      </c>
      <c r="F893" s="16" t="n">
        <f aca="false">F892/E892-1</f>
        <v>0.131365789343253</v>
      </c>
      <c r="G893" s="16" t="n">
        <f aca="false">G892/F892-1</f>
        <v>0.0769538947359798</v>
      </c>
      <c r="H893" s="24" t="n">
        <f aca="false">H892/G892-1</f>
        <v>0.0630455339499114</v>
      </c>
      <c r="I893" s="24" t="n">
        <f aca="false">I892/H892-1</f>
        <v>0.066479124857241</v>
      </c>
      <c r="J893" s="24" t="n">
        <f aca="false">J892/I892-1</f>
        <v>0.0699120754588118</v>
      </c>
    </row>
    <row r="894" customFormat="false" ht="15" hidden="false" customHeight="false" outlineLevel="0" collapsed="false">
      <c r="A894" s="4" t="s">
        <v>516</v>
      </c>
      <c r="B894" s="0" t="s">
        <v>77</v>
      </c>
      <c r="C894" s="25" t="n">
        <f aca="false">C890/C883</f>
        <v>0.0850371814696925</v>
      </c>
      <c r="D894" s="25" t="n">
        <f aca="false">D890/D883</f>
        <v>0.0713048498845266</v>
      </c>
      <c r="E894" s="25" t="n">
        <f aca="false">E890/E883</f>
        <v>0.0840378550211892</v>
      </c>
      <c r="F894" s="25" t="n">
        <f aca="false">F890/F883</f>
        <v>0.0886059779400581</v>
      </c>
      <c r="G894" s="25" t="n">
        <f aca="false">G890/G883</f>
        <v>0.0895437279240249</v>
      </c>
      <c r="H894" s="26" t="n">
        <f aca="false">$G894+(fade_mA-$G894)*1/3</f>
        <v>0.0890312703311726</v>
      </c>
      <c r="I894" s="26" t="n">
        <f aca="false">$G894+(fade_mA-$G894)*2/3</f>
        <v>0.0885188127383203</v>
      </c>
      <c r="J894" s="26" t="n">
        <f aca="false">$G894+(fade_mA-$G894)*3/3</f>
        <v>0.088006355145468</v>
      </c>
    </row>
    <row r="895" customFormat="false" ht="17.15" hidden="false" customHeight="false" outlineLevel="0" collapsed="false">
      <c r="A895" s="0" t="s">
        <v>517</v>
      </c>
      <c r="B895" s="0" t="s">
        <v>207</v>
      </c>
      <c r="D895" s="20" t="n">
        <f aca="false">D869*D889/D891</f>
        <v>42.1015841584158</v>
      </c>
      <c r="E895" s="20" t="n">
        <f aca="false">E869*E889/E891</f>
        <v>67.3763521795352</v>
      </c>
      <c r="F895" s="20" t="n">
        <f aca="false">F869*F889/F891</f>
        <v>83.4869397778505</v>
      </c>
      <c r="G895" s="20" t="n">
        <f aca="false">G869*G889/G891</f>
        <v>91.9100037998652</v>
      </c>
      <c r="K895" s="8" t="s">
        <v>518</v>
      </c>
    </row>
    <row r="896" customFormat="false" ht="17.15" hidden="false" customHeight="false" outlineLevel="0" collapsed="false">
      <c r="A896" s="0" t="s">
        <v>519</v>
      </c>
      <c r="B896" s="0" t="s">
        <v>207</v>
      </c>
      <c r="D896" s="20" t="n">
        <f aca="false">D892-D895</f>
        <v>87.7384158415842</v>
      </c>
      <c r="E896" s="20" t="n">
        <f aca="false">E892-E895</f>
        <v>98.614732370694</v>
      </c>
      <c r="F896" s="20" t="n">
        <f aca="false">F892-F895</f>
        <v>104.309694618262</v>
      </c>
      <c r="G896" s="20" t="n">
        <f aca="false">G892-G895</f>
        <v>110.338313031337</v>
      </c>
    </row>
    <row r="897" customFormat="false" ht="17.15" hidden="false" customHeight="false" outlineLevel="0" collapsed="false">
      <c r="A897" s="0" t="s">
        <v>520</v>
      </c>
      <c r="B897" s="0" t="s">
        <v>432</v>
      </c>
      <c r="D897" s="15" t="n">
        <f aca="false">D865/D855*1000/150</f>
        <v>23.5087719298246</v>
      </c>
      <c r="E897" s="15" t="n">
        <f aca="false">E865/E855*1000/150</f>
        <v>30.1617621884116</v>
      </c>
      <c r="F897" s="15" t="n">
        <f aca="false">F865/F855*1000/150</f>
        <v>36.5143464561404</v>
      </c>
      <c r="G897" s="15" t="n">
        <f aca="false">G865/G855*1000/150</f>
        <v>39.9173947725016</v>
      </c>
      <c r="K897" s="8" t="s">
        <v>521</v>
      </c>
    </row>
    <row r="900" customFormat="false" ht="17.15" hidden="false" customHeight="false" outlineLevel="0" collapsed="false">
      <c r="A900" s="1" t="s">
        <v>880</v>
      </c>
    </row>
    <row r="901" customFormat="false" ht="17.15" hidden="false" customHeight="false" outlineLevel="0" collapsed="false">
      <c r="A901" s="5" t="s">
        <v>19</v>
      </c>
      <c r="B901" s="5" t="s">
        <v>20</v>
      </c>
      <c r="C901" s="14" t="s">
        <v>374</v>
      </c>
      <c r="D901" s="14" t="s">
        <v>447</v>
      </c>
      <c r="E901" s="14" t="s">
        <v>412</v>
      </c>
      <c r="F901" s="14" t="s">
        <v>413</v>
      </c>
      <c r="G901" s="14" t="s">
        <v>414</v>
      </c>
      <c r="H901" s="14" t="s">
        <v>448</v>
      </c>
      <c r="I901" s="14" t="s">
        <v>449</v>
      </c>
      <c r="J901" s="14" t="s">
        <v>450</v>
      </c>
      <c r="K901" s="5" t="s">
        <v>379</v>
      </c>
    </row>
    <row r="902" customFormat="false" ht="17.15" hidden="false" customHeight="false" outlineLevel="0" collapsed="false">
      <c r="A902" s="6" t="s">
        <v>470</v>
      </c>
    </row>
    <row r="903" customFormat="false" ht="17.15" hidden="false" customHeight="false" outlineLevel="0" collapsed="false">
      <c r="A903" s="0" t="s">
        <v>471</v>
      </c>
      <c r="B903" s="4" t="s">
        <v>30</v>
      </c>
      <c r="D903" s="20" t="n">
        <f aca="false">unv_26</f>
        <v>7.6</v>
      </c>
      <c r="E903" s="20" t="n">
        <f aca="false">unv_27</f>
        <v>9.7</v>
      </c>
      <c r="F903" s="20" t="n">
        <f aca="false">unv_28*um28_A</f>
        <v>9.5</v>
      </c>
      <c r="G903" s="20" t="n">
        <f aca="false">unv_29*um29_A</f>
        <v>10.6</v>
      </c>
      <c r="K903" s="8" t="s">
        <v>472</v>
      </c>
    </row>
    <row r="904" customFormat="false" ht="17.15" hidden="false" customHeight="false" outlineLevel="0" collapsed="false">
      <c r="A904" s="4" t="s">
        <v>473</v>
      </c>
      <c r="B904" s="4" t="s">
        <v>30</v>
      </c>
      <c r="D904" s="20" t="n">
        <f aca="false">uot_26</f>
        <v>7.6</v>
      </c>
      <c r="E904" s="20" t="n">
        <f aca="false">uot_27</f>
        <v>14</v>
      </c>
      <c r="F904" s="20" t="n">
        <f aca="false">uot_28*um28_A</f>
        <v>17</v>
      </c>
      <c r="G904" s="20" t="n">
        <f aca="false">uot_29*um29_A</f>
        <v>19.55</v>
      </c>
      <c r="K904" s="8" t="s">
        <v>474</v>
      </c>
    </row>
    <row r="905" customFormat="false" ht="17.15" hidden="false" customHeight="false" outlineLevel="0" collapsed="false">
      <c r="A905" s="4" t="s">
        <v>475</v>
      </c>
      <c r="B905" s="4" t="s">
        <v>30</v>
      </c>
      <c r="D905" s="20" t="n">
        <f aca="false">D903+v_ot*D904</f>
        <v>13.68</v>
      </c>
      <c r="E905" s="20" t="n">
        <f aca="false">E903+v_ot*E904</f>
        <v>20.9</v>
      </c>
      <c r="F905" s="20" t="n">
        <f aca="false">F903+v_ot*F904</f>
        <v>23.1</v>
      </c>
      <c r="G905" s="20" t="n">
        <f aca="false">G903+v_ot*G904</f>
        <v>26.24</v>
      </c>
    </row>
    <row r="906" customFormat="false" ht="17.15" hidden="false" customHeight="false" outlineLevel="0" collapsed="false">
      <c r="A906" s="4" t="s">
        <v>476</v>
      </c>
      <c r="B906" s="0" t="s">
        <v>52</v>
      </c>
      <c r="D906" s="21" t="n">
        <f aca="false">1</f>
        <v>1</v>
      </c>
      <c r="E906" s="21" t="n">
        <f aca="false">D906*(1+g_asp)</f>
        <v>1.18</v>
      </c>
      <c r="F906" s="21" t="n">
        <f aca="false">E906*(1+g_asp)</f>
        <v>1.3924</v>
      </c>
      <c r="G906" s="21" t="n">
        <f aca="false">F906*(1+g_asp)</f>
        <v>1.643032</v>
      </c>
    </row>
    <row r="907" customFormat="false" ht="17.15" hidden="false" customHeight="false" outlineLevel="0" collapsed="false">
      <c r="A907" s="4" t="s">
        <v>477</v>
      </c>
      <c r="B907" s="0" t="s">
        <v>52</v>
      </c>
      <c r="D907" s="18" t="n">
        <f aca="false">1</f>
        <v>1</v>
      </c>
      <c r="E907" s="18" t="n">
        <f aca="false">rel_27</f>
        <v>1</v>
      </c>
      <c r="F907" s="18" t="n">
        <f aca="false">rel_28</f>
        <v>0.97</v>
      </c>
      <c r="G907" s="18" t="n">
        <f aca="false">rel_29</f>
        <v>0.95</v>
      </c>
    </row>
    <row r="908" customFormat="false" ht="17.15" hidden="false" customHeight="false" outlineLevel="0" collapsed="false">
      <c r="A908" s="0" t="s">
        <v>478</v>
      </c>
      <c r="B908" s="0" t="s">
        <v>52</v>
      </c>
      <c r="D908" s="21" t="n">
        <f aca="false">D905/$D905*D906*D907</f>
        <v>1</v>
      </c>
      <c r="E908" s="21" t="n">
        <f aca="false">E905/$D905*E906*E907</f>
        <v>1.80277777777778</v>
      </c>
      <c r="F908" s="21" t="n">
        <f aca="false">F905/$D905*F906*F907</f>
        <v>2.28066570175439</v>
      </c>
      <c r="G908" s="21" t="n">
        <f aca="false">G905/$D905*G906*G907</f>
        <v>2.99396942222222</v>
      </c>
      <c r="K908" s="4" t="s">
        <v>479</v>
      </c>
    </row>
    <row r="909" customFormat="false" ht="17.15" hidden="false" customHeight="false" outlineLevel="0" collapsed="false">
      <c r="A909" s="4" t="s">
        <v>480</v>
      </c>
      <c r="B909" s="0" t="s">
        <v>52</v>
      </c>
      <c r="D909" s="21" t="n">
        <f aca="false">1</f>
        <v>1</v>
      </c>
      <c r="E909" s="21" t="n">
        <f aca="false">D909*(1+g_nai)</f>
        <v>1.03</v>
      </c>
      <c r="F909" s="21" t="n">
        <f aca="false">E909*(1+g_nai)</f>
        <v>1.0609</v>
      </c>
      <c r="G909" s="21" t="n">
        <f aca="false">F909*(1+g_nai)</f>
        <v>1.092727</v>
      </c>
    </row>
    <row r="910" customFormat="false" ht="17.15" hidden="false" customHeight="false" outlineLevel="0" collapsed="false">
      <c r="A910" s="0" t="s">
        <v>481</v>
      </c>
      <c r="B910" s="0" t="s">
        <v>52</v>
      </c>
      <c r="D910" s="21" t="n">
        <f aca="false">ai_sh*D908+(1-ai_sh)*D909</f>
        <v>1</v>
      </c>
      <c r="E910" s="21" t="n">
        <f aca="false">ai_sh*E908+(1-ai_sh)*E909</f>
        <v>1.33911111111111</v>
      </c>
      <c r="F910" s="21" t="n">
        <f aca="false">ai_sh*F908+(1-ai_sh)*F909</f>
        <v>1.54880628070175</v>
      </c>
      <c r="G910" s="21" t="n">
        <f aca="false">ai_sh*G908+(1-ai_sh)*G909</f>
        <v>1.85322396888889</v>
      </c>
    </row>
    <row r="911" customFormat="false" ht="17.15" hidden="false" customHeight="false" outlineLevel="0" collapsed="false">
      <c r="A911" s="4" t="s">
        <v>482</v>
      </c>
      <c r="B911" s="0" t="s">
        <v>52</v>
      </c>
      <c r="D911" s="21" t="n">
        <f aca="false">1</f>
        <v>1</v>
      </c>
      <c r="E911" s="21" t="n">
        <f aca="false">cap_27</f>
        <v>1.3</v>
      </c>
      <c r="F911" s="21" t="n">
        <f aca="false">cap_28</f>
        <v>1.55</v>
      </c>
      <c r="G911" s="21" t="n">
        <f aca="false">cap_29</f>
        <v>1.8</v>
      </c>
      <c r="K911" s="4" t="s">
        <v>483</v>
      </c>
    </row>
    <row r="912" customFormat="false" ht="17.15" hidden="false" customHeight="false" outlineLevel="0" collapsed="false">
      <c r="A912" s="4" t="s">
        <v>484</v>
      </c>
      <c r="B912" s="0" t="s">
        <v>52</v>
      </c>
      <c r="D912" s="21" t="n">
        <f aca="false">MIN(D910,D911)</f>
        <v>1</v>
      </c>
      <c r="E912" s="21" t="n">
        <f aca="false">MIN(E910,E911)</f>
        <v>1.3</v>
      </c>
      <c r="F912" s="21" t="n">
        <f aca="false">MIN(F910,F911)</f>
        <v>1.54880628070175</v>
      </c>
      <c r="G912" s="21" t="n">
        <f aca="false">MIN(G910,G911)</f>
        <v>1.8</v>
      </c>
    </row>
    <row r="913" customFormat="false" ht="17.15" hidden="false" customHeight="false" outlineLevel="0" collapsed="false">
      <c r="A913" s="4" t="s">
        <v>485</v>
      </c>
      <c r="B913" s="0" t="s">
        <v>77</v>
      </c>
      <c r="D913" s="16" t="n">
        <f aca="false">D912/D910</f>
        <v>1</v>
      </c>
      <c r="E913" s="16" t="n">
        <f aca="false">E912/E910</f>
        <v>0.970793229339529</v>
      </c>
      <c r="F913" s="16" t="n">
        <f aca="false">F912/F910</f>
        <v>1</v>
      </c>
      <c r="G913" s="16" t="n">
        <f aca="false">G912/G910</f>
        <v>0.971280336439422</v>
      </c>
      <c r="K913" s="4" t="s">
        <v>486</v>
      </c>
    </row>
    <row r="914" customFormat="false" ht="17.15" hidden="false" customHeight="false" outlineLevel="0" collapsed="false">
      <c r="A914" s="0" t="s">
        <v>487</v>
      </c>
      <c r="B914" s="0" t="s">
        <v>52</v>
      </c>
      <c r="D914" s="21" t="n">
        <f aca="false">1</f>
        <v>1</v>
      </c>
      <c r="E914" s="21" t="n">
        <f aca="false">pp_27</f>
        <v>1.12</v>
      </c>
      <c r="F914" s="21" t="n">
        <f aca="false">pp_28*sp_A</f>
        <v>1.15</v>
      </c>
      <c r="G914" s="21" t="n">
        <f aca="false">pp_29*sp_A</f>
        <v>1.12</v>
      </c>
      <c r="K914" s="8" t="s">
        <v>488</v>
      </c>
    </row>
    <row r="915" customFormat="false" ht="17.15" hidden="false" customHeight="false" outlineLevel="0" collapsed="false">
      <c r="A915" s="0" t="s">
        <v>429</v>
      </c>
      <c r="B915" s="0" t="s">
        <v>169</v>
      </c>
      <c r="D915" s="15" t="n">
        <f aca="false">q26_fm*ai_sh</f>
        <v>48.24</v>
      </c>
      <c r="E915" s="15" t="n">
        <f aca="false">q26_fm*ai_sh*E908*E913*E914</f>
        <v>94.5571244606705</v>
      </c>
      <c r="F915" s="15" t="n">
        <f aca="false">q26_fm*ai_sh*F908*F913*F914</f>
        <v>126.522210470526</v>
      </c>
      <c r="G915" s="15" t="n">
        <f aca="false">q26_fm*ai_sh*G908*G913*G914</f>
        <v>157.114865824566</v>
      </c>
      <c r="K915" s="8" t="s">
        <v>489</v>
      </c>
    </row>
    <row r="916" customFormat="false" ht="17.15" hidden="false" customHeight="false" outlineLevel="0" collapsed="false">
      <c r="A916" s="0" t="s">
        <v>490</v>
      </c>
      <c r="B916" s="0" t="s">
        <v>169</v>
      </c>
      <c r="D916" s="15" t="n">
        <f aca="false">q26_fm*(1-ai_sh)</f>
        <v>72.36</v>
      </c>
      <c r="E916" s="15" t="n">
        <f aca="false">q26_fm*(1-ai_sh)*E909*E913*E914</f>
        <v>81.0364755393296</v>
      </c>
      <c r="F916" s="15" t="n">
        <f aca="false">q26_fm*(1-ai_sh)*F909*F913*F914</f>
        <v>88.2817326</v>
      </c>
      <c r="G916" s="15" t="n">
        <f aca="false">q26_fm*(1-ai_sh)*G909*G913*G914</f>
        <v>86.0147341754337</v>
      </c>
    </row>
    <row r="917" customFormat="false" ht="17.15" hidden="false" customHeight="false" outlineLevel="0" collapsed="false">
      <c r="A917" s="4" t="s">
        <v>491</v>
      </c>
      <c r="B917" s="0" t="s">
        <v>169</v>
      </c>
      <c r="C917" s="15" t="n">
        <f aca="false">q25_fm</f>
        <v>102.4512</v>
      </c>
      <c r="D917" s="15" t="n">
        <f aca="false">D915+D916</f>
        <v>120.6</v>
      </c>
      <c r="E917" s="15" t="n">
        <f aca="false">E915+E916</f>
        <v>175.5936</v>
      </c>
      <c r="F917" s="15" t="n">
        <f aca="false">F915+F916</f>
        <v>214.803943070526</v>
      </c>
      <c r="G917" s="15" t="n">
        <f aca="false">G915+G916</f>
        <v>243.1296</v>
      </c>
    </row>
    <row r="918" customFormat="false" ht="17.15" hidden="false" customHeight="false" outlineLevel="0" collapsed="false">
      <c r="A918" s="0" t="s">
        <v>492</v>
      </c>
      <c r="B918" s="0" t="s">
        <v>77</v>
      </c>
      <c r="C918" s="16" t="n">
        <f aca="false">q25_fmbp/q25_fm</f>
        <v>0.532936656671664</v>
      </c>
      <c r="D918" s="16" t="n">
        <f aca="false">q26_fmbp/q26_fm</f>
        <v>0.543117744610282</v>
      </c>
      <c r="E918" s="16" t="n">
        <f aca="false">1-(1-$D918)*(1+c_g)^1/E914</f>
        <v>0.579831497275527</v>
      </c>
      <c r="F918" s="16" t="n">
        <f aca="false">1-(1-$D918)*(1+c_g)^2/F914</f>
        <v>0.578516187180042</v>
      </c>
      <c r="G918" s="16" t="n">
        <f aca="false">1-(1-$D918)*(1+c_g)^3/G914</f>
        <v>0.554243235459607</v>
      </c>
      <c r="K918" s="8" t="s">
        <v>493</v>
      </c>
    </row>
    <row r="919" customFormat="false" ht="17.15" hidden="false" customHeight="false" outlineLevel="0" collapsed="false">
      <c r="A919" s="0" t="s">
        <v>455</v>
      </c>
      <c r="B919" s="0" t="s">
        <v>169</v>
      </c>
      <c r="C919" s="15" t="n">
        <f aca="false">q25_fmbp</f>
        <v>54.6</v>
      </c>
      <c r="D919" s="15" t="n">
        <f aca="false">D917*D918</f>
        <v>65.5</v>
      </c>
      <c r="E919" s="15" t="n">
        <f aca="false">E917*E918</f>
        <v>101.8147</v>
      </c>
      <c r="F919" s="15" t="n">
        <f aca="false">F917*F918</f>
        <v>124.2675581364</v>
      </c>
      <c r="G919" s="15" t="n">
        <f aca="false">G917*G918</f>
        <v>134.75293614</v>
      </c>
    </row>
    <row r="920" customFormat="false" ht="17.15" hidden="false" customHeight="false" outlineLevel="0" collapsed="false">
      <c r="A920" s="6" t="s">
        <v>494</v>
      </c>
    </row>
    <row r="921" customFormat="false" ht="15" hidden="false" customHeight="false" outlineLevel="0" collapsed="false">
      <c r="A921" s="4" t="s">
        <v>495</v>
      </c>
      <c r="B921" s="0" t="s">
        <v>169</v>
      </c>
      <c r="C921" s="15" t="n">
        <f aca="false">q25_sf</f>
        <v>936.926</v>
      </c>
      <c r="D921" s="15" t="n">
        <f aca="false">q26_sf</f>
        <v>998.6</v>
      </c>
      <c r="E921" s="15" t="n">
        <f aca="false">D921*(1+g_sf)</f>
        <v>1038.544</v>
      </c>
      <c r="F921" s="15" t="n">
        <f aca="false">E921*(1+g_sf)</f>
        <v>1080.08576</v>
      </c>
      <c r="G921" s="15" t="n">
        <f aca="false">F921*(1+g_sf)</f>
        <v>1123.2891904</v>
      </c>
    </row>
    <row r="922" customFormat="false" ht="15" hidden="false" customHeight="false" outlineLevel="0" collapsed="false">
      <c r="A922" s="4" t="s">
        <v>496</v>
      </c>
      <c r="B922" s="0" t="s">
        <v>169</v>
      </c>
      <c r="C922" s="15" t="n">
        <f aca="false">q25_sfbp</f>
        <v>143.036</v>
      </c>
      <c r="D922" s="15" t="n">
        <f aca="false">q26_sfbp</f>
        <v>145.9</v>
      </c>
      <c r="E922" s="15" t="n">
        <f aca="false">E921*m_sf</f>
        <v>151.736</v>
      </c>
      <c r="F922" s="15" t="n">
        <f aca="false">F921*m_sf</f>
        <v>157.80544</v>
      </c>
      <c r="G922" s="15" t="n">
        <f aca="false">G921*m_sf</f>
        <v>164.1176576</v>
      </c>
    </row>
    <row r="923" customFormat="false" ht="15" hidden="false" customHeight="false" outlineLevel="0" collapsed="false">
      <c r="A923" s="4" t="s">
        <v>497</v>
      </c>
      <c r="B923" s="0" t="s">
        <v>169</v>
      </c>
      <c r="C923" s="15" t="n">
        <f aca="false">q25_ff</f>
        <v>290.308</v>
      </c>
      <c r="D923" s="15" t="n">
        <f aca="false">q26_ff</f>
        <v>310.6</v>
      </c>
      <c r="E923" s="15" t="n">
        <f aca="false">D923*(1+g_ff)</f>
        <v>319.918</v>
      </c>
      <c r="F923" s="15" t="n">
        <f aca="false">E923*(1+g_ff)</f>
        <v>329.51554</v>
      </c>
      <c r="G923" s="15" t="n">
        <f aca="false">F923*(1+g_ff)</f>
        <v>339.4010062</v>
      </c>
    </row>
    <row r="924" customFormat="false" ht="15" hidden="false" customHeight="false" outlineLevel="0" collapsed="false">
      <c r="A924" s="4" t="s">
        <v>498</v>
      </c>
      <c r="B924" s="0" t="s">
        <v>169</v>
      </c>
      <c r="C924" s="15" t="n">
        <f aca="false">q25_ffbp</f>
        <v>8.457</v>
      </c>
      <c r="D924" s="15" t="n">
        <f aca="false">q26_ffbp</f>
        <v>12.1</v>
      </c>
      <c r="E924" s="15" t="n">
        <f aca="false">E923*m_ff</f>
        <v>14.39631</v>
      </c>
      <c r="F924" s="15" t="n">
        <f aca="false">F923*m_ff</f>
        <v>14.8281993</v>
      </c>
      <c r="G924" s="15" t="n">
        <f aca="false">G923*m_ff</f>
        <v>15.273045279</v>
      </c>
    </row>
    <row r="925" customFormat="false" ht="17.15" hidden="false" customHeight="false" outlineLevel="0" collapsed="false">
      <c r="A925" s="4" t="s">
        <v>499</v>
      </c>
      <c r="B925" s="0" t="s">
        <v>169</v>
      </c>
      <c r="C925" s="15" t="n">
        <f aca="false">q25_hox</f>
        <v>239.0528</v>
      </c>
      <c r="D925" s="15" t="n">
        <f aca="false">q26_hox</f>
        <v>286.2</v>
      </c>
      <c r="E925" s="15" t="n">
        <f aca="false">D925*(1+g_ho)</f>
        <v>300.51</v>
      </c>
      <c r="F925" s="15" t="n">
        <f aca="false">E925*(1+g_ho)</f>
        <v>315.5355</v>
      </c>
      <c r="G925" s="15" t="n">
        <f aca="false">F925*(1+g_ho)</f>
        <v>331.312275</v>
      </c>
    </row>
    <row r="926" customFormat="false" ht="17.15" hidden="false" customHeight="false" outlineLevel="0" collapsed="false">
      <c r="A926" s="4" t="s">
        <v>500</v>
      </c>
      <c r="B926" s="0" t="s">
        <v>169</v>
      </c>
      <c r="C926" s="15" t="n">
        <f aca="false">q25_hoxbp</f>
        <v>11.602</v>
      </c>
      <c r="D926" s="15" t="n">
        <f aca="false">q26_hoxbp</f>
        <v>19.5</v>
      </c>
      <c r="E926" s="15" t="n">
        <f aca="false">E925*m_ho</f>
        <v>20.475</v>
      </c>
      <c r="F926" s="15" t="n">
        <f aca="false">F925*m_ho</f>
        <v>21.49875</v>
      </c>
      <c r="G926" s="15" t="n">
        <f aca="false">G925*m_ho</f>
        <v>22.5736875</v>
      </c>
    </row>
    <row r="927" customFormat="false" ht="17.15" hidden="false" customHeight="false" outlineLevel="0" collapsed="false">
      <c r="A927" s="4" t="s">
        <v>501</v>
      </c>
      <c r="B927" s="0" t="s">
        <v>169</v>
      </c>
      <c r="C927" s="15" t="n">
        <f aca="false">q25_oth</f>
        <v>14.979</v>
      </c>
      <c r="D927" s="15" t="n">
        <f aca="false">q26_oth</f>
        <v>15.8</v>
      </c>
      <c r="E927" s="15" t="n">
        <f aca="false">D927</f>
        <v>15.8</v>
      </c>
      <c r="F927" s="15" t="n">
        <f aca="false">E927</f>
        <v>15.8</v>
      </c>
      <c r="G927" s="15" t="n">
        <f aca="false">F927</f>
        <v>15.8</v>
      </c>
      <c r="K927" s="8" t="s">
        <v>502</v>
      </c>
    </row>
    <row r="928" customFormat="false" ht="15" hidden="false" customHeight="false" outlineLevel="0" collapsed="false">
      <c r="A928" s="4" t="s">
        <v>503</v>
      </c>
      <c r="B928" s="0" t="s">
        <v>169</v>
      </c>
      <c r="C928" s="15" t="n">
        <f aca="false">q25_othbp</f>
        <v>6.064</v>
      </c>
      <c r="D928" s="15" t="n">
        <f aca="false">q26_othbp</f>
        <v>5.1</v>
      </c>
      <c r="E928" s="15" t="n">
        <f aca="false">q26_othbp</f>
        <v>5.1</v>
      </c>
      <c r="F928" s="15" t="n">
        <f aca="false">q26_othbp</f>
        <v>5.1</v>
      </c>
      <c r="G928" s="15" t="n">
        <f aca="false">q26_othbp</f>
        <v>5.1</v>
      </c>
    </row>
    <row r="929" customFormat="false" ht="15" hidden="false" customHeight="false" outlineLevel="0" collapsed="false">
      <c r="A929" s="4" t="s">
        <v>504</v>
      </c>
      <c r="B929" s="0" t="s">
        <v>169</v>
      </c>
      <c r="C929" s="15" t="n">
        <f aca="false">q25_cc</f>
        <v>-42.597</v>
      </c>
      <c r="D929" s="15" t="n">
        <f aca="false">q26_cc</f>
        <v>-46.2</v>
      </c>
      <c r="E929" s="15" t="n">
        <f aca="false">D929*(1+g_cc)</f>
        <v>-47.586</v>
      </c>
      <c r="F929" s="15" t="n">
        <f aca="false">E929*(1+g_cc)</f>
        <v>-49.01358</v>
      </c>
      <c r="G929" s="15" t="n">
        <f aca="false">F929*(1+g_cc)</f>
        <v>-50.4839874</v>
      </c>
    </row>
    <row r="930" customFormat="false" ht="17.15" hidden="false" customHeight="false" outlineLevel="0" collapsed="false">
      <c r="A930" s="4" t="s">
        <v>505</v>
      </c>
      <c r="B930" s="0" t="s">
        <v>169</v>
      </c>
      <c r="C930" s="28" t="n">
        <f aca="false">a_rev-(q25_sf+q25_ff+q25_hox+q25_fm+q25_oth)</f>
        <v>0.00200000000018008</v>
      </c>
      <c r="D930" s="28" t="n">
        <f aca="false">f_rev-(q26_sf+q26_ff+q26_hox+q26_fm+q26_oth)</f>
        <v>0.200000000000045</v>
      </c>
      <c r="E930" s="28" t="n">
        <f aca="false">$D930</f>
        <v>0.200000000000045</v>
      </c>
      <c r="F930" s="28" t="n">
        <f aca="false">$D930</f>
        <v>0.200000000000045</v>
      </c>
      <c r="G930" s="28" t="n">
        <f aca="false">$D930</f>
        <v>0.200000000000045</v>
      </c>
      <c r="K930" s="8" t="s">
        <v>506</v>
      </c>
    </row>
    <row r="931" customFormat="false" ht="15" hidden="false" customHeight="false" outlineLevel="0" collapsed="false">
      <c r="A931" s="4" t="s">
        <v>507</v>
      </c>
      <c r="B931" s="0" t="s">
        <v>169</v>
      </c>
      <c r="C931" s="28" t="n">
        <f aca="false">a_bp-(q25_sfbp+q25_ffbp+q25_hoxbp+q25_fmbp+q25_othbp+q25_cc)</f>
        <v>0.0010000000000332</v>
      </c>
      <c r="D931" s="28" t="n">
        <f aca="false">f_bp-(q26_sfbp+q26_ffbp+q26_hoxbp+q26_fmbp+q26_othbp+q26_cc)</f>
        <v>0.100000000000023</v>
      </c>
      <c r="E931" s="28" t="n">
        <f aca="false">$D931</f>
        <v>0.100000000000023</v>
      </c>
      <c r="F931" s="28" t="n">
        <f aca="false">$D931</f>
        <v>0.100000000000023</v>
      </c>
      <c r="G931" s="28" t="n">
        <f aca="false">$D931</f>
        <v>0.100000000000023</v>
      </c>
    </row>
    <row r="932" customFormat="false" ht="17.15" hidden="false" customHeight="false" outlineLevel="0" collapsed="false">
      <c r="A932" s="6" t="s">
        <v>508</v>
      </c>
    </row>
    <row r="933" customFormat="false" ht="17.15" hidden="false" customHeight="false" outlineLevel="0" collapsed="false">
      <c r="A933" s="4" t="s">
        <v>380</v>
      </c>
      <c r="B933" s="0" t="s">
        <v>169</v>
      </c>
      <c r="C933" s="15" t="n">
        <f aca="false">C921+C923+C925+C917+C927+C930</f>
        <v>1583.719</v>
      </c>
      <c r="D933" s="15" t="n">
        <f aca="false">D921+D923+D925+D917+D927+D930</f>
        <v>1732</v>
      </c>
      <c r="E933" s="15" t="n">
        <f aca="false">E921+E923+E925+E917+E927+E930</f>
        <v>1850.5656</v>
      </c>
      <c r="F933" s="15" t="n">
        <f aca="false">F921+F923+F925+F917+F927+F930</f>
        <v>1955.94074307053</v>
      </c>
      <c r="G933" s="15" t="n">
        <f aca="false">G921+G923+G925+G917+G927+G930</f>
        <v>2053.1320716</v>
      </c>
      <c r="H933" s="23" t="n">
        <f aca="false">G933*(1+H934)</f>
        <v>2162.20857776426</v>
      </c>
      <c r="I933" s="23" t="n">
        <f aca="false">H933*(1+I934)</f>
        <v>2284.5105355383</v>
      </c>
      <c r="J933" s="23" t="n">
        <f aca="false">I933*(1+J934)</f>
        <v>2421.5811676706</v>
      </c>
      <c r="K933" s="8" t="s">
        <v>509</v>
      </c>
    </row>
    <row r="934" customFormat="false" ht="15" hidden="false" customHeight="false" outlineLevel="0" collapsed="false">
      <c r="A934" s="4" t="s">
        <v>510</v>
      </c>
      <c r="B934" s="0" t="s">
        <v>77</v>
      </c>
      <c r="D934" s="16" t="n">
        <f aca="false">D933/C933-1</f>
        <v>0.0936283519993131</v>
      </c>
      <c r="E934" s="16" t="n">
        <f aca="false">E933/D933-1</f>
        <v>0.0684558891454965</v>
      </c>
      <c r="F934" s="16" t="n">
        <f aca="false">F933/E933-1</f>
        <v>0.0569421278935081</v>
      </c>
      <c r="G934" s="16" t="n">
        <f aca="false">G933/F933-1</f>
        <v>0.0496903236326567</v>
      </c>
      <c r="H934" s="24" t="n">
        <f aca="false">$G934+(fade_gA-$G934)*1/3</f>
        <v>0.0531268824217711</v>
      </c>
      <c r="I934" s="24" t="n">
        <f aca="false">$G934+(fade_gA-$G934)*2/3</f>
        <v>0.0565634412108856</v>
      </c>
      <c r="J934" s="24" t="n">
        <f aca="false">$G934+(fade_gA-$G934)*3/3</f>
        <v>0.06</v>
      </c>
    </row>
    <row r="935" customFormat="false" ht="17.15" hidden="false" customHeight="false" outlineLevel="0" collapsed="false">
      <c r="A935" s="0" t="s">
        <v>511</v>
      </c>
      <c r="B935" s="0" t="s">
        <v>77</v>
      </c>
      <c r="C935" s="16" t="n">
        <f aca="false">C917/C933</f>
        <v>0.0646902638662541</v>
      </c>
      <c r="D935" s="16" t="n">
        <f aca="false">D917/D933</f>
        <v>0.0696304849884527</v>
      </c>
      <c r="E935" s="16" t="n">
        <f aca="false">E917/E933</f>
        <v>0.0948864498507916</v>
      </c>
      <c r="F935" s="16" t="n">
        <f aca="false">F917/F933</f>
        <v>0.109821293835987</v>
      </c>
      <c r="G935" s="16" t="n">
        <f aca="false">G917/G933</f>
        <v>0.118418879799842</v>
      </c>
    </row>
    <row r="936" customFormat="false" ht="15" hidden="false" customHeight="false" outlineLevel="0" collapsed="false">
      <c r="A936" s="4" t="s">
        <v>390</v>
      </c>
      <c r="B936" s="0" t="s">
        <v>169</v>
      </c>
      <c r="C936" s="15" t="n">
        <f aca="false">C922+C924+C926+C919+C928+C929+C931</f>
        <v>181.163</v>
      </c>
      <c r="D936" s="15" t="n">
        <f aca="false">D922+D924+D926+D919+D928+D929+D931</f>
        <v>202</v>
      </c>
      <c r="E936" s="15" t="n">
        <f aca="false">E922+E924+E926+E919+E928+E929+E931</f>
        <v>246.03601</v>
      </c>
      <c r="F936" s="15" t="n">
        <f aca="false">F922+F924+F926+F919+F928+F929+F931</f>
        <v>274.5863674364</v>
      </c>
      <c r="G936" s="15" t="n">
        <f aca="false">G922+G924+G926+G919+G928+G929+G931</f>
        <v>291.433339119</v>
      </c>
    </row>
    <row r="937" customFormat="false" ht="15" hidden="false" customHeight="false" outlineLevel="0" collapsed="false">
      <c r="A937" s="4" t="s">
        <v>406</v>
      </c>
      <c r="B937" s="0" t="s">
        <v>77</v>
      </c>
      <c r="C937" s="16" t="n">
        <f aca="false">C936/C933</f>
        <v>0.114390873633517</v>
      </c>
      <c r="D937" s="16" t="n">
        <f aca="false">D936/D933</f>
        <v>0.11662817551963</v>
      </c>
      <c r="E937" s="16" t="n">
        <f aca="false">E936/E933</f>
        <v>0.132951790522854</v>
      </c>
      <c r="F937" s="16" t="n">
        <f aca="false">F936/F933</f>
        <v>0.140385831426233</v>
      </c>
      <c r="G937" s="16" t="n">
        <f aca="false">G936/G933</f>
        <v>0.141945734105594</v>
      </c>
    </row>
    <row r="938" customFormat="false" ht="17.15" hidden="false" customHeight="false" outlineLevel="0" collapsed="false">
      <c r="A938" s="0" t="s">
        <v>512</v>
      </c>
      <c r="B938" s="0" t="s">
        <v>77</v>
      </c>
      <c r="C938" s="16" t="n">
        <f aca="false">C919/C936</f>
        <v>0.301386044611758</v>
      </c>
      <c r="D938" s="16" t="n">
        <f aca="false">D919/D936</f>
        <v>0.324257425742574</v>
      </c>
      <c r="E938" s="16" t="n">
        <f aca="false">E919/E936</f>
        <v>0.413820318415991</v>
      </c>
      <c r="F938" s="16" t="n">
        <f aca="false">F919/F936</f>
        <v>0.452562737533511</v>
      </c>
      <c r="G938" s="16" t="n">
        <f aca="false">G919/G936</f>
        <v>0.462379961562931</v>
      </c>
    </row>
    <row r="939" customFormat="false" ht="17.15" hidden="false" customHeight="false" outlineLevel="0" collapsed="false">
      <c r="A939" s="4" t="s">
        <v>407</v>
      </c>
      <c r="B939" s="0" t="s">
        <v>52</v>
      </c>
      <c r="C939" s="21" t="n">
        <f aca="false">q25_ni/q25_bp</f>
        <v>0.743391310587703</v>
      </c>
      <c r="D939" s="21" t="n">
        <f aca="false">q26_ni/q26_bp</f>
        <v>0.611386138613861</v>
      </c>
      <c r="E939" s="21" t="n">
        <f aca="false">ni_bp_lo</f>
        <v>0.58</v>
      </c>
      <c r="F939" s="21" t="n">
        <f aca="false">ni_bp_lo</f>
        <v>0.58</v>
      </c>
      <c r="G939" s="21" t="n">
        <f aca="false">ni_bp_lo</f>
        <v>0.58</v>
      </c>
    </row>
    <row r="940" customFormat="false" ht="15" hidden="false" customHeight="false" outlineLevel="0" collapsed="false">
      <c r="A940" s="4" t="s">
        <v>397</v>
      </c>
      <c r="B940" s="0" t="s">
        <v>169</v>
      </c>
      <c r="C940" s="15" t="n">
        <f aca="false">q25_ni</f>
        <v>134.675</v>
      </c>
      <c r="D940" s="15" t="n">
        <f aca="false">q26_ni</f>
        <v>123.5</v>
      </c>
      <c r="E940" s="15" t="n">
        <f aca="false">E936*E939</f>
        <v>142.7008858</v>
      </c>
      <c r="F940" s="15" t="n">
        <f aca="false">F936*F939</f>
        <v>159.260093113112</v>
      </c>
      <c r="G940" s="15" t="n">
        <f aca="false">G936*G939</f>
        <v>169.03133668902</v>
      </c>
      <c r="H940" s="23" t="n">
        <f aca="false">H933*H944</f>
        <v>182.103661757028</v>
      </c>
      <c r="I940" s="23" t="n">
        <f aca="false">I933*I944</f>
        <v>196.727758523628</v>
      </c>
      <c r="J940" s="23" t="n">
        <f aca="false">J933*J944</f>
        <v>213.114532255596</v>
      </c>
    </row>
    <row r="941" customFormat="false" ht="15" hidden="false" customHeight="false" outlineLevel="0" collapsed="false">
      <c r="A941" s="4" t="s">
        <v>513</v>
      </c>
      <c r="B941" s="4" t="s">
        <v>316</v>
      </c>
      <c r="C941" s="19" t="n">
        <f aca="false">q25_sh</f>
        <v>0.973366579936398</v>
      </c>
      <c r="D941" s="19" t="n">
        <f aca="false">q26_sh</f>
        <v>0.95117067159581</v>
      </c>
      <c r="E941" s="19" t="n">
        <f aca="false">D941*(1+sh_g)</f>
        <v>0.936903111521873</v>
      </c>
      <c r="F941" s="19" t="n">
        <f aca="false">E941*(1+sh_g)</f>
        <v>0.922849564849045</v>
      </c>
      <c r="G941" s="19" t="n">
        <f aca="false">F941*(1+sh_g)</f>
        <v>0.909006821376309</v>
      </c>
      <c r="H941" s="29" t="n">
        <f aca="false">G941*(1+sh_g)</f>
        <v>0.895371719055665</v>
      </c>
      <c r="I941" s="29" t="n">
        <f aca="false">H941*(1+sh_g)</f>
        <v>0.88194114326983</v>
      </c>
      <c r="J941" s="29" t="n">
        <f aca="false">I941*(1+sh_g)</f>
        <v>0.868712026120782</v>
      </c>
    </row>
    <row r="942" customFormat="false" ht="17.15" hidden="false" customHeight="false" outlineLevel="0" collapsed="false">
      <c r="A942" s="0" t="s">
        <v>514</v>
      </c>
      <c r="B942" s="0" t="s">
        <v>207</v>
      </c>
      <c r="C942" s="20" t="n">
        <f aca="false">C940/C941</f>
        <v>138.36</v>
      </c>
      <c r="D942" s="20" t="n">
        <f aca="false">D940/D941</f>
        <v>129.84</v>
      </c>
      <c r="E942" s="20" t="n">
        <f aca="false">E940/E941</f>
        <v>152.311251873421</v>
      </c>
      <c r="F942" s="20" t="n">
        <f aca="false">F940/F941</f>
        <v>172.574273401931</v>
      </c>
      <c r="G942" s="20" t="n">
        <f aca="false">G940/G941</f>
        <v>185.951670233996</v>
      </c>
      <c r="H942" s="27" t="n">
        <f aca="false">H940/H941</f>
        <v>203.383307604455</v>
      </c>
      <c r="I942" s="27" t="n">
        <f aca="false">I940/I941</f>
        <v>223.062230427591</v>
      </c>
      <c r="J942" s="27" t="n">
        <f aca="false">J940/J941</f>
        <v>245.322415078395</v>
      </c>
    </row>
    <row r="943" customFormat="false" ht="17.15" hidden="false" customHeight="false" outlineLevel="0" collapsed="false">
      <c r="A943" s="0" t="s">
        <v>515</v>
      </c>
      <c r="B943" s="0" t="s">
        <v>77</v>
      </c>
      <c r="D943" s="16" t="n">
        <f aca="false">D942/C942-1</f>
        <v>-0.0615784908933218</v>
      </c>
      <c r="E943" s="16" t="n">
        <f aca="false">E942/D942-1</f>
        <v>0.173068791384944</v>
      </c>
      <c r="F943" s="16" t="n">
        <f aca="false">F942/E942-1</f>
        <v>0.133036931147734</v>
      </c>
      <c r="G943" s="16" t="n">
        <f aca="false">G942/F942-1</f>
        <v>0.0775167501410168</v>
      </c>
      <c r="H943" s="24" t="n">
        <f aca="false">H942/G942-1</f>
        <v>0.0937428383865762</v>
      </c>
      <c r="I943" s="24" t="n">
        <f aca="false">I942/H942-1</f>
        <v>0.0967578069947024</v>
      </c>
      <c r="J943" s="24" t="n">
        <f aca="false">J942/I942-1</f>
        <v>0.0997936074078207</v>
      </c>
    </row>
    <row r="944" customFormat="false" ht="15" hidden="false" customHeight="false" outlineLevel="0" collapsed="false">
      <c r="A944" s="4" t="s">
        <v>516</v>
      </c>
      <c r="B944" s="0" t="s">
        <v>77</v>
      </c>
      <c r="C944" s="25" t="n">
        <f aca="false">C940/C933</f>
        <v>0.0850371814696925</v>
      </c>
      <c r="D944" s="25" t="n">
        <f aca="false">D940/D933</f>
        <v>0.0713048498845266</v>
      </c>
      <c r="E944" s="25" t="n">
        <f aca="false">E940/E933</f>
        <v>0.0771120385032555</v>
      </c>
      <c r="F944" s="25" t="n">
        <f aca="false">F940/F933</f>
        <v>0.0814237822272151</v>
      </c>
      <c r="G944" s="25" t="n">
        <f aca="false">G940/G933</f>
        <v>0.0823285257812443</v>
      </c>
      <c r="H944" s="26" t="n">
        <f aca="false">$G944+(fade_mA-$G944)*1/3</f>
        <v>0.0842211355693188</v>
      </c>
      <c r="I944" s="26" t="n">
        <f aca="false">$G944+(fade_mA-$G944)*2/3</f>
        <v>0.0861137453573934</v>
      </c>
      <c r="J944" s="26" t="n">
        <f aca="false">$G944+(fade_mA-$G944)*3/3</f>
        <v>0.088006355145468</v>
      </c>
    </row>
    <row r="945" customFormat="false" ht="17.15" hidden="false" customHeight="false" outlineLevel="0" collapsed="false">
      <c r="A945" s="0" t="s">
        <v>517</v>
      </c>
      <c r="B945" s="0" t="s">
        <v>207</v>
      </c>
      <c r="D945" s="20" t="n">
        <f aca="false">D919*D939/D941</f>
        <v>42.1015841584158</v>
      </c>
      <c r="E945" s="20" t="n">
        <f aca="false">E919*E939/E941</f>
        <v>63.0294907485974</v>
      </c>
      <c r="F945" s="20" t="n">
        <f aca="false">F919*F939/F941</f>
        <v>78.1006855986344</v>
      </c>
      <c r="G945" s="20" t="n">
        <f aca="false">G919*G939/G941</f>
        <v>85.9803261353578</v>
      </c>
      <c r="K945" s="8" t="s">
        <v>518</v>
      </c>
    </row>
    <row r="946" customFormat="false" ht="17.15" hidden="false" customHeight="false" outlineLevel="0" collapsed="false">
      <c r="A946" s="0" t="s">
        <v>519</v>
      </c>
      <c r="B946" s="0" t="s">
        <v>207</v>
      </c>
      <c r="D946" s="20" t="n">
        <f aca="false">D942-D945</f>
        <v>87.7384158415842</v>
      </c>
      <c r="E946" s="20" t="n">
        <f aca="false">E942-E945</f>
        <v>89.2817611248238</v>
      </c>
      <c r="F946" s="20" t="n">
        <f aca="false">F942-F945</f>
        <v>94.4735878032963</v>
      </c>
      <c r="G946" s="20" t="n">
        <f aca="false">G942-G945</f>
        <v>99.9713440986378</v>
      </c>
    </row>
    <row r="947" customFormat="false" ht="17.15" hidden="false" customHeight="false" outlineLevel="0" collapsed="false">
      <c r="A947" s="0" t="s">
        <v>520</v>
      </c>
      <c r="B947" s="0" t="s">
        <v>432</v>
      </c>
      <c r="D947" s="15" t="n">
        <f aca="false">D915/D905*1000/150</f>
        <v>23.5087719298246</v>
      </c>
      <c r="E947" s="15" t="n">
        <f aca="false">E915/E905*1000/150</f>
        <v>30.1617621884116</v>
      </c>
      <c r="F947" s="15" t="n">
        <f aca="false">F915/F905*1000/150</f>
        <v>36.5143464561404</v>
      </c>
      <c r="G947" s="15" t="n">
        <f aca="false">G915/G905*1000/150</f>
        <v>39.9173947725016</v>
      </c>
      <c r="K947" s="8" t="s">
        <v>521</v>
      </c>
    </row>
    <row r="950" customFormat="false" ht="17.15" hidden="false" customHeight="false" outlineLevel="0" collapsed="false">
      <c r="A950" s="1" t="s">
        <v>881</v>
      </c>
    </row>
    <row r="951" customFormat="false" ht="17.15" hidden="false" customHeight="false" outlineLevel="0" collapsed="false">
      <c r="A951" s="5" t="s">
        <v>19</v>
      </c>
      <c r="B951" s="5" t="s">
        <v>20</v>
      </c>
      <c r="C951" s="14" t="s">
        <v>374</v>
      </c>
      <c r="D951" s="14" t="s">
        <v>447</v>
      </c>
      <c r="E951" s="14" t="s">
        <v>412</v>
      </c>
      <c r="F951" s="14" t="s">
        <v>413</v>
      </c>
      <c r="G951" s="14" t="s">
        <v>414</v>
      </c>
      <c r="H951" s="14" t="s">
        <v>448</v>
      </c>
      <c r="I951" s="14" t="s">
        <v>449</v>
      </c>
      <c r="J951" s="14" t="s">
        <v>450</v>
      </c>
      <c r="K951" s="5" t="s">
        <v>379</v>
      </c>
    </row>
    <row r="952" customFormat="false" ht="17.15" hidden="false" customHeight="false" outlineLevel="0" collapsed="false">
      <c r="A952" s="6" t="s">
        <v>470</v>
      </c>
    </row>
    <row r="953" customFormat="false" ht="17.15" hidden="false" customHeight="false" outlineLevel="0" collapsed="false">
      <c r="A953" s="0" t="s">
        <v>471</v>
      </c>
      <c r="B953" s="4" t="s">
        <v>30</v>
      </c>
      <c r="D953" s="20" t="n">
        <f aca="false">unv_26</f>
        <v>7.6</v>
      </c>
      <c r="E953" s="20" t="n">
        <f aca="false">unv_27</f>
        <v>9.7</v>
      </c>
      <c r="F953" s="20" t="n">
        <f aca="false">unv_28*um28_A</f>
        <v>9.5</v>
      </c>
      <c r="G953" s="20" t="n">
        <f aca="false">unv_29*um29_A</f>
        <v>10.6</v>
      </c>
      <c r="K953" s="8" t="s">
        <v>472</v>
      </c>
    </row>
    <row r="954" customFormat="false" ht="17.15" hidden="false" customHeight="false" outlineLevel="0" collapsed="false">
      <c r="A954" s="4" t="s">
        <v>473</v>
      </c>
      <c r="B954" s="4" t="s">
        <v>30</v>
      </c>
      <c r="D954" s="20" t="n">
        <f aca="false">uot_26</f>
        <v>7.6</v>
      </c>
      <c r="E954" s="20" t="n">
        <f aca="false">uot_27</f>
        <v>14</v>
      </c>
      <c r="F954" s="20" t="n">
        <f aca="false">uot_28*um28_A</f>
        <v>17</v>
      </c>
      <c r="G954" s="20" t="n">
        <f aca="false">uot_29*um29_A</f>
        <v>19.55</v>
      </c>
      <c r="K954" s="8" t="s">
        <v>474</v>
      </c>
    </row>
    <row r="955" customFormat="false" ht="17.15" hidden="false" customHeight="false" outlineLevel="0" collapsed="false">
      <c r="A955" s="4" t="s">
        <v>475</v>
      </c>
      <c r="B955" s="4" t="s">
        <v>30</v>
      </c>
      <c r="D955" s="20" t="n">
        <f aca="false">D953+v_ot*D954</f>
        <v>13.68</v>
      </c>
      <c r="E955" s="20" t="n">
        <f aca="false">E953+v_ot*E954</f>
        <v>20.9</v>
      </c>
      <c r="F955" s="20" t="n">
        <f aca="false">F953+v_ot*F954</f>
        <v>23.1</v>
      </c>
      <c r="G955" s="20" t="n">
        <f aca="false">G953+v_ot*G954</f>
        <v>26.24</v>
      </c>
    </row>
    <row r="956" customFormat="false" ht="17.15" hidden="false" customHeight="false" outlineLevel="0" collapsed="false">
      <c r="A956" s="4" t="s">
        <v>476</v>
      </c>
      <c r="B956" s="0" t="s">
        <v>52</v>
      </c>
      <c r="D956" s="21" t="n">
        <f aca="false">1</f>
        <v>1</v>
      </c>
      <c r="E956" s="21" t="n">
        <f aca="false">D956*(1+g_asp)</f>
        <v>1.18</v>
      </c>
      <c r="F956" s="21" t="n">
        <f aca="false">E956*(1+g_asp)</f>
        <v>1.3924</v>
      </c>
      <c r="G956" s="21" t="n">
        <f aca="false">F956*(1+g_asp)</f>
        <v>1.643032</v>
      </c>
    </row>
    <row r="957" customFormat="false" ht="17.15" hidden="false" customHeight="false" outlineLevel="0" collapsed="false">
      <c r="A957" s="4" t="s">
        <v>477</v>
      </c>
      <c r="B957" s="0" t="s">
        <v>52</v>
      </c>
      <c r="D957" s="18" t="n">
        <f aca="false">1</f>
        <v>1</v>
      </c>
      <c r="E957" s="18" t="n">
        <f aca="false">rel_27</f>
        <v>1</v>
      </c>
      <c r="F957" s="18" t="n">
        <f aca="false">rel_28</f>
        <v>0.97</v>
      </c>
      <c r="G957" s="18" t="n">
        <f aca="false">rel_29</f>
        <v>0.95</v>
      </c>
    </row>
    <row r="958" customFormat="false" ht="17.15" hidden="false" customHeight="false" outlineLevel="0" collapsed="false">
      <c r="A958" s="0" t="s">
        <v>478</v>
      </c>
      <c r="B958" s="0" t="s">
        <v>52</v>
      </c>
      <c r="D958" s="21" t="n">
        <f aca="false">D955/$D955*D956*D957</f>
        <v>1</v>
      </c>
      <c r="E958" s="21" t="n">
        <f aca="false">E955/$D955*E956*E957</f>
        <v>1.80277777777778</v>
      </c>
      <c r="F958" s="21" t="n">
        <f aca="false">F955/$D955*F956*F957</f>
        <v>2.28066570175439</v>
      </c>
      <c r="G958" s="21" t="n">
        <f aca="false">G955/$D955*G956*G957</f>
        <v>2.99396942222222</v>
      </c>
      <c r="K958" s="4" t="s">
        <v>479</v>
      </c>
    </row>
    <row r="959" customFormat="false" ht="17.15" hidden="false" customHeight="false" outlineLevel="0" collapsed="false">
      <c r="A959" s="4" t="s">
        <v>480</v>
      </c>
      <c r="B959" s="0" t="s">
        <v>52</v>
      </c>
      <c r="D959" s="21" t="n">
        <f aca="false">1</f>
        <v>1</v>
      </c>
      <c r="E959" s="21" t="n">
        <f aca="false">D959*(1+g_nai)</f>
        <v>1.03</v>
      </c>
      <c r="F959" s="21" t="n">
        <f aca="false">E959*(1+g_nai)</f>
        <v>1.0609</v>
      </c>
      <c r="G959" s="21" t="n">
        <f aca="false">F959*(1+g_nai)</f>
        <v>1.092727</v>
      </c>
    </row>
    <row r="960" customFormat="false" ht="17.15" hidden="false" customHeight="false" outlineLevel="0" collapsed="false">
      <c r="A960" s="0" t="s">
        <v>481</v>
      </c>
      <c r="B960" s="0" t="s">
        <v>52</v>
      </c>
      <c r="D960" s="21" t="n">
        <f aca="false">ai_sh*D958+(1-ai_sh)*D959</f>
        <v>1</v>
      </c>
      <c r="E960" s="21" t="n">
        <f aca="false">ai_sh*E958+(1-ai_sh)*E959</f>
        <v>1.33911111111111</v>
      </c>
      <c r="F960" s="21" t="n">
        <f aca="false">ai_sh*F958+(1-ai_sh)*F959</f>
        <v>1.54880628070175</v>
      </c>
      <c r="G960" s="21" t="n">
        <f aca="false">ai_sh*G958+(1-ai_sh)*G959</f>
        <v>1.85322396888889</v>
      </c>
    </row>
    <row r="961" customFormat="false" ht="17.15" hidden="false" customHeight="false" outlineLevel="0" collapsed="false">
      <c r="A961" s="4" t="s">
        <v>482</v>
      </c>
      <c r="B961" s="0" t="s">
        <v>52</v>
      </c>
      <c r="D961" s="21" t="n">
        <f aca="false">1</f>
        <v>1</v>
      </c>
      <c r="E961" s="21" t="n">
        <f aca="false">cap_27</f>
        <v>1.3</v>
      </c>
      <c r="F961" s="21" t="n">
        <f aca="false">cap_28</f>
        <v>1.55</v>
      </c>
      <c r="G961" s="21" t="n">
        <f aca="false">cap_29</f>
        <v>1.8</v>
      </c>
      <c r="K961" s="4" t="s">
        <v>483</v>
      </c>
    </row>
    <row r="962" customFormat="false" ht="17.15" hidden="false" customHeight="false" outlineLevel="0" collapsed="false">
      <c r="A962" s="4" t="s">
        <v>484</v>
      </c>
      <c r="B962" s="0" t="s">
        <v>52</v>
      </c>
      <c r="D962" s="21" t="n">
        <f aca="false">MIN(D960,D961)</f>
        <v>1</v>
      </c>
      <c r="E962" s="21" t="n">
        <f aca="false">MIN(E960,E961)</f>
        <v>1.3</v>
      </c>
      <c r="F962" s="21" t="n">
        <f aca="false">MIN(F960,F961)</f>
        <v>1.54880628070175</v>
      </c>
      <c r="G962" s="21" t="n">
        <f aca="false">MIN(G960,G961)</f>
        <v>1.8</v>
      </c>
    </row>
    <row r="963" customFormat="false" ht="17.15" hidden="false" customHeight="false" outlineLevel="0" collapsed="false">
      <c r="A963" s="4" t="s">
        <v>485</v>
      </c>
      <c r="B963" s="0" t="s">
        <v>77</v>
      </c>
      <c r="D963" s="16" t="n">
        <f aca="false">D962/D960</f>
        <v>1</v>
      </c>
      <c r="E963" s="16" t="n">
        <f aca="false">E962/E960</f>
        <v>0.970793229339529</v>
      </c>
      <c r="F963" s="16" t="n">
        <f aca="false">F962/F960</f>
        <v>1</v>
      </c>
      <c r="G963" s="16" t="n">
        <f aca="false">G962/G960</f>
        <v>0.971280336439422</v>
      </c>
      <c r="K963" s="4" t="s">
        <v>486</v>
      </c>
    </row>
    <row r="964" customFormat="false" ht="17.15" hidden="false" customHeight="false" outlineLevel="0" collapsed="false">
      <c r="A964" s="0" t="s">
        <v>487</v>
      </c>
      <c r="B964" s="0" t="s">
        <v>52</v>
      </c>
      <c r="D964" s="21" t="n">
        <f aca="false">1</f>
        <v>1</v>
      </c>
      <c r="E964" s="21" t="n">
        <f aca="false">pp_27</f>
        <v>1.12</v>
      </c>
      <c r="F964" s="21" t="n">
        <f aca="false">pp_28*sp_A</f>
        <v>1.15</v>
      </c>
      <c r="G964" s="21" t="n">
        <f aca="false">pp_29*sp_A</f>
        <v>1.12</v>
      </c>
      <c r="K964" s="8" t="s">
        <v>488</v>
      </c>
    </row>
    <row r="965" customFormat="false" ht="17.15" hidden="false" customHeight="false" outlineLevel="0" collapsed="false">
      <c r="A965" s="0" t="s">
        <v>429</v>
      </c>
      <c r="B965" s="0" t="s">
        <v>169</v>
      </c>
      <c r="D965" s="15" t="n">
        <f aca="false">q26_fm*ai_sh</f>
        <v>48.24</v>
      </c>
      <c r="E965" s="15" t="n">
        <f aca="false">q26_fm*ai_sh*E958*E963*E964</f>
        <v>94.5571244606705</v>
      </c>
      <c r="F965" s="15" t="n">
        <f aca="false">q26_fm*ai_sh*F958*F963*F964</f>
        <v>126.522210470526</v>
      </c>
      <c r="G965" s="15" t="n">
        <f aca="false">q26_fm*ai_sh*G958*G963*G964</f>
        <v>157.114865824566</v>
      </c>
      <c r="K965" s="8" t="s">
        <v>489</v>
      </c>
    </row>
    <row r="966" customFormat="false" ht="17.15" hidden="false" customHeight="false" outlineLevel="0" collapsed="false">
      <c r="A966" s="0" t="s">
        <v>490</v>
      </c>
      <c r="B966" s="0" t="s">
        <v>169</v>
      </c>
      <c r="D966" s="15" t="n">
        <f aca="false">q26_fm*(1-ai_sh)</f>
        <v>72.36</v>
      </c>
      <c r="E966" s="15" t="n">
        <f aca="false">q26_fm*(1-ai_sh)*E959*E963*E964</f>
        <v>81.0364755393296</v>
      </c>
      <c r="F966" s="15" t="n">
        <f aca="false">q26_fm*(1-ai_sh)*F959*F963*F964</f>
        <v>88.2817326</v>
      </c>
      <c r="G966" s="15" t="n">
        <f aca="false">q26_fm*(1-ai_sh)*G959*G963*G964</f>
        <v>86.0147341754337</v>
      </c>
    </row>
    <row r="967" customFormat="false" ht="17.15" hidden="false" customHeight="false" outlineLevel="0" collapsed="false">
      <c r="A967" s="4" t="s">
        <v>491</v>
      </c>
      <c r="B967" s="0" t="s">
        <v>169</v>
      </c>
      <c r="C967" s="15" t="n">
        <f aca="false">q25_fm</f>
        <v>102.4512</v>
      </c>
      <c r="D967" s="15" t="n">
        <f aca="false">D965+D966</f>
        <v>120.6</v>
      </c>
      <c r="E967" s="15" t="n">
        <f aca="false">E965+E966</f>
        <v>175.5936</v>
      </c>
      <c r="F967" s="15" t="n">
        <f aca="false">F965+F966</f>
        <v>214.803943070526</v>
      </c>
      <c r="G967" s="15" t="n">
        <f aca="false">G965+G966</f>
        <v>243.1296</v>
      </c>
    </row>
    <row r="968" customFormat="false" ht="17.15" hidden="false" customHeight="false" outlineLevel="0" collapsed="false">
      <c r="A968" s="0" t="s">
        <v>492</v>
      </c>
      <c r="B968" s="0" t="s">
        <v>77</v>
      </c>
      <c r="C968" s="16" t="n">
        <f aca="false">q25_fmbp/q25_fm</f>
        <v>0.532936656671664</v>
      </c>
      <c r="D968" s="16" t="n">
        <f aca="false">q26_fmbp/q26_fm</f>
        <v>0.543117744610282</v>
      </c>
      <c r="E968" s="16" t="n">
        <f aca="false">1-(1-$D968)*(1+c_g)^1/E964</f>
        <v>0.579831497275527</v>
      </c>
      <c r="F968" s="16" t="n">
        <f aca="false">1-(1-$D968)*(1+c_g)^2/F964</f>
        <v>0.578516187180042</v>
      </c>
      <c r="G968" s="16" t="n">
        <f aca="false">1-(1-$D968)*(1+c_g)^3/G964</f>
        <v>0.554243235459607</v>
      </c>
      <c r="K968" s="8" t="s">
        <v>493</v>
      </c>
    </row>
    <row r="969" customFormat="false" ht="17.15" hidden="false" customHeight="false" outlineLevel="0" collapsed="false">
      <c r="A969" s="0" t="s">
        <v>455</v>
      </c>
      <c r="B969" s="0" t="s">
        <v>169</v>
      </c>
      <c r="C969" s="15" t="n">
        <f aca="false">q25_fmbp</f>
        <v>54.6</v>
      </c>
      <c r="D969" s="15" t="n">
        <f aca="false">D967*D968</f>
        <v>65.5</v>
      </c>
      <c r="E969" s="15" t="n">
        <f aca="false">E967*E968</f>
        <v>101.8147</v>
      </c>
      <c r="F969" s="15" t="n">
        <f aca="false">F967*F968</f>
        <v>124.2675581364</v>
      </c>
      <c r="G969" s="15" t="n">
        <f aca="false">G967*G968</f>
        <v>134.75293614</v>
      </c>
    </row>
    <row r="970" customFormat="false" ht="17.15" hidden="false" customHeight="false" outlineLevel="0" collapsed="false">
      <c r="A970" s="6" t="s">
        <v>494</v>
      </c>
    </row>
    <row r="971" customFormat="false" ht="15" hidden="false" customHeight="false" outlineLevel="0" collapsed="false">
      <c r="A971" s="4" t="s">
        <v>495</v>
      </c>
      <c r="B971" s="0" t="s">
        <v>169</v>
      </c>
      <c r="C971" s="15" t="n">
        <f aca="false">q25_sf</f>
        <v>936.926</v>
      </c>
      <c r="D971" s="15" t="n">
        <f aca="false">q26_sf</f>
        <v>998.6</v>
      </c>
      <c r="E971" s="15" t="n">
        <f aca="false">D971*(1+g_sf)</f>
        <v>1038.544</v>
      </c>
      <c r="F971" s="15" t="n">
        <f aca="false">E971*(1+g_sf)</f>
        <v>1080.08576</v>
      </c>
      <c r="G971" s="15" t="n">
        <f aca="false">F971*(1+g_sf)</f>
        <v>1123.2891904</v>
      </c>
    </row>
    <row r="972" customFormat="false" ht="15" hidden="false" customHeight="false" outlineLevel="0" collapsed="false">
      <c r="A972" s="4" t="s">
        <v>496</v>
      </c>
      <c r="B972" s="0" t="s">
        <v>169</v>
      </c>
      <c r="C972" s="15" t="n">
        <f aca="false">q25_sfbp</f>
        <v>143.036</v>
      </c>
      <c r="D972" s="15" t="n">
        <f aca="false">q26_sfbp</f>
        <v>145.9</v>
      </c>
      <c r="E972" s="15" t="n">
        <f aca="false">E971*m_sf</f>
        <v>151.736</v>
      </c>
      <c r="F972" s="15" t="n">
        <f aca="false">F971*m_sf</f>
        <v>157.80544</v>
      </c>
      <c r="G972" s="15" t="n">
        <f aca="false">G971*m_sf</f>
        <v>164.1176576</v>
      </c>
    </row>
    <row r="973" customFormat="false" ht="15" hidden="false" customHeight="false" outlineLevel="0" collapsed="false">
      <c r="A973" s="4" t="s">
        <v>497</v>
      </c>
      <c r="B973" s="0" t="s">
        <v>169</v>
      </c>
      <c r="C973" s="15" t="n">
        <f aca="false">q25_ff</f>
        <v>290.308</v>
      </c>
      <c r="D973" s="15" t="n">
        <f aca="false">q26_ff</f>
        <v>310.6</v>
      </c>
      <c r="E973" s="15" t="n">
        <f aca="false">D973*(1+g_ff)</f>
        <v>319.918</v>
      </c>
      <c r="F973" s="15" t="n">
        <f aca="false">E973*(1+g_ff)</f>
        <v>329.51554</v>
      </c>
      <c r="G973" s="15" t="n">
        <f aca="false">F973*(1+g_ff)</f>
        <v>339.4010062</v>
      </c>
    </row>
    <row r="974" customFormat="false" ht="15" hidden="false" customHeight="false" outlineLevel="0" collapsed="false">
      <c r="A974" s="4" t="s">
        <v>498</v>
      </c>
      <c r="B974" s="0" t="s">
        <v>169</v>
      </c>
      <c r="C974" s="15" t="n">
        <f aca="false">q25_ffbp</f>
        <v>8.457</v>
      </c>
      <c r="D974" s="15" t="n">
        <f aca="false">q26_ffbp</f>
        <v>12.1</v>
      </c>
      <c r="E974" s="15" t="n">
        <f aca="false">E973*m_ff</f>
        <v>14.39631</v>
      </c>
      <c r="F974" s="15" t="n">
        <f aca="false">F973*m_ff</f>
        <v>14.8281993</v>
      </c>
      <c r="G974" s="15" t="n">
        <f aca="false">G973*m_ff</f>
        <v>15.273045279</v>
      </c>
    </row>
    <row r="975" customFormat="false" ht="17.15" hidden="false" customHeight="false" outlineLevel="0" collapsed="false">
      <c r="A975" s="4" t="s">
        <v>499</v>
      </c>
      <c r="B975" s="0" t="s">
        <v>169</v>
      </c>
      <c r="C975" s="15" t="n">
        <f aca="false">q25_hox</f>
        <v>239.0528</v>
      </c>
      <c r="D975" s="15" t="n">
        <f aca="false">q26_hox</f>
        <v>286.2</v>
      </c>
      <c r="E975" s="15" t="n">
        <f aca="false">D975*(1+g_ho)</f>
        <v>300.51</v>
      </c>
      <c r="F975" s="15" t="n">
        <f aca="false">E975*(1+g_ho)</f>
        <v>315.5355</v>
      </c>
      <c r="G975" s="15" t="n">
        <f aca="false">F975*(1+g_ho)</f>
        <v>331.312275</v>
      </c>
    </row>
    <row r="976" customFormat="false" ht="17.15" hidden="false" customHeight="false" outlineLevel="0" collapsed="false">
      <c r="A976" s="4" t="s">
        <v>500</v>
      </c>
      <c r="B976" s="0" t="s">
        <v>169</v>
      </c>
      <c r="C976" s="15" t="n">
        <f aca="false">q25_hoxbp</f>
        <v>11.602</v>
      </c>
      <c r="D976" s="15" t="n">
        <f aca="false">q26_hoxbp</f>
        <v>19.5</v>
      </c>
      <c r="E976" s="15" t="n">
        <f aca="false">E975*m_ho</f>
        <v>20.475</v>
      </c>
      <c r="F976" s="15" t="n">
        <f aca="false">F975*m_ho</f>
        <v>21.49875</v>
      </c>
      <c r="G976" s="15" t="n">
        <f aca="false">G975*m_ho</f>
        <v>22.5736875</v>
      </c>
    </row>
    <row r="977" customFormat="false" ht="17.15" hidden="false" customHeight="false" outlineLevel="0" collapsed="false">
      <c r="A977" s="4" t="s">
        <v>501</v>
      </c>
      <c r="B977" s="0" t="s">
        <v>169</v>
      </c>
      <c r="C977" s="15" t="n">
        <f aca="false">q25_oth</f>
        <v>14.979</v>
      </c>
      <c r="D977" s="15" t="n">
        <f aca="false">q26_oth</f>
        <v>15.8</v>
      </c>
      <c r="E977" s="15" t="n">
        <f aca="false">D977</f>
        <v>15.8</v>
      </c>
      <c r="F977" s="15" t="n">
        <f aca="false">E977</f>
        <v>15.8</v>
      </c>
      <c r="G977" s="15" t="n">
        <f aca="false">F977</f>
        <v>15.8</v>
      </c>
      <c r="K977" s="8" t="s">
        <v>502</v>
      </c>
    </row>
    <row r="978" customFormat="false" ht="15" hidden="false" customHeight="false" outlineLevel="0" collapsed="false">
      <c r="A978" s="4" t="s">
        <v>503</v>
      </c>
      <c r="B978" s="0" t="s">
        <v>169</v>
      </c>
      <c r="C978" s="15" t="n">
        <f aca="false">q25_othbp</f>
        <v>6.064</v>
      </c>
      <c r="D978" s="15" t="n">
        <f aca="false">q26_othbp</f>
        <v>5.1</v>
      </c>
      <c r="E978" s="15" t="n">
        <f aca="false">q26_othbp</f>
        <v>5.1</v>
      </c>
      <c r="F978" s="15" t="n">
        <f aca="false">q26_othbp</f>
        <v>5.1</v>
      </c>
      <c r="G978" s="15" t="n">
        <f aca="false">q26_othbp</f>
        <v>5.1</v>
      </c>
    </row>
    <row r="979" customFormat="false" ht="15" hidden="false" customHeight="false" outlineLevel="0" collapsed="false">
      <c r="A979" s="4" t="s">
        <v>504</v>
      </c>
      <c r="B979" s="0" t="s">
        <v>169</v>
      </c>
      <c r="C979" s="15" t="n">
        <f aca="false">q25_cc</f>
        <v>-42.597</v>
      </c>
      <c r="D979" s="15" t="n">
        <f aca="false">q26_cc</f>
        <v>-46.2</v>
      </c>
      <c r="E979" s="15" t="n">
        <f aca="false">D979*(1+g_cc)</f>
        <v>-47.586</v>
      </c>
      <c r="F979" s="15" t="n">
        <f aca="false">E979*(1+g_cc)</f>
        <v>-49.01358</v>
      </c>
      <c r="G979" s="15" t="n">
        <f aca="false">F979*(1+g_cc)</f>
        <v>-50.4839874</v>
      </c>
    </row>
    <row r="980" customFormat="false" ht="17.15" hidden="false" customHeight="false" outlineLevel="0" collapsed="false">
      <c r="A980" s="4" t="s">
        <v>505</v>
      </c>
      <c r="B980" s="0" t="s">
        <v>169</v>
      </c>
      <c r="C980" s="28" t="n">
        <f aca="false">a_rev-(q25_sf+q25_ff+q25_hox+q25_fm+q25_oth)</f>
        <v>0.00200000000018008</v>
      </c>
      <c r="D980" s="28" t="n">
        <f aca="false">f_rev-(q26_sf+q26_ff+q26_hox+q26_fm+q26_oth)</f>
        <v>0.200000000000045</v>
      </c>
      <c r="E980" s="28" t="n">
        <f aca="false">$D980</f>
        <v>0.200000000000045</v>
      </c>
      <c r="F980" s="28" t="n">
        <f aca="false">$D980</f>
        <v>0.200000000000045</v>
      </c>
      <c r="G980" s="28" t="n">
        <f aca="false">$D980</f>
        <v>0.200000000000045</v>
      </c>
      <c r="K980" s="8" t="s">
        <v>506</v>
      </c>
    </row>
    <row r="981" customFormat="false" ht="15" hidden="false" customHeight="false" outlineLevel="0" collapsed="false">
      <c r="A981" s="4" t="s">
        <v>507</v>
      </c>
      <c r="B981" s="0" t="s">
        <v>169</v>
      </c>
      <c r="C981" s="28" t="n">
        <f aca="false">a_bp-(q25_sfbp+q25_ffbp+q25_hoxbp+q25_fmbp+q25_othbp+q25_cc)</f>
        <v>0.0010000000000332</v>
      </c>
      <c r="D981" s="28" t="n">
        <f aca="false">f_bp-(q26_sfbp+q26_ffbp+q26_hoxbp+q26_fmbp+q26_othbp+q26_cc)</f>
        <v>0.100000000000023</v>
      </c>
      <c r="E981" s="28" t="n">
        <f aca="false">$D981</f>
        <v>0.100000000000023</v>
      </c>
      <c r="F981" s="28" t="n">
        <f aca="false">$D981</f>
        <v>0.100000000000023</v>
      </c>
      <c r="G981" s="28" t="n">
        <f aca="false">$D981</f>
        <v>0.100000000000023</v>
      </c>
    </row>
    <row r="982" customFormat="false" ht="17.15" hidden="false" customHeight="false" outlineLevel="0" collapsed="false">
      <c r="A982" s="6" t="s">
        <v>508</v>
      </c>
    </row>
    <row r="983" customFormat="false" ht="17.15" hidden="false" customHeight="false" outlineLevel="0" collapsed="false">
      <c r="A983" s="4" t="s">
        <v>380</v>
      </c>
      <c r="B983" s="0" t="s">
        <v>169</v>
      </c>
      <c r="C983" s="15" t="n">
        <f aca="false">C971+C973+C975+C967+C977+C980</f>
        <v>1583.719</v>
      </c>
      <c r="D983" s="15" t="n">
        <f aca="false">D971+D973+D975+D967+D977+D980</f>
        <v>1732</v>
      </c>
      <c r="E983" s="15" t="n">
        <f aca="false">E971+E973+E975+E967+E977+E980</f>
        <v>1850.5656</v>
      </c>
      <c r="F983" s="15" t="n">
        <f aca="false">F971+F973+F975+F967+F977+F980</f>
        <v>1955.94074307053</v>
      </c>
      <c r="G983" s="15" t="n">
        <f aca="false">G971+G973+G975+G967+G977+G980</f>
        <v>2053.1320716</v>
      </c>
      <c r="H983" s="23" t="n">
        <f aca="false">G983*(1+H984)</f>
        <v>2162.20857776426</v>
      </c>
      <c r="I983" s="23" t="n">
        <f aca="false">H983*(1+I984)</f>
        <v>2284.5105355383</v>
      </c>
      <c r="J983" s="23" t="n">
        <f aca="false">I983*(1+J984)</f>
        <v>2421.5811676706</v>
      </c>
      <c r="K983" s="8" t="s">
        <v>509</v>
      </c>
    </row>
    <row r="984" customFormat="false" ht="15" hidden="false" customHeight="false" outlineLevel="0" collapsed="false">
      <c r="A984" s="4" t="s">
        <v>510</v>
      </c>
      <c r="B984" s="0" t="s">
        <v>77</v>
      </c>
      <c r="D984" s="16" t="n">
        <f aca="false">D983/C983-1</f>
        <v>0.0936283519993131</v>
      </c>
      <c r="E984" s="16" t="n">
        <f aca="false">E983/D983-1</f>
        <v>0.0684558891454965</v>
      </c>
      <c r="F984" s="16" t="n">
        <f aca="false">F983/E983-1</f>
        <v>0.0569421278935081</v>
      </c>
      <c r="G984" s="16" t="n">
        <f aca="false">G983/F983-1</f>
        <v>0.0496903236326567</v>
      </c>
      <c r="H984" s="24" t="n">
        <f aca="false">$G984+(fade_gA-$G984)*1/3</f>
        <v>0.0531268824217711</v>
      </c>
      <c r="I984" s="24" t="n">
        <f aca="false">$G984+(fade_gA-$G984)*2/3</f>
        <v>0.0565634412108856</v>
      </c>
      <c r="J984" s="24" t="n">
        <f aca="false">$G984+(fade_gA-$G984)*3/3</f>
        <v>0.06</v>
      </c>
    </row>
    <row r="985" customFormat="false" ht="17.15" hidden="false" customHeight="false" outlineLevel="0" collapsed="false">
      <c r="A985" s="0" t="s">
        <v>511</v>
      </c>
      <c r="B985" s="0" t="s">
        <v>77</v>
      </c>
      <c r="C985" s="16" t="n">
        <f aca="false">C967/C983</f>
        <v>0.0646902638662541</v>
      </c>
      <c r="D985" s="16" t="n">
        <f aca="false">D967/D983</f>
        <v>0.0696304849884527</v>
      </c>
      <c r="E985" s="16" t="n">
        <f aca="false">E967/E983</f>
        <v>0.0948864498507916</v>
      </c>
      <c r="F985" s="16" t="n">
        <f aca="false">F967/F983</f>
        <v>0.109821293835987</v>
      </c>
      <c r="G985" s="16" t="n">
        <f aca="false">G967/G983</f>
        <v>0.118418879799842</v>
      </c>
    </row>
    <row r="986" customFormat="false" ht="15" hidden="false" customHeight="false" outlineLevel="0" collapsed="false">
      <c r="A986" s="4" t="s">
        <v>390</v>
      </c>
      <c r="B986" s="0" t="s">
        <v>169</v>
      </c>
      <c r="C986" s="15" t="n">
        <f aca="false">C972+C974+C976+C969+C978+C979+C981</f>
        <v>181.163</v>
      </c>
      <c r="D986" s="15" t="n">
        <f aca="false">D972+D974+D976+D969+D978+D979+D981</f>
        <v>202</v>
      </c>
      <c r="E986" s="15" t="n">
        <f aca="false">E972+E974+E976+E969+E978+E979+E981</f>
        <v>246.03601</v>
      </c>
      <c r="F986" s="15" t="n">
        <f aca="false">F972+F974+F976+F969+F978+F979+F981</f>
        <v>274.5863674364</v>
      </c>
      <c r="G986" s="15" t="n">
        <f aca="false">G972+G974+G976+G969+G978+G979+G981</f>
        <v>291.433339119</v>
      </c>
    </row>
    <row r="987" customFormat="false" ht="15" hidden="false" customHeight="false" outlineLevel="0" collapsed="false">
      <c r="A987" s="4" t="s">
        <v>406</v>
      </c>
      <c r="B987" s="0" t="s">
        <v>77</v>
      </c>
      <c r="C987" s="16" t="n">
        <f aca="false">C986/C983</f>
        <v>0.114390873633517</v>
      </c>
      <c r="D987" s="16" t="n">
        <f aca="false">D986/D983</f>
        <v>0.11662817551963</v>
      </c>
      <c r="E987" s="16" t="n">
        <f aca="false">E986/E983</f>
        <v>0.132951790522854</v>
      </c>
      <c r="F987" s="16" t="n">
        <f aca="false">F986/F983</f>
        <v>0.140385831426233</v>
      </c>
      <c r="G987" s="16" t="n">
        <f aca="false">G986/G983</f>
        <v>0.141945734105594</v>
      </c>
    </row>
    <row r="988" customFormat="false" ht="17.15" hidden="false" customHeight="false" outlineLevel="0" collapsed="false">
      <c r="A988" s="0" t="s">
        <v>512</v>
      </c>
      <c r="B988" s="0" t="s">
        <v>77</v>
      </c>
      <c r="C988" s="16" t="n">
        <f aca="false">C969/C986</f>
        <v>0.301386044611758</v>
      </c>
      <c r="D988" s="16" t="n">
        <f aca="false">D969/D986</f>
        <v>0.324257425742574</v>
      </c>
      <c r="E988" s="16" t="n">
        <f aca="false">E969/E986</f>
        <v>0.413820318415991</v>
      </c>
      <c r="F988" s="16" t="n">
        <f aca="false">F969/F986</f>
        <v>0.452562737533511</v>
      </c>
      <c r="G988" s="16" t="n">
        <f aca="false">G969/G986</f>
        <v>0.462379961562931</v>
      </c>
    </row>
    <row r="989" customFormat="false" ht="17.15" hidden="false" customHeight="false" outlineLevel="0" collapsed="false">
      <c r="A989" s="4" t="s">
        <v>407</v>
      </c>
      <c r="B989" s="0" t="s">
        <v>52</v>
      </c>
      <c r="C989" s="21" t="n">
        <f aca="false">q25_ni/q25_bp</f>
        <v>0.743391310587703</v>
      </c>
      <c r="D989" s="21" t="n">
        <f aca="false">q26_ni/q26_bp</f>
        <v>0.611386138613861</v>
      </c>
      <c r="E989" s="21" t="n">
        <f aca="false">ni_bp_hi</f>
        <v>0.66</v>
      </c>
      <c r="F989" s="21" t="n">
        <f aca="false">ni_bp_hi</f>
        <v>0.66</v>
      </c>
      <c r="G989" s="21" t="n">
        <f aca="false">ni_bp_hi</f>
        <v>0.66</v>
      </c>
    </row>
    <row r="990" customFormat="false" ht="15" hidden="false" customHeight="false" outlineLevel="0" collapsed="false">
      <c r="A990" s="4" t="s">
        <v>397</v>
      </c>
      <c r="B990" s="0" t="s">
        <v>169</v>
      </c>
      <c r="C990" s="15" t="n">
        <f aca="false">q25_ni</f>
        <v>134.675</v>
      </c>
      <c r="D990" s="15" t="n">
        <f aca="false">q26_ni</f>
        <v>123.5</v>
      </c>
      <c r="E990" s="15" t="n">
        <f aca="false">E986*E989</f>
        <v>162.3837666</v>
      </c>
      <c r="F990" s="15" t="n">
        <f aca="false">F986*F989</f>
        <v>181.227002508024</v>
      </c>
      <c r="G990" s="15" t="n">
        <f aca="false">G986*G989</f>
        <v>192.34600381854</v>
      </c>
      <c r="H990" s="23" t="n">
        <f aca="false">H983*H994</f>
        <v>198.47253022957</v>
      </c>
      <c r="I990" s="23" t="n">
        <f aca="false">I983*I994</f>
        <v>205.375132524666</v>
      </c>
      <c r="J990" s="23" t="n">
        <f aca="false">J983*J994</f>
        <v>213.114532255596</v>
      </c>
    </row>
    <row r="991" customFormat="false" ht="15" hidden="false" customHeight="false" outlineLevel="0" collapsed="false">
      <c r="A991" s="4" t="s">
        <v>513</v>
      </c>
      <c r="B991" s="4" t="s">
        <v>316</v>
      </c>
      <c r="C991" s="19" t="n">
        <f aca="false">q25_sh</f>
        <v>0.973366579936398</v>
      </c>
      <c r="D991" s="19" t="n">
        <f aca="false">q26_sh</f>
        <v>0.95117067159581</v>
      </c>
      <c r="E991" s="19" t="n">
        <f aca="false">D991*(1+sh_g)</f>
        <v>0.936903111521873</v>
      </c>
      <c r="F991" s="19" t="n">
        <f aca="false">E991*(1+sh_g)</f>
        <v>0.922849564849045</v>
      </c>
      <c r="G991" s="19" t="n">
        <f aca="false">F991*(1+sh_g)</f>
        <v>0.909006821376309</v>
      </c>
      <c r="H991" s="29" t="n">
        <f aca="false">G991*(1+sh_g)</f>
        <v>0.895371719055665</v>
      </c>
      <c r="I991" s="29" t="n">
        <f aca="false">H991*(1+sh_g)</f>
        <v>0.88194114326983</v>
      </c>
      <c r="J991" s="29" t="n">
        <f aca="false">I991*(1+sh_g)</f>
        <v>0.868712026120782</v>
      </c>
    </row>
    <row r="992" customFormat="false" ht="17.15" hidden="false" customHeight="false" outlineLevel="0" collapsed="false">
      <c r="A992" s="0" t="s">
        <v>514</v>
      </c>
      <c r="B992" s="0" t="s">
        <v>207</v>
      </c>
      <c r="C992" s="20" t="n">
        <f aca="false">C990/C991</f>
        <v>138.36</v>
      </c>
      <c r="D992" s="20" t="n">
        <f aca="false">D990/D991</f>
        <v>129.84</v>
      </c>
      <c r="E992" s="20" t="n">
        <f aca="false">E990/E991</f>
        <v>173.319700407686</v>
      </c>
      <c r="F992" s="20" t="n">
        <f aca="false">F990/F991</f>
        <v>196.377621457369</v>
      </c>
      <c r="G992" s="20" t="n">
        <f aca="false">G990/G991</f>
        <v>211.600176473168</v>
      </c>
      <c r="H992" s="27" t="n">
        <f aca="false">H990/H991</f>
        <v>221.664953231822</v>
      </c>
      <c r="I992" s="27" t="n">
        <f aca="false">I990/I991</f>
        <v>232.867163633199</v>
      </c>
      <c r="J992" s="27" t="n">
        <f aca="false">J990/J991</f>
        <v>245.322415078395</v>
      </c>
    </row>
    <row r="993" customFormat="false" ht="17.15" hidden="false" customHeight="false" outlineLevel="0" collapsed="false">
      <c r="A993" s="0" t="s">
        <v>515</v>
      </c>
      <c r="B993" s="0" t="s">
        <v>77</v>
      </c>
      <c r="D993" s="16" t="n">
        <f aca="false">D992/C992-1</f>
        <v>-0.0615784908933218</v>
      </c>
      <c r="E993" s="16" t="n">
        <f aca="false">E992/D992-1</f>
        <v>0.334871383300109</v>
      </c>
      <c r="F993" s="16" t="n">
        <f aca="false">F992/E992-1</f>
        <v>0.133036931147734</v>
      </c>
      <c r="G993" s="16" t="n">
        <f aca="false">G992/F992-1</f>
        <v>0.077516750141017</v>
      </c>
      <c r="H993" s="24" t="n">
        <f aca="false">H992/G992-1</f>
        <v>0.0475650678860873</v>
      </c>
      <c r="I993" s="24" t="n">
        <f aca="false">I992/H992-1</f>
        <v>0.0505366781624794</v>
      </c>
      <c r="J993" s="24" t="n">
        <f aca="false">J992/I992-1</f>
        <v>0.0534865081485441</v>
      </c>
    </row>
    <row r="994" customFormat="false" ht="15" hidden="false" customHeight="false" outlineLevel="0" collapsed="false">
      <c r="A994" s="4" t="s">
        <v>516</v>
      </c>
      <c r="B994" s="0" t="s">
        <v>77</v>
      </c>
      <c r="C994" s="25" t="n">
        <f aca="false">C990/C983</f>
        <v>0.0850371814696925</v>
      </c>
      <c r="D994" s="25" t="n">
        <f aca="false">D990/D983</f>
        <v>0.0713048498845266</v>
      </c>
      <c r="E994" s="25" t="n">
        <f aca="false">E990/E983</f>
        <v>0.0877481817450838</v>
      </c>
      <c r="F994" s="25" t="n">
        <f aca="false">F990/F983</f>
        <v>0.0926546487413137</v>
      </c>
      <c r="G994" s="25" t="n">
        <f aca="false">G990/G983</f>
        <v>0.0936841845096918</v>
      </c>
      <c r="H994" s="26" t="n">
        <f aca="false">$G994+(fade_mA-$G994)*1/3</f>
        <v>0.0917915747216172</v>
      </c>
      <c r="I994" s="26" t="n">
        <f aca="false">$G994+(fade_mA-$G994)*2/3</f>
        <v>0.0898989649335426</v>
      </c>
      <c r="J994" s="26" t="n">
        <f aca="false">$G994+(fade_mA-$G994)*3/3</f>
        <v>0.088006355145468</v>
      </c>
    </row>
    <row r="995" customFormat="false" ht="17.15" hidden="false" customHeight="false" outlineLevel="0" collapsed="false">
      <c r="A995" s="0" t="s">
        <v>517</v>
      </c>
      <c r="B995" s="0" t="s">
        <v>207</v>
      </c>
      <c r="D995" s="20" t="n">
        <f aca="false">D969*D989/D991</f>
        <v>42.1015841584158</v>
      </c>
      <c r="E995" s="20" t="n">
        <f aca="false">E969*E989/E991</f>
        <v>71.7232136104729</v>
      </c>
      <c r="F995" s="20" t="n">
        <f aca="false">F969*F989/F991</f>
        <v>88.8731939570667</v>
      </c>
      <c r="G995" s="20" t="n">
        <f aca="false">G969*G989/G991</f>
        <v>97.8396814643727</v>
      </c>
      <c r="K995" s="8" t="s">
        <v>518</v>
      </c>
    </row>
    <row r="996" customFormat="false" ht="17.15" hidden="false" customHeight="false" outlineLevel="0" collapsed="false">
      <c r="A996" s="0" t="s">
        <v>519</v>
      </c>
      <c r="B996" s="0" t="s">
        <v>207</v>
      </c>
      <c r="D996" s="20" t="n">
        <f aca="false">D992-D995</f>
        <v>87.7384158415842</v>
      </c>
      <c r="E996" s="20" t="n">
        <f aca="false">E992-E995</f>
        <v>101.596486797213</v>
      </c>
      <c r="F996" s="20" t="n">
        <f aca="false">F992-F995</f>
        <v>107.504427500303</v>
      </c>
      <c r="G996" s="20" t="n">
        <f aca="false">G992-G995</f>
        <v>113.760495008795</v>
      </c>
    </row>
    <row r="997" customFormat="false" ht="17.15" hidden="false" customHeight="false" outlineLevel="0" collapsed="false">
      <c r="A997" s="0" t="s">
        <v>520</v>
      </c>
      <c r="B997" s="0" t="s">
        <v>432</v>
      </c>
      <c r="D997" s="15" t="n">
        <f aca="false">D965/D955*1000/150</f>
        <v>23.5087719298246</v>
      </c>
      <c r="E997" s="15" t="n">
        <f aca="false">E965/E955*1000/150</f>
        <v>30.1617621884116</v>
      </c>
      <c r="F997" s="15" t="n">
        <f aca="false">F965/F955*1000/150</f>
        <v>36.5143464561404</v>
      </c>
      <c r="G997" s="15" t="n">
        <f aca="false">G965/G955*1000/150</f>
        <v>39.9173947725016</v>
      </c>
      <c r="K997" s="8" t="s">
        <v>521</v>
      </c>
    </row>
    <row r="1000" customFormat="false" ht="17.15" hidden="false" customHeight="false" outlineLevel="0" collapsed="false">
      <c r="A1000" s="1" t="s">
        <v>882</v>
      </c>
    </row>
    <row r="1001" customFormat="false" ht="17.15" hidden="false" customHeight="false" outlineLevel="0" collapsed="false">
      <c r="A1001" s="5" t="s">
        <v>19</v>
      </c>
      <c r="B1001" s="5" t="s">
        <v>20</v>
      </c>
      <c r="C1001" s="14" t="s">
        <v>374</v>
      </c>
      <c r="D1001" s="14" t="s">
        <v>447</v>
      </c>
      <c r="E1001" s="14" t="s">
        <v>412</v>
      </c>
      <c r="F1001" s="14" t="s">
        <v>413</v>
      </c>
      <c r="G1001" s="14" t="s">
        <v>414</v>
      </c>
      <c r="H1001" s="14" t="s">
        <v>448</v>
      </c>
      <c r="I1001" s="14" t="s">
        <v>449</v>
      </c>
      <c r="J1001" s="14" t="s">
        <v>450</v>
      </c>
      <c r="K1001" s="5" t="s">
        <v>379</v>
      </c>
    </row>
    <row r="1002" customFormat="false" ht="17.15" hidden="false" customHeight="false" outlineLevel="0" collapsed="false">
      <c r="A1002" s="6" t="s">
        <v>470</v>
      </c>
    </row>
    <row r="1003" customFormat="false" ht="17.15" hidden="false" customHeight="false" outlineLevel="0" collapsed="false">
      <c r="A1003" s="0" t="s">
        <v>471</v>
      </c>
      <c r="B1003" s="4" t="s">
        <v>30</v>
      </c>
      <c r="D1003" s="20" t="n">
        <f aca="false">unv_26</f>
        <v>7.6</v>
      </c>
      <c r="E1003" s="20" t="n">
        <f aca="false">unv_27</f>
        <v>9.7</v>
      </c>
      <c r="F1003" s="20" t="n">
        <f aca="false">unv_28*um28_A</f>
        <v>9.5</v>
      </c>
      <c r="G1003" s="20" t="n">
        <f aca="false">unv_29*um29_A</f>
        <v>10.6</v>
      </c>
      <c r="K1003" s="8" t="s">
        <v>472</v>
      </c>
    </row>
    <row r="1004" customFormat="false" ht="17.15" hidden="false" customHeight="false" outlineLevel="0" collapsed="false">
      <c r="A1004" s="4" t="s">
        <v>473</v>
      </c>
      <c r="B1004" s="4" t="s">
        <v>30</v>
      </c>
      <c r="D1004" s="20" t="n">
        <f aca="false">uot_26</f>
        <v>7.6</v>
      </c>
      <c r="E1004" s="20" t="n">
        <f aca="false">uot_27</f>
        <v>14</v>
      </c>
      <c r="F1004" s="20" t="n">
        <f aca="false">uot_28*um28_A</f>
        <v>17</v>
      </c>
      <c r="G1004" s="20" t="n">
        <f aca="false">uot_29*um29_A</f>
        <v>19.55</v>
      </c>
      <c r="K1004" s="8" t="s">
        <v>474</v>
      </c>
    </row>
    <row r="1005" customFormat="false" ht="17.15" hidden="false" customHeight="false" outlineLevel="0" collapsed="false">
      <c r="A1005" s="4" t="s">
        <v>475</v>
      </c>
      <c r="B1005" s="4" t="s">
        <v>30</v>
      </c>
      <c r="D1005" s="20" t="n">
        <f aca="false">D1003+v_ot*D1004</f>
        <v>13.68</v>
      </c>
      <c r="E1005" s="20" t="n">
        <f aca="false">E1003+v_ot*E1004</f>
        <v>20.9</v>
      </c>
      <c r="F1005" s="20" t="n">
        <f aca="false">F1003+v_ot*F1004</f>
        <v>23.1</v>
      </c>
      <c r="G1005" s="20" t="n">
        <f aca="false">G1003+v_ot*G1004</f>
        <v>26.24</v>
      </c>
    </row>
    <row r="1006" customFormat="false" ht="17.15" hidden="false" customHeight="false" outlineLevel="0" collapsed="false">
      <c r="A1006" s="4" t="s">
        <v>476</v>
      </c>
      <c r="B1006" s="0" t="s">
        <v>52</v>
      </c>
      <c r="D1006" s="21" t="n">
        <f aca="false">1</f>
        <v>1</v>
      </c>
      <c r="E1006" s="21" t="n">
        <f aca="false">D1006*(1+g_asp)</f>
        <v>1.18</v>
      </c>
      <c r="F1006" s="21" t="n">
        <f aca="false">E1006*(1+g_asp)</f>
        <v>1.3924</v>
      </c>
      <c r="G1006" s="21" t="n">
        <f aca="false">F1006*(1+g_asp)</f>
        <v>1.643032</v>
      </c>
    </row>
    <row r="1007" customFormat="false" ht="17.15" hidden="false" customHeight="false" outlineLevel="0" collapsed="false">
      <c r="A1007" s="4" t="s">
        <v>477</v>
      </c>
      <c r="B1007" s="0" t="s">
        <v>52</v>
      </c>
      <c r="D1007" s="18" t="n">
        <f aca="false">1</f>
        <v>1</v>
      </c>
      <c r="E1007" s="18" t="n">
        <f aca="false">rel_27</f>
        <v>1</v>
      </c>
      <c r="F1007" s="18" t="n">
        <f aca="false">rel_28</f>
        <v>0.97</v>
      </c>
      <c r="G1007" s="18" t="n">
        <f aca="false">rel_29</f>
        <v>0.95</v>
      </c>
    </row>
    <row r="1008" customFormat="false" ht="17.15" hidden="false" customHeight="false" outlineLevel="0" collapsed="false">
      <c r="A1008" s="0" t="s">
        <v>478</v>
      </c>
      <c r="B1008" s="0" t="s">
        <v>52</v>
      </c>
      <c r="D1008" s="21" t="n">
        <f aca="false">D1005/$D1005*D1006*D1007</f>
        <v>1</v>
      </c>
      <c r="E1008" s="21" t="n">
        <f aca="false">E1005/$D1005*E1006*E1007</f>
        <v>1.80277777777778</v>
      </c>
      <c r="F1008" s="21" t="n">
        <f aca="false">F1005/$D1005*F1006*F1007</f>
        <v>2.28066570175439</v>
      </c>
      <c r="G1008" s="21" t="n">
        <f aca="false">G1005/$D1005*G1006*G1007</f>
        <v>2.99396942222222</v>
      </c>
      <c r="K1008" s="4" t="s">
        <v>479</v>
      </c>
    </row>
    <row r="1009" customFormat="false" ht="17.15" hidden="false" customHeight="false" outlineLevel="0" collapsed="false">
      <c r="A1009" s="4" t="s">
        <v>480</v>
      </c>
      <c r="B1009" s="0" t="s">
        <v>52</v>
      </c>
      <c r="D1009" s="21" t="n">
        <f aca="false">1</f>
        <v>1</v>
      </c>
      <c r="E1009" s="21" t="n">
        <f aca="false">D1009*(1+g_nai)</f>
        <v>1.03</v>
      </c>
      <c r="F1009" s="21" t="n">
        <f aca="false">E1009*(1+g_nai)</f>
        <v>1.0609</v>
      </c>
      <c r="G1009" s="21" t="n">
        <f aca="false">F1009*(1+g_nai)</f>
        <v>1.092727</v>
      </c>
    </row>
    <row r="1010" customFormat="false" ht="17.15" hidden="false" customHeight="false" outlineLevel="0" collapsed="false">
      <c r="A1010" s="0" t="s">
        <v>481</v>
      </c>
      <c r="B1010" s="0" t="s">
        <v>52</v>
      </c>
      <c r="D1010" s="21" t="n">
        <f aca="false">ai_sh*D1008+(1-ai_sh)*D1009</f>
        <v>1</v>
      </c>
      <c r="E1010" s="21" t="n">
        <f aca="false">ai_sh*E1008+(1-ai_sh)*E1009</f>
        <v>1.33911111111111</v>
      </c>
      <c r="F1010" s="21" t="n">
        <f aca="false">ai_sh*F1008+(1-ai_sh)*F1009</f>
        <v>1.54880628070175</v>
      </c>
      <c r="G1010" s="21" t="n">
        <f aca="false">ai_sh*G1008+(1-ai_sh)*G1009</f>
        <v>1.85322396888889</v>
      </c>
    </row>
    <row r="1011" customFormat="false" ht="17.15" hidden="false" customHeight="false" outlineLevel="0" collapsed="false">
      <c r="A1011" s="4" t="s">
        <v>482</v>
      </c>
      <c r="B1011" s="0" t="s">
        <v>52</v>
      </c>
      <c r="D1011" s="21" t="n">
        <f aca="false">1</f>
        <v>1</v>
      </c>
      <c r="E1011" s="21" t="n">
        <f aca="false">cap_27</f>
        <v>1.3</v>
      </c>
      <c r="F1011" s="21" t="n">
        <f aca="false">cap_28</f>
        <v>1.55</v>
      </c>
      <c r="G1011" s="21" t="n">
        <f aca="false">cap_29</f>
        <v>1.8</v>
      </c>
      <c r="K1011" s="4" t="s">
        <v>483</v>
      </c>
    </row>
    <row r="1012" customFormat="false" ht="17.15" hidden="false" customHeight="false" outlineLevel="0" collapsed="false">
      <c r="A1012" s="4" t="s">
        <v>484</v>
      </c>
      <c r="B1012" s="0" t="s">
        <v>52</v>
      </c>
      <c r="D1012" s="21" t="n">
        <f aca="false">MIN(D1010,D1011)</f>
        <v>1</v>
      </c>
      <c r="E1012" s="21" t="n">
        <f aca="false">MIN(E1010,E1011)</f>
        <v>1.3</v>
      </c>
      <c r="F1012" s="21" t="n">
        <f aca="false">MIN(F1010,F1011)</f>
        <v>1.54880628070175</v>
      </c>
      <c r="G1012" s="21" t="n">
        <f aca="false">MIN(G1010,G1011)</f>
        <v>1.8</v>
      </c>
    </row>
    <row r="1013" customFormat="false" ht="17.15" hidden="false" customHeight="false" outlineLevel="0" collapsed="false">
      <c r="A1013" s="4" t="s">
        <v>485</v>
      </c>
      <c r="B1013" s="0" t="s">
        <v>77</v>
      </c>
      <c r="D1013" s="16" t="n">
        <f aca="false">D1012/D1010</f>
        <v>1</v>
      </c>
      <c r="E1013" s="16" t="n">
        <f aca="false">E1012/E1010</f>
        <v>0.970793229339529</v>
      </c>
      <c r="F1013" s="16" t="n">
        <f aca="false">F1012/F1010</f>
        <v>1</v>
      </c>
      <c r="G1013" s="16" t="n">
        <f aca="false">G1012/G1010</f>
        <v>0.971280336439422</v>
      </c>
      <c r="K1013" s="4" t="s">
        <v>486</v>
      </c>
    </row>
    <row r="1014" customFormat="false" ht="17.15" hidden="false" customHeight="false" outlineLevel="0" collapsed="false">
      <c r="A1014" s="0" t="s">
        <v>487</v>
      </c>
      <c r="B1014" s="0" t="s">
        <v>52</v>
      </c>
      <c r="D1014" s="21" t="n">
        <f aca="false">1</f>
        <v>1</v>
      </c>
      <c r="E1014" s="21" t="n">
        <f aca="false">pp_27</f>
        <v>1.12</v>
      </c>
      <c r="F1014" s="21" t="n">
        <f aca="false">pp_28*sp_A</f>
        <v>1.15</v>
      </c>
      <c r="G1014" s="21" t="n">
        <f aca="false">pp_29*sp_A</f>
        <v>1.12</v>
      </c>
      <c r="K1014" s="8" t="s">
        <v>488</v>
      </c>
    </row>
    <row r="1015" customFormat="false" ht="17.15" hidden="false" customHeight="false" outlineLevel="0" collapsed="false">
      <c r="A1015" s="0" t="s">
        <v>429</v>
      </c>
      <c r="B1015" s="0" t="s">
        <v>169</v>
      </c>
      <c r="D1015" s="15" t="n">
        <f aca="false">q26_fm*ai_sh</f>
        <v>48.24</v>
      </c>
      <c r="E1015" s="15" t="n">
        <f aca="false">q26_fm*ai_sh*E1008*E1013*E1014</f>
        <v>94.5571244606705</v>
      </c>
      <c r="F1015" s="15" t="n">
        <f aca="false">q26_fm*ai_sh*F1008*F1013*F1014</f>
        <v>126.522210470526</v>
      </c>
      <c r="G1015" s="15" t="n">
        <f aca="false">q26_fm*ai_sh*G1008*G1013*G1014</f>
        <v>157.114865824566</v>
      </c>
      <c r="K1015" s="8" t="s">
        <v>489</v>
      </c>
    </row>
    <row r="1016" customFormat="false" ht="17.15" hidden="false" customHeight="false" outlineLevel="0" collapsed="false">
      <c r="A1016" s="0" t="s">
        <v>490</v>
      </c>
      <c r="B1016" s="0" t="s">
        <v>169</v>
      </c>
      <c r="D1016" s="15" t="n">
        <f aca="false">q26_fm*(1-ai_sh)</f>
        <v>72.36</v>
      </c>
      <c r="E1016" s="15" t="n">
        <f aca="false">q26_fm*(1-ai_sh)*E1009*E1013*E1014</f>
        <v>81.0364755393296</v>
      </c>
      <c r="F1016" s="15" t="n">
        <f aca="false">q26_fm*(1-ai_sh)*F1009*F1013*F1014</f>
        <v>88.2817326</v>
      </c>
      <c r="G1016" s="15" t="n">
        <f aca="false">q26_fm*(1-ai_sh)*G1009*G1013*G1014</f>
        <v>86.0147341754337</v>
      </c>
    </row>
    <row r="1017" customFormat="false" ht="17.15" hidden="false" customHeight="false" outlineLevel="0" collapsed="false">
      <c r="A1017" s="4" t="s">
        <v>491</v>
      </c>
      <c r="B1017" s="0" t="s">
        <v>169</v>
      </c>
      <c r="C1017" s="15" t="n">
        <f aca="false">q25_fm</f>
        <v>102.4512</v>
      </c>
      <c r="D1017" s="15" t="n">
        <f aca="false">D1015+D1016</f>
        <v>120.6</v>
      </c>
      <c r="E1017" s="15" t="n">
        <f aca="false">E1015+E1016</f>
        <v>175.5936</v>
      </c>
      <c r="F1017" s="15" t="n">
        <f aca="false">F1015+F1016</f>
        <v>214.803943070526</v>
      </c>
      <c r="G1017" s="15" t="n">
        <f aca="false">G1015+G1016</f>
        <v>243.1296</v>
      </c>
    </row>
    <row r="1018" customFormat="false" ht="17.15" hidden="false" customHeight="false" outlineLevel="0" collapsed="false">
      <c r="A1018" s="0" t="s">
        <v>492</v>
      </c>
      <c r="B1018" s="0" t="s">
        <v>77</v>
      </c>
      <c r="C1018" s="16" t="n">
        <f aca="false">q25_fmbp/q25_fm</f>
        <v>0.532936656671664</v>
      </c>
      <c r="D1018" s="16" t="n">
        <f aca="false">q26_fmbp/q26_fm</f>
        <v>0.543117744610282</v>
      </c>
      <c r="E1018" s="16" t="n">
        <f aca="false">1-(1-$D1018)*(1+c_g)^1/E1014</f>
        <v>0.579831497275527</v>
      </c>
      <c r="F1018" s="16" t="n">
        <f aca="false">1-(1-$D1018)*(1+c_g)^2/F1014</f>
        <v>0.578516187180042</v>
      </c>
      <c r="G1018" s="16" t="n">
        <f aca="false">1-(1-$D1018)*(1+c_g)^3/G1014</f>
        <v>0.554243235459607</v>
      </c>
      <c r="K1018" s="8" t="s">
        <v>493</v>
      </c>
    </row>
    <row r="1019" customFormat="false" ht="17.15" hidden="false" customHeight="false" outlineLevel="0" collapsed="false">
      <c r="A1019" s="0" t="s">
        <v>455</v>
      </c>
      <c r="B1019" s="0" t="s">
        <v>169</v>
      </c>
      <c r="C1019" s="15" t="n">
        <f aca="false">q25_fmbp</f>
        <v>54.6</v>
      </c>
      <c r="D1019" s="15" t="n">
        <f aca="false">D1017*D1018</f>
        <v>65.5</v>
      </c>
      <c r="E1019" s="15" t="n">
        <f aca="false">E1017*E1018</f>
        <v>101.8147</v>
      </c>
      <c r="F1019" s="15" t="n">
        <f aca="false">F1017*F1018</f>
        <v>124.2675581364</v>
      </c>
      <c r="G1019" s="15" t="n">
        <f aca="false">G1017*G1018</f>
        <v>134.75293614</v>
      </c>
    </row>
    <row r="1020" customFormat="false" ht="17.15" hidden="false" customHeight="false" outlineLevel="0" collapsed="false">
      <c r="A1020" s="6" t="s">
        <v>494</v>
      </c>
    </row>
    <row r="1021" customFormat="false" ht="15" hidden="false" customHeight="false" outlineLevel="0" collapsed="false">
      <c r="A1021" s="4" t="s">
        <v>495</v>
      </c>
      <c r="B1021" s="0" t="s">
        <v>169</v>
      </c>
      <c r="C1021" s="15" t="n">
        <f aca="false">q25_sf</f>
        <v>936.926</v>
      </c>
      <c r="D1021" s="15" t="n">
        <f aca="false">q26_sf</f>
        <v>998.6</v>
      </c>
      <c r="E1021" s="15" t="n">
        <f aca="false">D1021*(1+g_sf)</f>
        <v>1038.544</v>
      </c>
      <c r="F1021" s="15" t="n">
        <f aca="false">E1021*(1+g_sf)</f>
        <v>1080.08576</v>
      </c>
      <c r="G1021" s="15" t="n">
        <f aca="false">F1021*(1+g_sf)</f>
        <v>1123.2891904</v>
      </c>
    </row>
    <row r="1022" customFormat="false" ht="15" hidden="false" customHeight="false" outlineLevel="0" collapsed="false">
      <c r="A1022" s="4" t="s">
        <v>496</v>
      </c>
      <c r="B1022" s="0" t="s">
        <v>169</v>
      </c>
      <c r="C1022" s="15" t="n">
        <f aca="false">q25_sfbp</f>
        <v>143.036</v>
      </c>
      <c r="D1022" s="15" t="n">
        <f aca="false">q26_sfbp</f>
        <v>145.9</v>
      </c>
      <c r="E1022" s="15" t="n">
        <f aca="false">E1021*m_sf</f>
        <v>151.736</v>
      </c>
      <c r="F1022" s="15" t="n">
        <f aca="false">F1021*m_sf</f>
        <v>157.80544</v>
      </c>
      <c r="G1022" s="15" t="n">
        <f aca="false">G1021*m_sf</f>
        <v>164.1176576</v>
      </c>
    </row>
    <row r="1023" customFormat="false" ht="15" hidden="false" customHeight="false" outlineLevel="0" collapsed="false">
      <c r="A1023" s="4" t="s">
        <v>497</v>
      </c>
      <c r="B1023" s="0" t="s">
        <v>169</v>
      </c>
      <c r="C1023" s="15" t="n">
        <f aca="false">q25_ff</f>
        <v>290.308</v>
      </c>
      <c r="D1023" s="15" t="n">
        <f aca="false">q26_ff</f>
        <v>310.6</v>
      </c>
      <c r="E1023" s="15" t="n">
        <f aca="false">D1023*(1+g_ff)</f>
        <v>319.918</v>
      </c>
      <c r="F1023" s="15" t="n">
        <f aca="false">E1023*(1+g_ff)</f>
        <v>329.51554</v>
      </c>
      <c r="G1023" s="15" t="n">
        <f aca="false">F1023*(1+g_ff)</f>
        <v>339.4010062</v>
      </c>
    </row>
    <row r="1024" customFormat="false" ht="15" hidden="false" customHeight="false" outlineLevel="0" collapsed="false">
      <c r="A1024" s="4" t="s">
        <v>498</v>
      </c>
      <c r="B1024" s="0" t="s">
        <v>169</v>
      </c>
      <c r="C1024" s="15" t="n">
        <f aca="false">q25_ffbp</f>
        <v>8.457</v>
      </c>
      <c r="D1024" s="15" t="n">
        <f aca="false">q26_ffbp</f>
        <v>12.1</v>
      </c>
      <c r="E1024" s="15" t="n">
        <f aca="false">E1023*m_ff</f>
        <v>14.39631</v>
      </c>
      <c r="F1024" s="15" t="n">
        <f aca="false">F1023*m_ff</f>
        <v>14.8281993</v>
      </c>
      <c r="G1024" s="15" t="n">
        <f aca="false">G1023*m_ff</f>
        <v>15.273045279</v>
      </c>
    </row>
    <row r="1025" customFormat="false" ht="17.15" hidden="false" customHeight="false" outlineLevel="0" collapsed="false">
      <c r="A1025" s="4" t="s">
        <v>499</v>
      </c>
      <c r="B1025" s="0" t="s">
        <v>169</v>
      </c>
      <c r="C1025" s="15" t="n">
        <f aca="false">q25_hox</f>
        <v>239.0528</v>
      </c>
      <c r="D1025" s="15" t="n">
        <f aca="false">q26_hox</f>
        <v>286.2</v>
      </c>
      <c r="E1025" s="15" t="n">
        <f aca="false">D1025*(1+g_ho)</f>
        <v>300.51</v>
      </c>
      <c r="F1025" s="15" t="n">
        <f aca="false">E1025*(1+g_ho)</f>
        <v>315.5355</v>
      </c>
      <c r="G1025" s="15" t="n">
        <f aca="false">F1025*(1+g_ho)</f>
        <v>331.312275</v>
      </c>
    </row>
    <row r="1026" customFormat="false" ht="17.15" hidden="false" customHeight="false" outlineLevel="0" collapsed="false">
      <c r="A1026" s="4" t="s">
        <v>500</v>
      </c>
      <c r="B1026" s="0" t="s">
        <v>169</v>
      </c>
      <c r="C1026" s="15" t="n">
        <f aca="false">q25_hoxbp</f>
        <v>11.602</v>
      </c>
      <c r="D1026" s="15" t="n">
        <f aca="false">q26_hoxbp</f>
        <v>19.5</v>
      </c>
      <c r="E1026" s="15" t="n">
        <f aca="false">E1025*m_ho</f>
        <v>20.475</v>
      </c>
      <c r="F1026" s="15" t="n">
        <f aca="false">F1025*m_ho</f>
        <v>21.49875</v>
      </c>
      <c r="G1026" s="15" t="n">
        <f aca="false">G1025*m_ho</f>
        <v>22.5736875</v>
      </c>
    </row>
    <row r="1027" customFormat="false" ht="17.15" hidden="false" customHeight="false" outlineLevel="0" collapsed="false">
      <c r="A1027" s="4" t="s">
        <v>501</v>
      </c>
      <c r="B1027" s="0" t="s">
        <v>169</v>
      </c>
      <c r="C1027" s="15" t="n">
        <f aca="false">q25_oth</f>
        <v>14.979</v>
      </c>
      <c r="D1027" s="15" t="n">
        <f aca="false">q26_oth</f>
        <v>15.8</v>
      </c>
      <c r="E1027" s="15" t="n">
        <f aca="false">D1027</f>
        <v>15.8</v>
      </c>
      <c r="F1027" s="15" t="n">
        <f aca="false">E1027</f>
        <v>15.8</v>
      </c>
      <c r="G1027" s="15" t="n">
        <f aca="false">F1027</f>
        <v>15.8</v>
      </c>
      <c r="K1027" s="8" t="s">
        <v>502</v>
      </c>
    </row>
    <row r="1028" customFormat="false" ht="15" hidden="false" customHeight="false" outlineLevel="0" collapsed="false">
      <c r="A1028" s="4" t="s">
        <v>503</v>
      </c>
      <c r="B1028" s="0" t="s">
        <v>169</v>
      </c>
      <c r="C1028" s="15" t="n">
        <f aca="false">q25_othbp</f>
        <v>6.064</v>
      </c>
      <c r="D1028" s="15" t="n">
        <f aca="false">q26_othbp</f>
        <v>5.1</v>
      </c>
      <c r="E1028" s="15" t="n">
        <f aca="false">q26_othbp</f>
        <v>5.1</v>
      </c>
      <c r="F1028" s="15" t="n">
        <f aca="false">q26_othbp</f>
        <v>5.1</v>
      </c>
      <c r="G1028" s="15" t="n">
        <f aca="false">q26_othbp</f>
        <v>5.1</v>
      </c>
    </row>
    <row r="1029" customFormat="false" ht="15" hidden="false" customHeight="false" outlineLevel="0" collapsed="false">
      <c r="A1029" s="4" t="s">
        <v>504</v>
      </c>
      <c r="B1029" s="0" t="s">
        <v>169</v>
      </c>
      <c r="C1029" s="15" t="n">
        <f aca="false">q25_cc</f>
        <v>-42.597</v>
      </c>
      <c r="D1029" s="15" t="n">
        <f aca="false">q26_cc</f>
        <v>-46.2</v>
      </c>
      <c r="E1029" s="15" t="n">
        <f aca="false">D1029*(1+g_cc)</f>
        <v>-47.586</v>
      </c>
      <c r="F1029" s="15" t="n">
        <f aca="false">E1029*(1+g_cc)</f>
        <v>-49.01358</v>
      </c>
      <c r="G1029" s="15" t="n">
        <f aca="false">F1029*(1+g_cc)</f>
        <v>-50.4839874</v>
      </c>
    </row>
    <row r="1030" customFormat="false" ht="17.15" hidden="false" customHeight="false" outlineLevel="0" collapsed="false">
      <c r="A1030" s="4" t="s">
        <v>505</v>
      </c>
      <c r="B1030" s="0" t="s">
        <v>169</v>
      </c>
      <c r="C1030" s="28" t="n">
        <f aca="false">a_rev-(q25_sf+q25_ff+q25_hox+q25_fm+q25_oth)</f>
        <v>0.00200000000018008</v>
      </c>
      <c r="D1030" s="28" t="n">
        <f aca="false">f_rev-(q26_sf+q26_ff+q26_hox+q26_fm+q26_oth)</f>
        <v>0.200000000000045</v>
      </c>
      <c r="E1030" s="28" t="n">
        <f aca="false">$D1030</f>
        <v>0.200000000000045</v>
      </c>
      <c r="F1030" s="28" t="n">
        <f aca="false">$D1030</f>
        <v>0.200000000000045</v>
      </c>
      <c r="G1030" s="28" t="n">
        <f aca="false">$D1030</f>
        <v>0.200000000000045</v>
      </c>
      <c r="K1030" s="8" t="s">
        <v>506</v>
      </c>
    </row>
    <row r="1031" customFormat="false" ht="15" hidden="false" customHeight="false" outlineLevel="0" collapsed="false">
      <c r="A1031" s="4" t="s">
        <v>507</v>
      </c>
      <c r="B1031" s="0" t="s">
        <v>169</v>
      </c>
      <c r="C1031" s="28" t="n">
        <f aca="false">a_bp-(q25_sfbp+q25_ffbp+q25_hoxbp+q25_fmbp+q25_othbp+q25_cc)</f>
        <v>0.0010000000000332</v>
      </c>
      <c r="D1031" s="28" t="n">
        <f aca="false">f_bp-(q26_sfbp+q26_ffbp+q26_hoxbp+q26_fmbp+q26_othbp+q26_cc)</f>
        <v>0.100000000000023</v>
      </c>
      <c r="E1031" s="28" t="n">
        <f aca="false">$D1031</f>
        <v>0.100000000000023</v>
      </c>
      <c r="F1031" s="28" t="n">
        <f aca="false">$D1031</f>
        <v>0.100000000000023</v>
      </c>
      <c r="G1031" s="28" t="n">
        <f aca="false">$D1031</f>
        <v>0.100000000000023</v>
      </c>
    </row>
    <row r="1032" customFormat="false" ht="17.15" hidden="false" customHeight="false" outlineLevel="0" collapsed="false">
      <c r="A1032" s="6" t="s">
        <v>508</v>
      </c>
    </row>
    <row r="1033" customFormat="false" ht="17.15" hidden="false" customHeight="false" outlineLevel="0" collapsed="false">
      <c r="A1033" s="4" t="s">
        <v>380</v>
      </c>
      <c r="B1033" s="0" t="s">
        <v>169</v>
      </c>
      <c r="C1033" s="15" t="n">
        <f aca="false">C1021+C1023+C1025+C1017+C1027+C1030</f>
        <v>1583.719</v>
      </c>
      <c r="D1033" s="15" t="n">
        <f aca="false">D1021+D1023+D1025+D1017+D1027+D1030</f>
        <v>1732</v>
      </c>
      <c r="E1033" s="15" t="n">
        <f aca="false">E1021+E1023+E1025+E1017+E1027+E1030</f>
        <v>1850.5656</v>
      </c>
      <c r="F1033" s="15" t="n">
        <f aca="false">F1021+F1023+F1025+F1017+F1027+F1030</f>
        <v>1955.94074307053</v>
      </c>
      <c r="G1033" s="15" t="n">
        <f aca="false">G1021+G1023+G1025+G1017+G1027+G1030</f>
        <v>2053.1320716</v>
      </c>
      <c r="H1033" s="23" t="n">
        <f aca="false">G1033*(1+H1034)</f>
        <v>2162.20857776426</v>
      </c>
      <c r="I1033" s="23" t="n">
        <f aca="false">H1033*(1+I1034)</f>
        <v>2284.5105355383</v>
      </c>
      <c r="J1033" s="23" t="n">
        <f aca="false">I1033*(1+J1034)</f>
        <v>2421.5811676706</v>
      </c>
      <c r="K1033" s="8" t="s">
        <v>509</v>
      </c>
    </row>
    <row r="1034" customFormat="false" ht="15" hidden="false" customHeight="false" outlineLevel="0" collapsed="false">
      <c r="A1034" s="4" t="s">
        <v>510</v>
      </c>
      <c r="B1034" s="0" t="s">
        <v>77</v>
      </c>
      <c r="D1034" s="16" t="n">
        <f aca="false">D1033/C1033-1</f>
        <v>0.0936283519993131</v>
      </c>
      <c r="E1034" s="16" t="n">
        <f aca="false">E1033/D1033-1</f>
        <v>0.0684558891454965</v>
      </c>
      <c r="F1034" s="16" t="n">
        <f aca="false">F1033/E1033-1</f>
        <v>0.0569421278935081</v>
      </c>
      <c r="G1034" s="16" t="n">
        <f aca="false">G1033/F1033-1</f>
        <v>0.0496903236326567</v>
      </c>
      <c r="H1034" s="24" t="n">
        <f aca="false">$G1034+(fade_gA-$G1034)*1/3</f>
        <v>0.0531268824217711</v>
      </c>
      <c r="I1034" s="24" t="n">
        <f aca="false">$G1034+(fade_gA-$G1034)*2/3</f>
        <v>0.0565634412108856</v>
      </c>
      <c r="J1034" s="24" t="n">
        <f aca="false">$G1034+(fade_gA-$G1034)*3/3</f>
        <v>0.06</v>
      </c>
    </row>
    <row r="1035" customFormat="false" ht="17.15" hidden="false" customHeight="false" outlineLevel="0" collapsed="false">
      <c r="A1035" s="0" t="s">
        <v>511</v>
      </c>
      <c r="B1035" s="0" t="s">
        <v>77</v>
      </c>
      <c r="C1035" s="16" t="n">
        <f aca="false">C1017/C1033</f>
        <v>0.0646902638662541</v>
      </c>
      <c r="D1035" s="16" t="n">
        <f aca="false">D1017/D1033</f>
        <v>0.0696304849884527</v>
      </c>
      <c r="E1035" s="16" t="n">
        <f aca="false">E1017/E1033</f>
        <v>0.0948864498507916</v>
      </c>
      <c r="F1035" s="16" t="n">
        <f aca="false">F1017/F1033</f>
        <v>0.109821293835987</v>
      </c>
      <c r="G1035" s="16" t="n">
        <f aca="false">G1017/G1033</f>
        <v>0.118418879799842</v>
      </c>
    </row>
    <row r="1036" customFormat="false" ht="15" hidden="false" customHeight="false" outlineLevel="0" collapsed="false">
      <c r="A1036" s="4" t="s">
        <v>390</v>
      </c>
      <c r="B1036" s="0" t="s">
        <v>169</v>
      </c>
      <c r="C1036" s="15" t="n">
        <f aca="false">C1022+C1024+C1026+C1019+C1028+C1029+C1031</f>
        <v>181.163</v>
      </c>
      <c r="D1036" s="15" t="n">
        <f aca="false">D1022+D1024+D1026+D1019+D1028+D1029+D1031</f>
        <v>202</v>
      </c>
      <c r="E1036" s="15" t="n">
        <f aca="false">E1022+E1024+E1026+E1019+E1028+E1029+E1031</f>
        <v>246.03601</v>
      </c>
      <c r="F1036" s="15" t="n">
        <f aca="false">F1022+F1024+F1026+F1019+F1028+F1029+F1031</f>
        <v>274.5863674364</v>
      </c>
      <c r="G1036" s="15" t="n">
        <f aca="false">G1022+G1024+G1026+G1019+G1028+G1029+G1031</f>
        <v>291.433339119</v>
      </c>
    </row>
    <row r="1037" customFormat="false" ht="15" hidden="false" customHeight="false" outlineLevel="0" collapsed="false">
      <c r="A1037" s="4" t="s">
        <v>406</v>
      </c>
      <c r="B1037" s="0" t="s">
        <v>77</v>
      </c>
      <c r="C1037" s="16" t="n">
        <f aca="false">C1036/C1033</f>
        <v>0.114390873633517</v>
      </c>
      <c r="D1037" s="16" t="n">
        <f aca="false">D1036/D1033</f>
        <v>0.11662817551963</v>
      </c>
      <c r="E1037" s="16" t="n">
        <f aca="false">E1036/E1033</f>
        <v>0.132951790522854</v>
      </c>
      <c r="F1037" s="16" t="n">
        <f aca="false">F1036/F1033</f>
        <v>0.140385831426233</v>
      </c>
      <c r="G1037" s="16" t="n">
        <f aca="false">G1036/G1033</f>
        <v>0.141945734105594</v>
      </c>
    </row>
    <row r="1038" customFormat="false" ht="17.15" hidden="false" customHeight="false" outlineLevel="0" collapsed="false">
      <c r="A1038" s="0" t="s">
        <v>512</v>
      </c>
      <c r="B1038" s="0" t="s">
        <v>77</v>
      </c>
      <c r="C1038" s="16" t="n">
        <f aca="false">C1019/C1036</f>
        <v>0.301386044611758</v>
      </c>
      <c r="D1038" s="16" t="n">
        <f aca="false">D1019/D1036</f>
        <v>0.324257425742574</v>
      </c>
      <c r="E1038" s="16" t="n">
        <f aca="false">E1019/E1036</f>
        <v>0.413820318415991</v>
      </c>
      <c r="F1038" s="16" t="n">
        <f aca="false">F1019/F1036</f>
        <v>0.452562737533511</v>
      </c>
      <c r="G1038" s="16" t="n">
        <f aca="false">G1019/G1036</f>
        <v>0.462379961562931</v>
      </c>
    </row>
    <row r="1039" customFormat="false" ht="17.15" hidden="false" customHeight="false" outlineLevel="0" collapsed="false">
      <c r="A1039" s="4" t="s">
        <v>407</v>
      </c>
      <c r="B1039" s="0" t="s">
        <v>52</v>
      </c>
      <c r="C1039" s="21" t="n">
        <f aca="false">q25_ni/q25_bp</f>
        <v>0.743391310587703</v>
      </c>
      <c r="D1039" s="21" t="n">
        <f aca="false">q26_ni/q26_bp</f>
        <v>0.611386138613861</v>
      </c>
      <c r="E1039" s="21" t="n">
        <f aca="false">ni_bp</f>
        <v>0.62</v>
      </c>
      <c r="F1039" s="21" t="n">
        <f aca="false">ni_bp</f>
        <v>0.62</v>
      </c>
      <c r="G1039" s="21" t="n">
        <f aca="false">ni_bp</f>
        <v>0.62</v>
      </c>
    </row>
    <row r="1040" customFormat="false" ht="15" hidden="false" customHeight="false" outlineLevel="0" collapsed="false">
      <c r="A1040" s="4" t="s">
        <v>397</v>
      </c>
      <c r="B1040" s="0" t="s">
        <v>169</v>
      </c>
      <c r="C1040" s="15" t="n">
        <f aca="false">q25_ni</f>
        <v>134.675</v>
      </c>
      <c r="D1040" s="15" t="n">
        <f aca="false">q26_ni</f>
        <v>123.5</v>
      </c>
      <c r="E1040" s="15" t="n">
        <f aca="false">E1036*E1039</f>
        <v>152.5423262</v>
      </c>
      <c r="F1040" s="15" t="n">
        <f aca="false">F1036*F1039</f>
        <v>170.243547810568</v>
      </c>
      <c r="G1040" s="15" t="n">
        <f aca="false">G1036*G1039</f>
        <v>180.68867025378</v>
      </c>
      <c r="H1040" s="23" t="n">
        <f aca="false">H1033*H1044</f>
        <v>190.288095993299</v>
      </c>
      <c r="I1040" s="23" t="n">
        <f aca="false">I1033*I1044</f>
        <v>201.051445524147</v>
      </c>
      <c r="J1040" s="23" t="n">
        <f aca="false">J1033*J1044</f>
        <v>213.114532255596</v>
      </c>
    </row>
    <row r="1041" customFormat="false" ht="15" hidden="false" customHeight="false" outlineLevel="0" collapsed="false">
      <c r="A1041" s="4" t="s">
        <v>513</v>
      </c>
      <c r="B1041" s="4" t="s">
        <v>316</v>
      </c>
      <c r="C1041" s="19" t="n">
        <f aca="false">q25_sh</f>
        <v>0.973366579936398</v>
      </c>
      <c r="D1041" s="19" t="n">
        <f aca="false">q26_sh</f>
        <v>0.95117067159581</v>
      </c>
      <c r="E1041" s="19" t="n">
        <f aca="false">D1041*(1+sh_g_lo)</f>
        <v>0.922635551447936</v>
      </c>
      <c r="F1041" s="19" t="n">
        <f aca="false">E1041*(1+sh_g_lo)</f>
        <v>0.894956484904498</v>
      </c>
      <c r="G1041" s="19" t="n">
        <f aca="false">F1041*(1+sh_g_lo)</f>
        <v>0.868107790357363</v>
      </c>
      <c r="H1041" s="29" t="n">
        <f aca="false">G1041*(1+sh_g_lo)</f>
        <v>0.842064556646642</v>
      </c>
      <c r="I1041" s="29" t="n">
        <f aca="false">H1041*(1+sh_g_lo)</f>
        <v>0.816802619947243</v>
      </c>
      <c r="J1041" s="29" t="n">
        <f aca="false">I1041*(1+sh_g_lo)</f>
        <v>0.792298541348825</v>
      </c>
    </row>
    <row r="1042" customFormat="false" ht="17.15" hidden="false" customHeight="false" outlineLevel="0" collapsed="false">
      <c r="A1042" s="0" t="s">
        <v>514</v>
      </c>
      <c r="B1042" s="0" t="s">
        <v>207</v>
      </c>
      <c r="C1042" s="20" t="n">
        <f aca="false">C1040/C1041</f>
        <v>138.36</v>
      </c>
      <c r="D1042" s="20" t="n">
        <f aca="false">D1040/D1041</f>
        <v>129.84</v>
      </c>
      <c r="E1042" s="20" t="n">
        <f aca="false">E1040/E1041</f>
        <v>165.333241235511</v>
      </c>
      <c r="F1042" s="20" t="n">
        <f aca="false">F1040/F1041</f>
        <v>190.225503342472</v>
      </c>
      <c r="G1042" s="20" t="n">
        <f aca="false">G1040/G1041</f>
        <v>208.14082336411</v>
      </c>
      <c r="H1042" s="27" t="n">
        <f aca="false">H1040/H1041</f>
        <v>225.978037540357</v>
      </c>
      <c r="I1042" s="27" t="n">
        <f aca="false">I1040/I1041</f>
        <v>246.144466991466</v>
      </c>
      <c r="J1042" s="27" t="n">
        <f aca="false">J1040/J1041</f>
        <v>268.982613413355</v>
      </c>
    </row>
    <row r="1043" customFormat="false" ht="17.15" hidden="false" customHeight="false" outlineLevel="0" collapsed="false">
      <c r="A1043" s="0" t="s">
        <v>515</v>
      </c>
      <c r="B1043" s="0" t="s">
        <v>77</v>
      </c>
      <c r="D1043" s="16" t="n">
        <f aca="false">D1042/C1042-1</f>
        <v>-0.0615784908933218</v>
      </c>
      <c r="E1043" s="16" t="n">
        <f aca="false">E1042/D1042-1</f>
        <v>0.273361377352978</v>
      </c>
      <c r="F1043" s="16" t="n">
        <f aca="false">F1042/E1042-1</f>
        <v>0.150558120804657</v>
      </c>
      <c r="G1043" s="16" t="n">
        <f aca="false">G1042/F1042-1</f>
        <v>0.0941793802978368</v>
      </c>
      <c r="H1043" s="24" t="n">
        <f aca="false">H1042/G1042-1</f>
        <v>0.0856978169296609</v>
      </c>
      <c r="I1043" s="24" t="n">
        <f aca="false">I1042/H1042-1</f>
        <v>0.0892406610421499</v>
      </c>
      <c r="J1043" s="24" t="n">
        <f aca="false">J1042/I1042-1</f>
        <v>0.0927835051546393</v>
      </c>
    </row>
    <row r="1044" customFormat="false" ht="15" hidden="false" customHeight="false" outlineLevel="0" collapsed="false">
      <c r="A1044" s="4" t="s">
        <v>516</v>
      </c>
      <c r="B1044" s="0" t="s">
        <v>77</v>
      </c>
      <c r="C1044" s="25" t="n">
        <f aca="false">C1040/C1033</f>
        <v>0.0850371814696925</v>
      </c>
      <c r="D1044" s="25" t="n">
        <f aca="false">D1040/D1033</f>
        <v>0.0713048498845266</v>
      </c>
      <c r="E1044" s="25" t="n">
        <f aca="false">E1040/E1033</f>
        <v>0.0824301101241696</v>
      </c>
      <c r="F1044" s="25" t="n">
        <f aca="false">F1040/F1033</f>
        <v>0.0870392154842644</v>
      </c>
      <c r="G1044" s="25" t="n">
        <f aca="false">G1040/G1033</f>
        <v>0.088006355145468</v>
      </c>
      <c r="H1044" s="26" t="n">
        <f aca="false">$G1044+(fade_mA-$G1044)*1/3</f>
        <v>0.088006355145468</v>
      </c>
      <c r="I1044" s="26" t="n">
        <f aca="false">$G1044+(fade_mA-$G1044)*2/3</f>
        <v>0.088006355145468</v>
      </c>
      <c r="J1044" s="26" t="n">
        <f aca="false">$G1044+(fade_mA-$G1044)*3/3</f>
        <v>0.088006355145468</v>
      </c>
    </row>
    <row r="1045" customFormat="false" ht="17.15" hidden="false" customHeight="false" outlineLevel="0" collapsed="false">
      <c r="A1045" s="0" t="s">
        <v>517</v>
      </c>
      <c r="B1045" s="0" t="s">
        <v>207</v>
      </c>
      <c r="D1045" s="20" t="n">
        <f aca="false">D1019*D1039/D1041</f>
        <v>42.1015841584158</v>
      </c>
      <c r="E1045" s="20" t="n">
        <f aca="false">E1019*E1039/E1041</f>
        <v>68.4182545328269</v>
      </c>
      <c r="F1045" s="20" t="n">
        <f aca="false">F1019*F1039/F1041</f>
        <v>86.0889745413594</v>
      </c>
      <c r="G1045" s="20" t="n">
        <f aca="false">G1019*G1039/G1041</f>
        <v>96.2401459067743</v>
      </c>
      <c r="K1045" s="8" t="s">
        <v>518</v>
      </c>
    </row>
    <row r="1046" customFormat="false" ht="17.15" hidden="false" customHeight="false" outlineLevel="0" collapsed="false">
      <c r="A1046" s="0" t="s">
        <v>519</v>
      </c>
      <c r="B1046" s="0" t="s">
        <v>207</v>
      </c>
      <c r="D1046" s="20" t="n">
        <f aca="false">D1042-D1045</f>
        <v>87.7384158415842</v>
      </c>
      <c r="E1046" s="20" t="n">
        <f aca="false">E1042-E1045</f>
        <v>96.9149867026838</v>
      </c>
      <c r="F1046" s="20" t="n">
        <f aca="false">F1042-F1045</f>
        <v>104.136528801113</v>
      </c>
      <c r="G1046" s="20" t="n">
        <f aca="false">G1042-G1045</f>
        <v>111.900677457336</v>
      </c>
    </row>
    <row r="1047" customFormat="false" ht="17.15" hidden="false" customHeight="false" outlineLevel="0" collapsed="false">
      <c r="A1047" s="0" t="s">
        <v>520</v>
      </c>
      <c r="B1047" s="0" t="s">
        <v>432</v>
      </c>
      <c r="D1047" s="15" t="n">
        <f aca="false">D1015/D1005*1000/150</f>
        <v>23.5087719298246</v>
      </c>
      <c r="E1047" s="15" t="n">
        <f aca="false">E1015/E1005*1000/150</f>
        <v>30.1617621884116</v>
      </c>
      <c r="F1047" s="15" t="n">
        <f aca="false">F1015/F1005*1000/150</f>
        <v>36.5143464561404</v>
      </c>
      <c r="G1047" s="15" t="n">
        <f aca="false">G1015/G1005*1000/150</f>
        <v>39.9173947725016</v>
      </c>
      <c r="K1047" s="8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883</v>
      </c>
    </row>
    <row r="2" customFormat="false" ht="17.15" hidden="false" customHeight="false" outlineLevel="0" collapsed="false">
      <c r="A2" s="4" t="s">
        <v>884</v>
      </c>
      <c r="B2" s="0" t="s">
        <v>885</v>
      </c>
    </row>
    <row r="3" customFormat="false" ht="17.15" hidden="false" customHeight="false" outlineLevel="0" collapsed="false">
      <c r="A3" s="4" t="s">
        <v>886</v>
      </c>
      <c r="B3" s="0" t="s">
        <v>887</v>
      </c>
    </row>
    <row r="4" customFormat="false" ht="17.15" hidden="false" customHeight="false" outlineLevel="0" collapsed="false">
      <c r="A4" s="4" t="s">
        <v>888</v>
      </c>
      <c r="B4" s="0" t="s">
        <v>889</v>
      </c>
    </row>
    <row r="5" customFormat="false" ht="17.15" hidden="false" customHeight="false" outlineLevel="0" collapsed="false">
      <c r="A5" s="4" t="s">
        <v>890</v>
      </c>
      <c r="B5" s="0" t="s">
        <v>891</v>
      </c>
    </row>
    <row r="6" customFormat="false" ht="17.15" hidden="false" customHeight="false" outlineLevel="0" collapsed="false">
      <c r="A6" s="4" t="s">
        <v>892</v>
      </c>
      <c r="B6" s="0" t="s">
        <v>893</v>
      </c>
    </row>
    <row r="7" customFormat="false" ht="17.15" hidden="false" customHeight="false" outlineLevel="0" collapsed="false">
      <c r="A7" s="4" t="s">
        <v>894</v>
      </c>
      <c r="B7" s="0" t="s">
        <v>895</v>
      </c>
    </row>
    <row r="8" customFormat="false" ht="17.15" hidden="false" customHeight="false" outlineLevel="0" collapsed="false">
      <c r="A8" s="4" t="s">
        <v>896</v>
      </c>
      <c r="B8" s="0" t="s">
        <v>897</v>
      </c>
    </row>
    <row r="9" customFormat="false" ht="17.15" hidden="false" customHeight="false" outlineLevel="0" collapsed="false">
      <c r="A9" s="4" t="s">
        <v>898</v>
      </c>
      <c r="B9" s="0" t="s">
        <v>899</v>
      </c>
    </row>
    <row r="10" customFormat="false" ht="17.15" hidden="false" customHeight="false" outlineLevel="0" collapsed="false">
      <c r="A10" s="4" t="s">
        <v>900</v>
      </c>
      <c r="B10" s="0" t="s">
        <v>901</v>
      </c>
    </row>
    <row r="11" customFormat="false" ht="17.15" hidden="false" customHeight="false" outlineLevel="0" collapsed="false">
      <c r="A11" s="4" t="s">
        <v>902</v>
      </c>
      <c r="B11" s="0" t="s">
        <v>903</v>
      </c>
    </row>
    <row r="12" customFormat="false" ht="17.15" hidden="false" customHeight="false" outlineLevel="0" collapsed="false">
      <c r="A12" s="4" t="s">
        <v>904</v>
      </c>
      <c r="B12" s="0" t="s">
        <v>905</v>
      </c>
    </row>
    <row r="13" customFormat="false" ht="17.15" hidden="false" customHeight="false" outlineLevel="0" collapsed="false">
      <c r="A13" s="4" t="s">
        <v>906</v>
      </c>
      <c r="B13" s="0" t="s">
        <v>907</v>
      </c>
    </row>
    <row r="14" customFormat="false" ht="17.15" hidden="false" customHeight="false" outlineLevel="0" collapsed="false">
      <c r="A14" s="4" t="s">
        <v>908</v>
      </c>
      <c r="B14" s="0" t="s">
        <v>909</v>
      </c>
    </row>
    <row r="15" customFormat="false" ht="17.15" hidden="false" customHeight="false" outlineLevel="0" collapsed="false">
      <c r="A15" s="4" t="s">
        <v>910</v>
      </c>
      <c r="B15" s="0" t="s">
        <v>911</v>
      </c>
    </row>
    <row r="16" customFormat="false" ht="17.15" hidden="false" customHeight="false" outlineLevel="0" collapsed="false">
      <c r="A16" s="4" t="s">
        <v>912</v>
      </c>
      <c r="B16" s="0" t="s">
        <v>913</v>
      </c>
    </row>
    <row r="17" customFormat="false" ht="17.15" hidden="false" customHeight="false" outlineLevel="0" collapsed="false">
      <c r="A17" s="4" t="s">
        <v>914</v>
      </c>
      <c r="B17" s="0" t="s">
        <v>915</v>
      </c>
    </row>
    <row r="18" customFormat="false" ht="17.15" hidden="false" customHeight="false" outlineLevel="0" collapsed="false">
      <c r="A18" s="4" t="s">
        <v>916</v>
      </c>
      <c r="B18" s="0" t="s">
        <v>917</v>
      </c>
    </row>
    <row r="19" customFormat="false" ht="17.15" hidden="false" customHeight="false" outlineLevel="0" collapsed="false">
      <c r="A19" s="4" t="s">
        <v>918</v>
      </c>
      <c r="B19" s="0" t="s">
        <v>919</v>
      </c>
    </row>
    <row r="20" customFormat="false" ht="17.15" hidden="false" customHeight="false" outlineLevel="0" collapsed="false">
      <c r="A20" s="4" t="s">
        <v>920</v>
      </c>
      <c r="B20" s="0" t="s">
        <v>921</v>
      </c>
    </row>
    <row r="21" customFormat="false" ht="17.15" hidden="false" customHeight="false" outlineLevel="0" collapsed="false">
      <c r="A21" s="4" t="s">
        <v>922</v>
      </c>
      <c r="B21" s="0" t="s">
        <v>923</v>
      </c>
    </row>
    <row r="22" customFormat="false" ht="17.15" hidden="false" customHeight="false" outlineLevel="0" collapsed="false">
      <c r="A22" s="4" t="s">
        <v>924</v>
      </c>
      <c r="B22" s="0" t="s">
        <v>925</v>
      </c>
    </row>
    <row r="23" customFormat="false" ht="17.15" hidden="false" customHeight="false" outlineLevel="0" collapsed="false">
      <c r="A23" s="4" t="s">
        <v>926</v>
      </c>
      <c r="B23" s="0" t="s">
        <v>927</v>
      </c>
    </row>
    <row r="24" customFormat="false" ht="17.15" hidden="false" customHeight="false" outlineLevel="0" collapsed="false">
      <c r="A24" s="4" t="s">
        <v>928</v>
      </c>
      <c r="B24" s="0" t="s">
        <v>929</v>
      </c>
    </row>
    <row r="25" customFormat="false" ht="17.15" hidden="false" customHeight="false" outlineLevel="0" collapsed="false">
      <c r="A25" s="4" t="s">
        <v>930</v>
      </c>
      <c r="B25" s="0" t="s">
        <v>931</v>
      </c>
    </row>
    <row r="26" customFormat="false" ht="17.15" hidden="false" customHeight="false" outlineLevel="0" collapsed="false">
      <c r="A26" s="4" t="s">
        <v>932</v>
      </c>
      <c r="B26" s="0" t="s">
        <v>933</v>
      </c>
    </row>
    <row r="27" customFormat="false" ht="17.15" hidden="false" customHeight="false" outlineLevel="0" collapsed="false">
      <c r="A27" s="0" t="s">
        <v>934</v>
      </c>
      <c r="B27" s="0" t="s">
        <v>885</v>
      </c>
    </row>
    <row r="28" customFormat="false" ht="17.15" hidden="false" customHeight="false" outlineLevel="0" collapsed="false">
      <c r="A28" s="0" t="s">
        <v>935</v>
      </c>
      <c r="B28" s="4" t="s">
        <v>936</v>
      </c>
    </row>
    <row r="29" customFormat="false" ht="17.15" hidden="false" customHeight="false" outlineLevel="0" collapsed="false">
      <c r="A29" s="4" t="s">
        <v>937</v>
      </c>
      <c r="B29" s="4" t="s">
        <v>761</v>
      </c>
    </row>
    <row r="30" customFormat="false" ht="15" hidden="false" customHeight="false" outlineLevel="0" collapsed="false">
      <c r="A30" s="0" t="s">
        <v>938</v>
      </c>
      <c r="B30" s="4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2026-10-26T12:18:35Z</dcterms:created>
  <dc:creator>openpyxl</dc:creator>
  <dc:description/>
  <dc:language>en-US</dc:language>
  <cp:lastModifiedBy/>
  <dcterms:modified xsi:type="dcterms:W3CDTF">2026-10-26T12:18:35Z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